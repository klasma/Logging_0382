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45630</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45630</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45630</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45630</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45630</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45630</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45630</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45630</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45630</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45630</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45630</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45630</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45630</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45630</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45630</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45630</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45630</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45630</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45630</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45630</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45630</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45630</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45630</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45630</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45630</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45630</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45630</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45630</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45630</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45630</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45630</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45630</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45630</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45630</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45630</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45630</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45630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45630</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45630</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45630</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45630</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45630</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45630</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45630</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45630</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45630</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45630</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45630</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45630</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45630</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45630</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45630</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45630</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45630</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45630</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45630</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45630</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45630</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45630</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45630</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45630</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45630</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45630</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45630</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45630</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45630</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45630</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45630</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45630</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45630</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45630</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45630</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45630</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45630</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45630</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45630</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45630</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45630</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45630</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45630</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45630</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45630</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45630</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15627-2023</t>
        </is>
      </c>
      <c r="B96" s="1" t="n">
        <v>45021</v>
      </c>
      <c r="C96" s="1" t="n">
        <v>45630</v>
      </c>
      <c r="D96" t="inlineStr">
        <is>
          <t>UPPSALA LÄN</t>
        </is>
      </c>
      <c r="E96" t="inlineStr">
        <is>
          <t>ÖSTHAMMAR</t>
        </is>
      </c>
      <c r="F96" t="inlineStr">
        <is>
          <t>Övriga Aktiebolag</t>
        </is>
      </c>
      <c r="G96" t="n">
        <v>22.8</v>
      </c>
      <c r="H96" t="n">
        <v>1</v>
      </c>
      <c r="I96" t="n">
        <v>1</v>
      </c>
      <c r="J96" t="n">
        <v>1</v>
      </c>
      <c r="K96" t="n">
        <v>0</v>
      </c>
      <c r="L96" t="n">
        <v>0</v>
      </c>
      <c r="M96" t="n">
        <v>0</v>
      </c>
      <c r="N96" t="n">
        <v>0</v>
      </c>
      <c r="O96" t="n">
        <v>1</v>
      </c>
      <c r="P96" t="n">
        <v>0</v>
      </c>
      <c r="Q96" t="n">
        <v>2</v>
      </c>
      <c r="R96" s="2" t="inlineStr">
        <is>
          <t>Slåtterfibbla
Guckusko</t>
        </is>
      </c>
      <c r="S96">
        <f>HYPERLINK("https://klasma.github.io/Logging_0382/artfynd/A 15627-2023 artfynd.xlsx", "A 15627-2023")</f>
        <v/>
      </c>
      <c r="T96">
        <f>HYPERLINK("https://klasma.github.io/Logging_0382/kartor/A 15627-2023 karta.png", "A 15627-2023")</f>
        <v/>
      </c>
      <c r="V96">
        <f>HYPERLINK("https://klasma.github.io/Logging_0382/klagomål/A 15627-2023 FSC-klagomål.docx", "A 15627-2023")</f>
        <v/>
      </c>
      <c r="W96">
        <f>HYPERLINK("https://klasma.github.io/Logging_0382/klagomålsmail/A 15627-2023 FSC-klagomål mail.docx", "A 15627-2023")</f>
        <v/>
      </c>
      <c r="X96">
        <f>HYPERLINK("https://klasma.github.io/Logging_0382/tillsyn/A 15627-2023 tillsynsbegäran.docx", "A 15627-2023")</f>
        <v/>
      </c>
      <c r="Y96">
        <f>HYPERLINK("https://klasma.github.io/Logging_0382/tillsynsmail/A 15627-2023 tillsynsbegäran mail.docx", "A 15627-2023")</f>
        <v/>
      </c>
    </row>
    <row r="97" ht="15" customHeight="1">
      <c r="A97" t="inlineStr">
        <is>
          <t>A 21453-2023</t>
        </is>
      </c>
      <c r="B97" s="1" t="n">
        <v>45063</v>
      </c>
      <c r="C97" s="1" t="n">
        <v>45630</v>
      </c>
      <c r="D97" t="inlineStr">
        <is>
          <t>UPPSALA LÄN</t>
        </is>
      </c>
      <c r="E97" t="inlineStr">
        <is>
          <t>ÖSTHAMMAR</t>
        </is>
      </c>
      <c r="F97" t="inlineStr">
        <is>
          <t>Bergvik skog väst AB</t>
        </is>
      </c>
      <c r="G97" t="n">
        <v>6.1</v>
      </c>
      <c r="H97" t="n">
        <v>1</v>
      </c>
      <c r="I97" t="n">
        <v>1</v>
      </c>
      <c r="J97" t="n">
        <v>0</v>
      </c>
      <c r="K97" t="n">
        <v>0</v>
      </c>
      <c r="L97" t="n">
        <v>0</v>
      </c>
      <c r="M97" t="n">
        <v>0</v>
      </c>
      <c r="N97" t="n">
        <v>0</v>
      </c>
      <c r="O97" t="n">
        <v>0</v>
      </c>
      <c r="P97" t="n">
        <v>0</v>
      </c>
      <c r="Q97" t="n">
        <v>2</v>
      </c>
      <c r="R97" s="2" t="inlineStr">
        <is>
          <t>Fransig jordstjärna
Blåsippa</t>
        </is>
      </c>
      <c r="S97">
        <f>HYPERLINK("https://klasma.github.io/Logging_0382/artfynd/A 21453-2023 artfynd.xlsx", "A 21453-2023")</f>
        <v/>
      </c>
      <c r="T97">
        <f>HYPERLINK("https://klasma.github.io/Logging_0382/kartor/A 21453-2023 karta.png", "A 21453-2023")</f>
        <v/>
      </c>
      <c r="V97">
        <f>HYPERLINK("https://klasma.github.io/Logging_0382/klagomål/A 21453-2023 FSC-klagomål.docx", "A 21453-2023")</f>
        <v/>
      </c>
      <c r="W97">
        <f>HYPERLINK("https://klasma.github.io/Logging_0382/klagomålsmail/A 21453-2023 FSC-klagomål mail.docx", "A 21453-2023")</f>
        <v/>
      </c>
      <c r="X97">
        <f>HYPERLINK("https://klasma.github.io/Logging_0382/tillsyn/A 21453-2023 tillsynsbegäran.docx", "A 21453-2023")</f>
        <v/>
      </c>
      <c r="Y97">
        <f>HYPERLINK("https://klasma.github.io/Logging_0382/tillsynsmail/A 21453-2023 tillsynsbegäran mail.docx", "A 21453-2023")</f>
        <v/>
      </c>
    </row>
    <row r="98" ht="15" customHeight="1">
      <c r="A98" t="inlineStr">
        <is>
          <t>A 21422-2023</t>
        </is>
      </c>
      <c r="B98" s="1" t="n">
        <v>45063</v>
      </c>
      <c r="C98" s="1" t="n">
        <v>45630</v>
      </c>
      <c r="D98" t="inlineStr">
        <is>
          <t>UPPSALA LÄN</t>
        </is>
      </c>
      <c r="E98" t="inlineStr">
        <is>
          <t>ÖSTHAMMAR</t>
        </is>
      </c>
      <c r="F98" t="inlineStr">
        <is>
          <t>Sveaskog</t>
        </is>
      </c>
      <c r="G98" t="n">
        <v>2.8</v>
      </c>
      <c r="H98" t="n">
        <v>2</v>
      </c>
      <c r="I98" t="n">
        <v>0</v>
      </c>
      <c r="J98" t="n">
        <v>1</v>
      </c>
      <c r="K98" t="n">
        <v>0</v>
      </c>
      <c r="L98" t="n">
        <v>0</v>
      </c>
      <c r="M98" t="n">
        <v>0</v>
      </c>
      <c r="N98" t="n">
        <v>0</v>
      </c>
      <c r="O98" t="n">
        <v>1</v>
      </c>
      <c r="P98" t="n">
        <v>0</v>
      </c>
      <c r="Q98" t="n">
        <v>2</v>
      </c>
      <c r="R98" s="2" t="inlineStr">
        <is>
          <t>Nordfladdermus
Dvärgpipistrell</t>
        </is>
      </c>
      <c r="S98">
        <f>HYPERLINK("https://klasma.github.io/Logging_0382/artfynd/A 21422-2023 artfynd.xlsx", "A 21422-2023")</f>
        <v/>
      </c>
      <c r="T98">
        <f>HYPERLINK("https://klasma.github.io/Logging_0382/kartor/A 21422-2023 karta.png", "A 21422-2023")</f>
        <v/>
      </c>
      <c r="V98">
        <f>HYPERLINK("https://klasma.github.io/Logging_0382/klagomål/A 21422-2023 FSC-klagomål.docx", "A 21422-2023")</f>
        <v/>
      </c>
      <c r="W98">
        <f>HYPERLINK("https://klasma.github.io/Logging_0382/klagomålsmail/A 21422-2023 FSC-klagomål mail.docx", "A 21422-2023")</f>
        <v/>
      </c>
      <c r="X98">
        <f>HYPERLINK("https://klasma.github.io/Logging_0382/tillsyn/A 21422-2023 tillsynsbegäran.docx", "A 21422-2023")</f>
        <v/>
      </c>
      <c r="Y98">
        <f>HYPERLINK("https://klasma.github.io/Logging_0382/tillsynsmail/A 21422-2023 tillsynsbegäran mail.docx", "A 21422-2023")</f>
        <v/>
      </c>
    </row>
    <row r="99" ht="15" customHeight="1">
      <c r="A99" t="inlineStr">
        <is>
          <t>A 26602-2023</t>
        </is>
      </c>
      <c r="B99" s="1" t="n">
        <v>45092</v>
      </c>
      <c r="C99" s="1" t="n">
        <v>45630</v>
      </c>
      <c r="D99" t="inlineStr">
        <is>
          <t>UPPSALA LÄN</t>
        </is>
      </c>
      <c r="E99" t="inlineStr">
        <is>
          <t>ÖSTHAMMAR</t>
        </is>
      </c>
      <c r="F99" t="inlineStr">
        <is>
          <t>Sveaskog</t>
        </is>
      </c>
      <c r="G99" t="n">
        <v>1.6</v>
      </c>
      <c r="H99" t="n">
        <v>2</v>
      </c>
      <c r="I99" t="n">
        <v>0</v>
      </c>
      <c r="J99" t="n">
        <v>2</v>
      </c>
      <c r="K99" t="n">
        <v>0</v>
      </c>
      <c r="L99" t="n">
        <v>0</v>
      </c>
      <c r="M99" t="n">
        <v>0</v>
      </c>
      <c r="N99" t="n">
        <v>0</v>
      </c>
      <c r="O99" t="n">
        <v>2</v>
      </c>
      <c r="P99" t="n">
        <v>0</v>
      </c>
      <c r="Q99" t="n">
        <v>2</v>
      </c>
      <c r="R99" s="2" t="inlineStr">
        <is>
          <t>Gulsparv
Skrattmås</t>
        </is>
      </c>
      <c r="S99">
        <f>HYPERLINK("https://klasma.github.io/Logging_0382/artfynd/A 26602-2023 artfynd.xlsx", "A 26602-2023")</f>
        <v/>
      </c>
      <c r="T99">
        <f>HYPERLINK("https://klasma.github.io/Logging_0382/kartor/A 26602-2023 karta.png", "A 26602-2023")</f>
        <v/>
      </c>
      <c r="V99">
        <f>HYPERLINK("https://klasma.github.io/Logging_0382/klagomål/A 26602-2023 FSC-klagomål.docx", "A 26602-2023")</f>
        <v/>
      </c>
      <c r="W99">
        <f>HYPERLINK("https://klasma.github.io/Logging_0382/klagomålsmail/A 26602-2023 FSC-klagomål mail.docx", "A 26602-2023")</f>
        <v/>
      </c>
      <c r="X99">
        <f>HYPERLINK("https://klasma.github.io/Logging_0382/tillsyn/A 26602-2023 tillsynsbegäran.docx", "A 26602-2023")</f>
        <v/>
      </c>
      <c r="Y99">
        <f>HYPERLINK("https://klasma.github.io/Logging_0382/tillsynsmail/A 26602-2023 tillsynsbegäran mail.docx", "A 26602-2023")</f>
        <v/>
      </c>
      <c r="Z99">
        <f>HYPERLINK("https://klasma.github.io/Logging_0382/fåglar/A 26602-2023 prioriterade fågelarter.docx", "A 26602-2023")</f>
        <v/>
      </c>
    </row>
    <row r="100" ht="15" customHeight="1">
      <c r="A100" t="inlineStr">
        <is>
          <t>A 36876-2023</t>
        </is>
      </c>
      <c r="B100" s="1" t="n">
        <v>45154</v>
      </c>
      <c r="C100" s="1" t="n">
        <v>45630</v>
      </c>
      <c r="D100" t="inlineStr">
        <is>
          <t>UPPSALA LÄN</t>
        </is>
      </c>
      <c r="E100" t="inlineStr">
        <is>
          <t>ÖSTHAMMAR</t>
        </is>
      </c>
      <c r="F100" t="inlineStr">
        <is>
          <t>Övriga Aktiebolag</t>
        </is>
      </c>
      <c r="G100" t="n">
        <v>12.6</v>
      </c>
      <c r="H100" t="n">
        <v>1</v>
      </c>
      <c r="I100" t="n">
        <v>0</v>
      </c>
      <c r="J100" t="n">
        <v>2</v>
      </c>
      <c r="K100" t="n">
        <v>0</v>
      </c>
      <c r="L100" t="n">
        <v>0</v>
      </c>
      <c r="M100" t="n">
        <v>0</v>
      </c>
      <c r="N100" t="n">
        <v>0</v>
      </c>
      <c r="O100" t="n">
        <v>2</v>
      </c>
      <c r="P100" t="n">
        <v>0</v>
      </c>
      <c r="Q100" t="n">
        <v>2</v>
      </c>
      <c r="R100" s="2" t="inlineStr">
        <is>
          <t>Slaguggla
Slåtterfibbla</t>
        </is>
      </c>
      <c r="S100">
        <f>HYPERLINK("https://klasma.github.io/Logging_0382/artfynd/A 36876-2023 artfynd.xlsx", "A 36876-2023")</f>
        <v/>
      </c>
      <c r="T100">
        <f>HYPERLINK("https://klasma.github.io/Logging_0382/kartor/A 36876-2023 karta.png", "A 36876-2023")</f>
        <v/>
      </c>
      <c r="V100">
        <f>HYPERLINK("https://klasma.github.io/Logging_0382/klagomål/A 36876-2023 FSC-klagomål.docx", "A 36876-2023")</f>
        <v/>
      </c>
      <c r="W100">
        <f>HYPERLINK("https://klasma.github.io/Logging_0382/klagomålsmail/A 36876-2023 FSC-klagomål mail.docx", "A 36876-2023")</f>
        <v/>
      </c>
      <c r="X100">
        <f>HYPERLINK("https://klasma.github.io/Logging_0382/tillsyn/A 36876-2023 tillsynsbegäran.docx", "A 36876-2023")</f>
        <v/>
      </c>
      <c r="Y100">
        <f>HYPERLINK("https://klasma.github.io/Logging_0382/tillsynsmail/A 36876-2023 tillsynsbegäran mail.docx", "A 36876-2023")</f>
        <v/>
      </c>
      <c r="Z100">
        <f>HYPERLINK("https://klasma.github.io/Logging_0382/fåglar/A 36876-2023 prioriterade fågelarter.docx", "A 36876-2023")</f>
        <v/>
      </c>
    </row>
    <row r="101" ht="15" customHeight="1">
      <c r="A101" t="inlineStr">
        <is>
          <t>A 48209-2023</t>
        </is>
      </c>
      <c r="B101" s="1" t="n">
        <v>45205</v>
      </c>
      <c r="C101" s="1" t="n">
        <v>45630</v>
      </c>
      <c r="D101" t="inlineStr">
        <is>
          <t>UPPSALA LÄN</t>
        </is>
      </c>
      <c r="E101" t="inlineStr">
        <is>
          <t>ÖSTHAMMAR</t>
        </is>
      </c>
      <c r="G101" t="n">
        <v>3.7</v>
      </c>
      <c r="H101" t="n">
        <v>1</v>
      </c>
      <c r="I101" t="n">
        <v>2</v>
      </c>
      <c r="J101" t="n">
        <v>0</v>
      </c>
      <c r="K101" t="n">
        <v>0</v>
      </c>
      <c r="L101" t="n">
        <v>0</v>
      </c>
      <c r="M101" t="n">
        <v>0</v>
      </c>
      <c r="N101" t="n">
        <v>0</v>
      </c>
      <c r="O101" t="n">
        <v>0</v>
      </c>
      <c r="P101" t="n">
        <v>0</v>
      </c>
      <c r="Q101" t="n">
        <v>2</v>
      </c>
      <c r="R101" s="2" t="inlineStr">
        <is>
          <t>Skogsknipprot
Tibast</t>
        </is>
      </c>
      <c r="S101">
        <f>HYPERLINK("https://klasma.github.io/Logging_0382/artfynd/A 48209-2023 artfynd.xlsx", "A 48209-2023")</f>
        <v/>
      </c>
      <c r="T101">
        <f>HYPERLINK("https://klasma.github.io/Logging_0382/kartor/A 48209-2023 karta.png", "A 48209-2023")</f>
        <v/>
      </c>
      <c r="V101">
        <f>HYPERLINK("https://klasma.github.io/Logging_0382/klagomål/A 48209-2023 FSC-klagomål.docx", "A 48209-2023")</f>
        <v/>
      </c>
      <c r="W101">
        <f>HYPERLINK("https://klasma.github.io/Logging_0382/klagomålsmail/A 48209-2023 FSC-klagomål mail.docx", "A 48209-2023")</f>
        <v/>
      </c>
      <c r="X101">
        <f>HYPERLINK("https://klasma.github.io/Logging_0382/tillsyn/A 48209-2023 tillsynsbegäran.docx", "A 48209-2023")</f>
        <v/>
      </c>
      <c r="Y101">
        <f>HYPERLINK("https://klasma.github.io/Logging_0382/tillsynsmail/A 48209-2023 tillsynsbegäran mail.docx", "A 48209-2023")</f>
        <v/>
      </c>
    </row>
    <row r="102" ht="15" customHeight="1">
      <c r="A102" t="inlineStr">
        <is>
          <t>A 48723-2023</t>
        </is>
      </c>
      <c r="B102" s="1" t="n">
        <v>45208</v>
      </c>
      <c r="C102" s="1" t="n">
        <v>45630</v>
      </c>
      <c r="D102" t="inlineStr">
        <is>
          <t>UPPSALA LÄN</t>
        </is>
      </c>
      <c r="E102" t="inlineStr">
        <is>
          <t>ÖSTHAMMAR</t>
        </is>
      </c>
      <c r="G102" t="n">
        <v>1</v>
      </c>
      <c r="H102" t="n">
        <v>0</v>
      </c>
      <c r="I102" t="n">
        <v>2</v>
      </c>
      <c r="J102" t="n">
        <v>0</v>
      </c>
      <c r="K102" t="n">
        <v>0</v>
      </c>
      <c r="L102" t="n">
        <v>0</v>
      </c>
      <c r="M102" t="n">
        <v>0</v>
      </c>
      <c r="N102" t="n">
        <v>0</v>
      </c>
      <c r="O102" t="n">
        <v>0</v>
      </c>
      <c r="P102" t="n">
        <v>0</v>
      </c>
      <c r="Q102" t="n">
        <v>2</v>
      </c>
      <c r="R102" s="2" t="inlineStr">
        <is>
          <t>Anisspindling
Fjällig taggsvamp s.str.</t>
        </is>
      </c>
      <c r="S102">
        <f>HYPERLINK("https://klasma.github.io/Logging_0382/artfynd/A 48723-2023 artfynd.xlsx", "A 48723-2023")</f>
        <v/>
      </c>
      <c r="T102">
        <f>HYPERLINK("https://klasma.github.io/Logging_0382/kartor/A 48723-2023 karta.png", "A 48723-2023")</f>
        <v/>
      </c>
      <c r="V102">
        <f>HYPERLINK("https://klasma.github.io/Logging_0382/klagomål/A 48723-2023 FSC-klagomål.docx", "A 48723-2023")</f>
        <v/>
      </c>
      <c r="W102">
        <f>HYPERLINK("https://klasma.github.io/Logging_0382/klagomålsmail/A 48723-2023 FSC-klagomål mail.docx", "A 48723-2023")</f>
        <v/>
      </c>
      <c r="X102">
        <f>HYPERLINK("https://klasma.github.io/Logging_0382/tillsyn/A 48723-2023 tillsynsbegäran.docx", "A 48723-2023")</f>
        <v/>
      </c>
      <c r="Y102">
        <f>HYPERLINK("https://klasma.github.io/Logging_0382/tillsynsmail/A 48723-2023 tillsynsbegäran mail.docx", "A 48723-2023")</f>
        <v/>
      </c>
    </row>
    <row r="103" ht="15" customHeight="1">
      <c r="A103" t="inlineStr">
        <is>
          <t>A 55508-2023</t>
        </is>
      </c>
      <c r="B103" s="1" t="n">
        <v>45238</v>
      </c>
      <c r="C103" s="1" t="n">
        <v>45630</v>
      </c>
      <c r="D103" t="inlineStr">
        <is>
          <t>UPPSALA LÄN</t>
        </is>
      </c>
      <c r="E103" t="inlineStr">
        <is>
          <t>ÖSTHAMMAR</t>
        </is>
      </c>
      <c r="G103" t="n">
        <v>3.4</v>
      </c>
      <c r="H103" t="n">
        <v>1</v>
      </c>
      <c r="I103" t="n">
        <v>1</v>
      </c>
      <c r="J103" t="n">
        <v>1</v>
      </c>
      <c r="K103" t="n">
        <v>0</v>
      </c>
      <c r="L103" t="n">
        <v>0</v>
      </c>
      <c r="M103" t="n">
        <v>0</v>
      </c>
      <c r="N103" t="n">
        <v>0</v>
      </c>
      <c r="O103" t="n">
        <v>1</v>
      </c>
      <c r="P103" t="n">
        <v>0</v>
      </c>
      <c r="Q103" t="n">
        <v>2</v>
      </c>
      <c r="R103" s="2" t="inlineStr">
        <is>
          <t>Svart taggsvamp
Guckusko</t>
        </is>
      </c>
      <c r="S103">
        <f>HYPERLINK("https://klasma.github.io/Logging_0382/artfynd/A 55508-2023 artfynd.xlsx", "A 55508-2023")</f>
        <v/>
      </c>
      <c r="T103">
        <f>HYPERLINK("https://klasma.github.io/Logging_0382/kartor/A 55508-2023 karta.png", "A 55508-2023")</f>
        <v/>
      </c>
      <c r="V103">
        <f>HYPERLINK("https://klasma.github.io/Logging_0382/klagomål/A 55508-2023 FSC-klagomål.docx", "A 55508-2023")</f>
        <v/>
      </c>
      <c r="W103">
        <f>HYPERLINK("https://klasma.github.io/Logging_0382/klagomålsmail/A 55508-2023 FSC-klagomål mail.docx", "A 55508-2023")</f>
        <v/>
      </c>
      <c r="X103">
        <f>HYPERLINK("https://klasma.github.io/Logging_0382/tillsyn/A 55508-2023 tillsynsbegäran.docx", "A 55508-2023")</f>
        <v/>
      </c>
      <c r="Y103">
        <f>HYPERLINK("https://klasma.github.io/Logging_0382/tillsynsmail/A 55508-2023 tillsynsbegäran mail.docx", "A 55508-2023")</f>
        <v/>
      </c>
    </row>
    <row r="104" ht="15" customHeight="1">
      <c r="A104" t="inlineStr">
        <is>
          <t>A 55385-2023</t>
        </is>
      </c>
      <c r="B104" s="1" t="n">
        <v>45238</v>
      </c>
      <c r="C104" s="1" t="n">
        <v>45630</v>
      </c>
      <c r="D104" t="inlineStr">
        <is>
          <t>UPPSALA LÄN</t>
        </is>
      </c>
      <c r="E104" t="inlineStr">
        <is>
          <t>ÖSTHAMMAR</t>
        </is>
      </c>
      <c r="G104" t="n">
        <v>3</v>
      </c>
      <c r="H104" t="n">
        <v>1</v>
      </c>
      <c r="I104" t="n">
        <v>2</v>
      </c>
      <c r="J104" t="n">
        <v>0</v>
      </c>
      <c r="K104" t="n">
        <v>0</v>
      </c>
      <c r="L104" t="n">
        <v>0</v>
      </c>
      <c r="M104" t="n">
        <v>0</v>
      </c>
      <c r="N104" t="n">
        <v>0</v>
      </c>
      <c r="O104" t="n">
        <v>0</v>
      </c>
      <c r="P104" t="n">
        <v>0</v>
      </c>
      <c r="Q104" t="n">
        <v>2</v>
      </c>
      <c r="R104" s="2" t="inlineStr">
        <is>
          <t>Guckusko
Korallblylav</t>
        </is>
      </c>
      <c r="S104">
        <f>HYPERLINK("https://klasma.github.io/Logging_0382/artfynd/A 55385-2023 artfynd.xlsx", "A 55385-2023")</f>
        <v/>
      </c>
      <c r="T104">
        <f>HYPERLINK("https://klasma.github.io/Logging_0382/kartor/A 55385-2023 karta.png", "A 55385-2023")</f>
        <v/>
      </c>
      <c r="V104">
        <f>HYPERLINK("https://klasma.github.io/Logging_0382/klagomål/A 55385-2023 FSC-klagomål.docx", "A 55385-2023")</f>
        <v/>
      </c>
      <c r="W104">
        <f>HYPERLINK("https://klasma.github.io/Logging_0382/klagomålsmail/A 55385-2023 FSC-klagomål mail.docx", "A 55385-2023")</f>
        <v/>
      </c>
      <c r="X104">
        <f>HYPERLINK("https://klasma.github.io/Logging_0382/tillsyn/A 55385-2023 tillsynsbegäran.docx", "A 55385-2023")</f>
        <v/>
      </c>
      <c r="Y104">
        <f>HYPERLINK("https://klasma.github.io/Logging_0382/tillsynsmail/A 55385-2023 tillsynsbegäran mail.docx", "A 55385-2023")</f>
        <v/>
      </c>
    </row>
    <row r="105" ht="15" customHeight="1">
      <c r="A105" t="inlineStr">
        <is>
          <t>A 59283-2023</t>
        </is>
      </c>
      <c r="B105" s="1" t="n">
        <v>45253</v>
      </c>
      <c r="C105" s="1" t="n">
        <v>45630</v>
      </c>
      <c r="D105" t="inlineStr">
        <is>
          <t>UPPSALA LÄN</t>
        </is>
      </c>
      <c r="E105" t="inlineStr">
        <is>
          <t>ÖSTHAMMAR</t>
        </is>
      </c>
      <c r="G105" t="n">
        <v>2</v>
      </c>
      <c r="H105" t="n">
        <v>0</v>
      </c>
      <c r="I105" t="n">
        <v>0</v>
      </c>
      <c r="J105" t="n">
        <v>0</v>
      </c>
      <c r="K105" t="n">
        <v>2</v>
      </c>
      <c r="L105" t="n">
        <v>0</v>
      </c>
      <c r="M105" t="n">
        <v>0</v>
      </c>
      <c r="N105" t="n">
        <v>0</v>
      </c>
      <c r="O105" t="n">
        <v>2</v>
      </c>
      <c r="P105" t="n">
        <v>2</v>
      </c>
      <c r="Q105" t="n">
        <v>2</v>
      </c>
      <c r="R105" s="2" t="inlineStr">
        <is>
          <t>Koppartaggsvamp
Spricktaggsvamp</t>
        </is>
      </c>
      <c r="S105">
        <f>HYPERLINK("https://klasma.github.io/Logging_0382/artfynd/A 59283-2023 artfynd.xlsx", "A 59283-2023")</f>
        <v/>
      </c>
      <c r="T105">
        <f>HYPERLINK("https://klasma.github.io/Logging_0382/kartor/A 59283-2023 karta.png", "A 59283-2023")</f>
        <v/>
      </c>
      <c r="V105">
        <f>HYPERLINK("https://klasma.github.io/Logging_0382/klagomål/A 59283-2023 FSC-klagomål.docx", "A 59283-2023")</f>
        <v/>
      </c>
      <c r="W105">
        <f>HYPERLINK("https://klasma.github.io/Logging_0382/klagomålsmail/A 59283-2023 FSC-klagomål mail.docx", "A 59283-2023")</f>
        <v/>
      </c>
      <c r="X105">
        <f>HYPERLINK("https://klasma.github.io/Logging_0382/tillsyn/A 59283-2023 tillsynsbegäran.docx", "A 59283-2023")</f>
        <v/>
      </c>
      <c r="Y105">
        <f>HYPERLINK("https://klasma.github.io/Logging_0382/tillsynsmail/A 59283-2023 tillsynsbegäran mail.docx", "A 59283-2023")</f>
        <v/>
      </c>
    </row>
    <row r="106" ht="15" customHeight="1">
      <c r="A106" t="inlineStr">
        <is>
          <t>A 9646-2024</t>
        </is>
      </c>
      <c r="B106" s="1" t="n">
        <v>45362</v>
      </c>
      <c r="C106" s="1" t="n">
        <v>45630</v>
      </c>
      <c r="D106" t="inlineStr">
        <is>
          <t>UPPSALA LÄN</t>
        </is>
      </c>
      <c r="E106" t="inlineStr">
        <is>
          <t>ÖSTHAMMAR</t>
        </is>
      </c>
      <c r="G106" t="n">
        <v>1.6</v>
      </c>
      <c r="H106" t="n">
        <v>0</v>
      </c>
      <c r="I106" t="n">
        <v>0</v>
      </c>
      <c r="J106" t="n">
        <v>1</v>
      </c>
      <c r="K106" t="n">
        <v>1</v>
      </c>
      <c r="L106" t="n">
        <v>0</v>
      </c>
      <c r="M106" t="n">
        <v>0</v>
      </c>
      <c r="N106" t="n">
        <v>0</v>
      </c>
      <c r="O106" t="n">
        <v>2</v>
      </c>
      <c r="P106" t="n">
        <v>1</v>
      </c>
      <c r="Q106" t="n">
        <v>2</v>
      </c>
      <c r="R106" s="2" t="inlineStr">
        <is>
          <t>Violgubbe
Gultoppig fingersvamp</t>
        </is>
      </c>
      <c r="S106">
        <f>HYPERLINK("https://klasma.github.io/Logging_0382/artfynd/A 9646-2024 artfynd.xlsx", "A 9646-2024")</f>
        <v/>
      </c>
      <c r="T106">
        <f>HYPERLINK("https://klasma.github.io/Logging_0382/kartor/A 9646-2024 karta.png", "A 9646-2024")</f>
        <v/>
      </c>
      <c r="V106">
        <f>HYPERLINK("https://klasma.github.io/Logging_0382/klagomål/A 9646-2024 FSC-klagomål.docx", "A 9646-2024")</f>
        <v/>
      </c>
      <c r="W106">
        <f>HYPERLINK("https://klasma.github.io/Logging_0382/klagomålsmail/A 9646-2024 FSC-klagomål mail.docx", "A 9646-2024")</f>
        <v/>
      </c>
      <c r="X106">
        <f>HYPERLINK("https://klasma.github.io/Logging_0382/tillsyn/A 9646-2024 tillsynsbegäran.docx", "A 9646-2024")</f>
        <v/>
      </c>
      <c r="Y106">
        <f>HYPERLINK("https://klasma.github.io/Logging_0382/tillsynsmail/A 9646-2024 tillsynsbegäran mail.docx", "A 9646-2024")</f>
        <v/>
      </c>
    </row>
    <row r="107" ht="15" customHeight="1">
      <c r="A107" t="inlineStr">
        <is>
          <t>A 11695-2024</t>
        </is>
      </c>
      <c r="B107" s="1" t="n">
        <v>45373</v>
      </c>
      <c r="C107" s="1" t="n">
        <v>45630</v>
      </c>
      <c r="D107" t="inlineStr">
        <is>
          <t>UPPSALA LÄN</t>
        </is>
      </c>
      <c r="E107" t="inlineStr">
        <is>
          <t>ÖSTHAMMAR</t>
        </is>
      </c>
      <c r="G107" t="n">
        <v>2</v>
      </c>
      <c r="H107" t="n">
        <v>0</v>
      </c>
      <c r="I107" t="n">
        <v>2</v>
      </c>
      <c r="J107" t="n">
        <v>0</v>
      </c>
      <c r="K107" t="n">
        <v>0</v>
      </c>
      <c r="L107" t="n">
        <v>0</v>
      </c>
      <c r="M107" t="n">
        <v>0</v>
      </c>
      <c r="N107" t="n">
        <v>0</v>
      </c>
      <c r="O107" t="n">
        <v>0</v>
      </c>
      <c r="P107" t="n">
        <v>0</v>
      </c>
      <c r="Q107" t="n">
        <v>2</v>
      </c>
      <c r="R107" s="2" t="inlineStr">
        <is>
          <t>Blåmossa
Fjällig taggsvamp s.str.</t>
        </is>
      </c>
      <c r="S107">
        <f>HYPERLINK("https://klasma.github.io/Logging_0382/artfynd/A 11695-2024 artfynd.xlsx", "A 11695-2024")</f>
        <v/>
      </c>
      <c r="T107">
        <f>HYPERLINK("https://klasma.github.io/Logging_0382/kartor/A 11695-2024 karta.png", "A 11695-2024")</f>
        <v/>
      </c>
      <c r="V107">
        <f>HYPERLINK("https://klasma.github.io/Logging_0382/klagomål/A 11695-2024 FSC-klagomål.docx", "A 11695-2024")</f>
        <v/>
      </c>
      <c r="W107">
        <f>HYPERLINK("https://klasma.github.io/Logging_0382/klagomålsmail/A 11695-2024 FSC-klagomål mail.docx", "A 11695-2024")</f>
        <v/>
      </c>
      <c r="X107">
        <f>HYPERLINK("https://klasma.github.io/Logging_0382/tillsyn/A 11695-2024 tillsynsbegäran.docx", "A 11695-2024")</f>
        <v/>
      </c>
      <c r="Y107">
        <f>HYPERLINK("https://klasma.github.io/Logging_0382/tillsynsmail/A 11695-2024 tillsynsbegäran mail.docx", "A 11695-2024")</f>
        <v/>
      </c>
    </row>
    <row r="108" ht="15" customHeight="1">
      <c r="A108" t="inlineStr">
        <is>
          <t>A 18539-2024</t>
        </is>
      </c>
      <c r="B108" s="1" t="n">
        <v>45425</v>
      </c>
      <c r="C108" s="1" t="n">
        <v>45630</v>
      </c>
      <c r="D108" t="inlineStr">
        <is>
          <t>UPPSALA LÄN</t>
        </is>
      </c>
      <c r="E108" t="inlineStr">
        <is>
          <t>ÖSTHAMMAR</t>
        </is>
      </c>
      <c r="G108" t="n">
        <v>4.7</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HYPERLINK("https://klasma.github.io/Logging_0382/artfynd/A 18539-2024 artfynd.xlsx", "A 18539-2024")</f>
        <v/>
      </c>
      <c r="T108">
        <f>HYPERLINK("https://klasma.github.io/Logging_0382/kartor/A 18539-2024 karta.png", "A 18539-2024")</f>
        <v/>
      </c>
      <c r="V108">
        <f>HYPERLINK("https://klasma.github.io/Logging_0382/klagomål/A 18539-2024 FSC-klagomål.docx", "A 18539-2024")</f>
        <v/>
      </c>
      <c r="W108">
        <f>HYPERLINK("https://klasma.github.io/Logging_0382/klagomålsmail/A 18539-2024 FSC-klagomål mail.docx", "A 18539-2024")</f>
        <v/>
      </c>
      <c r="X108">
        <f>HYPERLINK("https://klasma.github.io/Logging_0382/tillsyn/A 18539-2024 tillsynsbegäran.docx", "A 18539-2024")</f>
        <v/>
      </c>
      <c r="Y108">
        <f>HYPERLINK("https://klasma.github.io/Logging_0382/tillsynsmail/A 18539-2024 tillsynsbegäran mail.docx", "A 18539-2024")</f>
        <v/>
      </c>
    </row>
    <row r="109" ht="15" customHeight="1">
      <c r="A109" t="inlineStr">
        <is>
          <t>A 26277-2024</t>
        </is>
      </c>
      <c r="B109" s="1" t="n">
        <v>45468</v>
      </c>
      <c r="C109" s="1" t="n">
        <v>45630</v>
      </c>
      <c r="D109" t="inlineStr">
        <is>
          <t>UPPSALA LÄN</t>
        </is>
      </c>
      <c r="E109" t="inlineStr">
        <is>
          <t>ÖSTHAMMAR</t>
        </is>
      </c>
      <c r="G109" t="n">
        <v>3.5</v>
      </c>
      <c r="H109" t="n">
        <v>1</v>
      </c>
      <c r="I109" t="n">
        <v>2</v>
      </c>
      <c r="J109" t="n">
        <v>0</v>
      </c>
      <c r="K109" t="n">
        <v>0</v>
      </c>
      <c r="L109" t="n">
        <v>0</v>
      </c>
      <c r="M109" t="n">
        <v>0</v>
      </c>
      <c r="N109" t="n">
        <v>0</v>
      </c>
      <c r="O109" t="n">
        <v>0</v>
      </c>
      <c r="P109" t="n">
        <v>0</v>
      </c>
      <c r="Q109" t="n">
        <v>2</v>
      </c>
      <c r="R109" s="2" t="inlineStr">
        <is>
          <t>Nästrot
Sårläka</t>
        </is>
      </c>
      <c r="S109">
        <f>HYPERLINK("https://klasma.github.io/Logging_0382/artfynd/A 26277-2024 artfynd.xlsx", "A 26277-2024")</f>
        <v/>
      </c>
      <c r="T109">
        <f>HYPERLINK("https://klasma.github.io/Logging_0382/kartor/A 26277-2024 karta.png", "A 26277-2024")</f>
        <v/>
      </c>
      <c r="V109">
        <f>HYPERLINK("https://klasma.github.io/Logging_0382/klagomål/A 26277-2024 FSC-klagomål.docx", "A 26277-2024")</f>
        <v/>
      </c>
      <c r="W109">
        <f>HYPERLINK("https://klasma.github.io/Logging_0382/klagomålsmail/A 26277-2024 FSC-klagomål mail.docx", "A 26277-2024")</f>
        <v/>
      </c>
      <c r="X109">
        <f>HYPERLINK("https://klasma.github.io/Logging_0382/tillsyn/A 26277-2024 tillsynsbegäran.docx", "A 26277-2024")</f>
        <v/>
      </c>
      <c r="Y109">
        <f>HYPERLINK("https://klasma.github.io/Logging_0382/tillsynsmail/A 26277-2024 tillsynsbegäran mail.docx", "A 26277-2024")</f>
        <v/>
      </c>
    </row>
    <row r="110" ht="15" customHeight="1">
      <c r="A110" t="inlineStr">
        <is>
          <t>A 30943-2024</t>
        </is>
      </c>
      <c r="B110" s="1" t="n">
        <v>45499</v>
      </c>
      <c r="C110" s="1" t="n">
        <v>45630</v>
      </c>
      <c r="D110" t="inlineStr">
        <is>
          <t>UPPSALA LÄN</t>
        </is>
      </c>
      <c r="E110" t="inlineStr">
        <is>
          <t>ÖSTHAMMAR</t>
        </is>
      </c>
      <c r="G110" t="n">
        <v>4.5</v>
      </c>
      <c r="H110" t="n">
        <v>0</v>
      </c>
      <c r="I110" t="n">
        <v>2</v>
      </c>
      <c r="J110" t="n">
        <v>0</v>
      </c>
      <c r="K110" t="n">
        <v>0</v>
      </c>
      <c r="L110" t="n">
        <v>0</v>
      </c>
      <c r="M110" t="n">
        <v>0</v>
      </c>
      <c r="N110" t="n">
        <v>0</v>
      </c>
      <c r="O110" t="n">
        <v>0</v>
      </c>
      <c r="P110" t="n">
        <v>0</v>
      </c>
      <c r="Q110" t="n">
        <v>2</v>
      </c>
      <c r="R110" s="2" t="inlineStr">
        <is>
          <t>Tibast
Underviol</t>
        </is>
      </c>
      <c r="S110">
        <f>HYPERLINK("https://klasma.github.io/Logging_0382/artfynd/A 30943-2024 artfynd.xlsx", "A 30943-2024")</f>
        <v/>
      </c>
      <c r="T110">
        <f>HYPERLINK("https://klasma.github.io/Logging_0382/kartor/A 30943-2024 karta.png", "A 30943-2024")</f>
        <v/>
      </c>
      <c r="V110">
        <f>HYPERLINK("https://klasma.github.io/Logging_0382/klagomål/A 30943-2024 FSC-klagomål.docx", "A 30943-2024")</f>
        <v/>
      </c>
      <c r="W110">
        <f>HYPERLINK("https://klasma.github.io/Logging_0382/klagomålsmail/A 30943-2024 FSC-klagomål mail.docx", "A 30943-2024")</f>
        <v/>
      </c>
      <c r="X110">
        <f>HYPERLINK("https://klasma.github.io/Logging_0382/tillsyn/A 30943-2024 tillsynsbegäran.docx", "A 30943-2024")</f>
        <v/>
      </c>
      <c r="Y110">
        <f>HYPERLINK("https://klasma.github.io/Logging_0382/tillsynsmail/A 30943-2024 tillsynsbegäran mail.docx", "A 30943-2024")</f>
        <v/>
      </c>
    </row>
    <row r="111" ht="15" customHeight="1">
      <c r="A111" t="inlineStr">
        <is>
          <t>A 35927-2024</t>
        </is>
      </c>
      <c r="B111" s="1" t="n">
        <v>45533</v>
      </c>
      <c r="C111" s="1" t="n">
        <v>45630</v>
      </c>
      <c r="D111" t="inlineStr">
        <is>
          <t>UPPSALA LÄN</t>
        </is>
      </c>
      <c r="E111" t="inlineStr">
        <is>
          <t>ÖSTHAMMAR</t>
        </is>
      </c>
      <c r="F111" t="inlineStr">
        <is>
          <t>Övriga Aktiebolag</t>
        </is>
      </c>
      <c r="G111" t="n">
        <v>13.1</v>
      </c>
      <c r="H111" t="n">
        <v>0</v>
      </c>
      <c r="I111" t="n">
        <v>2</v>
      </c>
      <c r="J111" t="n">
        <v>0</v>
      </c>
      <c r="K111" t="n">
        <v>0</v>
      </c>
      <c r="L111" t="n">
        <v>0</v>
      </c>
      <c r="M111" t="n">
        <v>0</v>
      </c>
      <c r="N111" t="n">
        <v>0</v>
      </c>
      <c r="O111" t="n">
        <v>0</v>
      </c>
      <c r="P111" t="n">
        <v>0</v>
      </c>
      <c r="Q111" t="n">
        <v>2</v>
      </c>
      <c r="R111" s="2" t="inlineStr">
        <is>
          <t>Fjällig taggsvamp s.str.
Vårärt</t>
        </is>
      </c>
      <c r="S111">
        <f>HYPERLINK("https://klasma.github.io/Logging_0382/artfynd/A 35927-2024 artfynd.xlsx", "A 35927-2024")</f>
        <v/>
      </c>
      <c r="T111">
        <f>HYPERLINK("https://klasma.github.io/Logging_0382/kartor/A 35927-2024 karta.png", "A 35927-2024")</f>
        <v/>
      </c>
      <c r="V111">
        <f>HYPERLINK("https://klasma.github.io/Logging_0382/klagomål/A 35927-2024 FSC-klagomål.docx", "A 35927-2024")</f>
        <v/>
      </c>
      <c r="W111">
        <f>HYPERLINK("https://klasma.github.io/Logging_0382/klagomålsmail/A 35927-2024 FSC-klagomål mail.docx", "A 35927-2024")</f>
        <v/>
      </c>
      <c r="X111">
        <f>HYPERLINK("https://klasma.github.io/Logging_0382/tillsyn/A 35927-2024 tillsynsbegäran.docx", "A 35927-2024")</f>
        <v/>
      </c>
      <c r="Y111">
        <f>HYPERLINK("https://klasma.github.io/Logging_0382/tillsynsmail/A 35927-2024 tillsynsbegäran mail.docx", "A 35927-2024")</f>
        <v/>
      </c>
    </row>
    <row r="112" ht="15" customHeight="1">
      <c r="A112" t="inlineStr">
        <is>
          <t>A 46577-2024</t>
        </is>
      </c>
      <c r="B112" s="1" t="n">
        <v>45582</v>
      </c>
      <c r="C112" s="1" t="n">
        <v>45630</v>
      </c>
      <c r="D112" t="inlineStr">
        <is>
          <t>UPPSALA LÄN</t>
        </is>
      </c>
      <c r="E112" t="inlineStr">
        <is>
          <t>ÖSTHAMMAR</t>
        </is>
      </c>
      <c r="F112" t="inlineStr">
        <is>
          <t>Bergvik skog väst AB</t>
        </is>
      </c>
      <c r="G112" t="n">
        <v>7.1</v>
      </c>
      <c r="H112" t="n">
        <v>1</v>
      </c>
      <c r="I112" t="n">
        <v>2</v>
      </c>
      <c r="J112" t="n">
        <v>0</v>
      </c>
      <c r="K112" t="n">
        <v>0</v>
      </c>
      <c r="L112" t="n">
        <v>0</v>
      </c>
      <c r="M112" t="n">
        <v>0</v>
      </c>
      <c r="N112" t="n">
        <v>0</v>
      </c>
      <c r="O112" t="n">
        <v>0</v>
      </c>
      <c r="P112" t="n">
        <v>0</v>
      </c>
      <c r="Q112" t="n">
        <v>2</v>
      </c>
      <c r="R112" s="2" t="inlineStr">
        <is>
          <t>Skogsknipprot
Tibast</t>
        </is>
      </c>
      <c r="S112">
        <f>HYPERLINK("https://klasma.github.io/Logging_0382/artfynd/A 46577-2024 artfynd.xlsx", "A 46577-2024")</f>
        <v/>
      </c>
      <c r="T112">
        <f>HYPERLINK("https://klasma.github.io/Logging_0382/kartor/A 46577-2024 karta.png", "A 46577-2024")</f>
        <v/>
      </c>
      <c r="V112">
        <f>HYPERLINK("https://klasma.github.io/Logging_0382/klagomål/A 46577-2024 FSC-klagomål.docx", "A 46577-2024")</f>
        <v/>
      </c>
      <c r="W112">
        <f>HYPERLINK("https://klasma.github.io/Logging_0382/klagomålsmail/A 46577-2024 FSC-klagomål mail.docx", "A 46577-2024")</f>
        <v/>
      </c>
      <c r="X112">
        <f>HYPERLINK("https://klasma.github.io/Logging_0382/tillsyn/A 46577-2024 tillsynsbegäran.docx", "A 46577-2024")</f>
        <v/>
      </c>
      <c r="Y112">
        <f>HYPERLINK("https://klasma.github.io/Logging_0382/tillsynsmail/A 46577-2024 tillsynsbegäran mail.docx", "A 46577-2024")</f>
        <v/>
      </c>
    </row>
    <row r="113" ht="15" customHeight="1">
      <c r="A113" t="inlineStr">
        <is>
          <t>A 38957-2019</t>
        </is>
      </c>
      <c r="B113" s="1" t="n">
        <v>43689</v>
      </c>
      <c r="C113" s="1" t="n">
        <v>45630</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Bredbrämad bastardsvärmare</t>
        </is>
      </c>
      <c r="S113">
        <f>HYPERLINK("https://klasma.github.io/Logging_0382/artfynd/A 38957-2019 artfynd.xlsx", "A 38957-2019")</f>
        <v/>
      </c>
      <c r="T113">
        <f>HYPERLINK("https://klasma.github.io/Logging_0382/kartor/A 38957-2019 karta.png", "A 38957-2019")</f>
        <v/>
      </c>
      <c r="V113">
        <f>HYPERLINK("https://klasma.github.io/Logging_0382/klagomål/A 38957-2019 FSC-klagomål.docx", "A 38957-2019")</f>
        <v/>
      </c>
      <c r="W113">
        <f>HYPERLINK("https://klasma.github.io/Logging_0382/klagomålsmail/A 38957-2019 FSC-klagomål mail.docx", "A 38957-2019")</f>
        <v/>
      </c>
      <c r="X113">
        <f>HYPERLINK("https://klasma.github.io/Logging_0382/tillsyn/A 38957-2019 tillsynsbegäran.docx", "A 38957-2019")</f>
        <v/>
      </c>
      <c r="Y113">
        <f>HYPERLINK("https://klasma.github.io/Logging_0382/tillsynsmail/A 38957-2019 tillsynsbegäran mail.docx", "A 38957-2019")</f>
        <v/>
      </c>
    </row>
    <row r="114" ht="15" customHeight="1">
      <c r="A114" t="inlineStr">
        <is>
          <t>A 52004-2019</t>
        </is>
      </c>
      <c r="B114" s="1" t="n">
        <v>43742</v>
      </c>
      <c r="C114" s="1" t="n">
        <v>45630</v>
      </c>
      <c r="D114" t="inlineStr">
        <is>
          <t>UPPSALA LÄN</t>
        </is>
      </c>
      <c r="E114" t="inlineStr">
        <is>
          <t>ÖSTHAMMAR</t>
        </is>
      </c>
      <c r="G114" t="n">
        <v>2.5</v>
      </c>
      <c r="H114" t="n">
        <v>1</v>
      </c>
      <c r="I114" t="n">
        <v>0</v>
      </c>
      <c r="J114" t="n">
        <v>0</v>
      </c>
      <c r="K114" t="n">
        <v>0</v>
      </c>
      <c r="L114" t="n">
        <v>0</v>
      </c>
      <c r="M114" t="n">
        <v>0</v>
      </c>
      <c r="N114" t="n">
        <v>0</v>
      </c>
      <c r="O114" t="n">
        <v>0</v>
      </c>
      <c r="P114" t="n">
        <v>0</v>
      </c>
      <c r="Q114" t="n">
        <v>1</v>
      </c>
      <c r="R114" s="2" t="inlineStr">
        <is>
          <t>Revlummer</t>
        </is>
      </c>
      <c r="S114">
        <f>HYPERLINK("https://klasma.github.io/Logging_0382/artfynd/A 52004-2019 artfynd.xlsx", "A 52004-2019")</f>
        <v/>
      </c>
      <c r="T114">
        <f>HYPERLINK("https://klasma.github.io/Logging_0382/kartor/A 52004-2019 karta.png", "A 52004-2019")</f>
        <v/>
      </c>
      <c r="V114">
        <f>HYPERLINK("https://klasma.github.io/Logging_0382/klagomål/A 52004-2019 FSC-klagomål.docx", "A 52004-2019")</f>
        <v/>
      </c>
      <c r="W114">
        <f>HYPERLINK("https://klasma.github.io/Logging_0382/klagomålsmail/A 52004-2019 FSC-klagomål mail.docx", "A 52004-2019")</f>
        <v/>
      </c>
      <c r="X114">
        <f>HYPERLINK("https://klasma.github.io/Logging_0382/tillsyn/A 52004-2019 tillsynsbegäran.docx", "A 52004-2019")</f>
        <v/>
      </c>
      <c r="Y114">
        <f>HYPERLINK("https://klasma.github.io/Logging_0382/tillsynsmail/A 52004-2019 tillsynsbegäran mail.docx", "A 52004-2019")</f>
        <v/>
      </c>
    </row>
    <row r="115" ht="15" customHeight="1">
      <c r="A115" t="inlineStr">
        <is>
          <t>A 22044-2020</t>
        </is>
      </c>
      <c r="B115" s="1" t="n">
        <v>43959</v>
      </c>
      <c r="C115" s="1" t="n">
        <v>45630</v>
      </c>
      <c r="D115" t="inlineStr">
        <is>
          <t>UPPSALA LÄN</t>
        </is>
      </c>
      <c r="E115" t="inlineStr">
        <is>
          <t>ÖSTHAMMAR</t>
        </is>
      </c>
      <c r="G115" t="n">
        <v>2.7</v>
      </c>
      <c r="H115" t="n">
        <v>0</v>
      </c>
      <c r="I115" t="n">
        <v>1</v>
      </c>
      <c r="J115" t="n">
        <v>0</v>
      </c>
      <c r="K115" t="n">
        <v>0</v>
      </c>
      <c r="L115" t="n">
        <v>0</v>
      </c>
      <c r="M115" t="n">
        <v>0</v>
      </c>
      <c r="N115" t="n">
        <v>0</v>
      </c>
      <c r="O115" t="n">
        <v>0</v>
      </c>
      <c r="P115" t="n">
        <v>0</v>
      </c>
      <c r="Q115" t="n">
        <v>1</v>
      </c>
      <c r="R115" s="2" t="inlineStr">
        <is>
          <t>Anisspindling</t>
        </is>
      </c>
      <c r="S115">
        <f>HYPERLINK("https://klasma.github.io/Logging_0382/artfynd/A 22044-2020 artfynd.xlsx", "A 22044-2020")</f>
        <v/>
      </c>
      <c r="T115">
        <f>HYPERLINK("https://klasma.github.io/Logging_0382/kartor/A 22044-2020 karta.png", "A 22044-2020")</f>
        <v/>
      </c>
      <c r="V115">
        <f>HYPERLINK("https://klasma.github.io/Logging_0382/klagomål/A 22044-2020 FSC-klagomål.docx", "A 22044-2020")</f>
        <v/>
      </c>
      <c r="W115">
        <f>HYPERLINK("https://klasma.github.io/Logging_0382/klagomålsmail/A 22044-2020 FSC-klagomål mail.docx", "A 22044-2020")</f>
        <v/>
      </c>
      <c r="X115">
        <f>HYPERLINK("https://klasma.github.io/Logging_0382/tillsyn/A 22044-2020 tillsynsbegäran.docx", "A 22044-2020")</f>
        <v/>
      </c>
      <c r="Y115">
        <f>HYPERLINK("https://klasma.github.io/Logging_0382/tillsynsmail/A 22044-2020 tillsynsbegäran mail.docx", "A 22044-2020")</f>
        <v/>
      </c>
    </row>
    <row r="116" ht="15" customHeight="1">
      <c r="A116" t="inlineStr">
        <is>
          <t>A 30405-2020</t>
        </is>
      </c>
      <c r="B116" s="1" t="n">
        <v>44007</v>
      </c>
      <c r="C116" s="1" t="n">
        <v>45630</v>
      </c>
      <c r="D116" t="inlineStr">
        <is>
          <t>UPPSALA LÄN</t>
        </is>
      </c>
      <c r="E116" t="inlineStr">
        <is>
          <t>ÖSTHAMMAR</t>
        </is>
      </c>
      <c r="G116" t="n">
        <v>0.6</v>
      </c>
      <c r="H116" t="n">
        <v>0</v>
      </c>
      <c r="I116" t="n">
        <v>0</v>
      </c>
      <c r="J116" t="n">
        <v>0</v>
      </c>
      <c r="K116" t="n">
        <v>1</v>
      </c>
      <c r="L116" t="n">
        <v>0</v>
      </c>
      <c r="M116" t="n">
        <v>0</v>
      </c>
      <c r="N116" t="n">
        <v>0</v>
      </c>
      <c r="O116" t="n">
        <v>1</v>
      </c>
      <c r="P116" t="n">
        <v>1</v>
      </c>
      <c r="Q116" t="n">
        <v>1</v>
      </c>
      <c r="R116" s="2" t="inlineStr">
        <is>
          <t>Gulvit blekspik</t>
        </is>
      </c>
      <c r="S116">
        <f>HYPERLINK("https://klasma.github.io/Logging_0382/artfynd/A 30405-2020 artfynd.xlsx", "A 30405-2020")</f>
        <v/>
      </c>
      <c r="T116">
        <f>HYPERLINK("https://klasma.github.io/Logging_0382/kartor/A 30405-2020 karta.png", "A 30405-2020")</f>
        <v/>
      </c>
      <c r="V116">
        <f>HYPERLINK("https://klasma.github.io/Logging_0382/klagomål/A 30405-2020 FSC-klagomål.docx", "A 30405-2020")</f>
        <v/>
      </c>
      <c r="W116">
        <f>HYPERLINK("https://klasma.github.io/Logging_0382/klagomålsmail/A 30405-2020 FSC-klagomål mail.docx", "A 30405-2020")</f>
        <v/>
      </c>
      <c r="X116">
        <f>HYPERLINK("https://klasma.github.io/Logging_0382/tillsyn/A 30405-2020 tillsynsbegäran.docx", "A 30405-2020")</f>
        <v/>
      </c>
      <c r="Y116">
        <f>HYPERLINK("https://klasma.github.io/Logging_0382/tillsynsmail/A 30405-2020 tillsynsbegäran mail.docx", "A 30405-2020")</f>
        <v/>
      </c>
    </row>
    <row r="117" ht="15" customHeight="1">
      <c r="A117" t="inlineStr">
        <is>
          <t>A 35553-2020</t>
        </is>
      </c>
      <c r="B117" s="1" t="n">
        <v>44043</v>
      </c>
      <c r="C117" s="1" t="n">
        <v>45630</v>
      </c>
      <c r="D117" t="inlineStr">
        <is>
          <t>UPPSALA LÄN</t>
        </is>
      </c>
      <c r="E117" t="inlineStr">
        <is>
          <t>ÖSTHAMMAR</t>
        </is>
      </c>
      <c r="F117" t="inlineStr">
        <is>
          <t>Bergvik skog öst AB</t>
        </is>
      </c>
      <c r="G117" t="n">
        <v>5.8</v>
      </c>
      <c r="H117" t="n">
        <v>1</v>
      </c>
      <c r="I117" t="n">
        <v>0</v>
      </c>
      <c r="J117" t="n">
        <v>0</v>
      </c>
      <c r="K117" t="n">
        <v>0</v>
      </c>
      <c r="L117" t="n">
        <v>0</v>
      </c>
      <c r="M117" t="n">
        <v>0</v>
      </c>
      <c r="N117" t="n">
        <v>0</v>
      </c>
      <c r="O117" t="n">
        <v>0</v>
      </c>
      <c r="P117" t="n">
        <v>0</v>
      </c>
      <c r="Q117" t="n">
        <v>1</v>
      </c>
      <c r="R117" s="2" t="inlineStr">
        <is>
          <t>Tjäder</t>
        </is>
      </c>
      <c r="S117">
        <f>HYPERLINK("https://klasma.github.io/Logging_0382/artfynd/A 35553-2020 artfynd.xlsx", "A 35553-2020")</f>
        <v/>
      </c>
      <c r="T117">
        <f>HYPERLINK("https://klasma.github.io/Logging_0382/kartor/A 35553-2020 karta.png", "A 35553-2020")</f>
        <v/>
      </c>
      <c r="V117">
        <f>HYPERLINK("https://klasma.github.io/Logging_0382/klagomål/A 35553-2020 FSC-klagomål.docx", "A 35553-2020")</f>
        <v/>
      </c>
      <c r="W117">
        <f>HYPERLINK("https://klasma.github.io/Logging_0382/klagomålsmail/A 35553-2020 FSC-klagomål mail.docx", "A 35553-2020")</f>
        <v/>
      </c>
      <c r="X117">
        <f>HYPERLINK("https://klasma.github.io/Logging_0382/tillsyn/A 35553-2020 tillsynsbegäran.docx", "A 35553-2020")</f>
        <v/>
      </c>
      <c r="Y117">
        <f>HYPERLINK("https://klasma.github.io/Logging_0382/tillsynsmail/A 35553-2020 tillsynsbegäran mail.docx", "A 35553-2020")</f>
        <v/>
      </c>
      <c r="Z117">
        <f>HYPERLINK("https://klasma.github.io/Logging_0382/fåglar/A 35553-2020 prioriterade fågelarter.docx", "A 35553-2020")</f>
        <v/>
      </c>
    </row>
    <row r="118" ht="15" customHeight="1">
      <c r="A118" t="inlineStr">
        <is>
          <t>A 61479-2020</t>
        </is>
      </c>
      <c r="B118" s="1" t="n">
        <v>44154</v>
      </c>
      <c r="C118" s="1" t="n">
        <v>45630</v>
      </c>
      <c r="D118" t="inlineStr">
        <is>
          <t>UPPSALA LÄN</t>
        </is>
      </c>
      <c r="E118" t="inlineStr">
        <is>
          <t>ÖSTHAMMAR</t>
        </is>
      </c>
      <c r="G118" t="n">
        <v>2.5</v>
      </c>
      <c r="H118" t="n">
        <v>0</v>
      </c>
      <c r="I118" t="n">
        <v>1</v>
      </c>
      <c r="J118" t="n">
        <v>0</v>
      </c>
      <c r="K118" t="n">
        <v>0</v>
      </c>
      <c r="L118" t="n">
        <v>0</v>
      </c>
      <c r="M118" t="n">
        <v>0</v>
      </c>
      <c r="N118" t="n">
        <v>0</v>
      </c>
      <c r="O118" t="n">
        <v>0</v>
      </c>
      <c r="P118" t="n">
        <v>0</v>
      </c>
      <c r="Q118" t="n">
        <v>1</v>
      </c>
      <c r="R118" s="2" t="inlineStr">
        <is>
          <t>Olivspindling</t>
        </is>
      </c>
      <c r="S118">
        <f>HYPERLINK("https://klasma.github.io/Logging_0382/artfynd/A 61479-2020 artfynd.xlsx", "A 61479-2020")</f>
        <v/>
      </c>
      <c r="T118">
        <f>HYPERLINK("https://klasma.github.io/Logging_0382/kartor/A 61479-2020 karta.png", "A 61479-2020")</f>
        <v/>
      </c>
      <c r="V118">
        <f>HYPERLINK("https://klasma.github.io/Logging_0382/klagomål/A 61479-2020 FSC-klagomål.docx", "A 61479-2020")</f>
        <v/>
      </c>
      <c r="W118">
        <f>HYPERLINK("https://klasma.github.io/Logging_0382/klagomålsmail/A 61479-2020 FSC-klagomål mail.docx", "A 61479-2020")</f>
        <v/>
      </c>
      <c r="X118">
        <f>HYPERLINK("https://klasma.github.io/Logging_0382/tillsyn/A 61479-2020 tillsynsbegäran.docx", "A 61479-2020")</f>
        <v/>
      </c>
      <c r="Y118">
        <f>HYPERLINK("https://klasma.github.io/Logging_0382/tillsynsmail/A 61479-2020 tillsynsbegäran mail.docx", "A 61479-2020")</f>
        <v/>
      </c>
    </row>
    <row r="119" ht="15" customHeight="1">
      <c r="A119" t="inlineStr">
        <is>
          <t>A 31622-2021</t>
        </is>
      </c>
      <c r="B119" s="1" t="n">
        <v>44369</v>
      </c>
      <c r="C119" s="1" t="n">
        <v>45630</v>
      </c>
      <c r="D119" t="inlineStr">
        <is>
          <t>UPPSALA LÄN</t>
        </is>
      </c>
      <c r="E119" t="inlineStr">
        <is>
          <t>ÖSTHAMMAR</t>
        </is>
      </c>
      <c r="G119" t="n">
        <v>12.6</v>
      </c>
      <c r="H119" t="n">
        <v>1</v>
      </c>
      <c r="I119" t="n">
        <v>0</v>
      </c>
      <c r="J119" t="n">
        <v>0</v>
      </c>
      <c r="K119" t="n">
        <v>0</v>
      </c>
      <c r="L119" t="n">
        <v>0</v>
      </c>
      <c r="M119" t="n">
        <v>0</v>
      </c>
      <c r="N119" t="n">
        <v>0</v>
      </c>
      <c r="O119" t="n">
        <v>0</v>
      </c>
      <c r="P119" t="n">
        <v>0</v>
      </c>
      <c r="Q119" t="n">
        <v>1</v>
      </c>
      <c r="R119" s="2" t="inlineStr">
        <is>
          <t>Mattlummer</t>
        </is>
      </c>
      <c r="S119">
        <f>HYPERLINK("https://klasma.github.io/Logging_0382/artfynd/A 31622-2021 artfynd.xlsx", "A 31622-2021")</f>
        <v/>
      </c>
      <c r="T119">
        <f>HYPERLINK("https://klasma.github.io/Logging_0382/kartor/A 31622-2021 karta.png", "A 31622-2021")</f>
        <v/>
      </c>
      <c r="V119">
        <f>HYPERLINK("https://klasma.github.io/Logging_0382/klagomål/A 31622-2021 FSC-klagomål.docx", "A 31622-2021")</f>
        <v/>
      </c>
      <c r="W119">
        <f>HYPERLINK("https://klasma.github.io/Logging_0382/klagomålsmail/A 31622-2021 FSC-klagomål mail.docx", "A 31622-2021")</f>
        <v/>
      </c>
      <c r="X119">
        <f>HYPERLINK("https://klasma.github.io/Logging_0382/tillsyn/A 31622-2021 tillsynsbegäran.docx", "A 31622-2021")</f>
        <v/>
      </c>
      <c r="Y119">
        <f>HYPERLINK("https://klasma.github.io/Logging_0382/tillsynsmail/A 31622-2021 tillsynsbegäran mail.docx", "A 31622-2021")</f>
        <v/>
      </c>
    </row>
    <row r="120" ht="15" customHeight="1">
      <c r="A120" t="inlineStr">
        <is>
          <t>A 46417-2021</t>
        </is>
      </c>
      <c r="B120" s="1" t="n">
        <v>44445</v>
      </c>
      <c r="C120" s="1" t="n">
        <v>45630</v>
      </c>
      <c r="D120" t="inlineStr">
        <is>
          <t>UPPSALA LÄN</t>
        </is>
      </c>
      <c r="E120" t="inlineStr">
        <is>
          <t>ÖSTHAMMAR</t>
        </is>
      </c>
      <c r="F120" t="inlineStr">
        <is>
          <t>Övriga Aktiebolag</t>
        </is>
      </c>
      <c r="G120" t="n">
        <v>9.1</v>
      </c>
      <c r="H120" t="n">
        <v>0</v>
      </c>
      <c r="I120" t="n">
        <v>0</v>
      </c>
      <c r="J120" t="n">
        <v>1</v>
      </c>
      <c r="K120" t="n">
        <v>0</v>
      </c>
      <c r="L120" t="n">
        <v>0</v>
      </c>
      <c r="M120" t="n">
        <v>0</v>
      </c>
      <c r="N120" t="n">
        <v>0</v>
      </c>
      <c r="O120" t="n">
        <v>1</v>
      </c>
      <c r="P120" t="n">
        <v>0</v>
      </c>
      <c r="Q120" t="n">
        <v>1</v>
      </c>
      <c r="R120" s="2" t="inlineStr">
        <is>
          <t>Klasefibbla</t>
        </is>
      </c>
      <c r="S120">
        <f>HYPERLINK("https://klasma.github.io/Logging_0382/artfynd/A 46417-2021 artfynd.xlsx", "A 46417-2021")</f>
        <v/>
      </c>
      <c r="T120">
        <f>HYPERLINK("https://klasma.github.io/Logging_0382/kartor/A 46417-2021 karta.png", "A 46417-2021")</f>
        <v/>
      </c>
      <c r="V120">
        <f>HYPERLINK("https://klasma.github.io/Logging_0382/klagomål/A 46417-2021 FSC-klagomål.docx", "A 46417-2021")</f>
        <v/>
      </c>
      <c r="W120">
        <f>HYPERLINK("https://klasma.github.io/Logging_0382/klagomålsmail/A 46417-2021 FSC-klagomål mail.docx", "A 46417-2021")</f>
        <v/>
      </c>
      <c r="X120">
        <f>HYPERLINK("https://klasma.github.io/Logging_0382/tillsyn/A 46417-2021 tillsynsbegäran.docx", "A 46417-2021")</f>
        <v/>
      </c>
      <c r="Y120">
        <f>HYPERLINK("https://klasma.github.io/Logging_0382/tillsynsmail/A 46417-2021 tillsynsbegäran mail.docx", "A 46417-2021")</f>
        <v/>
      </c>
    </row>
    <row r="121" ht="15" customHeight="1">
      <c r="A121" t="inlineStr">
        <is>
          <t>A 49839-2021</t>
        </is>
      </c>
      <c r="B121" s="1" t="n">
        <v>44455</v>
      </c>
      <c r="C121" s="1" t="n">
        <v>45630</v>
      </c>
      <c r="D121" t="inlineStr">
        <is>
          <t>UPPSALA LÄN</t>
        </is>
      </c>
      <c r="E121" t="inlineStr">
        <is>
          <t>ÖSTHAMMAR</t>
        </is>
      </c>
      <c r="G121" t="n">
        <v>3.6</v>
      </c>
      <c r="H121" t="n">
        <v>0</v>
      </c>
      <c r="I121" t="n">
        <v>0</v>
      </c>
      <c r="J121" t="n">
        <v>0</v>
      </c>
      <c r="K121" t="n">
        <v>1</v>
      </c>
      <c r="L121" t="n">
        <v>0</v>
      </c>
      <c r="M121" t="n">
        <v>0</v>
      </c>
      <c r="N121" t="n">
        <v>0</v>
      </c>
      <c r="O121" t="n">
        <v>1</v>
      </c>
      <c r="P121" t="n">
        <v>1</v>
      </c>
      <c r="Q121" t="n">
        <v>1</v>
      </c>
      <c r="R121" s="2" t="inlineStr">
        <is>
          <t>Violgubbe</t>
        </is>
      </c>
      <c r="S121">
        <f>HYPERLINK("https://klasma.github.io/Logging_0382/artfynd/A 49839-2021 artfynd.xlsx", "A 49839-2021")</f>
        <v/>
      </c>
      <c r="T121">
        <f>HYPERLINK("https://klasma.github.io/Logging_0382/kartor/A 49839-2021 karta.png", "A 49839-2021")</f>
        <v/>
      </c>
      <c r="V121">
        <f>HYPERLINK("https://klasma.github.io/Logging_0382/klagomål/A 49839-2021 FSC-klagomål.docx", "A 49839-2021")</f>
        <v/>
      </c>
      <c r="W121">
        <f>HYPERLINK("https://klasma.github.io/Logging_0382/klagomålsmail/A 49839-2021 FSC-klagomål mail.docx", "A 49839-2021")</f>
        <v/>
      </c>
      <c r="X121">
        <f>HYPERLINK("https://klasma.github.io/Logging_0382/tillsyn/A 49839-2021 tillsynsbegäran.docx", "A 49839-2021")</f>
        <v/>
      </c>
      <c r="Y121">
        <f>HYPERLINK("https://klasma.github.io/Logging_0382/tillsynsmail/A 49839-2021 tillsynsbegäran mail.docx", "A 49839-2021")</f>
        <v/>
      </c>
    </row>
    <row r="122" ht="15" customHeight="1">
      <c r="A122" t="inlineStr">
        <is>
          <t>A 49871-2021</t>
        </is>
      </c>
      <c r="B122" s="1" t="n">
        <v>44455</v>
      </c>
      <c r="C122" s="1" t="n">
        <v>45630</v>
      </c>
      <c r="D122" t="inlineStr">
        <is>
          <t>UPPSALA LÄN</t>
        </is>
      </c>
      <c r="E122" t="inlineStr">
        <is>
          <t>ÖSTHAMMAR</t>
        </is>
      </c>
      <c r="G122" t="n">
        <v>0.5</v>
      </c>
      <c r="H122" t="n">
        <v>0</v>
      </c>
      <c r="I122" t="n">
        <v>1</v>
      </c>
      <c r="J122" t="n">
        <v>0</v>
      </c>
      <c r="K122" t="n">
        <v>0</v>
      </c>
      <c r="L122" t="n">
        <v>0</v>
      </c>
      <c r="M122" t="n">
        <v>0</v>
      </c>
      <c r="N122" t="n">
        <v>0</v>
      </c>
      <c r="O122" t="n">
        <v>0</v>
      </c>
      <c r="P122" t="n">
        <v>0</v>
      </c>
      <c r="Q122" t="n">
        <v>1</v>
      </c>
      <c r="R122" s="2" t="inlineStr">
        <is>
          <t>Anisspindling</t>
        </is>
      </c>
      <c r="S122">
        <f>HYPERLINK("https://klasma.github.io/Logging_0382/artfynd/A 49871-2021 artfynd.xlsx", "A 49871-2021")</f>
        <v/>
      </c>
      <c r="T122">
        <f>HYPERLINK("https://klasma.github.io/Logging_0382/kartor/A 49871-2021 karta.png", "A 49871-2021")</f>
        <v/>
      </c>
      <c r="V122">
        <f>HYPERLINK("https://klasma.github.io/Logging_0382/klagomål/A 49871-2021 FSC-klagomål.docx", "A 49871-2021")</f>
        <v/>
      </c>
      <c r="W122">
        <f>HYPERLINK("https://klasma.github.io/Logging_0382/klagomålsmail/A 49871-2021 FSC-klagomål mail.docx", "A 49871-2021")</f>
        <v/>
      </c>
      <c r="X122">
        <f>HYPERLINK("https://klasma.github.io/Logging_0382/tillsyn/A 49871-2021 tillsynsbegäran.docx", "A 49871-2021")</f>
        <v/>
      </c>
      <c r="Y122">
        <f>HYPERLINK("https://klasma.github.io/Logging_0382/tillsynsmail/A 49871-2021 tillsynsbegäran mail.docx", "A 49871-2021")</f>
        <v/>
      </c>
    </row>
    <row r="123" ht="15" customHeight="1">
      <c r="A123" t="inlineStr">
        <is>
          <t>A 61536-2021</t>
        </is>
      </c>
      <c r="B123" s="1" t="n">
        <v>44501</v>
      </c>
      <c r="C123" s="1" t="n">
        <v>45630</v>
      </c>
      <c r="D123" t="inlineStr">
        <is>
          <t>UPPSALA LÄN</t>
        </is>
      </c>
      <c r="E123" t="inlineStr">
        <is>
          <t>ÖSTHAMMAR</t>
        </is>
      </c>
      <c r="F123" t="inlineStr">
        <is>
          <t>Sveaskog</t>
        </is>
      </c>
      <c r="G123" t="n">
        <v>2.1</v>
      </c>
      <c r="H123" t="n">
        <v>0</v>
      </c>
      <c r="I123" t="n">
        <v>0</v>
      </c>
      <c r="J123" t="n">
        <v>1</v>
      </c>
      <c r="K123" t="n">
        <v>0</v>
      </c>
      <c r="L123" t="n">
        <v>0</v>
      </c>
      <c r="M123" t="n">
        <v>0</v>
      </c>
      <c r="N123" t="n">
        <v>0</v>
      </c>
      <c r="O123" t="n">
        <v>1</v>
      </c>
      <c r="P123" t="n">
        <v>0</v>
      </c>
      <c r="Q123" t="n">
        <v>1</v>
      </c>
      <c r="R123" s="2" t="inlineStr">
        <is>
          <t>Klasefibbla</t>
        </is>
      </c>
      <c r="S123">
        <f>HYPERLINK("https://klasma.github.io/Logging_0382/artfynd/A 61536-2021 artfynd.xlsx", "A 61536-2021")</f>
        <v/>
      </c>
      <c r="T123">
        <f>HYPERLINK("https://klasma.github.io/Logging_0382/kartor/A 61536-2021 karta.png", "A 61536-2021")</f>
        <v/>
      </c>
      <c r="V123">
        <f>HYPERLINK("https://klasma.github.io/Logging_0382/klagomål/A 61536-2021 FSC-klagomål.docx", "A 61536-2021")</f>
        <v/>
      </c>
      <c r="W123">
        <f>HYPERLINK("https://klasma.github.io/Logging_0382/klagomålsmail/A 61536-2021 FSC-klagomål mail.docx", "A 61536-2021")</f>
        <v/>
      </c>
      <c r="X123">
        <f>HYPERLINK("https://klasma.github.io/Logging_0382/tillsyn/A 61536-2021 tillsynsbegäran.docx", "A 61536-2021")</f>
        <v/>
      </c>
      <c r="Y123">
        <f>HYPERLINK("https://klasma.github.io/Logging_0382/tillsynsmail/A 61536-2021 tillsynsbegäran mail.docx", "A 61536-2021")</f>
        <v/>
      </c>
    </row>
    <row r="124" ht="15" customHeight="1">
      <c r="A124" t="inlineStr">
        <is>
          <t>A 61559-2021</t>
        </is>
      </c>
      <c r="B124" s="1" t="n">
        <v>44501</v>
      </c>
      <c r="C124" s="1" t="n">
        <v>45630</v>
      </c>
      <c r="D124" t="inlineStr">
        <is>
          <t>UPPSALA LÄN</t>
        </is>
      </c>
      <c r="E124" t="inlineStr">
        <is>
          <t>ÖSTHAMMAR</t>
        </is>
      </c>
      <c r="F124" t="inlineStr">
        <is>
          <t>Sveaskog</t>
        </is>
      </c>
      <c r="G124" t="n">
        <v>2.3</v>
      </c>
      <c r="H124" t="n">
        <v>0</v>
      </c>
      <c r="I124" t="n">
        <v>0</v>
      </c>
      <c r="J124" t="n">
        <v>1</v>
      </c>
      <c r="K124" t="n">
        <v>0</v>
      </c>
      <c r="L124" t="n">
        <v>0</v>
      </c>
      <c r="M124" t="n">
        <v>0</v>
      </c>
      <c r="N124" t="n">
        <v>0</v>
      </c>
      <c r="O124" t="n">
        <v>1</v>
      </c>
      <c r="P124" t="n">
        <v>0</v>
      </c>
      <c r="Q124" t="n">
        <v>1</v>
      </c>
      <c r="R124" s="2" t="inlineStr">
        <is>
          <t>Backklöver</t>
        </is>
      </c>
      <c r="S124">
        <f>HYPERLINK("https://klasma.github.io/Logging_0382/artfynd/A 61559-2021 artfynd.xlsx", "A 61559-2021")</f>
        <v/>
      </c>
      <c r="T124">
        <f>HYPERLINK("https://klasma.github.io/Logging_0382/kartor/A 61559-2021 karta.png", "A 61559-2021")</f>
        <v/>
      </c>
      <c r="V124">
        <f>HYPERLINK("https://klasma.github.io/Logging_0382/klagomål/A 61559-2021 FSC-klagomål.docx", "A 61559-2021")</f>
        <v/>
      </c>
      <c r="W124">
        <f>HYPERLINK("https://klasma.github.io/Logging_0382/klagomålsmail/A 61559-2021 FSC-klagomål mail.docx", "A 61559-2021")</f>
        <v/>
      </c>
      <c r="X124">
        <f>HYPERLINK("https://klasma.github.io/Logging_0382/tillsyn/A 61559-2021 tillsynsbegäran.docx", "A 61559-2021")</f>
        <v/>
      </c>
      <c r="Y124">
        <f>HYPERLINK("https://klasma.github.io/Logging_0382/tillsynsmail/A 61559-2021 tillsynsbegäran mail.docx", "A 61559-2021")</f>
        <v/>
      </c>
    </row>
    <row r="125" ht="15" customHeight="1">
      <c r="A125" t="inlineStr">
        <is>
          <t>A 63615-2021</t>
        </is>
      </c>
      <c r="B125" s="1" t="n">
        <v>44509</v>
      </c>
      <c r="C125" s="1" t="n">
        <v>45630</v>
      </c>
      <c r="D125" t="inlineStr">
        <is>
          <t>UPPSALA LÄN</t>
        </is>
      </c>
      <c r="E125" t="inlineStr">
        <is>
          <t>ÖSTHAMMAR</t>
        </is>
      </c>
      <c r="G125" t="n">
        <v>1.9</v>
      </c>
      <c r="H125" t="n">
        <v>0</v>
      </c>
      <c r="I125" t="n">
        <v>0</v>
      </c>
      <c r="J125" t="n">
        <v>1</v>
      </c>
      <c r="K125" t="n">
        <v>0</v>
      </c>
      <c r="L125" t="n">
        <v>0</v>
      </c>
      <c r="M125" t="n">
        <v>0</v>
      </c>
      <c r="N125" t="n">
        <v>0</v>
      </c>
      <c r="O125" t="n">
        <v>1</v>
      </c>
      <c r="P125" t="n">
        <v>0</v>
      </c>
      <c r="Q125" t="n">
        <v>1</v>
      </c>
      <c r="R125" s="2" t="inlineStr">
        <is>
          <t>Gul taggsvamp</t>
        </is>
      </c>
      <c r="S125">
        <f>HYPERLINK("https://klasma.github.io/Logging_0382/artfynd/A 63615-2021 artfynd.xlsx", "A 63615-2021")</f>
        <v/>
      </c>
      <c r="T125">
        <f>HYPERLINK("https://klasma.github.io/Logging_0382/kartor/A 63615-2021 karta.png", "A 63615-2021")</f>
        <v/>
      </c>
      <c r="V125">
        <f>HYPERLINK("https://klasma.github.io/Logging_0382/klagomål/A 63615-2021 FSC-klagomål.docx", "A 63615-2021")</f>
        <v/>
      </c>
      <c r="W125">
        <f>HYPERLINK("https://klasma.github.io/Logging_0382/klagomålsmail/A 63615-2021 FSC-klagomål mail.docx", "A 63615-2021")</f>
        <v/>
      </c>
      <c r="X125">
        <f>HYPERLINK("https://klasma.github.io/Logging_0382/tillsyn/A 63615-2021 tillsynsbegäran.docx", "A 63615-2021")</f>
        <v/>
      </c>
      <c r="Y125">
        <f>HYPERLINK("https://klasma.github.io/Logging_0382/tillsynsmail/A 63615-2021 tillsynsbegäran mail.docx", "A 63615-2021")</f>
        <v/>
      </c>
    </row>
    <row r="126" ht="15" customHeight="1">
      <c r="A126" t="inlineStr">
        <is>
          <t>A 64564-2021</t>
        </is>
      </c>
      <c r="B126" s="1" t="n">
        <v>44511</v>
      </c>
      <c r="C126" s="1" t="n">
        <v>45630</v>
      </c>
      <c r="D126" t="inlineStr">
        <is>
          <t>UPPSALA LÄN</t>
        </is>
      </c>
      <c r="E126" t="inlineStr">
        <is>
          <t>ÖSTHAMMAR</t>
        </is>
      </c>
      <c r="G126" t="n">
        <v>7.2</v>
      </c>
      <c r="H126" t="n">
        <v>0</v>
      </c>
      <c r="I126" t="n">
        <v>0</v>
      </c>
      <c r="J126" t="n">
        <v>0</v>
      </c>
      <c r="K126" t="n">
        <v>1</v>
      </c>
      <c r="L126" t="n">
        <v>0</v>
      </c>
      <c r="M126" t="n">
        <v>0</v>
      </c>
      <c r="N126" t="n">
        <v>0</v>
      </c>
      <c r="O126" t="n">
        <v>1</v>
      </c>
      <c r="P126" t="n">
        <v>1</v>
      </c>
      <c r="Q126" t="n">
        <v>1</v>
      </c>
      <c r="R126" s="2" t="inlineStr">
        <is>
          <t>Violgubbe</t>
        </is>
      </c>
      <c r="S126">
        <f>HYPERLINK("https://klasma.github.io/Logging_0382/artfynd/A 64564-2021 artfynd.xlsx", "A 64564-2021")</f>
        <v/>
      </c>
      <c r="T126">
        <f>HYPERLINK("https://klasma.github.io/Logging_0382/kartor/A 64564-2021 karta.png", "A 64564-2021")</f>
        <v/>
      </c>
      <c r="V126">
        <f>HYPERLINK("https://klasma.github.io/Logging_0382/klagomål/A 64564-2021 FSC-klagomål.docx", "A 64564-2021")</f>
        <v/>
      </c>
      <c r="W126">
        <f>HYPERLINK("https://klasma.github.io/Logging_0382/klagomålsmail/A 64564-2021 FSC-klagomål mail.docx", "A 64564-2021")</f>
        <v/>
      </c>
      <c r="X126">
        <f>HYPERLINK("https://klasma.github.io/Logging_0382/tillsyn/A 64564-2021 tillsynsbegäran.docx", "A 64564-2021")</f>
        <v/>
      </c>
      <c r="Y126">
        <f>HYPERLINK("https://klasma.github.io/Logging_0382/tillsynsmail/A 64564-2021 tillsynsbegäran mail.docx", "A 64564-2021")</f>
        <v/>
      </c>
    </row>
    <row r="127" ht="15" customHeight="1">
      <c r="A127" t="inlineStr">
        <is>
          <t>A 65989-2021</t>
        </is>
      </c>
      <c r="B127" s="1" t="n">
        <v>44517</v>
      </c>
      <c r="C127" s="1" t="n">
        <v>45630</v>
      </c>
      <c r="D127" t="inlineStr">
        <is>
          <t>UPPSALA LÄN</t>
        </is>
      </c>
      <c r="E127" t="inlineStr">
        <is>
          <t>ÖSTHAMMAR</t>
        </is>
      </c>
      <c r="G127" t="n">
        <v>6.9</v>
      </c>
      <c r="H127" t="n">
        <v>1</v>
      </c>
      <c r="I127" t="n">
        <v>1</v>
      </c>
      <c r="J127" t="n">
        <v>0</v>
      </c>
      <c r="K127" t="n">
        <v>0</v>
      </c>
      <c r="L127" t="n">
        <v>0</v>
      </c>
      <c r="M127" t="n">
        <v>0</v>
      </c>
      <c r="N127" t="n">
        <v>0</v>
      </c>
      <c r="O127" t="n">
        <v>0</v>
      </c>
      <c r="P127" t="n">
        <v>0</v>
      </c>
      <c r="Q127" t="n">
        <v>1</v>
      </c>
      <c r="R127" s="2" t="inlineStr">
        <is>
          <t>Skogsknipprot</t>
        </is>
      </c>
      <c r="S127">
        <f>HYPERLINK("https://klasma.github.io/Logging_0382/artfynd/A 65989-2021 artfynd.xlsx", "A 65989-2021")</f>
        <v/>
      </c>
      <c r="T127">
        <f>HYPERLINK("https://klasma.github.io/Logging_0382/kartor/A 65989-2021 karta.png", "A 65989-2021")</f>
        <v/>
      </c>
      <c r="V127">
        <f>HYPERLINK("https://klasma.github.io/Logging_0382/klagomål/A 65989-2021 FSC-klagomål.docx", "A 65989-2021")</f>
        <v/>
      </c>
      <c r="W127">
        <f>HYPERLINK("https://klasma.github.io/Logging_0382/klagomålsmail/A 65989-2021 FSC-klagomål mail.docx", "A 65989-2021")</f>
        <v/>
      </c>
      <c r="X127">
        <f>HYPERLINK("https://klasma.github.io/Logging_0382/tillsyn/A 65989-2021 tillsynsbegäran.docx", "A 65989-2021")</f>
        <v/>
      </c>
      <c r="Y127">
        <f>HYPERLINK("https://klasma.github.io/Logging_0382/tillsynsmail/A 65989-2021 tillsynsbegäran mail.docx", "A 65989-2021")</f>
        <v/>
      </c>
    </row>
    <row r="128" ht="15" customHeight="1">
      <c r="A128" t="inlineStr">
        <is>
          <t>A 70495-2021</t>
        </is>
      </c>
      <c r="B128" s="1" t="n">
        <v>44536</v>
      </c>
      <c r="C128" s="1" t="n">
        <v>45630</v>
      </c>
      <c r="D128" t="inlineStr">
        <is>
          <t>UPPSALA LÄN</t>
        </is>
      </c>
      <c r="E128" t="inlineStr">
        <is>
          <t>ÖSTHAMMAR</t>
        </is>
      </c>
      <c r="G128" t="n">
        <v>1</v>
      </c>
      <c r="H128" t="n">
        <v>1</v>
      </c>
      <c r="I128" t="n">
        <v>0</v>
      </c>
      <c r="J128" t="n">
        <v>1</v>
      </c>
      <c r="K128" t="n">
        <v>0</v>
      </c>
      <c r="L128" t="n">
        <v>0</v>
      </c>
      <c r="M128" t="n">
        <v>0</v>
      </c>
      <c r="N128" t="n">
        <v>0</v>
      </c>
      <c r="O128" t="n">
        <v>1</v>
      </c>
      <c r="P128" t="n">
        <v>0</v>
      </c>
      <c r="Q128" t="n">
        <v>1</v>
      </c>
      <c r="R128" s="2" t="inlineStr">
        <is>
          <t>Slaguggla</t>
        </is>
      </c>
      <c r="S128">
        <f>HYPERLINK("https://klasma.github.io/Logging_0382/artfynd/A 70495-2021 artfynd.xlsx", "A 70495-2021")</f>
        <v/>
      </c>
      <c r="T128">
        <f>HYPERLINK("https://klasma.github.io/Logging_0382/kartor/A 70495-2021 karta.png", "A 70495-2021")</f>
        <v/>
      </c>
      <c r="V128">
        <f>HYPERLINK("https://klasma.github.io/Logging_0382/klagomål/A 70495-2021 FSC-klagomål.docx", "A 70495-2021")</f>
        <v/>
      </c>
      <c r="W128">
        <f>HYPERLINK("https://klasma.github.io/Logging_0382/klagomålsmail/A 70495-2021 FSC-klagomål mail.docx", "A 70495-2021")</f>
        <v/>
      </c>
      <c r="X128">
        <f>HYPERLINK("https://klasma.github.io/Logging_0382/tillsyn/A 70495-2021 tillsynsbegäran.docx", "A 70495-2021")</f>
        <v/>
      </c>
      <c r="Y128">
        <f>HYPERLINK("https://klasma.github.io/Logging_0382/tillsynsmail/A 70495-2021 tillsynsbegäran mail.docx", "A 70495-2021")</f>
        <v/>
      </c>
      <c r="Z128">
        <f>HYPERLINK("https://klasma.github.io/Logging_0382/fåglar/A 70495-2021 prioriterade fågelarter.docx", "A 70495-2021")</f>
        <v/>
      </c>
    </row>
    <row r="129" ht="15" customHeight="1">
      <c r="A129" t="inlineStr">
        <is>
          <t>A 938-2022</t>
        </is>
      </c>
      <c r="B129" s="1" t="n">
        <v>44571</v>
      </c>
      <c r="C129" s="1" t="n">
        <v>45630</v>
      </c>
      <c r="D129" t="inlineStr">
        <is>
          <t>UPPSALA LÄN</t>
        </is>
      </c>
      <c r="E129" t="inlineStr">
        <is>
          <t>ÖSTHAMMAR</t>
        </is>
      </c>
      <c r="G129" t="n">
        <v>3.2</v>
      </c>
      <c r="H129" t="n">
        <v>0</v>
      </c>
      <c r="I129" t="n">
        <v>0</v>
      </c>
      <c r="J129" t="n">
        <v>1</v>
      </c>
      <c r="K129" t="n">
        <v>0</v>
      </c>
      <c r="L129" t="n">
        <v>0</v>
      </c>
      <c r="M129" t="n">
        <v>0</v>
      </c>
      <c r="N129" t="n">
        <v>0</v>
      </c>
      <c r="O129" t="n">
        <v>1</v>
      </c>
      <c r="P129" t="n">
        <v>0</v>
      </c>
      <c r="Q129" t="n">
        <v>1</v>
      </c>
      <c r="R129" s="2" t="inlineStr">
        <is>
          <t>Vedtrappmossa</t>
        </is>
      </c>
      <c r="S129">
        <f>HYPERLINK("https://klasma.github.io/Logging_0382/artfynd/A 938-2022 artfynd.xlsx", "A 938-2022")</f>
        <v/>
      </c>
      <c r="T129">
        <f>HYPERLINK("https://klasma.github.io/Logging_0382/kartor/A 938-2022 karta.png", "A 938-2022")</f>
        <v/>
      </c>
      <c r="V129">
        <f>HYPERLINK("https://klasma.github.io/Logging_0382/klagomål/A 938-2022 FSC-klagomål.docx", "A 938-2022")</f>
        <v/>
      </c>
      <c r="W129">
        <f>HYPERLINK("https://klasma.github.io/Logging_0382/klagomålsmail/A 938-2022 FSC-klagomål mail.docx", "A 938-2022")</f>
        <v/>
      </c>
      <c r="X129">
        <f>HYPERLINK("https://klasma.github.io/Logging_0382/tillsyn/A 938-2022 tillsynsbegäran.docx", "A 938-2022")</f>
        <v/>
      </c>
      <c r="Y129">
        <f>HYPERLINK("https://klasma.github.io/Logging_0382/tillsynsmail/A 938-2022 tillsynsbegäran mail.docx", "A 938-2022")</f>
        <v/>
      </c>
    </row>
    <row r="130" ht="15" customHeight="1">
      <c r="A130" t="inlineStr">
        <is>
          <t>A 1227-2022</t>
        </is>
      </c>
      <c r="B130" s="1" t="n">
        <v>44572</v>
      </c>
      <c r="C130" s="1" t="n">
        <v>45630</v>
      </c>
      <c r="D130" t="inlineStr">
        <is>
          <t>UPPSALA LÄN</t>
        </is>
      </c>
      <c r="E130" t="inlineStr">
        <is>
          <t>ÖSTHAMMAR</t>
        </is>
      </c>
      <c r="G130" t="n">
        <v>1.7</v>
      </c>
      <c r="H130" t="n">
        <v>0</v>
      </c>
      <c r="I130" t="n">
        <v>1</v>
      </c>
      <c r="J130" t="n">
        <v>0</v>
      </c>
      <c r="K130" t="n">
        <v>0</v>
      </c>
      <c r="L130" t="n">
        <v>0</v>
      </c>
      <c r="M130" t="n">
        <v>0</v>
      </c>
      <c r="N130" t="n">
        <v>0</v>
      </c>
      <c r="O130" t="n">
        <v>0</v>
      </c>
      <c r="P130" t="n">
        <v>0</v>
      </c>
      <c r="Q130" t="n">
        <v>1</v>
      </c>
      <c r="R130" s="2" t="inlineStr">
        <is>
          <t>Guldkremla</t>
        </is>
      </c>
      <c r="S130">
        <f>HYPERLINK("https://klasma.github.io/Logging_0382/artfynd/A 1227-2022 artfynd.xlsx", "A 1227-2022")</f>
        <v/>
      </c>
      <c r="T130">
        <f>HYPERLINK("https://klasma.github.io/Logging_0382/kartor/A 1227-2022 karta.png", "A 1227-2022")</f>
        <v/>
      </c>
      <c r="V130">
        <f>HYPERLINK("https://klasma.github.io/Logging_0382/klagomål/A 1227-2022 FSC-klagomål.docx", "A 1227-2022")</f>
        <v/>
      </c>
      <c r="W130">
        <f>HYPERLINK("https://klasma.github.io/Logging_0382/klagomålsmail/A 1227-2022 FSC-klagomål mail.docx", "A 1227-2022")</f>
        <v/>
      </c>
      <c r="X130">
        <f>HYPERLINK("https://klasma.github.io/Logging_0382/tillsyn/A 1227-2022 tillsynsbegäran.docx", "A 1227-2022")</f>
        <v/>
      </c>
      <c r="Y130">
        <f>HYPERLINK("https://klasma.github.io/Logging_0382/tillsynsmail/A 1227-2022 tillsynsbegäran mail.docx", "A 1227-2022")</f>
        <v/>
      </c>
    </row>
    <row r="131" ht="15" customHeight="1">
      <c r="A131" t="inlineStr">
        <is>
          <t>A 7446-2022</t>
        </is>
      </c>
      <c r="B131" s="1" t="n">
        <v>44606</v>
      </c>
      <c r="C131" s="1" t="n">
        <v>45630</v>
      </c>
      <c r="D131" t="inlineStr">
        <is>
          <t>UPPSALA LÄN</t>
        </is>
      </c>
      <c r="E131" t="inlineStr">
        <is>
          <t>ÖSTHAMMAR</t>
        </is>
      </c>
      <c r="G131" t="n">
        <v>5</v>
      </c>
      <c r="H131" t="n">
        <v>1</v>
      </c>
      <c r="I131" t="n">
        <v>0</v>
      </c>
      <c r="J131" t="n">
        <v>0</v>
      </c>
      <c r="K131" t="n">
        <v>0</v>
      </c>
      <c r="L131" t="n">
        <v>0</v>
      </c>
      <c r="M131" t="n">
        <v>0</v>
      </c>
      <c r="N131" t="n">
        <v>0</v>
      </c>
      <c r="O131" t="n">
        <v>0</v>
      </c>
      <c r="P131" t="n">
        <v>0</v>
      </c>
      <c r="Q131" t="n">
        <v>1</v>
      </c>
      <c r="R131" s="2" t="inlineStr">
        <is>
          <t>Mattlummer</t>
        </is>
      </c>
      <c r="S131">
        <f>HYPERLINK("https://klasma.github.io/Logging_0382/artfynd/A 7446-2022 artfynd.xlsx", "A 7446-2022")</f>
        <v/>
      </c>
      <c r="T131">
        <f>HYPERLINK("https://klasma.github.io/Logging_0382/kartor/A 7446-2022 karta.png", "A 7446-2022")</f>
        <v/>
      </c>
      <c r="V131">
        <f>HYPERLINK("https://klasma.github.io/Logging_0382/klagomål/A 7446-2022 FSC-klagomål.docx", "A 7446-2022")</f>
        <v/>
      </c>
      <c r="W131">
        <f>HYPERLINK("https://klasma.github.io/Logging_0382/klagomålsmail/A 7446-2022 FSC-klagomål mail.docx", "A 7446-2022")</f>
        <v/>
      </c>
      <c r="X131">
        <f>HYPERLINK("https://klasma.github.io/Logging_0382/tillsyn/A 7446-2022 tillsynsbegäran.docx", "A 7446-2022")</f>
        <v/>
      </c>
      <c r="Y131">
        <f>HYPERLINK("https://klasma.github.io/Logging_0382/tillsynsmail/A 7446-2022 tillsynsbegäran mail.docx", "A 7446-2022")</f>
        <v/>
      </c>
    </row>
    <row r="132" ht="15" customHeight="1">
      <c r="A132" t="inlineStr">
        <is>
          <t>A 7470-2022</t>
        </is>
      </c>
      <c r="B132" s="1" t="n">
        <v>44607</v>
      </c>
      <c r="C132" s="1" t="n">
        <v>45630</v>
      </c>
      <c r="D132" t="inlineStr">
        <is>
          <t>UPPSALA LÄN</t>
        </is>
      </c>
      <c r="E132" t="inlineStr">
        <is>
          <t>ÖSTHAMMAR</t>
        </is>
      </c>
      <c r="G132" t="n">
        <v>2.6</v>
      </c>
      <c r="H132" t="n">
        <v>1</v>
      </c>
      <c r="I132" t="n">
        <v>1</v>
      </c>
      <c r="J132" t="n">
        <v>0</v>
      </c>
      <c r="K132" t="n">
        <v>0</v>
      </c>
      <c r="L132" t="n">
        <v>0</v>
      </c>
      <c r="M132" t="n">
        <v>0</v>
      </c>
      <c r="N132" t="n">
        <v>0</v>
      </c>
      <c r="O132" t="n">
        <v>0</v>
      </c>
      <c r="P132" t="n">
        <v>0</v>
      </c>
      <c r="Q132" t="n">
        <v>1</v>
      </c>
      <c r="R132" s="2" t="inlineStr">
        <is>
          <t>Grön sköldmossa</t>
        </is>
      </c>
      <c r="S132">
        <f>HYPERLINK("https://klasma.github.io/Logging_0382/artfynd/A 7470-2022 artfynd.xlsx", "A 7470-2022")</f>
        <v/>
      </c>
      <c r="T132">
        <f>HYPERLINK("https://klasma.github.io/Logging_0382/kartor/A 7470-2022 karta.png", "A 7470-2022")</f>
        <v/>
      </c>
      <c r="V132">
        <f>HYPERLINK("https://klasma.github.io/Logging_0382/klagomål/A 7470-2022 FSC-klagomål.docx", "A 7470-2022")</f>
        <v/>
      </c>
      <c r="W132">
        <f>HYPERLINK("https://klasma.github.io/Logging_0382/klagomålsmail/A 7470-2022 FSC-klagomål mail.docx", "A 7470-2022")</f>
        <v/>
      </c>
      <c r="X132">
        <f>HYPERLINK("https://klasma.github.io/Logging_0382/tillsyn/A 7470-2022 tillsynsbegäran.docx", "A 7470-2022")</f>
        <v/>
      </c>
      <c r="Y132">
        <f>HYPERLINK("https://klasma.github.io/Logging_0382/tillsynsmail/A 7470-2022 tillsynsbegäran mail.docx", "A 7470-2022")</f>
        <v/>
      </c>
    </row>
    <row r="133" ht="15" customHeight="1">
      <c r="A133" t="inlineStr">
        <is>
          <t>A 22209-2022</t>
        </is>
      </c>
      <c r="B133" s="1" t="n">
        <v>44712</v>
      </c>
      <c r="C133" s="1" t="n">
        <v>45630</v>
      </c>
      <c r="D133" t="inlineStr">
        <is>
          <t>UPPSALA LÄN</t>
        </is>
      </c>
      <c r="E133" t="inlineStr">
        <is>
          <t>ÖSTHAMMAR</t>
        </is>
      </c>
      <c r="F133" t="inlineStr">
        <is>
          <t>Bergvik skog öst AB</t>
        </is>
      </c>
      <c r="G133" t="n">
        <v>1.5</v>
      </c>
      <c r="H133" t="n">
        <v>1</v>
      </c>
      <c r="I133" t="n">
        <v>0</v>
      </c>
      <c r="J133" t="n">
        <v>0</v>
      </c>
      <c r="K133" t="n">
        <v>0</v>
      </c>
      <c r="L133" t="n">
        <v>0</v>
      </c>
      <c r="M133" t="n">
        <v>0</v>
      </c>
      <c r="N133" t="n">
        <v>0</v>
      </c>
      <c r="O133" t="n">
        <v>0</v>
      </c>
      <c r="P133" t="n">
        <v>0</v>
      </c>
      <c r="Q133" t="n">
        <v>1</v>
      </c>
      <c r="R133" s="2" t="inlineStr">
        <is>
          <t>Blåsippa</t>
        </is>
      </c>
      <c r="S133">
        <f>HYPERLINK("https://klasma.github.io/Logging_0382/artfynd/A 22209-2022 artfynd.xlsx", "A 22209-2022")</f>
        <v/>
      </c>
      <c r="T133">
        <f>HYPERLINK("https://klasma.github.io/Logging_0382/kartor/A 22209-2022 karta.png", "A 22209-2022")</f>
        <v/>
      </c>
      <c r="V133">
        <f>HYPERLINK("https://klasma.github.io/Logging_0382/klagomål/A 22209-2022 FSC-klagomål.docx", "A 22209-2022")</f>
        <v/>
      </c>
      <c r="W133">
        <f>HYPERLINK("https://klasma.github.io/Logging_0382/klagomålsmail/A 22209-2022 FSC-klagomål mail.docx", "A 22209-2022")</f>
        <v/>
      </c>
      <c r="X133">
        <f>HYPERLINK("https://klasma.github.io/Logging_0382/tillsyn/A 22209-2022 tillsynsbegäran.docx", "A 22209-2022")</f>
        <v/>
      </c>
      <c r="Y133">
        <f>HYPERLINK("https://klasma.github.io/Logging_0382/tillsynsmail/A 22209-2022 tillsynsbegäran mail.docx", "A 22209-2022")</f>
        <v/>
      </c>
    </row>
    <row r="134" ht="15" customHeight="1">
      <c r="A134" t="inlineStr">
        <is>
          <t>A 24797-2022</t>
        </is>
      </c>
      <c r="B134" s="1" t="n">
        <v>44728</v>
      </c>
      <c r="C134" s="1" t="n">
        <v>45630</v>
      </c>
      <c r="D134" t="inlineStr">
        <is>
          <t>UPPSALA LÄN</t>
        </is>
      </c>
      <c r="E134" t="inlineStr">
        <is>
          <t>ÖSTHAMMAR</t>
        </is>
      </c>
      <c r="F134" t="inlineStr">
        <is>
          <t>Sveaskog</t>
        </is>
      </c>
      <c r="G134" t="n">
        <v>1.7</v>
      </c>
      <c r="H134" t="n">
        <v>1</v>
      </c>
      <c r="I134" t="n">
        <v>0</v>
      </c>
      <c r="J134" t="n">
        <v>1</v>
      </c>
      <c r="K134" t="n">
        <v>0</v>
      </c>
      <c r="L134" t="n">
        <v>0</v>
      </c>
      <c r="M134" t="n">
        <v>0</v>
      </c>
      <c r="N134" t="n">
        <v>0</v>
      </c>
      <c r="O134" t="n">
        <v>1</v>
      </c>
      <c r="P134" t="n">
        <v>0</v>
      </c>
      <c r="Q134" t="n">
        <v>1</v>
      </c>
      <c r="R134" s="2" t="inlineStr">
        <is>
          <t>Gulsparv</t>
        </is>
      </c>
      <c r="S134">
        <f>HYPERLINK("https://klasma.github.io/Logging_0382/artfynd/A 24797-2022 artfynd.xlsx", "A 24797-2022")</f>
        <v/>
      </c>
      <c r="T134">
        <f>HYPERLINK("https://klasma.github.io/Logging_0382/kartor/A 24797-2022 karta.png", "A 24797-2022")</f>
        <v/>
      </c>
      <c r="V134">
        <f>HYPERLINK("https://klasma.github.io/Logging_0382/klagomål/A 24797-2022 FSC-klagomål.docx", "A 24797-2022")</f>
        <v/>
      </c>
      <c r="W134">
        <f>HYPERLINK("https://klasma.github.io/Logging_0382/klagomålsmail/A 24797-2022 FSC-klagomål mail.docx", "A 24797-2022")</f>
        <v/>
      </c>
      <c r="X134">
        <f>HYPERLINK("https://klasma.github.io/Logging_0382/tillsyn/A 24797-2022 tillsynsbegäran.docx", "A 24797-2022")</f>
        <v/>
      </c>
      <c r="Y134">
        <f>HYPERLINK("https://klasma.github.io/Logging_0382/tillsynsmail/A 24797-2022 tillsynsbegäran mail.docx", "A 24797-2022")</f>
        <v/>
      </c>
      <c r="Z134">
        <f>HYPERLINK("https://klasma.github.io/Logging_0382/fåglar/A 24797-2022 prioriterade fågelarter.docx", "A 24797-2022")</f>
        <v/>
      </c>
    </row>
    <row r="135" ht="15" customHeight="1">
      <c r="A135" t="inlineStr">
        <is>
          <t>A 27451-2022</t>
        </is>
      </c>
      <c r="B135" s="1" t="n">
        <v>44742</v>
      </c>
      <c r="C135" s="1" t="n">
        <v>45630</v>
      </c>
      <c r="D135" t="inlineStr">
        <is>
          <t>UPPSALA LÄN</t>
        </is>
      </c>
      <c r="E135" t="inlineStr">
        <is>
          <t>ÖSTHAMMAR</t>
        </is>
      </c>
      <c r="G135" t="n">
        <v>6.4</v>
      </c>
      <c r="H135" t="n">
        <v>0</v>
      </c>
      <c r="I135" t="n">
        <v>0</v>
      </c>
      <c r="J135" t="n">
        <v>1</v>
      </c>
      <c r="K135" t="n">
        <v>0</v>
      </c>
      <c r="L135" t="n">
        <v>0</v>
      </c>
      <c r="M135" t="n">
        <v>0</v>
      </c>
      <c r="N135" t="n">
        <v>0</v>
      </c>
      <c r="O135" t="n">
        <v>1</v>
      </c>
      <c r="P135" t="n">
        <v>0</v>
      </c>
      <c r="Q135" t="n">
        <v>1</v>
      </c>
      <c r="R135" s="2" t="inlineStr">
        <is>
          <t>Skogsklocka</t>
        </is>
      </c>
      <c r="S135">
        <f>HYPERLINK("https://klasma.github.io/Logging_0382/artfynd/A 27451-2022 artfynd.xlsx", "A 27451-2022")</f>
        <v/>
      </c>
      <c r="T135">
        <f>HYPERLINK("https://klasma.github.io/Logging_0382/kartor/A 27451-2022 karta.png", "A 27451-2022")</f>
        <v/>
      </c>
      <c r="V135">
        <f>HYPERLINK("https://klasma.github.io/Logging_0382/klagomål/A 27451-2022 FSC-klagomål.docx", "A 27451-2022")</f>
        <v/>
      </c>
      <c r="W135">
        <f>HYPERLINK("https://klasma.github.io/Logging_0382/klagomålsmail/A 27451-2022 FSC-klagomål mail.docx", "A 27451-2022")</f>
        <v/>
      </c>
      <c r="X135">
        <f>HYPERLINK("https://klasma.github.io/Logging_0382/tillsyn/A 27451-2022 tillsynsbegäran.docx", "A 27451-2022")</f>
        <v/>
      </c>
      <c r="Y135">
        <f>HYPERLINK("https://klasma.github.io/Logging_0382/tillsynsmail/A 27451-2022 tillsynsbegäran mail.docx", "A 27451-2022")</f>
        <v/>
      </c>
    </row>
    <row r="136" ht="15" customHeight="1">
      <c r="A136" t="inlineStr">
        <is>
          <t>A 34974-2022</t>
        </is>
      </c>
      <c r="B136" s="1" t="n">
        <v>44796</v>
      </c>
      <c r="C136" s="1" t="n">
        <v>45630</v>
      </c>
      <c r="D136" t="inlineStr">
        <is>
          <t>UPPSALA LÄN</t>
        </is>
      </c>
      <c r="E136" t="inlineStr">
        <is>
          <t>ÖSTHAMMAR</t>
        </is>
      </c>
      <c r="F136" t="inlineStr">
        <is>
          <t>Bergvik skog öst AB</t>
        </is>
      </c>
      <c r="G136" t="n">
        <v>19.4</v>
      </c>
      <c r="H136" t="n">
        <v>1</v>
      </c>
      <c r="I136" t="n">
        <v>0</v>
      </c>
      <c r="J136" t="n">
        <v>0</v>
      </c>
      <c r="K136" t="n">
        <v>0</v>
      </c>
      <c r="L136" t="n">
        <v>0</v>
      </c>
      <c r="M136" t="n">
        <v>0</v>
      </c>
      <c r="N136" t="n">
        <v>0</v>
      </c>
      <c r="O136" t="n">
        <v>0</v>
      </c>
      <c r="P136" t="n">
        <v>0</v>
      </c>
      <c r="Q136" t="n">
        <v>1</v>
      </c>
      <c r="R136" s="2" t="inlineStr">
        <is>
          <t>Kopparödla</t>
        </is>
      </c>
      <c r="S136">
        <f>HYPERLINK("https://klasma.github.io/Logging_0382/artfynd/A 34974-2022 artfynd.xlsx", "A 34974-2022")</f>
        <v/>
      </c>
      <c r="T136">
        <f>HYPERLINK("https://klasma.github.io/Logging_0382/kartor/A 34974-2022 karta.png", "A 34974-2022")</f>
        <v/>
      </c>
      <c r="V136">
        <f>HYPERLINK("https://klasma.github.io/Logging_0382/klagomål/A 34974-2022 FSC-klagomål.docx", "A 34974-2022")</f>
        <v/>
      </c>
      <c r="W136">
        <f>HYPERLINK("https://klasma.github.io/Logging_0382/klagomålsmail/A 34974-2022 FSC-klagomål mail.docx", "A 34974-2022")</f>
        <v/>
      </c>
      <c r="X136">
        <f>HYPERLINK("https://klasma.github.io/Logging_0382/tillsyn/A 34974-2022 tillsynsbegäran.docx", "A 34974-2022")</f>
        <v/>
      </c>
      <c r="Y136">
        <f>HYPERLINK("https://klasma.github.io/Logging_0382/tillsynsmail/A 34974-2022 tillsynsbegäran mail.docx", "A 34974-2022")</f>
        <v/>
      </c>
    </row>
    <row r="137" ht="15" customHeight="1">
      <c r="A137" t="inlineStr">
        <is>
          <t>A 38442-2022</t>
        </is>
      </c>
      <c r="B137" s="1" t="n">
        <v>44813</v>
      </c>
      <c r="C137" s="1" t="n">
        <v>45630</v>
      </c>
      <c r="D137" t="inlineStr">
        <is>
          <t>UPPSALA LÄN</t>
        </is>
      </c>
      <c r="E137" t="inlineStr">
        <is>
          <t>ÖSTHAMMAR</t>
        </is>
      </c>
      <c r="F137" t="inlineStr">
        <is>
          <t>Kyrkan</t>
        </is>
      </c>
      <c r="G137" t="n">
        <v>2.9</v>
      </c>
      <c r="H137" t="n">
        <v>0</v>
      </c>
      <c r="I137" t="n">
        <v>0</v>
      </c>
      <c r="J137" t="n">
        <v>1</v>
      </c>
      <c r="K137" t="n">
        <v>0</v>
      </c>
      <c r="L137" t="n">
        <v>0</v>
      </c>
      <c r="M137" t="n">
        <v>0</v>
      </c>
      <c r="N137" t="n">
        <v>0</v>
      </c>
      <c r="O137" t="n">
        <v>1</v>
      </c>
      <c r="P137" t="n">
        <v>0</v>
      </c>
      <c r="Q137" t="n">
        <v>1</v>
      </c>
      <c r="R137" s="2" t="inlineStr">
        <is>
          <t>Slåtterfibbla</t>
        </is>
      </c>
      <c r="S137">
        <f>HYPERLINK("https://klasma.github.io/Logging_0382/artfynd/A 38442-2022 artfynd.xlsx", "A 38442-2022")</f>
        <v/>
      </c>
      <c r="T137">
        <f>HYPERLINK("https://klasma.github.io/Logging_0382/kartor/A 38442-2022 karta.png", "A 38442-2022")</f>
        <v/>
      </c>
      <c r="V137">
        <f>HYPERLINK("https://klasma.github.io/Logging_0382/klagomål/A 38442-2022 FSC-klagomål.docx", "A 38442-2022")</f>
        <v/>
      </c>
      <c r="W137">
        <f>HYPERLINK("https://klasma.github.io/Logging_0382/klagomålsmail/A 38442-2022 FSC-klagomål mail.docx", "A 38442-2022")</f>
        <v/>
      </c>
      <c r="X137">
        <f>HYPERLINK("https://klasma.github.io/Logging_0382/tillsyn/A 38442-2022 tillsynsbegäran.docx", "A 38442-2022")</f>
        <v/>
      </c>
      <c r="Y137">
        <f>HYPERLINK("https://klasma.github.io/Logging_0382/tillsynsmail/A 38442-2022 tillsynsbegäran mail.docx", "A 38442-2022")</f>
        <v/>
      </c>
    </row>
    <row r="138" ht="15" customHeight="1">
      <c r="A138" t="inlineStr">
        <is>
          <t>A 52648-2022</t>
        </is>
      </c>
      <c r="B138" s="1" t="n">
        <v>44874</v>
      </c>
      <c r="C138" s="1" t="n">
        <v>45630</v>
      </c>
      <c r="D138" t="inlineStr">
        <is>
          <t>UPPSALA LÄN</t>
        </is>
      </c>
      <c r="E138" t="inlineStr">
        <is>
          <t>ÖSTHAMMAR</t>
        </is>
      </c>
      <c r="F138" t="inlineStr">
        <is>
          <t>Bergvik skog öst AB</t>
        </is>
      </c>
      <c r="G138" t="n">
        <v>2.3</v>
      </c>
      <c r="H138" t="n">
        <v>1</v>
      </c>
      <c r="I138" t="n">
        <v>0</v>
      </c>
      <c r="J138" t="n">
        <v>1</v>
      </c>
      <c r="K138" t="n">
        <v>0</v>
      </c>
      <c r="L138" t="n">
        <v>0</v>
      </c>
      <c r="M138" t="n">
        <v>0</v>
      </c>
      <c r="N138" t="n">
        <v>0</v>
      </c>
      <c r="O138" t="n">
        <v>1</v>
      </c>
      <c r="P138" t="n">
        <v>0</v>
      </c>
      <c r="Q138" t="n">
        <v>1</v>
      </c>
      <c r="R138" s="2" t="inlineStr">
        <is>
          <t>Buskskvätta</t>
        </is>
      </c>
      <c r="S138">
        <f>HYPERLINK("https://klasma.github.io/Logging_0382/artfynd/A 52648-2022 artfynd.xlsx", "A 52648-2022")</f>
        <v/>
      </c>
      <c r="T138">
        <f>HYPERLINK("https://klasma.github.io/Logging_0382/kartor/A 52648-2022 karta.png", "A 52648-2022")</f>
        <v/>
      </c>
      <c r="V138">
        <f>HYPERLINK("https://klasma.github.io/Logging_0382/klagomål/A 52648-2022 FSC-klagomål.docx", "A 52648-2022")</f>
        <v/>
      </c>
      <c r="W138">
        <f>HYPERLINK("https://klasma.github.io/Logging_0382/klagomålsmail/A 52648-2022 FSC-klagomål mail.docx", "A 52648-2022")</f>
        <v/>
      </c>
      <c r="X138">
        <f>HYPERLINK("https://klasma.github.io/Logging_0382/tillsyn/A 52648-2022 tillsynsbegäran.docx", "A 52648-2022")</f>
        <v/>
      </c>
      <c r="Y138">
        <f>HYPERLINK("https://klasma.github.io/Logging_0382/tillsynsmail/A 52648-2022 tillsynsbegäran mail.docx", "A 52648-2022")</f>
        <v/>
      </c>
      <c r="Z138">
        <f>HYPERLINK("https://klasma.github.io/Logging_0382/fåglar/A 52648-2022 prioriterade fågelarter.docx", "A 52648-2022")</f>
        <v/>
      </c>
    </row>
    <row r="139" ht="15" customHeight="1">
      <c r="A139" t="inlineStr">
        <is>
          <t>A 52651-2022</t>
        </is>
      </c>
      <c r="B139" s="1" t="n">
        <v>44874</v>
      </c>
      <c r="C139" s="1" t="n">
        <v>45630</v>
      </c>
      <c r="D139" t="inlineStr">
        <is>
          <t>UPPSALA LÄN</t>
        </is>
      </c>
      <c r="E139" t="inlineStr">
        <is>
          <t>ÖSTHAMMAR</t>
        </is>
      </c>
      <c r="F139" t="inlineStr">
        <is>
          <t>Bergvik skog öst AB</t>
        </is>
      </c>
      <c r="G139" t="n">
        <v>0.6</v>
      </c>
      <c r="H139" t="n">
        <v>1</v>
      </c>
      <c r="I139" t="n">
        <v>0</v>
      </c>
      <c r="J139" t="n">
        <v>1</v>
      </c>
      <c r="K139" t="n">
        <v>0</v>
      </c>
      <c r="L139" t="n">
        <v>0</v>
      </c>
      <c r="M139" t="n">
        <v>0</v>
      </c>
      <c r="N139" t="n">
        <v>0</v>
      </c>
      <c r="O139" t="n">
        <v>1</v>
      </c>
      <c r="P139" t="n">
        <v>0</v>
      </c>
      <c r="Q139" t="n">
        <v>1</v>
      </c>
      <c r="R139" s="2" t="inlineStr">
        <is>
          <t>Svartvit flugsnappare</t>
        </is>
      </c>
      <c r="S139">
        <f>HYPERLINK("https://klasma.github.io/Logging_0382/artfynd/A 52651-2022 artfynd.xlsx", "A 52651-2022")</f>
        <v/>
      </c>
      <c r="T139">
        <f>HYPERLINK("https://klasma.github.io/Logging_0382/kartor/A 52651-2022 karta.png", "A 52651-2022")</f>
        <v/>
      </c>
      <c r="V139">
        <f>HYPERLINK("https://klasma.github.io/Logging_0382/klagomål/A 52651-2022 FSC-klagomål.docx", "A 52651-2022")</f>
        <v/>
      </c>
      <c r="W139">
        <f>HYPERLINK("https://klasma.github.io/Logging_0382/klagomålsmail/A 52651-2022 FSC-klagomål mail.docx", "A 52651-2022")</f>
        <v/>
      </c>
      <c r="X139">
        <f>HYPERLINK("https://klasma.github.io/Logging_0382/tillsyn/A 52651-2022 tillsynsbegäran.docx", "A 52651-2022")</f>
        <v/>
      </c>
      <c r="Y139">
        <f>HYPERLINK("https://klasma.github.io/Logging_0382/tillsynsmail/A 52651-2022 tillsynsbegäran mail.docx", "A 52651-2022")</f>
        <v/>
      </c>
      <c r="Z139">
        <f>HYPERLINK("https://klasma.github.io/Logging_0382/fåglar/A 52651-2022 prioriterade fågelarter.docx", "A 52651-2022")</f>
        <v/>
      </c>
    </row>
    <row r="140" ht="15" customHeight="1">
      <c r="A140" t="inlineStr">
        <is>
          <t>A 52818-2022</t>
        </is>
      </c>
      <c r="B140" s="1" t="n">
        <v>44875</v>
      </c>
      <c r="C140" s="1" t="n">
        <v>45630</v>
      </c>
      <c r="D140" t="inlineStr">
        <is>
          <t>UPPSALA LÄN</t>
        </is>
      </c>
      <c r="E140" t="inlineStr">
        <is>
          <t>ÖSTHAMMAR</t>
        </is>
      </c>
      <c r="G140" t="n">
        <v>0.9</v>
      </c>
      <c r="H140" t="n">
        <v>1</v>
      </c>
      <c r="I140" t="n">
        <v>1</v>
      </c>
      <c r="J140" t="n">
        <v>0</v>
      </c>
      <c r="K140" t="n">
        <v>0</v>
      </c>
      <c r="L140" t="n">
        <v>0</v>
      </c>
      <c r="M140" t="n">
        <v>0</v>
      </c>
      <c r="N140" t="n">
        <v>0</v>
      </c>
      <c r="O140" t="n">
        <v>0</v>
      </c>
      <c r="P140" t="n">
        <v>0</v>
      </c>
      <c r="Q140" t="n">
        <v>1</v>
      </c>
      <c r="R140" s="2" t="inlineStr">
        <is>
          <t>Guckusko</t>
        </is>
      </c>
      <c r="S140">
        <f>HYPERLINK("https://klasma.github.io/Logging_0382/artfynd/A 52818-2022 artfynd.xlsx", "A 52818-2022")</f>
        <v/>
      </c>
      <c r="T140">
        <f>HYPERLINK("https://klasma.github.io/Logging_0382/kartor/A 52818-2022 karta.png", "A 52818-2022")</f>
        <v/>
      </c>
      <c r="V140">
        <f>HYPERLINK("https://klasma.github.io/Logging_0382/klagomål/A 52818-2022 FSC-klagomål.docx", "A 52818-2022")</f>
        <v/>
      </c>
      <c r="W140">
        <f>HYPERLINK("https://klasma.github.io/Logging_0382/klagomålsmail/A 52818-2022 FSC-klagomål mail.docx", "A 52818-2022")</f>
        <v/>
      </c>
      <c r="X140">
        <f>HYPERLINK("https://klasma.github.io/Logging_0382/tillsyn/A 52818-2022 tillsynsbegäran.docx", "A 52818-2022")</f>
        <v/>
      </c>
      <c r="Y140">
        <f>HYPERLINK("https://klasma.github.io/Logging_0382/tillsynsmail/A 52818-2022 tillsynsbegäran mail.docx", "A 52818-2022")</f>
        <v/>
      </c>
    </row>
    <row r="141" ht="15" customHeight="1">
      <c r="A141" t="inlineStr">
        <is>
          <t>A 1390-2023</t>
        </is>
      </c>
      <c r="B141" s="1" t="n">
        <v>44936</v>
      </c>
      <c r="C141" s="1" t="n">
        <v>45630</v>
      </c>
      <c r="D141" t="inlineStr">
        <is>
          <t>UPPSALA LÄN</t>
        </is>
      </c>
      <c r="E141" t="inlineStr">
        <is>
          <t>ÖSTHAMMAR</t>
        </is>
      </c>
      <c r="G141" t="n">
        <v>1.9</v>
      </c>
      <c r="H141" t="n">
        <v>1</v>
      </c>
      <c r="I141" t="n">
        <v>0</v>
      </c>
      <c r="J141" t="n">
        <v>0</v>
      </c>
      <c r="K141" t="n">
        <v>1</v>
      </c>
      <c r="L141" t="n">
        <v>0</v>
      </c>
      <c r="M141" t="n">
        <v>0</v>
      </c>
      <c r="N141" t="n">
        <v>0</v>
      </c>
      <c r="O141" t="n">
        <v>1</v>
      </c>
      <c r="P141" t="n">
        <v>1</v>
      </c>
      <c r="Q141" t="n">
        <v>1</v>
      </c>
      <c r="R141" s="2" t="inlineStr">
        <is>
          <t>Tallbit</t>
        </is>
      </c>
      <c r="S141">
        <f>HYPERLINK("https://klasma.github.io/Logging_0382/artfynd/A 1390-2023 artfynd.xlsx", "A 1390-2023")</f>
        <v/>
      </c>
      <c r="T141">
        <f>HYPERLINK("https://klasma.github.io/Logging_0382/kartor/A 1390-2023 karta.png", "A 1390-2023")</f>
        <v/>
      </c>
      <c r="V141">
        <f>HYPERLINK("https://klasma.github.io/Logging_0382/klagomål/A 1390-2023 FSC-klagomål.docx", "A 1390-2023")</f>
        <v/>
      </c>
      <c r="W141">
        <f>HYPERLINK("https://klasma.github.io/Logging_0382/klagomålsmail/A 1390-2023 FSC-klagomål mail.docx", "A 1390-2023")</f>
        <v/>
      </c>
      <c r="X141">
        <f>HYPERLINK("https://klasma.github.io/Logging_0382/tillsyn/A 1390-2023 tillsynsbegäran.docx", "A 1390-2023")</f>
        <v/>
      </c>
      <c r="Y141">
        <f>HYPERLINK("https://klasma.github.io/Logging_0382/tillsynsmail/A 1390-2023 tillsynsbegäran mail.docx", "A 1390-2023")</f>
        <v/>
      </c>
      <c r="Z141">
        <f>HYPERLINK("https://klasma.github.io/Logging_0382/fåglar/A 1390-2023 prioriterade fågelarter.docx", "A 1390-2023")</f>
        <v/>
      </c>
    </row>
    <row r="142" ht="15" customHeight="1">
      <c r="A142" t="inlineStr">
        <is>
          <t>A 1783-2023</t>
        </is>
      </c>
      <c r="B142" s="1" t="n">
        <v>44938</v>
      </c>
      <c r="C142" s="1" t="n">
        <v>45630</v>
      </c>
      <c r="D142" t="inlineStr">
        <is>
          <t>UPPSALA LÄN</t>
        </is>
      </c>
      <c r="E142" t="inlineStr">
        <is>
          <t>ÖSTHAMMAR</t>
        </is>
      </c>
      <c r="G142" t="n">
        <v>4.1</v>
      </c>
      <c r="H142" t="n">
        <v>0</v>
      </c>
      <c r="I142" t="n">
        <v>0</v>
      </c>
      <c r="J142" t="n">
        <v>1</v>
      </c>
      <c r="K142" t="n">
        <v>0</v>
      </c>
      <c r="L142" t="n">
        <v>0</v>
      </c>
      <c r="M142" t="n">
        <v>0</v>
      </c>
      <c r="N142" t="n">
        <v>0</v>
      </c>
      <c r="O142" t="n">
        <v>1</v>
      </c>
      <c r="P142" t="n">
        <v>0</v>
      </c>
      <c r="Q142" t="n">
        <v>1</v>
      </c>
      <c r="R142" s="2" t="inlineStr">
        <is>
          <t>Svart taggsvamp</t>
        </is>
      </c>
      <c r="S142">
        <f>HYPERLINK("https://klasma.github.io/Logging_0382/artfynd/A 1783-2023 artfynd.xlsx", "A 1783-2023")</f>
        <v/>
      </c>
      <c r="T142">
        <f>HYPERLINK("https://klasma.github.io/Logging_0382/kartor/A 1783-2023 karta.png", "A 1783-2023")</f>
        <v/>
      </c>
      <c r="V142">
        <f>HYPERLINK("https://klasma.github.io/Logging_0382/klagomål/A 1783-2023 FSC-klagomål.docx", "A 1783-2023")</f>
        <v/>
      </c>
      <c r="W142">
        <f>HYPERLINK("https://klasma.github.io/Logging_0382/klagomålsmail/A 1783-2023 FSC-klagomål mail.docx", "A 1783-2023")</f>
        <v/>
      </c>
      <c r="X142">
        <f>HYPERLINK("https://klasma.github.io/Logging_0382/tillsyn/A 1783-2023 tillsynsbegäran.docx", "A 1783-2023")</f>
        <v/>
      </c>
      <c r="Y142">
        <f>HYPERLINK("https://klasma.github.io/Logging_0382/tillsynsmail/A 1783-2023 tillsynsbegäran mail.docx", "A 1783-2023")</f>
        <v/>
      </c>
    </row>
    <row r="143" ht="15" customHeight="1">
      <c r="A143" t="inlineStr">
        <is>
          <t>A 9264-2023</t>
        </is>
      </c>
      <c r="B143" s="1" t="n">
        <v>44980</v>
      </c>
      <c r="C143" s="1" t="n">
        <v>45630</v>
      </c>
      <c r="D143" t="inlineStr">
        <is>
          <t>UPPSALA LÄN</t>
        </is>
      </c>
      <c r="E143" t="inlineStr">
        <is>
          <t>ÖSTHAMMAR</t>
        </is>
      </c>
      <c r="F143" t="inlineStr">
        <is>
          <t>Övriga Aktiebolag</t>
        </is>
      </c>
      <c r="G143" t="n">
        <v>2.1</v>
      </c>
      <c r="H143" t="n">
        <v>1</v>
      </c>
      <c r="I143" t="n">
        <v>0</v>
      </c>
      <c r="J143" t="n">
        <v>0</v>
      </c>
      <c r="K143" t="n">
        <v>0</v>
      </c>
      <c r="L143" t="n">
        <v>1</v>
      </c>
      <c r="M143" t="n">
        <v>0</v>
      </c>
      <c r="N143" t="n">
        <v>0</v>
      </c>
      <c r="O143" t="n">
        <v>1</v>
      </c>
      <c r="P143" t="n">
        <v>1</v>
      </c>
      <c r="Q143" t="n">
        <v>1</v>
      </c>
      <c r="R143" s="2" t="inlineStr">
        <is>
          <t>Asknätfjäril</t>
        </is>
      </c>
      <c r="S143">
        <f>HYPERLINK("https://klasma.github.io/Logging_0382/artfynd/A 9264-2023 artfynd.xlsx", "A 9264-2023")</f>
        <v/>
      </c>
      <c r="T143">
        <f>HYPERLINK("https://klasma.github.io/Logging_0382/kartor/A 9264-2023 karta.png", "A 9264-2023")</f>
        <v/>
      </c>
      <c r="V143">
        <f>HYPERLINK("https://klasma.github.io/Logging_0382/klagomål/A 9264-2023 FSC-klagomål.docx", "A 9264-2023")</f>
        <v/>
      </c>
      <c r="W143">
        <f>HYPERLINK("https://klasma.github.io/Logging_0382/klagomålsmail/A 9264-2023 FSC-klagomål mail.docx", "A 9264-2023")</f>
        <v/>
      </c>
      <c r="X143">
        <f>HYPERLINK("https://klasma.github.io/Logging_0382/tillsyn/A 9264-2023 tillsynsbegäran.docx", "A 9264-2023")</f>
        <v/>
      </c>
      <c r="Y143">
        <f>HYPERLINK("https://klasma.github.io/Logging_0382/tillsynsmail/A 9264-2023 tillsynsbegäran mail.docx", "A 9264-2023")</f>
        <v/>
      </c>
    </row>
    <row r="144" ht="15" customHeight="1">
      <c r="A144" t="inlineStr">
        <is>
          <t>A 10034-2023</t>
        </is>
      </c>
      <c r="B144" s="1" t="n">
        <v>44985</v>
      </c>
      <c r="C144" s="1" t="n">
        <v>45630</v>
      </c>
      <c r="D144" t="inlineStr">
        <is>
          <t>UPPSALA LÄN</t>
        </is>
      </c>
      <c r="E144" t="inlineStr">
        <is>
          <t>ÖSTHAMMAR</t>
        </is>
      </c>
      <c r="G144" t="n">
        <v>2.1</v>
      </c>
      <c r="H144" t="n">
        <v>1</v>
      </c>
      <c r="I144" t="n">
        <v>0</v>
      </c>
      <c r="J144" t="n">
        <v>0</v>
      </c>
      <c r="K144" t="n">
        <v>0</v>
      </c>
      <c r="L144" t="n">
        <v>0</v>
      </c>
      <c r="M144" t="n">
        <v>0</v>
      </c>
      <c r="N144" t="n">
        <v>0</v>
      </c>
      <c r="O144" t="n">
        <v>0</v>
      </c>
      <c r="P144" t="n">
        <v>0</v>
      </c>
      <c r="Q144" t="n">
        <v>1</v>
      </c>
      <c r="R144" s="2" t="inlineStr">
        <is>
          <t>Blåsippa</t>
        </is>
      </c>
      <c r="S144">
        <f>HYPERLINK("https://klasma.github.io/Logging_0382/artfynd/A 10034-2023 artfynd.xlsx", "A 10034-2023")</f>
        <v/>
      </c>
      <c r="T144">
        <f>HYPERLINK("https://klasma.github.io/Logging_0382/kartor/A 10034-2023 karta.png", "A 10034-2023")</f>
        <v/>
      </c>
      <c r="V144">
        <f>HYPERLINK("https://klasma.github.io/Logging_0382/klagomål/A 10034-2023 FSC-klagomål.docx", "A 10034-2023")</f>
        <v/>
      </c>
      <c r="W144">
        <f>HYPERLINK("https://klasma.github.io/Logging_0382/klagomålsmail/A 10034-2023 FSC-klagomål mail.docx", "A 10034-2023")</f>
        <v/>
      </c>
      <c r="X144">
        <f>HYPERLINK("https://klasma.github.io/Logging_0382/tillsyn/A 10034-2023 tillsynsbegäran.docx", "A 10034-2023")</f>
        <v/>
      </c>
      <c r="Y144">
        <f>HYPERLINK("https://klasma.github.io/Logging_0382/tillsynsmail/A 10034-2023 tillsynsbegäran mail.docx", "A 10034-2023")</f>
        <v/>
      </c>
    </row>
    <row r="145" ht="15" customHeight="1">
      <c r="A145" t="inlineStr">
        <is>
          <t>A 14706-2023</t>
        </is>
      </c>
      <c r="B145" s="1" t="n">
        <v>45013</v>
      </c>
      <c r="C145" s="1" t="n">
        <v>45630</v>
      </c>
      <c r="D145" t="inlineStr">
        <is>
          <t>UPPSALA LÄN</t>
        </is>
      </c>
      <c r="E145" t="inlineStr">
        <is>
          <t>ÖSTHAMMAR</t>
        </is>
      </c>
      <c r="G145" t="n">
        <v>0.9</v>
      </c>
      <c r="H145" t="n">
        <v>0</v>
      </c>
      <c r="I145" t="n">
        <v>1</v>
      </c>
      <c r="J145" t="n">
        <v>0</v>
      </c>
      <c r="K145" t="n">
        <v>0</v>
      </c>
      <c r="L145" t="n">
        <v>0</v>
      </c>
      <c r="M145" t="n">
        <v>0</v>
      </c>
      <c r="N145" t="n">
        <v>0</v>
      </c>
      <c r="O145" t="n">
        <v>0</v>
      </c>
      <c r="P145" t="n">
        <v>0</v>
      </c>
      <c r="Q145" t="n">
        <v>1</v>
      </c>
      <c r="R145" s="2" t="inlineStr">
        <is>
          <t>Olivspindling</t>
        </is>
      </c>
      <c r="S145">
        <f>HYPERLINK("https://klasma.github.io/Logging_0382/artfynd/A 14706-2023 artfynd.xlsx", "A 14706-2023")</f>
        <v/>
      </c>
      <c r="T145">
        <f>HYPERLINK("https://klasma.github.io/Logging_0382/kartor/A 14706-2023 karta.png", "A 14706-2023")</f>
        <v/>
      </c>
      <c r="V145">
        <f>HYPERLINK("https://klasma.github.io/Logging_0382/klagomål/A 14706-2023 FSC-klagomål.docx", "A 14706-2023")</f>
        <v/>
      </c>
      <c r="W145">
        <f>HYPERLINK("https://klasma.github.io/Logging_0382/klagomålsmail/A 14706-2023 FSC-klagomål mail.docx", "A 14706-2023")</f>
        <v/>
      </c>
      <c r="X145">
        <f>HYPERLINK("https://klasma.github.io/Logging_0382/tillsyn/A 14706-2023 tillsynsbegäran.docx", "A 14706-2023")</f>
        <v/>
      </c>
      <c r="Y145">
        <f>HYPERLINK("https://klasma.github.io/Logging_0382/tillsynsmail/A 14706-2023 tillsynsbegäran mail.docx", "A 14706-2023")</f>
        <v/>
      </c>
    </row>
    <row r="146" ht="15" customHeight="1">
      <c r="A146" t="inlineStr">
        <is>
          <t>A 15628-2023</t>
        </is>
      </c>
      <c r="B146" s="1" t="n">
        <v>45021</v>
      </c>
      <c r="C146" s="1" t="n">
        <v>45630</v>
      </c>
      <c r="D146" t="inlineStr">
        <is>
          <t>UPPSALA LÄN</t>
        </is>
      </c>
      <c r="E146" t="inlineStr">
        <is>
          <t>ÖSTHAMMAR</t>
        </is>
      </c>
      <c r="F146" t="inlineStr">
        <is>
          <t>Övriga Aktiebolag</t>
        </is>
      </c>
      <c r="G146" t="n">
        <v>14.8</v>
      </c>
      <c r="H146" t="n">
        <v>1</v>
      </c>
      <c r="I146" t="n">
        <v>0</v>
      </c>
      <c r="J146" t="n">
        <v>0</v>
      </c>
      <c r="K146" t="n">
        <v>1</v>
      </c>
      <c r="L146" t="n">
        <v>0</v>
      </c>
      <c r="M146" t="n">
        <v>0</v>
      </c>
      <c r="N146" t="n">
        <v>0</v>
      </c>
      <c r="O146" t="n">
        <v>1</v>
      </c>
      <c r="P146" t="n">
        <v>1</v>
      </c>
      <c r="Q146" t="n">
        <v>1</v>
      </c>
      <c r="R146" s="2" t="inlineStr">
        <is>
          <t>Knärot</t>
        </is>
      </c>
      <c r="S146">
        <f>HYPERLINK("https://klasma.github.io/Logging_0382/artfynd/A 15628-2023 artfynd.xlsx", "A 15628-2023")</f>
        <v/>
      </c>
      <c r="T146">
        <f>HYPERLINK("https://klasma.github.io/Logging_0382/kartor/A 15628-2023 karta.png", "A 15628-2023")</f>
        <v/>
      </c>
      <c r="U146">
        <f>HYPERLINK("https://klasma.github.io/Logging_0382/knärot/A 15628-2023 karta knärot.png", "A 15628-2023")</f>
        <v/>
      </c>
      <c r="V146">
        <f>HYPERLINK("https://klasma.github.io/Logging_0382/klagomål/A 15628-2023 FSC-klagomål.docx", "A 15628-2023")</f>
        <v/>
      </c>
      <c r="W146">
        <f>HYPERLINK("https://klasma.github.io/Logging_0382/klagomålsmail/A 15628-2023 FSC-klagomål mail.docx", "A 15628-2023")</f>
        <v/>
      </c>
      <c r="X146">
        <f>HYPERLINK("https://klasma.github.io/Logging_0382/tillsyn/A 15628-2023 tillsynsbegäran.docx", "A 15628-2023")</f>
        <v/>
      </c>
      <c r="Y146">
        <f>HYPERLINK("https://klasma.github.io/Logging_0382/tillsynsmail/A 15628-2023 tillsynsbegäran mail.docx", "A 15628-2023")</f>
        <v/>
      </c>
    </row>
    <row r="147" ht="15" customHeight="1">
      <c r="A147" t="inlineStr">
        <is>
          <t>A 19100-2023</t>
        </is>
      </c>
      <c r="B147" s="1" t="n">
        <v>45048</v>
      </c>
      <c r="C147" s="1" t="n">
        <v>45630</v>
      </c>
      <c r="D147" t="inlineStr">
        <is>
          <t>UPPSALA LÄN</t>
        </is>
      </c>
      <c r="E147" t="inlineStr">
        <is>
          <t>ÖSTHAMMAR</t>
        </is>
      </c>
      <c r="F147" t="inlineStr">
        <is>
          <t>Bergvik skog öst AB</t>
        </is>
      </c>
      <c r="G147" t="n">
        <v>2.1</v>
      </c>
      <c r="H147" t="n">
        <v>1</v>
      </c>
      <c r="I147" t="n">
        <v>0</v>
      </c>
      <c r="J147" t="n">
        <v>0</v>
      </c>
      <c r="K147" t="n">
        <v>0</v>
      </c>
      <c r="L147" t="n">
        <v>0</v>
      </c>
      <c r="M147" t="n">
        <v>0</v>
      </c>
      <c r="N147" t="n">
        <v>0</v>
      </c>
      <c r="O147" t="n">
        <v>0</v>
      </c>
      <c r="P147" t="n">
        <v>0</v>
      </c>
      <c r="Q147" t="n">
        <v>1</v>
      </c>
      <c r="R147" s="2" t="inlineStr">
        <is>
          <t>Blåsippa</t>
        </is>
      </c>
      <c r="S147">
        <f>HYPERLINK("https://klasma.github.io/Logging_0382/artfynd/A 19100-2023 artfynd.xlsx", "A 19100-2023")</f>
        <v/>
      </c>
      <c r="T147">
        <f>HYPERLINK("https://klasma.github.io/Logging_0382/kartor/A 19100-2023 karta.png", "A 19100-2023")</f>
        <v/>
      </c>
      <c r="V147">
        <f>HYPERLINK("https://klasma.github.io/Logging_0382/klagomål/A 19100-2023 FSC-klagomål.docx", "A 19100-2023")</f>
        <v/>
      </c>
      <c r="W147">
        <f>HYPERLINK("https://klasma.github.io/Logging_0382/klagomålsmail/A 19100-2023 FSC-klagomål mail.docx", "A 19100-2023")</f>
        <v/>
      </c>
      <c r="X147">
        <f>HYPERLINK("https://klasma.github.io/Logging_0382/tillsyn/A 19100-2023 tillsynsbegäran.docx", "A 19100-2023")</f>
        <v/>
      </c>
      <c r="Y147">
        <f>HYPERLINK("https://klasma.github.io/Logging_0382/tillsynsmail/A 19100-2023 tillsynsbegäran mail.docx", "A 19100-2023")</f>
        <v/>
      </c>
    </row>
    <row r="148" ht="15" customHeight="1">
      <c r="A148" t="inlineStr">
        <is>
          <t>A 21628-2023</t>
        </is>
      </c>
      <c r="B148" s="1" t="n">
        <v>45063</v>
      </c>
      <c r="C148" s="1" t="n">
        <v>45630</v>
      </c>
      <c r="D148" t="inlineStr">
        <is>
          <t>UPPSALA LÄN</t>
        </is>
      </c>
      <c r="E148" t="inlineStr">
        <is>
          <t>ÖSTHAMMAR</t>
        </is>
      </c>
      <c r="F148" t="inlineStr">
        <is>
          <t>Sveaskog</t>
        </is>
      </c>
      <c r="G148" t="n">
        <v>4.9</v>
      </c>
      <c r="H148" t="n">
        <v>1</v>
      </c>
      <c r="I148" t="n">
        <v>0</v>
      </c>
      <c r="J148" t="n">
        <v>1</v>
      </c>
      <c r="K148" t="n">
        <v>0</v>
      </c>
      <c r="L148" t="n">
        <v>0</v>
      </c>
      <c r="M148" t="n">
        <v>0</v>
      </c>
      <c r="N148" t="n">
        <v>0</v>
      </c>
      <c r="O148" t="n">
        <v>1</v>
      </c>
      <c r="P148" t="n">
        <v>0</v>
      </c>
      <c r="Q148" t="n">
        <v>1</v>
      </c>
      <c r="R148" s="2" t="inlineStr">
        <is>
          <t>Slaguggla</t>
        </is>
      </c>
      <c r="S148">
        <f>HYPERLINK("https://klasma.github.io/Logging_0382/artfynd/A 21628-2023 artfynd.xlsx", "A 21628-2023")</f>
        <v/>
      </c>
      <c r="T148">
        <f>HYPERLINK("https://klasma.github.io/Logging_0382/kartor/A 21628-2023 karta.png", "A 21628-2023")</f>
        <v/>
      </c>
      <c r="V148">
        <f>HYPERLINK("https://klasma.github.io/Logging_0382/klagomål/A 21628-2023 FSC-klagomål.docx", "A 21628-2023")</f>
        <v/>
      </c>
      <c r="W148">
        <f>HYPERLINK("https://klasma.github.io/Logging_0382/klagomålsmail/A 21628-2023 FSC-klagomål mail.docx", "A 21628-2023")</f>
        <v/>
      </c>
      <c r="X148">
        <f>HYPERLINK("https://klasma.github.io/Logging_0382/tillsyn/A 21628-2023 tillsynsbegäran.docx", "A 21628-2023")</f>
        <v/>
      </c>
      <c r="Y148">
        <f>HYPERLINK("https://klasma.github.io/Logging_0382/tillsynsmail/A 21628-2023 tillsynsbegäran mail.docx", "A 21628-2023")</f>
        <v/>
      </c>
      <c r="Z148">
        <f>HYPERLINK("https://klasma.github.io/Logging_0382/fåglar/A 21628-2023 prioriterade fågelarter.docx", "A 21628-2023")</f>
        <v/>
      </c>
    </row>
    <row r="149" ht="15" customHeight="1">
      <c r="A149" t="inlineStr">
        <is>
          <t>A 22307-2023</t>
        </is>
      </c>
      <c r="B149" s="1" t="n">
        <v>45070</v>
      </c>
      <c r="C149" s="1" t="n">
        <v>45630</v>
      </c>
      <c r="D149" t="inlineStr">
        <is>
          <t>UPPSALA LÄN</t>
        </is>
      </c>
      <c r="E149" t="inlineStr">
        <is>
          <t>ÖSTHAMMAR</t>
        </is>
      </c>
      <c r="F149" t="inlineStr">
        <is>
          <t>Bergvik skog öst AB</t>
        </is>
      </c>
      <c r="G149" t="n">
        <v>13.9</v>
      </c>
      <c r="H149" t="n">
        <v>0</v>
      </c>
      <c r="I149" t="n">
        <v>1</v>
      </c>
      <c r="J149" t="n">
        <v>0</v>
      </c>
      <c r="K149" t="n">
        <v>0</v>
      </c>
      <c r="L149" t="n">
        <v>0</v>
      </c>
      <c r="M149" t="n">
        <v>0</v>
      </c>
      <c r="N149" t="n">
        <v>0</v>
      </c>
      <c r="O149" t="n">
        <v>0</v>
      </c>
      <c r="P149" t="n">
        <v>0</v>
      </c>
      <c r="Q149" t="n">
        <v>1</v>
      </c>
      <c r="R149" s="2" t="inlineStr">
        <is>
          <t>Myskmadra</t>
        </is>
      </c>
      <c r="S149">
        <f>HYPERLINK("https://klasma.github.io/Logging_0382/artfynd/A 22307-2023 artfynd.xlsx", "A 22307-2023")</f>
        <v/>
      </c>
      <c r="T149">
        <f>HYPERLINK("https://klasma.github.io/Logging_0382/kartor/A 22307-2023 karta.png", "A 22307-2023")</f>
        <v/>
      </c>
      <c r="V149">
        <f>HYPERLINK("https://klasma.github.io/Logging_0382/klagomål/A 22307-2023 FSC-klagomål.docx", "A 22307-2023")</f>
        <v/>
      </c>
      <c r="W149">
        <f>HYPERLINK("https://klasma.github.io/Logging_0382/klagomålsmail/A 22307-2023 FSC-klagomål mail.docx", "A 22307-2023")</f>
        <v/>
      </c>
      <c r="X149">
        <f>HYPERLINK("https://klasma.github.io/Logging_0382/tillsyn/A 22307-2023 tillsynsbegäran.docx", "A 22307-2023")</f>
        <v/>
      </c>
      <c r="Y149">
        <f>HYPERLINK("https://klasma.github.io/Logging_0382/tillsynsmail/A 22307-2023 tillsynsbegäran mail.docx", "A 22307-2023")</f>
        <v/>
      </c>
    </row>
    <row r="150" ht="15" customHeight="1">
      <c r="A150" t="inlineStr">
        <is>
          <t>A 22287-2023</t>
        </is>
      </c>
      <c r="B150" s="1" t="n">
        <v>45070</v>
      </c>
      <c r="C150" s="1" t="n">
        <v>45630</v>
      </c>
      <c r="D150" t="inlineStr">
        <is>
          <t>UPPSALA LÄN</t>
        </is>
      </c>
      <c r="E150" t="inlineStr">
        <is>
          <t>ÖSTHAMMAR</t>
        </is>
      </c>
      <c r="G150" t="n">
        <v>6.3</v>
      </c>
      <c r="H150" t="n">
        <v>1</v>
      </c>
      <c r="I150" t="n">
        <v>1</v>
      </c>
      <c r="J150" t="n">
        <v>0</v>
      </c>
      <c r="K150" t="n">
        <v>0</v>
      </c>
      <c r="L150" t="n">
        <v>0</v>
      </c>
      <c r="M150" t="n">
        <v>0</v>
      </c>
      <c r="N150" t="n">
        <v>0</v>
      </c>
      <c r="O150" t="n">
        <v>0</v>
      </c>
      <c r="P150" t="n">
        <v>0</v>
      </c>
      <c r="Q150" t="n">
        <v>1</v>
      </c>
      <c r="R150" s="2" t="inlineStr">
        <is>
          <t>Guckusko</t>
        </is>
      </c>
      <c r="S150">
        <f>HYPERLINK("https://klasma.github.io/Logging_0382/artfynd/A 22287-2023 artfynd.xlsx", "A 22287-2023")</f>
        <v/>
      </c>
      <c r="T150">
        <f>HYPERLINK("https://klasma.github.io/Logging_0382/kartor/A 22287-2023 karta.png", "A 22287-2023")</f>
        <v/>
      </c>
      <c r="V150">
        <f>HYPERLINK("https://klasma.github.io/Logging_0382/klagomål/A 22287-2023 FSC-klagomål.docx", "A 22287-2023")</f>
        <v/>
      </c>
      <c r="W150">
        <f>HYPERLINK("https://klasma.github.io/Logging_0382/klagomålsmail/A 22287-2023 FSC-klagomål mail.docx", "A 22287-2023")</f>
        <v/>
      </c>
      <c r="X150">
        <f>HYPERLINK("https://klasma.github.io/Logging_0382/tillsyn/A 22287-2023 tillsynsbegäran.docx", "A 22287-2023")</f>
        <v/>
      </c>
      <c r="Y150">
        <f>HYPERLINK("https://klasma.github.io/Logging_0382/tillsynsmail/A 22287-2023 tillsynsbegäran mail.docx", "A 22287-2023")</f>
        <v/>
      </c>
    </row>
    <row r="151" ht="15" customHeight="1">
      <c r="A151" t="inlineStr">
        <is>
          <t>A 22688-2023</t>
        </is>
      </c>
      <c r="B151" s="1" t="n">
        <v>45071</v>
      </c>
      <c r="C151" s="1" t="n">
        <v>45630</v>
      </c>
      <c r="D151" t="inlineStr">
        <is>
          <t>UPPSALA LÄN</t>
        </is>
      </c>
      <c r="E151" t="inlineStr">
        <is>
          <t>ÖSTHAMMAR</t>
        </is>
      </c>
      <c r="G151" t="n">
        <v>3</v>
      </c>
      <c r="H151" t="n">
        <v>1</v>
      </c>
      <c r="I151" t="n">
        <v>1</v>
      </c>
      <c r="J151" t="n">
        <v>0</v>
      </c>
      <c r="K151" t="n">
        <v>0</v>
      </c>
      <c r="L151" t="n">
        <v>0</v>
      </c>
      <c r="M151" t="n">
        <v>0</v>
      </c>
      <c r="N151" t="n">
        <v>0</v>
      </c>
      <c r="O151" t="n">
        <v>0</v>
      </c>
      <c r="P151" t="n">
        <v>0</v>
      </c>
      <c r="Q151" t="n">
        <v>1</v>
      </c>
      <c r="R151" s="2" t="inlineStr">
        <is>
          <t>Nästrot</t>
        </is>
      </c>
      <c r="S151">
        <f>HYPERLINK("https://klasma.github.io/Logging_0382/artfynd/A 22688-2023 artfynd.xlsx", "A 22688-2023")</f>
        <v/>
      </c>
      <c r="T151">
        <f>HYPERLINK("https://klasma.github.io/Logging_0382/kartor/A 22688-2023 karta.png", "A 22688-2023")</f>
        <v/>
      </c>
      <c r="V151">
        <f>HYPERLINK("https://klasma.github.io/Logging_0382/klagomål/A 22688-2023 FSC-klagomål.docx", "A 22688-2023")</f>
        <v/>
      </c>
      <c r="W151">
        <f>HYPERLINK("https://klasma.github.io/Logging_0382/klagomålsmail/A 22688-2023 FSC-klagomål mail.docx", "A 22688-2023")</f>
        <v/>
      </c>
      <c r="X151">
        <f>HYPERLINK("https://klasma.github.io/Logging_0382/tillsyn/A 22688-2023 tillsynsbegäran.docx", "A 22688-2023")</f>
        <v/>
      </c>
      <c r="Y151">
        <f>HYPERLINK("https://klasma.github.io/Logging_0382/tillsynsmail/A 22688-2023 tillsynsbegäran mail.docx", "A 22688-2023")</f>
        <v/>
      </c>
    </row>
    <row r="152" ht="15" customHeight="1">
      <c r="A152" t="inlineStr">
        <is>
          <t>A 23128-2023</t>
        </is>
      </c>
      <c r="B152" s="1" t="n">
        <v>45075</v>
      </c>
      <c r="C152" s="1" t="n">
        <v>45630</v>
      </c>
      <c r="D152" t="inlineStr">
        <is>
          <t>UPPSALA LÄN</t>
        </is>
      </c>
      <c r="E152" t="inlineStr">
        <is>
          <t>ÖSTHAMMAR</t>
        </is>
      </c>
      <c r="G152" t="n">
        <v>6</v>
      </c>
      <c r="H152" t="n">
        <v>0</v>
      </c>
      <c r="I152" t="n">
        <v>0</v>
      </c>
      <c r="J152" t="n">
        <v>1</v>
      </c>
      <c r="K152" t="n">
        <v>0</v>
      </c>
      <c r="L152" t="n">
        <v>0</v>
      </c>
      <c r="M152" t="n">
        <v>0</v>
      </c>
      <c r="N152" t="n">
        <v>0</v>
      </c>
      <c r="O152" t="n">
        <v>1</v>
      </c>
      <c r="P152" t="n">
        <v>0</v>
      </c>
      <c r="Q152" t="n">
        <v>1</v>
      </c>
      <c r="R152" s="2" t="inlineStr">
        <is>
          <t>Grönhjon</t>
        </is>
      </c>
      <c r="S152">
        <f>HYPERLINK("https://klasma.github.io/Logging_0382/artfynd/A 23128-2023 artfynd.xlsx", "A 23128-2023")</f>
        <v/>
      </c>
      <c r="T152">
        <f>HYPERLINK("https://klasma.github.io/Logging_0382/kartor/A 23128-2023 karta.png", "A 23128-2023")</f>
        <v/>
      </c>
      <c r="V152">
        <f>HYPERLINK("https://klasma.github.io/Logging_0382/klagomål/A 23128-2023 FSC-klagomål.docx", "A 23128-2023")</f>
        <v/>
      </c>
      <c r="W152">
        <f>HYPERLINK("https://klasma.github.io/Logging_0382/klagomålsmail/A 23128-2023 FSC-klagomål mail.docx", "A 23128-2023")</f>
        <v/>
      </c>
      <c r="X152">
        <f>HYPERLINK("https://klasma.github.io/Logging_0382/tillsyn/A 23128-2023 tillsynsbegäran.docx", "A 23128-2023")</f>
        <v/>
      </c>
      <c r="Y152">
        <f>HYPERLINK("https://klasma.github.io/Logging_0382/tillsynsmail/A 23128-2023 tillsynsbegäran mail.docx", "A 23128-2023")</f>
        <v/>
      </c>
    </row>
    <row r="153" ht="15" customHeight="1">
      <c r="A153" t="inlineStr">
        <is>
          <t>A 25179-2023</t>
        </is>
      </c>
      <c r="B153" s="1" t="n">
        <v>45078</v>
      </c>
      <c r="C153" s="1" t="n">
        <v>45630</v>
      </c>
      <c r="D153" t="inlineStr">
        <is>
          <t>UPPSALA LÄN</t>
        </is>
      </c>
      <c r="E153" t="inlineStr">
        <is>
          <t>ÖSTHAMMAR</t>
        </is>
      </c>
      <c r="G153" t="n">
        <v>3.2</v>
      </c>
      <c r="H153" t="n">
        <v>0</v>
      </c>
      <c r="I153" t="n">
        <v>0</v>
      </c>
      <c r="J153" t="n">
        <v>1</v>
      </c>
      <c r="K153" t="n">
        <v>0</v>
      </c>
      <c r="L153" t="n">
        <v>0</v>
      </c>
      <c r="M153" t="n">
        <v>0</v>
      </c>
      <c r="N153" t="n">
        <v>0</v>
      </c>
      <c r="O153" t="n">
        <v>1</v>
      </c>
      <c r="P153" t="n">
        <v>0</v>
      </c>
      <c r="Q153" t="n">
        <v>1</v>
      </c>
      <c r="R153" s="2" t="inlineStr">
        <is>
          <t>Grantaggsvamp</t>
        </is>
      </c>
      <c r="S153">
        <f>HYPERLINK("https://klasma.github.io/Logging_0382/artfynd/A 25179-2023 artfynd.xlsx", "A 25179-2023")</f>
        <v/>
      </c>
      <c r="T153">
        <f>HYPERLINK("https://klasma.github.io/Logging_0382/kartor/A 25179-2023 karta.png", "A 25179-2023")</f>
        <v/>
      </c>
      <c r="V153">
        <f>HYPERLINK("https://klasma.github.io/Logging_0382/klagomål/A 25179-2023 FSC-klagomål.docx", "A 25179-2023")</f>
        <v/>
      </c>
      <c r="W153">
        <f>HYPERLINK("https://klasma.github.io/Logging_0382/klagomålsmail/A 25179-2023 FSC-klagomål mail.docx", "A 25179-2023")</f>
        <v/>
      </c>
      <c r="X153">
        <f>HYPERLINK("https://klasma.github.io/Logging_0382/tillsyn/A 25179-2023 tillsynsbegäran.docx", "A 25179-2023")</f>
        <v/>
      </c>
      <c r="Y153">
        <f>HYPERLINK("https://klasma.github.io/Logging_0382/tillsynsmail/A 25179-2023 tillsynsbegäran mail.docx", "A 25179-2023")</f>
        <v/>
      </c>
    </row>
    <row r="154" ht="15" customHeight="1">
      <c r="A154" t="inlineStr">
        <is>
          <t>A 26896-2023</t>
        </is>
      </c>
      <c r="B154" s="1" t="n">
        <v>45093</v>
      </c>
      <c r="C154" s="1" t="n">
        <v>45630</v>
      </c>
      <c r="D154" t="inlineStr">
        <is>
          <t>UPPSALA LÄN</t>
        </is>
      </c>
      <c r="E154" t="inlineStr">
        <is>
          <t>ÖSTHAMMAR</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HYPERLINK("https://klasma.github.io/Logging_0382/artfynd/A 26896-2023 artfynd.xlsx", "A 26896-2023")</f>
        <v/>
      </c>
      <c r="T154">
        <f>HYPERLINK("https://klasma.github.io/Logging_0382/kartor/A 26896-2023 karta.png", "A 26896-2023")</f>
        <v/>
      </c>
      <c r="V154">
        <f>HYPERLINK("https://klasma.github.io/Logging_0382/klagomål/A 26896-2023 FSC-klagomål.docx", "A 26896-2023")</f>
        <v/>
      </c>
      <c r="W154">
        <f>HYPERLINK("https://klasma.github.io/Logging_0382/klagomålsmail/A 26896-2023 FSC-klagomål mail.docx", "A 26896-2023")</f>
        <v/>
      </c>
      <c r="X154">
        <f>HYPERLINK("https://klasma.github.io/Logging_0382/tillsyn/A 26896-2023 tillsynsbegäran.docx", "A 26896-2023")</f>
        <v/>
      </c>
      <c r="Y154">
        <f>HYPERLINK("https://klasma.github.io/Logging_0382/tillsynsmail/A 26896-2023 tillsynsbegäran mail.docx", "A 26896-2023")</f>
        <v/>
      </c>
    </row>
    <row r="155" ht="15" customHeight="1">
      <c r="A155" t="inlineStr">
        <is>
          <t>A 29679-2023</t>
        </is>
      </c>
      <c r="B155" s="1" t="n">
        <v>45107</v>
      </c>
      <c r="C155" s="1" t="n">
        <v>45630</v>
      </c>
      <c r="D155" t="inlineStr">
        <is>
          <t>UPPSALA LÄN</t>
        </is>
      </c>
      <c r="E155" t="inlineStr">
        <is>
          <t>ÖSTHAMMAR</t>
        </is>
      </c>
      <c r="F155" t="inlineStr">
        <is>
          <t>Övriga Aktiebolag</t>
        </is>
      </c>
      <c r="G155" t="n">
        <v>7.3</v>
      </c>
      <c r="H155" t="n">
        <v>0</v>
      </c>
      <c r="I155" t="n">
        <v>0</v>
      </c>
      <c r="J155" t="n">
        <v>1</v>
      </c>
      <c r="K155" t="n">
        <v>0</v>
      </c>
      <c r="L155" t="n">
        <v>0</v>
      </c>
      <c r="M155" t="n">
        <v>0</v>
      </c>
      <c r="N155" t="n">
        <v>0</v>
      </c>
      <c r="O155" t="n">
        <v>1</v>
      </c>
      <c r="P155" t="n">
        <v>0</v>
      </c>
      <c r="Q155" t="n">
        <v>1</v>
      </c>
      <c r="R155" s="2" t="inlineStr">
        <is>
          <t>Vintertagging</t>
        </is>
      </c>
      <c r="S155">
        <f>HYPERLINK("https://klasma.github.io/Logging_0382/artfynd/A 29679-2023 artfynd.xlsx", "A 29679-2023")</f>
        <v/>
      </c>
      <c r="T155">
        <f>HYPERLINK("https://klasma.github.io/Logging_0382/kartor/A 29679-2023 karta.png", "A 29679-2023")</f>
        <v/>
      </c>
      <c r="V155">
        <f>HYPERLINK("https://klasma.github.io/Logging_0382/klagomål/A 29679-2023 FSC-klagomål.docx", "A 29679-2023")</f>
        <v/>
      </c>
      <c r="W155">
        <f>HYPERLINK("https://klasma.github.io/Logging_0382/klagomålsmail/A 29679-2023 FSC-klagomål mail.docx", "A 29679-2023")</f>
        <v/>
      </c>
      <c r="X155">
        <f>HYPERLINK("https://klasma.github.io/Logging_0382/tillsyn/A 29679-2023 tillsynsbegäran.docx", "A 29679-2023")</f>
        <v/>
      </c>
      <c r="Y155">
        <f>HYPERLINK("https://klasma.github.io/Logging_0382/tillsynsmail/A 29679-2023 tillsynsbegäran mail.docx", "A 29679-2023")</f>
        <v/>
      </c>
    </row>
    <row r="156" ht="15" customHeight="1">
      <c r="A156" t="inlineStr">
        <is>
          <t>A 32518-2023</t>
        </is>
      </c>
      <c r="B156" s="1" t="n">
        <v>45121</v>
      </c>
      <c r="C156" s="1" t="n">
        <v>45630</v>
      </c>
      <c r="D156" t="inlineStr">
        <is>
          <t>UPPSALA LÄN</t>
        </is>
      </c>
      <c r="E156" t="inlineStr">
        <is>
          <t>ÖSTHAMMAR</t>
        </is>
      </c>
      <c r="G156" t="n">
        <v>11.1</v>
      </c>
      <c r="H156" t="n">
        <v>0</v>
      </c>
      <c r="I156" t="n">
        <v>1</v>
      </c>
      <c r="J156" t="n">
        <v>0</v>
      </c>
      <c r="K156" t="n">
        <v>0</v>
      </c>
      <c r="L156" t="n">
        <v>0</v>
      </c>
      <c r="M156" t="n">
        <v>0</v>
      </c>
      <c r="N156" t="n">
        <v>0</v>
      </c>
      <c r="O156" t="n">
        <v>0</v>
      </c>
      <c r="P156" t="n">
        <v>0</v>
      </c>
      <c r="Q156" t="n">
        <v>1</v>
      </c>
      <c r="R156" s="2" t="inlineStr">
        <is>
          <t>Olivspindling</t>
        </is>
      </c>
      <c r="S156">
        <f>HYPERLINK("https://klasma.github.io/Logging_0382/artfynd/A 32518-2023 artfynd.xlsx", "A 32518-2023")</f>
        <v/>
      </c>
      <c r="T156">
        <f>HYPERLINK("https://klasma.github.io/Logging_0382/kartor/A 32518-2023 karta.png", "A 32518-2023")</f>
        <v/>
      </c>
      <c r="V156">
        <f>HYPERLINK("https://klasma.github.io/Logging_0382/klagomål/A 32518-2023 FSC-klagomål.docx", "A 32518-2023")</f>
        <v/>
      </c>
      <c r="W156">
        <f>HYPERLINK("https://klasma.github.io/Logging_0382/klagomålsmail/A 32518-2023 FSC-klagomål mail.docx", "A 32518-2023")</f>
        <v/>
      </c>
      <c r="X156">
        <f>HYPERLINK("https://klasma.github.io/Logging_0382/tillsyn/A 32518-2023 tillsynsbegäran.docx", "A 32518-2023")</f>
        <v/>
      </c>
      <c r="Y156">
        <f>HYPERLINK("https://klasma.github.io/Logging_0382/tillsynsmail/A 32518-2023 tillsynsbegäran mail.docx", "A 32518-2023")</f>
        <v/>
      </c>
    </row>
    <row r="157" ht="15" customHeight="1">
      <c r="A157" t="inlineStr">
        <is>
          <t>A 34090-2023</t>
        </is>
      </c>
      <c r="B157" s="1" t="n">
        <v>45135</v>
      </c>
      <c r="C157" s="1" t="n">
        <v>45630</v>
      </c>
      <c r="D157" t="inlineStr">
        <is>
          <t>UPPSALA LÄN</t>
        </is>
      </c>
      <c r="E157" t="inlineStr">
        <is>
          <t>ÖSTHAMMAR</t>
        </is>
      </c>
      <c r="F157" t="inlineStr">
        <is>
          <t>Bergvik skog öst AB</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HYPERLINK("https://klasma.github.io/Logging_0382/artfynd/A 34090-2023 artfynd.xlsx", "A 34090-2023")</f>
        <v/>
      </c>
      <c r="T157">
        <f>HYPERLINK("https://klasma.github.io/Logging_0382/kartor/A 34090-2023 karta.png", "A 34090-2023")</f>
        <v/>
      </c>
      <c r="V157">
        <f>HYPERLINK("https://klasma.github.io/Logging_0382/klagomål/A 34090-2023 FSC-klagomål.docx", "A 34090-2023")</f>
        <v/>
      </c>
      <c r="W157">
        <f>HYPERLINK("https://klasma.github.io/Logging_0382/klagomålsmail/A 34090-2023 FSC-klagomål mail.docx", "A 34090-2023")</f>
        <v/>
      </c>
      <c r="X157">
        <f>HYPERLINK("https://klasma.github.io/Logging_0382/tillsyn/A 34090-2023 tillsynsbegäran.docx", "A 34090-2023")</f>
        <v/>
      </c>
      <c r="Y157">
        <f>HYPERLINK("https://klasma.github.io/Logging_0382/tillsynsmail/A 34090-2023 tillsynsbegäran mail.docx", "A 34090-2023")</f>
        <v/>
      </c>
      <c r="Z157">
        <f>HYPERLINK("https://klasma.github.io/Logging_0382/fåglar/A 34090-2023 prioriterade fågelarter.docx", "A 34090-2023")</f>
        <v/>
      </c>
    </row>
    <row r="158" ht="15" customHeight="1">
      <c r="A158" t="inlineStr">
        <is>
          <t>A 36864-2023</t>
        </is>
      </c>
      <c r="B158" s="1" t="n">
        <v>45154</v>
      </c>
      <c r="C158" s="1" t="n">
        <v>45630</v>
      </c>
      <c r="D158" t="inlineStr">
        <is>
          <t>UPPSALA LÄN</t>
        </is>
      </c>
      <c r="E158" t="inlineStr">
        <is>
          <t>ÖSTHAMMAR</t>
        </is>
      </c>
      <c r="G158" t="n">
        <v>3.1</v>
      </c>
      <c r="H158" t="n">
        <v>0</v>
      </c>
      <c r="I158" t="n">
        <v>1</v>
      </c>
      <c r="J158" t="n">
        <v>0</v>
      </c>
      <c r="K158" t="n">
        <v>0</v>
      </c>
      <c r="L158" t="n">
        <v>0</v>
      </c>
      <c r="M158" t="n">
        <v>0</v>
      </c>
      <c r="N158" t="n">
        <v>0</v>
      </c>
      <c r="O158" t="n">
        <v>0</v>
      </c>
      <c r="P158" t="n">
        <v>0</v>
      </c>
      <c r="Q158" t="n">
        <v>1</v>
      </c>
      <c r="R158" s="2" t="inlineStr">
        <is>
          <t>Bronshjon</t>
        </is>
      </c>
      <c r="S158">
        <f>HYPERLINK("https://klasma.github.io/Logging_0382/artfynd/A 36864-2023 artfynd.xlsx", "A 36864-2023")</f>
        <v/>
      </c>
      <c r="T158">
        <f>HYPERLINK("https://klasma.github.io/Logging_0382/kartor/A 36864-2023 karta.png", "A 36864-2023")</f>
        <v/>
      </c>
      <c r="V158">
        <f>HYPERLINK("https://klasma.github.io/Logging_0382/klagomål/A 36864-2023 FSC-klagomål.docx", "A 36864-2023")</f>
        <v/>
      </c>
      <c r="W158">
        <f>HYPERLINK("https://klasma.github.io/Logging_0382/klagomålsmail/A 36864-2023 FSC-klagomål mail.docx", "A 36864-2023")</f>
        <v/>
      </c>
      <c r="X158">
        <f>HYPERLINK("https://klasma.github.io/Logging_0382/tillsyn/A 36864-2023 tillsynsbegäran.docx", "A 36864-2023")</f>
        <v/>
      </c>
      <c r="Y158">
        <f>HYPERLINK("https://klasma.github.io/Logging_0382/tillsynsmail/A 36864-2023 tillsynsbegäran mail.docx", "A 36864-2023")</f>
        <v/>
      </c>
    </row>
    <row r="159" ht="15" customHeight="1">
      <c r="A159" t="inlineStr">
        <is>
          <t>A 53706-2023</t>
        </is>
      </c>
      <c r="B159" s="1" t="n">
        <v>45230</v>
      </c>
      <c r="C159" s="1" t="n">
        <v>45630</v>
      </c>
      <c r="D159" t="inlineStr">
        <is>
          <t>UPPSALA LÄN</t>
        </is>
      </c>
      <c r="E159" t="inlineStr">
        <is>
          <t>ÖSTHAMMAR</t>
        </is>
      </c>
      <c r="G159" t="n">
        <v>2.9</v>
      </c>
      <c r="H159" t="n">
        <v>0</v>
      </c>
      <c r="I159" t="n">
        <v>1</v>
      </c>
      <c r="J159" t="n">
        <v>0</v>
      </c>
      <c r="K159" t="n">
        <v>0</v>
      </c>
      <c r="L159" t="n">
        <v>0</v>
      </c>
      <c r="M159" t="n">
        <v>0</v>
      </c>
      <c r="N159" t="n">
        <v>0</v>
      </c>
      <c r="O159" t="n">
        <v>0</v>
      </c>
      <c r="P159" t="n">
        <v>0</v>
      </c>
      <c r="Q159" t="n">
        <v>1</v>
      </c>
      <c r="R159" s="2" t="inlineStr">
        <is>
          <t>Dofttråding</t>
        </is>
      </c>
      <c r="S159">
        <f>HYPERLINK("https://klasma.github.io/Logging_0382/artfynd/A 53706-2023 artfynd.xlsx", "A 53706-2023")</f>
        <v/>
      </c>
      <c r="T159">
        <f>HYPERLINK("https://klasma.github.io/Logging_0382/kartor/A 53706-2023 karta.png", "A 53706-2023")</f>
        <v/>
      </c>
      <c r="V159">
        <f>HYPERLINK("https://klasma.github.io/Logging_0382/klagomål/A 53706-2023 FSC-klagomål.docx", "A 53706-2023")</f>
        <v/>
      </c>
      <c r="W159">
        <f>HYPERLINK("https://klasma.github.io/Logging_0382/klagomålsmail/A 53706-2023 FSC-klagomål mail.docx", "A 53706-2023")</f>
        <v/>
      </c>
      <c r="X159">
        <f>HYPERLINK("https://klasma.github.io/Logging_0382/tillsyn/A 53706-2023 tillsynsbegäran.docx", "A 53706-2023")</f>
        <v/>
      </c>
      <c r="Y159">
        <f>HYPERLINK("https://klasma.github.io/Logging_0382/tillsynsmail/A 53706-2023 tillsynsbegäran mail.docx", "A 53706-2023")</f>
        <v/>
      </c>
    </row>
    <row r="160" ht="15" customHeight="1">
      <c r="A160" t="inlineStr">
        <is>
          <t>A 53729-2023</t>
        </is>
      </c>
      <c r="B160" s="1" t="n">
        <v>45230</v>
      </c>
      <c r="C160" s="1" t="n">
        <v>45630</v>
      </c>
      <c r="D160" t="inlineStr">
        <is>
          <t>UPPSALA LÄN</t>
        </is>
      </c>
      <c r="E160" t="inlineStr">
        <is>
          <t>ÖSTHAMMAR</t>
        </is>
      </c>
      <c r="G160" t="n">
        <v>2.6</v>
      </c>
      <c r="H160" t="n">
        <v>1</v>
      </c>
      <c r="I160" t="n">
        <v>0</v>
      </c>
      <c r="J160" t="n">
        <v>0</v>
      </c>
      <c r="K160" t="n">
        <v>0</v>
      </c>
      <c r="L160" t="n">
        <v>0</v>
      </c>
      <c r="M160" t="n">
        <v>0</v>
      </c>
      <c r="N160" t="n">
        <v>0</v>
      </c>
      <c r="O160" t="n">
        <v>0</v>
      </c>
      <c r="P160" t="n">
        <v>0</v>
      </c>
      <c r="Q160" t="n">
        <v>1</v>
      </c>
      <c r="R160" s="2" t="inlineStr">
        <is>
          <t>Gullviva</t>
        </is>
      </c>
      <c r="S160">
        <f>HYPERLINK("https://klasma.github.io/Logging_0382/artfynd/A 53729-2023 artfynd.xlsx", "A 53729-2023")</f>
        <v/>
      </c>
      <c r="T160">
        <f>HYPERLINK("https://klasma.github.io/Logging_0382/kartor/A 53729-2023 karta.png", "A 53729-2023")</f>
        <v/>
      </c>
      <c r="V160">
        <f>HYPERLINK("https://klasma.github.io/Logging_0382/klagomål/A 53729-2023 FSC-klagomål.docx", "A 53729-2023")</f>
        <v/>
      </c>
      <c r="W160">
        <f>HYPERLINK("https://klasma.github.io/Logging_0382/klagomålsmail/A 53729-2023 FSC-klagomål mail.docx", "A 53729-2023")</f>
        <v/>
      </c>
      <c r="X160">
        <f>HYPERLINK("https://klasma.github.io/Logging_0382/tillsyn/A 53729-2023 tillsynsbegäran.docx", "A 53729-2023")</f>
        <v/>
      </c>
      <c r="Y160">
        <f>HYPERLINK("https://klasma.github.io/Logging_0382/tillsynsmail/A 53729-2023 tillsynsbegäran mail.docx", "A 53729-2023")</f>
        <v/>
      </c>
    </row>
    <row r="161" ht="15" customHeight="1">
      <c r="A161" t="inlineStr">
        <is>
          <t>A 55492-2023</t>
        </is>
      </c>
      <c r="B161" s="1" t="n">
        <v>45238</v>
      </c>
      <c r="C161" s="1" t="n">
        <v>45630</v>
      </c>
      <c r="D161" t="inlineStr">
        <is>
          <t>UPPSALA LÄN</t>
        </is>
      </c>
      <c r="E161" t="inlineStr">
        <is>
          <t>ÖSTHAMMAR</t>
        </is>
      </c>
      <c r="G161" t="n">
        <v>3.1</v>
      </c>
      <c r="H161" t="n">
        <v>0</v>
      </c>
      <c r="I161" t="n">
        <v>0</v>
      </c>
      <c r="J161" t="n">
        <v>0</v>
      </c>
      <c r="K161" t="n">
        <v>1</v>
      </c>
      <c r="L161" t="n">
        <v>0</v>
      </c>
      <c r="M161" t="n">
        <v>0</v>
      </c>
      <c r="N161" t="n">
        <v>0</v>
      </c>
      <c r="O161" t="n">
        <v>1</v>
      </c>
      <c r="P161" t="n">
        <v>1</v>
      </c>
      <c r="Q161" t="n">
        <v>1</v>
      </c>
      <c r="R161" s="2" t="inlineStr">
        <is>
          <t>Violgubbe</t>
        </is>
      </c>
      <c r="S161">
        <f>HYPERLINK("https://klasma.github.io/Logging_0382/artfynd/A 55492-2023 artfynd.xlsx", "A 55492-2023")</f>
        <v/>
      </c>
      <c r="T161">
        <f>HYPERLINK("https://klasma.github.io/Logging_0382/kartor/A 55492-2023 karta.png",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57598-2023</t>
        </is>
      </c>
      <c r="B162" s="1" t="n">
        <v>45246</v>
      </c>
      <c r="C162" s="1" t="n">
        <v>45630</v>
      </c>
      <c r="D162" t="inlineStr">
        <is>
          <t>UPPSALA LÄN</t>
        </is>
      </c>
      <c r="E162" t="inlineStr">
        <is>
          <t>ÖSTHAMMAR</t>
        </is>
      </c>
      <c r="F162" t="inlineStr">
        <is>
          <t>Bergvik skog öst AB</t>
        </is>
      </c>
      <c r="G162" t="n">
        <v>1</v>
      </c>
      <c r="H162" t="n">
        <v>1</v>
      </c>
      <c r="I162" t="n">
        <v>1</v>
      </c>
      <c r="J162" t="n">
        <v>0</v>
      </c>
      <c r="K162" t="n">
        <v>0</v>
      </c>
      <c r="L162" t="n">
        <v>0</v>
      </c>
      <c r="M162" t="n">
        <v>0</v>
      </c>
      <c r="N162" t="n">
        <v>0</v>
      </c>
      <c r="O162" t="n">
        <v>0</v>
      </c>
      <c r="P162" t="n">
        <v>0</v>
      </c>
      <c r="Q162" t="n">
        <v>1</v>
      </c>
      <c r="R162" s="2" t="inlineStr">
        <is>
          <t>Skogsknipprot</t>
        </is>
      </c>
      <c r="S162">
        <f>HYPERLINK("https://klasma.github.io/Logging_0382/artfynd/A 57598-2023 artfynd.xlsx", "A 57598-2023")</f>
        <v/>
      </c>
      <c r="T162">
        <f>HYPERLINK("https://klasma.github.io/Logging_0382/kartor/A 57598-2023 karta.png", "A 57598-2023")</f>
        <v/>
      </c>
      <c r="V162">
        <f>HYPERLINK("https://klasma.github.io/Logging_0382/klagomål/A 57598-2023 FSC-klagomål.docx", "A 57598-2023")</f>
        <v/>
      </c>
      <c r="W162">
        <f>HYPERLINK("https://klasma.github.io/Logging_0382/klagomålsmail/A 57598-2023 FSC-klagomål mail.docx", "A 57598-2023")</f>
        <v/>
      </c>
      <c r="X162">
        <f>HYPERLINK("https://klasma.github.io/Logging_0382/tillsyn/A 57598-2023 tillsynsbegäran.docx", "A 57598-2023")</f>
        <v/>
      </c>
      <c r="Y162">
        <f>HYPERLINK("https://klasma.github.io/Logging_0382/tillsynsmail/A 57598-2023 tillsynsbegäran mail.docx", "A 57598-2023")</f>
        <v/>
      </c>
    </row>
    <row r="163" ht="15" customHeight="1">
      <c r="A163" t="inlineStr">
        <is>
          <t>A 57607-2023</t>
        </is>
      </c>
      <c r="B163" s="1" t="n">
        <v>45246</v>
      </c>
      <c r="C163" s="1" t="n">
        <v>45630</v>
      </c>
      <c r="D163" t="inlineStr">
        <is>
          <t>UPPSALA LÄN</t>
        </is>
      </c>
      <c r="E163" t="inlineStr">
        <is>
          <t>ÖSTHAMMAR</t>
        </is>
      </c>
      <c r="F163" t="inlineStr">
        <is>
          <t>Bergvik skog öst AB</t>
        </is>
      </c>
      <c r="G163" t="n">
        <v>5.8</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57607-2023 artfynd.xlsx", "A 57607-2023")</f>
        <v/>
      </c>
      <c r="T163">
        <f>HYPERLINK("https://klasma.github.io/Logging_0382/kartor/A 57607-2023 karta.png", "A 57607-2023")</f>
        <v/>
      </c>
      <c r="V163">
        <f>HYPERLINK("https://klasma.github.io/Logging_0382/klagomål/A 57607-2023 FSC-klagomål.docx", "A 57607-2023")</f>
        <v/>
      </c>
      <c r="W163">
        <f>HYPERLINK("https://klasma.github.io/Logging_0382/klagomålsmail/A 57607-2023 FSC-klagomål mail.docx", "A 57607-2023")</f>
        <v/>
      </c>
      <c r="X163">
        <f>HYPERLINK("https://klasma.github.io/Logging_0382/tillsyn/A 57607-2023 tillsynsbegäran.docx", "A 57607-2023")</f>
        <v/>
      </c>
      <c r="Y163">
        <f>HYPERLINK("https://klasma.github.io/Logging_0382/tillsynsmail/A 57607-2023 tillsynsbegäran mail.docx", "A 57607-2023")</f>
        <v/>
      </c>
    </row>
    <row r="164" ht="15" customHeight="1">
      <c r="A164" t="inlineStr">
        <is>
          <t>A 57640-2023</t>
        </is>
      </c>
      <c r="B164" s="1" t="n">
        <v>45246</v>
      </c>
      <c r="C164" s="1" t="n">
        <v>45630</v>
      </c>
      <c r="D164" t="inlineStr">
        <is>
          <t>UPPSALA LÄN</t>
        </is>
      </c>
      <c r="E164" t="inlineStr">
        <is>
          <t>ÖSTHAMMAR</t>
        </is>
      </c>
      <c r="F164" t="inlineStr">
        <is>
          <t>Bergvik skog öst AB</t>
        </is>
      </c>
      <c r="G164" t="n">
        <v>2.3</v>
      </c>
      <c r="H164" t="n">
        <v>0</v>
      </c>
      <c r="I164" t="n">
        <v>1</v>
      </c>
      <c r="J164" t="n">
        <v>0</v>
      </c>
      <c r="K164" t="n">
        <v>0</v>
      </c>
      <c r="L164" t="n">
        <v>0</v>
      </c>
      <c r="M164" t="n">
        <v>0</v>
      </c>
      <c r="N164" t="n">
        <v>0</v>
      </c>
      <c r="O164" t="n">
        <v>0</v>
      </c>
      <c r="P164" t="n">
        <v>0</v>
      </c>
      <c r="Q164" t="n">
        <v>1</v>
      </c>
      <c r="R164" s="2" t="inlineStr">
        <is>
          <t>Svavelriska</t>
        </is>
      </c>
      <c r="S164">
        <f>HYPERLINK("https://klasma.github.io/Logging_0382/artfynd/A 57640-2023 artfynd.xlsx", "A 57640-2023")</f>
        <v/>
      </c>
      <c r="T164">
        <f>HYPERLINK("https://klasma.github.io/Logging_0382/kartor/A 57640-2023 karta.png", "A 57640-2023")</f>
        <v/>
      </c>
      <c r="V164">
        <f>HYPERLINK("https://klasma.github.io/Logging_0382/klagomål/A 57640-2023 FSC-klagomål.docx", "A 57640-2023")</f>
        <v/>
      </c>
      <c r="W164">
        <f>HYPERLINK("https://klasma.github.io/Logging_0382/klagomålsmail/A 57640-2023 FSC-klagomål mail.docx", "A 57640-2023")</f>
        <v/>
      </c>
      <c r="X164">
        <f>HYPERLINK("https://klasma.github.io/Logging_0382/tillsyn/A 57640-2023 tillsynsbegäran.docx", "A 57640-2023")</f>
        <v/>
      </c>
      <c r="Y164">
        <f>HYPERLINK("https://klasma.github.io/Logging_0382/tillsynsmail/A 57640-2023 tillsynsbegäran mail.docx", "A 57640-2023")</f>
        <v/>
      </c>
    </row>
    <row r="165" ht="15" customHeight="1">
      <c r="A165" t="inlineStr">
        <is>
          <t>A 4048-2024</t>
        </is>
      </c>
      <c r="B165" s="1" t="n">
        <v>45323</v>
      </c>
      <c r="C165" s="1" t="n">
        <v>45630</v>
      </c>
      <c r="D165" t="inlineStr">
        <is>
          <t>UPPSALA LÄN</t>
        </is>
      </c>
      <c r="E165" t="inlineStr">
        <is>
          <t>ÖSTHAMMAR</t>
        </is>
      </c>
      <c r="F165" t="inlineStr">
        <is>
          <t>Övriga Aktiebolag</t>
        </is>
      </c>
      <c r="G165" t="n">
        <v>21.2</v>
      </c>
      <c r="H165" t="n">
        <v>0</v>
      </c>
      <c r="I165" t="n">
        <v>0</v>
      </c>
      <c r="J165" t="n">
        <v>1</v>
      </c>
      <c r="K165" t="n">
        <v>0</v>
      </c>
      <c r="L165" t="n">
        <v>0</v>
      </c>
      <c r="M165" t="n">
        <v>0</v>
      </c>
      <c r="N165" t="n">
        <v>0</v>
      </c>
      <c r="O165" t="n">
        <v>1</v>
      </c>
      <c r="P165" t="n">
        <v>0</v>
      </c>
      <c r="Q165" t="n">
        <v>1</v>
      </c>
      <c r="R165" s="2" t="inlineStr">
        <is>
          <t>Slåtterfibbla</t>
        </is>
      </c>
      <c r="S165">
        <f>HYPERLINK("https://klasma.github.io/Logging_0382/artfynd/A 4048-2024 artfynd.xlsx", "A 4048-2024")</f>
        <v/>
      </c>
      <c r="T165">
        <f>HYPERLINK("https://klasma.github.io/Logging_0382/kartor/A 4048-2024 karta.png", "A 4048-2024")</f>
        <v/>
      </c>
      <c r="V165">
        <f>HYPERLINK("https://klasma.github.io/Logging_0382/klagomål/A 4048-2024 FSC-klagomål.docx", "A 4048-2024")</f>
        <v/>
      </c>
      <c r="W165">
        <f>HYPERLINK("https://klasma.github.io/Logging_0382/klagomålsmail/A 4048-2024 FSC-klagomål mail.docx", "A 4048-2024")</f>
        <v/>
      </c>
      <c r="X165">
        <f>HYPERLINK("https://klasma.github.io/Logging_0382/tillsyn/A 4048-2024 tillsynsbegäran.docx", "A 4048-2024")</f>
        <v/>
      </c>
      <c r="Y165">
        <f>HYPERLINK("https://klasma.github.io/Logging_0382/tillsynsmail/A 4048-2024 tillsynsbegäran mail.docx", "A 4048-2024")</f>
        <v/>
      </c>
    </row>
    <row r="166" ht="15" customHeight="1">
      <c r="A166" t="inlineStr">
        <is>
          <t>A 10210-2024</t>
        </is>
      </c>
      <c r="B166" s="1" t="n">
        <v>45364</v>
      </c>
      <c r="C166" s="1" t="n">
        <v>45630</v>
      </c>
      <c r="D166" t="inlineStr">
        <is>
          <t>UPPSALA LÄN</t>
        </is>
      </c>
      <c r="E166" t="inlineStr">
        <is>
          <t>ÖSTHAMMAR</t>
        </is>
      </c>
      <c r="F166" t="inlineStr">
        <is>
          <t>Bergvik skog öst AB</t>
        </is>
      </c>
      <c r="G166" t="n">
        <v>18</v>
      </c>
      <c r="H166" t="n">
        <v>1</v>
      </c>
      <c r="I166" t="n">
        <v>0</v>
      </c>
      <c r="J166" t="n">
        <v>0</v>
      </c>
      <c r="K166" t="n">
        <v>0</v>
      </c>
      <c r="L166" t="n">
        <v>0</v>
      </c>
      <c r="M166" t="n">
        <v>0</v>
      </c>
      <c r="N166" t="n">
        <v>0</v>
      </c>
      <c r="O166" t="n">
        <v>0</v>
      </c>
      <c r="P166" t="n">
        <v>0</v>
      </c>
      <c r="Q166" t="n">
        <v>1</v>
      </c>
      <c r="R166" s="2" t="inlineStr">
        <is>
          <t>Tjäder</t>
        </is>
      </c>
      <c r="S166">
        <f>HYPERLINK("https://klasma.github.io/Logging_0382/artfynd/A 10210-2024 artfynd.xlsx", "A 10210-2024")</f>
        <v/>
      </c>
      <c r="T166">
        <f>HYPERLINK("https://klasma.github.io/Logging_0382/kartor/A 10210-2024 karta.png", "A 10210-2024")</f>
        <v/>
      </c>
      <c r="V166">
        <f>HYPERLINK("https://klasma.github.io/Logging_0382/klagomål/A 10210-2024 FSC-klagomål.docx", "A 10210-2024")</f>
        <v/>
      </c>
      <c r="W166">
        <f>HYPERLINK("https://klasma.github.io/Logging_0382/klagomålsmail/A 10210-2024 FSC-klagomål mail.docx", "A 10210-2024")</f>
        <v/>
      </c>
      <c r="X166">
        <f>HYPERLINK("https://klasma.github.io/Logging_0382/tillsyn/A 10210-2024 tillsynsbegäran.docx", "A 10210-2024")</f>
        <v/>
      </c>
      <c r="Y166">
        <f>HYPERLINK("https://klasma.github.io/Logging_0382/tillsynsmail/A 10210-2024 tillsynsbegäran mail.docx", "A 10210-2024")</f>
        <v/>
      </c>
      <c r="Z166">
        <f>HYPERLINK("https://klasma.github.io/Logging_0382/fåglar/A 10210-2024 prioriterade fågelarter.docx", "A 10210-2024")</f>
        <v/>
      </c>
    </row>
    <row r="167" ht="15" customHeight="1">
      <c r="A167" t="inlineStr">
        <is>
          <t>A 12753-2024</t>
        </is>
      </c>
      <c r="B167" s="1" t="n">
        <v>45384</v>
      </c>
      <c r="C167" s="1" t="n">
        <v>45630</v>
      </c>
      <c r="D167" t="inlineStr">
        <is>
          <t>UPPSALA LÄN</t>
        </is>
      </c>
      <c r="E167" t="inlineStr">
        <is>
          <t>ÖSTHAMMAR</t>
        </is>
      </c>
      <c r="G167" t="n">
        <v>1.7</v>
      </c>
      <c r="H167" t="n">
        <v>0</v>
      </c>
      <c r="I167" t="n">
        <v>0</v>
      </c>
      <c r="J167" t="n">
        <v>1</v>
      </c>
      <c r="K167" t="n">
        <v>0</v>
      </c>
      <c r="L167" t="n">
        <v>0</v>
      </c>
      <c r="M167" t="n">
        <v>0</v>
      </c>
      <c r="N167" t="n">
        <v>0</v>
      </c>
      <c r="O167" t="n">
        <v>1</v>
      </c>
      <c r="P167" t="n">
        <v>0</v>
      </c>
      <c r="Q167" t="n">
        <v>1</v>
      </c>
      <c r="R167" s="2" t="inlineStr">
        <is>
          <t>Flattoppad klubbsvamp</t>
        </is>
      </c>
      <c r="S167">
        <f>HYPERLINK("https://klasma.github.io/Logging_0382/artfynd/A 12753-2024 artfynd.xlsx", "A 12753-2024")</f>
        <v/>
      </c>
      <c r="T167">
        <f>HYPERLINK("https://klasma.github.io/Logging_0382/kartor/A 12753-2024 karta.png", "A 12753-2024")</f>
        <v/>
      </c>
      <c r="V167">
        <f>HYPERLINK("https://klasma.github.io/Logging_0382/klagomål/A 12753-2024 FSC-klagomål.docx", "A 12753-2024")</f>
        <v/>
      </c>
      <c r="W167">
        <f>HYPERLINK("https://klasma.github.io/Logging_0382/klagomålsmail/A 12753-2024 FSC-klagomål mail.docx", "A 12753-2024")</f>
        <v/>
      </c>
      <c r="X167">
        <f>HYPERLINK("https://klasma.github.io/Logging_0382/tillsyn/A 12753-2024 tillsynsbegäran.docx", "A 12753-2024")</f>
        <v/>
      </c>
      <c r="Y167">
        <f>HYPERLINK("https://klasma.github.io/Logging_0382/tillsynsmail/A 12753-2024 tillsynsbegäran mail.docx", "A 12753-2024")</f>
        <v/>
      </c>
    </row>
    <row r="168" ht="15" customHeight="1">
      <c r="A168" t="inlineStr">
        <is>
          <t>A 14203-2024</t>
        </is>
      </c>
      <c r="B168" s="1" t="n">
        <v>45393</v>
      </c>
      <c r="C168" s="1" t="n">
        <v>45630</v>
      </c>
      <c r="D168" t="inlineStr">
        <is>
          <t>UPPSALA LÄN</t>
        </is>
      </c>
      <c r="E168" t="inlineStr">
        <is>
          <t>ÖSTHAMMAR</t>
        </is>
      </c>
      <c r="G168" t="n">
        <v>1.4</v>
      </c>
      <c r="H168" t="n">
        <v>0</v>
      </c>
      <c r="I168" t="n">
        <v>0</v>
      </c>
      <c r="J168" t="n">
        <v>1</v>
      </c>
      <c r="K168" t="n">
        <v>0</v>
      </c>
      <c r="L168" t="n">
        <v>0</v>
      </c>
      <c r="M168" t="n">
        <v>0</v>
      </c>
      <c r="N168" t="n">
        <v>0</v>
      </c>
      <c r="O168" t="n">
        <v>1</v>
      </c>
      <c r="P168" t="n">
        <v>0</v>
      </c>
      <c r="Q168" t="n">
        <v>1</v>
      </c>
      <c r="R168" s="2" t="inlineStr">
        <is>
          <t>Scharlakansvaxskivling</t>
        </is>
      </c>
      <c r="S168">
        <f>HYPERLINK("https://klasma.github.io/Logging_0382/artfynd/A 14203-2024 artfynd.xlsx", "A 14203-2024")</f>
        <v/>
      </c>
      <c r="T168">
        <f>HYPERLINK("https://klasma.github.io/Logging_0382/kartor/A 14203-2024 karta.png", "A 14203-2024")</f>
        <v/>
      </c>
      <c r="V168">
        <f>HYPERLINK("https://klasma.github.io/Logging_0382/klagomål/A 14203-2024 FSC-klagomål.docx", "A 14203-2024")</f>
        <v/>
      </c>
      <c r="W168">
        <f>HYPERLINK("https://klasma.github.io/Logging_0382/klagomålsmail/A 14203-2024 FSC-klagomål mail.docx", "A 14203-2024")</f>
        <v/>
      </c>
      <c r="X168">
        <f>HYPERLINK("https://klasma.github.io/Logging_0382/tillsyn/A 14203-2024 tillsynsbegäran.docx", "A 14203-2024")</f>
        <v/>
      </c>
      <c r="Y168">
        <f>HYPERLINK("https://klasma.github.io/Logging_0382/tillsynsmail/A 14203-2024 tillsynsbegäran mail.docx", "A 14203-2024")</f>
        <v/>
      </c>
    </row>
    <row r="169" ht="15" customHeight="1">
      <c r="A169" t="inlineStr">
        <is>
          <t>A 22375-2024</t>
        </is>
      </c>
      <c r="B169" s="1" t="n">
        <v>45446</v>
      </c>
      <c r="C169" s="1" t="n">
        <v>45630</v>
      </c>
      <c r="D169" t="inlineStr">
        <is>
          <t>UPPSALA LÄN</t>
        </is>
      </c>
      <c r="E169" t="inlineStr">
        <is>
          <t>ÖSTHAMMAR</t>
        </is>
      </c>
      <c r="F169" t="inlineStr">
        <is>
          <t>Bergvik skog öst AB</t>
        </is>
      </c>
      <c r="G169" t="n">
        <v>2.2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22375-2024 artfynd.xlsx", "A 22375-2024")</f>
        <v/>
      </c>
      <c r="T169">
        <f>HYPERLINK("https://klasma.github.io/Logging_0382/kartor/A 22375-2024 karta.png", "A 22375-2024")</f>
        <v/>
      </c>
      <c r="V169">
        <f>HYPERLINK("https://klasma.github.io/Logging_0382/klagomål/A 22375-2024 FSC-klagomål.docx", "A 22375-2024")</f>
        <v/>
      </c>
      <c r="W169">
        <f>HYPERLINK("https://klasma.github.io/Logging_0382/klagomålsmail/A 22375-2024 FSC-klagomål mail.docx", "A 22375-2024")</f>
        <v/>
      </c>
      <c r="X169">
        <f>HYPERLINK("https://klasma.github.io/Logging_0382/tillsyn/A 22375-2024 tillsynsbegäran.docx", "A 22375-2024")</f>
        <v/>
      </c>
      <c r="Y169">
        <f>HYPERLINK("https://klasma.github.io/Logging_0382/tillsynsmail/A 22375-2024 tillsynsbegäran mail.docx", "A 22375-2024")</f>
        <v/>
      </c>
    </row>
    <row r="170" ht="15" customHeight="1">
      <c r="A170" t="inlineStr">
        <is>
          <t>A 36622-2024</t>
        </is>
      </c>
      <c r="B170" s="1" t="n">
        <v>45537</v>
      </c>
      <c r="C170" s="1" t="n">
        <v>45630</v>
      </c>
      <c r="D170" t="inlineStr">
        <is>
          <t>UPPSALA LÄN</t>
        </is>
      </c>
      <c r="E170" t="inlineStr">
        <is>
          <t>ÖSTHAMMAR</t>
        </is>
      </c>
      <c r="F170" t="inlineStr">
        <is>
          <t>Bergvik skog väst AB</t>
        </is>
      </c>
      <c r="G170" t="n">
        <v>5.2</v>
      </c>
      <c r="H170" t="n">
        <v>1</v>
      </c>
      <c r="I170" t="n">
        <v>0</v>
      </c>
      <c r="J170" t="n">
        <v>0</v>
      </c>
      <c r="K170" t="n">
        <v>0</v>
      </c>
      <c r="L170" t="n">
        <v>0</v>
      </c>
      <c r="M170" t="n">
        <v>0</v>
      </c>
      <c r="N170" t="n">
        <v>0</v>
      </c>
      <c r="O170" t="n">
        <v>0</v>
      </c>
      <c r="P170" t="n">
        <v>0</v>
      </c>
      <c r="Q170" t="n">
        <v>1</v>
      </c>
      <c r="R170" s="2" t="inlineStr">
        <is>
          <t>Blåsippa</t>
        </is>
      </c>
      <c r="S170">
        <f>HYPERLINK("https://klasma.github.io/Logging_0382/artfynd/A 36622-2024 artfynd.xlsx", "A 36622-2024")</f>
        <v/>
      </c>
      <c r="T170">
        <f>HYPERLINK("https://klasma.github.io/Logging_0382/kartor/A 36622-2024 karta.png", "A 36622-2024")</f>
        <v/>
      </c>
      <c r="V170">
        <f>HYPERLINK("https://klasma.github.io/Logging_0382/klagomål/A 36622-2024 FSC-klagomål.docx", "A 36622-2024")</f>
        <v/>
      </c>
      <c r="W170">
        <f>HYPERLINK("https://klasma.github.io/Logging_0382/klagomålsmail/A 36622-2024 FSC-klagomål mail.docx", "A 36622-2024")</f>
        <v/>
      </c>
      <c r="X170">
        <f>HYPERLINK("https://klasma.github.io/Logging_0382/tillsyn/A 36622-2024 tillsynsbegäran.docx", "A 36622-2024")</f>
        <v/>
      </c>
      <c r="Y170">
        <f>HYPERLINK("https://klasma.github.io/Logging_0382/tillsynsmail/A 36622-2024 tillsynsbegäran mail.docx", "A 36622-2024")</f>
        <v/>
      </c>
    </row>
    <row r="171" ht="15" customHeight="1">
      <c r="A171" t="inlineStr">
        <is>
          <t>A 46632-2024</t>
        </is>
      </c>
      <c r="B171" s="1" t="n">
        <v>45583</v>
      </c>
      <c r="C171" s="1" t="n">
        <v>45630</v>
      </c>
      <c r="D171" t="inlineStr">
        <is>
          <t>UPPSALA LÄN</t>
        </is>
      </c>
      <c r="E171" t="inlineStr">
        <is>
          <t>ÖSTHAMMAR</t>
        </is>
      </c>
      <c r="F171" t="inlineStr">
        <is>
          <t>Bergvik skog öst AB</t>
        </is>
      </c>
      <c r="G171" t="n">
        <v>5.3</v>
      </c>
      <c r="H171" t="n">
        <v>0</v>
      </c>
      <c r="I171" t="n">
        <v>0</v>
      </c>
      <c r="J171" t="n">
        <v>1</v>
      </c>
      <c r="K171" t="n">
        <v>0</v>
      </c>
      <c r="L171" t="n">
        <v>0</v>
      </c>
      <c r="M171" t="n">
        <v>0</v>
      </c>
      <c r="N171" t="n">
        <v>0</v>
      </c>
      <c r="O171" t="n">
        <v>1</v>
      </c>
      <c r="P171" t="n">
        <v>0</v>
      </c>
      <c r="Q171" t="n">
        <v>1</v>
      </c>
      <c r="R171" s="2" t="inlineStr">
        <is>
          <t>Sexfläckig bastardsvärmare</t>
        </is>
      </c>
      <c r="S171">
        <f>HYPERLINK("https://klasma.github.io/Logging_0382/artfynd/A 46632-2024 artfynd.xlsx", "A 46632-2024")</f>
        <v/>
      </c>
      <c r="T171">
        <f>HYPERLINK("https://klasma.github.io/Logging_0382/kartor/A 46632-2024 karta.png", "A 46632-2024")</f>
        <v/>
      </c>
      <c r="V171">
        <f>HYPERLINK("https://klasma.github.io/Logging_0382/klagomål/A 46632-2024 FSC-klagomål.docx", "A 46632-2024")</f>
        <v/>
      </c>
      <c r="W171">
        <f>HYPERLINK("https://klasma.github.io/Logging_0382/klagomålsmail/A 46632-2024 FSC-klagomål mail.docx", "A 46632-2024")</f>
        <v/>
      </c>
      <c r="X171">
        <f>HYPERLINK("https://klasma.github.io/Logging_0382/tillsyn/A 46632-2024 tillsynsbegäran.docx", "A 46632-2024")</f>
        <v/>
      </c>
      <c r="Y171">
        <f>HYPERLINK("https://klasma.github.io/Logging_0382/tillsynsmail/A 46632-2024 tillsynsbegäran mail.docx", "A 46632-2024")</f>
        <v/>
      </c>
    </row>
    <row r="172" ht="15" customHeight="1">
      <c r="A172" t="inlineStr">
        <is>
          <t>A 46629-2024</t>
        </is>
      </c>
      <c r="B172" s="1" t="n">
        <v>45583</v>
      </c>
      <c r="C172" s="1" t="n">
        <v>45630</v>
      </c>
      <c r="D172" t="inlineStr">
        <is>
          <t>UPPSALA LÄN</t>
        </is>
      </c>
      <c r="E172" t="inlineStr">
        <is>
          <t>ÖSTHAMMAR</t>
        </is>
      </c>
      <c r="F172" t="inlineStr">
        <is>
          <t>Bergvik skog öst AB</t>
        </is>
      </c>
      <c r="G172" t="n">
        <v>0.7</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46629-2024 artfynd.xlsx", "A 46629-2024")</f>
        <v/>
      </c>
      <c r="T172">
        <f>HYPERLINK("https://klasma.github.io/Logging_0382/kartor/A 46629-2024 karta.png", "A 46629-2024")</f>
        <v/>
      </c>
      <c r="V172">
        <f>HYPERLINK("https://klasma.github.io/Logging_0382/klagomål/A 46629-2024 FSC-klagomål.docx", "A 46629-2024")</f>
        <v/>
      </c>
      <c r="W172">
        <f>HYPERLINK("https://klasma.github.io/Logging_0382/klagomålsmail/A 46629-2024 FSC-klagomål mail.docx", "A 46629-2024")</f>
        <v/>
      </c>
      <c r="X172">
        <f>HYPERLINK("https://klasma.github.io/Logging_0382/tillsyn/A 46629-2024 tillsynsbegäran.docx", "A 46629-2024")</f>
        <v/>
      </c>
      <c r="Y172">
        <f>HYPERLINK("https://klasma.github.io/Logging_0382/tillsynsmail/A 46629-2024 tillsynsbegäran mail.docx", "A 46629-2024")</f>
        <v/>
      </c>
    </row>
    <row r="173" ht="15" customHeight="1">
      <c r="A173" t="inlineStr">
        <is>
          <t>A 55169-2024</t>
        </is>
      </c>
      <c r="B173" s="1" t="n">
        <v>45621</v>
      </c>
      <c r="C173" s="1" t="n">
        <v>45630</v>
      </c>
      <c r="D173" t="inlineStr">
        <is>
          <t>UPPSALA LÄN</t>
        </is>
      </c>
      <c r="E173" t="inlineStr">
        <is>
          <t>ÖSTHAMMAR</t>
        </is>
      </c>
      <c r="G173" t="n">
        <v>1.1</v>
      </c>
      <c r="H173" t="n">
        <v>0</v>
      </c>
      <c r="I173" t="n">
        <v>1</v>
      </c>
      <c r="J173" t="n">
        <v>0</v>
      </c>
      <c r="K173" t="n">
        <v>0</v>
      </c>
      <c r="L173" t="n">
        <v>0</v>
      </c>
      <c r="M173" t="n">
        <v>0</v>
      </c>
      <c r="N173" t="n">
        <v>0</v>
      </c>
      <c r="O173" t="n">
        <v>0</v>
      </c>
      <c r="P173" t="n">
        <v>0</v>
      </c>
      <c r="Q173" t="n">
        <v>1</v>
      </c>
      <c r="R173" s="2" t="inlineStr">
        <is>
          <t>Svavelriska</t>
        </is>
      </c>
      <c r="S173">
        <f>HYPERLINK("https://klasma.github.io/Logging_0382/artfynd/A 55169-2024 artfynd.xlsx", "A 55169-2024")</f>
        <v/>
      </c>
      <c r="T173">
        <f>HYPERLINK("https://klasma.github.io/Logging_0382/kartor/A 55169-2024 karta.png", "A 55169-2024")</f>
        <v/>
      </c>
      <c r="V173">
        <f>HYPERLINK("https://klasma.github.io/Logging_0382/klagomål/A 55169-2024 FSC-klagomål.docx", "A 55169-2024")</f>
        <v/>
      </c>
      <c r="W173">
        <f>HYPERLINK("https://klasma.github.io/Logging_0382/klagomålsmail/A 55169-2024 FSC-klagomål mail.docx", "A 55169-2024")</f>
        <v/>
      </c>
      <c r="X173">
        <f>HYPERLINK("https://klasma.github.io/Logging_0382/tillsyn/A 55169-2024 tillsynsbegäran.docx", "A 55169-2024")</f>
        <v/>
      </c>
      <c r="Y173">
        <f>HYPERLINK("https://klasma.github.io/Logging_0382/tillsynsmail/A 55169-2024 tillsynsbegäran mail.docx", "A 55169-2024")</f>
        <v/>
      </c>
    </row>
    <row r="174" ht="15" customHeight="1">
      <c r="A174" t="inlineStr">
        <is>
          <t>A 18596-2019</t>
        </is>
      </c>
      <c r="B174" s="1" t="n">
        <v>43560</v>
      </c>
      <c r="C174" s="1" t="n">
        <v>45630</v>
      </c>
      <c r="D174" t="inlineStr">
        <is>
          <t>UPPSALA LÄN</t>
        </is>
      </c>
      <c r="E174" t="inlineStr">
        <is>
          <t>ÖSTHAMMAR</t>
        </is>
      </c>
      <c r="G174" t="n">
        <v>1.2</v>
      </c>
      <c r="H174" t="n">
        <v>0</v>
      </c>
      <c r="I174" t="n">
        <v>0</v>
      </c>
      <c r="J174" t="n">
        <v>0</v>
      </c>
      <c r="K174" t="n">
        <v>0</v>
      </c>
      <c r="L174" t="n">
        <v>0</v>
      </c>
      <c r="M174" t="n">
        <v>0</v>
      </c>
      <c r="N174" t="n">
        <v>0</v>
      </c>
      <c r="O174" t="n">
        <v>0</v>
      </c>
      <c r="P174" t="n">
        <v>0</v>
      </c>
      <c r="Q174" t="n">
        <v>0</v>
      </c>
      <c r="R174" s="2" t="inlineStr"/>
    </row>
    <row r="175" ht="15" customHeight="1">
      <c r="A175" t="inlineStr">
        <is>
          <t>A 18781-2019</t>
        </is>
      </c>
      <c r="B175" s="1" t="n">
        <v>43561</v>
      </c>
      <c r="C175" s="1" t="n">
        <v>45630</v>
      </c>
      <c r="D175" t="inlineStr">
        <is>
          <t>UPPSALA LÄN</t>
        </is>
      </c>
      <c r="E175" t="inlineStr">
        <is>
          <t>ÖSTHAMMAR</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18792-2019</t>
        </is>
      </c>
      <c r="B176" s="1" t="n">
        <v>43562</v>
      </c>
      <c r="C176" s="1" t="n">
        <v>45630</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18800-2019</t>
        </is>
      </c>
      <c r="B177" s="1" t="n">
        <v>43562</v>
      </c>
      <c r="C177" s="1" t="n">
        <v>45630</v>
      </c>
      <c r="D177" t="inlineStr">
        <is>
          <t>UPPSALA LÄN</t>
        </is>
      </c>
      <c r="E177" t="inlineStr">
        <is>
          <t>ÖSTHAMMAR</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20683-2019</t>
        </is>
      </c>
      <c r="B178" s="1" t="n">
        <v>43573</v>
      </c>
      <c r="C178" s="1" t="n">
        <v>45630</v>
      </c>
      <c r="D178" t="inlineStr">
        <is>
          <t>UPPSALA LÄN</t>
        </is>
      </c>
      <c r="E178" t="inlineStr">
        <is>
          <t>ÖSTHAMMAR</t>
        </is>
      </c>
      <c r="G178" t="n">
        <v>2.6</v>
      </c>
      <c r="H178" t="n">
        <v>0</v>
      </c>
      <c r="I178" t="n">
        <v>0</v>
      </c>
      <c r="J178" t="n">
        <v>0</v>
      </c>
      <c r="K178" t="n">
        <v>0</v>
      </c>
      <c r="L178" t="n">
        <v>0</v>
      </c>
      <c r="M178" t="n">
        <v>0</v>
      </c>
      <c r="N178" t="n">
        <v>0</v>
      </c>
      <c r="O178" t="n">
        <v>0</v>
      </c>
      <c r="P178" t="n">
        <v>0</v>
      </c>
      <c r="Q178" t="n">
        <v>0</v>
      </c>
      <c r="R178" s="2" t="inlineStr"/>
    </row>
    <row r="179" ht="15" customHeight="1">
      <c r="A179" t="inlineStr">
        <is>
          <t>A 21471-2019</t>
        </is>
      </c>
      <c r="B179" s="1" t="n">
        <v>43580</v>
      </c>
      <c r="C179" s="1" t="n">
        <v>45630</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22800-2019</t>
        </is>
      </c>
      <c r="B180" s="1" t="n">
        <v>43590</v>
      </c>
      <c r="C180" s="1" t="n">
        <v>45630</v>
      </c>
      <c r="D180" t="inlineStr">
        <is>
          <t>UPPSALA LÄN</t>
        </is>
      </c>
      <c r="E180" t="inlineStr">
        <is>
          <t>ÖSTHAMMAR</t>
        </is>
      </c>
      <c r="G180" t="n">
        <v>1.5</v>
      </c>
      <c r="H180" t="n">
        <v>0</v>
      </c>
      <c r="I180" t="n">
        <v>0</v>
      </c>
      <c r="J180" t="n">
        <v>0</v>
      </c>
      <c r="K180" t="n">
        <v>0</v>
      </c>
      <c r="L180" t="n">
        <v>0</v>
      </c>
      <c r="M180" t="n">
        <v>0</v>
      </c>
      <c r="N180" t="n">
        <v>0</v>
      </c>
      <c r="O180" t="n">
        <v>0</v>
      </c>
      <c r="P180" t="n">
        <v>0</v>
      </c>
      <c r="Q180" t="n">
        <v>0</v>
      </c>
      <c r="R180" s="2" t="inlineStr"/>
      <c r="U180">
        <f>HYPERLINK("https://klasma.github.io/Logging_0382/knärot/A 22800-2019 karta knärot.png", "A 22800-2019")</f>
        <v/>
      </c>
      <c r="V180">
        <f>HYPERLINK("https://klasma.github.io/Logging_0382/klagomål/A 22800-2019 FSC-klagomål.docx", "A 22800-2019")</f>
        <v/>
      </c>
      <c r="W180">
        <f>HYPERLINK("https://klasma.github.io/Logging_0382/klagomålsmail/A 22800-2019 FSC-klagomål mail.docx", "A 22800-2019")</f>
        <v/>
      </c>
      <c r="X180">
        <f>HYPERLINK("https://klasma.github.io/Logging_0382/tillsyn/A 22800-2019 tillsynsbegäran.docx", "A 22800-2019")</f>
        <v/>
      </c>
      <c r="Y180">
        <f>HYPERLINK("https://klasma.github.io/Logging_0382/tillsynsmail/A 22800-2019 tillsynsbegäran mail.docx", "A 22800-2019")</f>
        <v/>
      </c>
    </row>
    <row r="181" ht="15" customHeight="1">
      <c r="A181" t="inlineStr">
        <is>
          <t>A 22801-2019</t>
        </is>
      </c>
      <c r="B181" s="1" t="n">
        <v>43590</v>
      </c>
      <c r="C181" s="1" t="n">
        <v>45630</v>
      </c>
      <c r="D181" t="inlineStr">
        <is>
          <t>UPPSALA LÄN</t>
        </is>
      </c>
      <c r="E181" t="inlineStr">
        <is>
          <t>ÖSTHAMMAR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23008-2019</t>
        </is>
      </c>
      <c r="B182" s="1" t="n">
        <v>43591</v>
      </c>
      <c r="C182" s="1" t="n">
        <v>45630</v>
      </c>
      <c r="D182" t="inlineStr">
        <is>
          <t>UPPSALA LÄN</t>
        </is>
      </c>
      <c r="E182" t="inlineStr">
        <is>
          <t>ÖSTHAMMAR</t>
        </is>
      </c>
      <c r="G182" t="n">
        <v>4.5</v>
      </c>
      <c r="H182" t="n">
        <v>0</v>
      </c>
      <c r="I182" t="n">
        <v>0</v>
      </c>
      <c r="J182" t="n">
        <v>0</v>
      </c>
      <c r="K182" t="n">
        <v>0</v>
      </c>
      <c r="L182" t="n">
        <v>0</v>
      </c>
      <c r="M182" t="n">
        <v>0</v>
      </c>
      <c r="N182" t="n">
        <v>0</v>
      </c>
      <c r="O182" t="n">
        <v>0</v>
      </c>
      <c r="P182" t="n">
        <v>0</v>
      </c>
      <c r="Q182" t="n">
        <v>0</v>
      </c>
      <c r="R182" s="2" t="inlineStr"/>
    </row>
    <row r="183" ht="15" customHeight="1">
      <c r="A183" t="inlineStr">
        <is>
          <t>A 25874-2019</t>
        </is>
      </c>
      <c r="B183" s="1" t="n">
        <v>43605</v>
      </c>
      <c r="C183" s="1" t="n">
        <v>45630</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25703-2019</t>
        </is>
      </c>
      <c r="B184" s="1" t="n">
        <v>43607</v>
      </c>
      <c r="C184" s="1" t="n">
        <v>45630</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25708-2019</t>
        </is>
      </c>
      <c r="B185" s="1" t="n">
        <v>43607</v>
      </c>
      <c r="C185" s="1" t="n">
        <v>45630</v>
      </c>
      <c r="D185" t="inlineStr">
        <is>
          <t>UPPSALA LÄN</t>
        </is>
      </c>
      <c r="E185" t="inlineStr">
        <is>
          <t>ÖSTHAMMAR</t>
        </is>
      </c>
      <c r="F185" t="inlineStr">
        <is>
          <t>Bergvik skog öst AB</t>
        </is>
      </c>
      <c r="G185" t="n">
        <v>1.3</v>
      </c>
      <c r="H185" t="n">
        <v>0</v>
      </c>
      <c r="I185" t="n">
        <v>0</v>
      </c>
      <c r="J185" t="n">
        <v>0</v>
      </c>
      <c r="K185" t="n">
        <v>0</v>
      </c>
      <c r="L185" t="n">
        <v>0</v>
      </c>
      <c r="M185" t="n">
        <v>0</v>
      </c>
      <c r="N185" t="n">
        <v>0</v>
      </c>
      <c r="O185" t="n">
        <v>0</v>
      </c>
      <c r="P185" t="n">
        <v>0</v>
      </c>
      <c r="Q185" t="n">
        <v>0</v>
      </c>
      <c r="R185" s="2" t="inlineStr"/>
    </row>
    <row r="186" ht="15" customHeight="1">
      <c r="A186" t="inlineStr">
        <is>
          <t>A 25706-2019</t>
        </is>
      </c>
      <c r="B186" s="1" t="n">
        <v>43607</v>
      </c>
      <c r="C186" s="1" t="n">
        <v>45630</v>
      </c>
      <c r="D186" t="inlineStr">
        <is>
          <t>UPPSALA LÄN</t>
        </is>
      </c>
      <c r="E186" t="inlineStr">
        <is>
          <t>ÖSTHAMMAR</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26562-2019</t>
        </is>
      </c>
      <c r="B187" s="1" t="n">
        <v>43612</v>
      </c>
      <c r="C187" s="1" t="n">
        <v>45630</v>
      </c>
      <c r="D187" t="inlineStr">
        <is>
          <t>UPPSALA LÄN</t>
        </is>
      </c>
      <c r="E187" t="inlineStr">
        <is>
          <t>ÖSTHAMMAR</t>
        </is>
      </c>
      <c r="G187" t="n">
        <v>3.2</v>
      </c>
      <c r="H187" t="n">
        <v>0</v>
      </c>
      <c r="I187" t="n">
        <v>0</v>
      </c>
      <c r="J187" t="n">
        <v>0</v>
      </c>
      <c r="K187" t="n">
        <v>0</v>
      </c>
      <c r="L187" t="n">
        <v>0</v>
      </c>
      <c r="M187" t="n">
        <v>0</v>
      </c>
      <c r="N187" t="n">
        <v>0</v>
      </c>
      <c r="O187" t="n">
        <v>0</v>
      </c>
      <c r="P187" t="n">
        <v>0</v>
      </c>
      <c r="Q187" t="n">
        <v>0</v>
      </c>
      <c r="R187" s="2" t="inlineStr"/>
    </row>
    <row r="188" ht="15" customHeight="1">
      <c r="A188" t="inlineStr">
        <is>
          <t>A 26724-2019</t>
        </is>
      </c>
      <c r="B188" s="1" t="n">
        <v>43613</v>
      </c>
      <c r="C188" s="1" t="n">
        <v>45630</v>
      </c>
      <c r="D188" t="inlineStr">
        <is>
          <t>UPPSALA LÄN</t>
        </is>
      </c>
      <c r="E188" t="inlineStr">
        <is>
          <t>ÖSTHAMMAR</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26796-2019</t>
        </is>
      </c>
      <c r="B189" s="1" t="n">
        <v>43613</v>
      </c>
      <c r="C189" s="1" t="n">
        <v>45630</v>
      </c>
      <c r="D189" t="inlineStr">
        <is>
          <t>UPPSALA LÄN</t>
        </is>
      </c>
      <c r="E189" t="inlineStr">
        <is>
          <t>ÖSTHAMMAR</t>
        </is>
      </c>
      <c r="F189" t="inlineStr">
        <is>
          <t>Bergvik skog öst AB</t>
        </is>
      </c>
      <c r="G189" t="n">
        <v>4.4</v>
      </c>
      <c r="H189" t="n">
        <v>0</v>
      </c>
      <c r="I189" t="n">
        <v>0</v>
      </c>
      <c r="J189" t="n">
        <v>0</v>
      </c>
      <c r="K189" t="n">
        <v>0</v>
      </c>
      <c r="L189" t="n">
        <v>0</v>
      </c>
      <c r="M189" t="n">
        <v>0</v>
      </c>
      <c r="N189" t="n">
        <v>0</v>
      </c>
      <c r="O189" t="n">
        <v>0</v>
      </c>
      <c r="P189" t="n">
        <v>0</v>
      </c>
      <c r="Q189" t="n">
        <v>0</v>
      </c>
      <c r="R189" s="2" t="inlineStr"/>
    </row>
    <row r="190" ht="15" customHeight="1">
      <c r="A190" t="inlineStr">
        <is>
          <t>A 27458-2019</t>
        </is>
      </c>
      <c r="B190" s="1" t="n">
        <v>43618</v>
      </c>
      <c r="C190" s="1" t="n">
        <v>45630</v>
      </c>
      <c r="D190" t="inlineStr">
        <is>
          <t>UPPSALA LÄN</t>
        </is>
      </c>
      <c r="E190" t="inlineStr">
        <is>
          <t>ÖSTHAMMAR</t>
        </is>
      </c>
      <c r="F190" t="inlineStr">
        <is>
          <t>Bergvik skog öst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29204-2019</t>
        </is>
      </c>
      <c r="B191" s="1" t="n">
        <v>43623</v>
      </c>
      <c r="C191" s="1" t="n">
        <v>45630</v>
      </c>
      <c r="D191" t="inlineStr">
        <is>
          <t>UPPSALA LÄN</t>
        </is>
      </c>
      <c r="E191" t="inlineStr">
        <is>
          <t>ÖSTHAMMAR</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31106-2019</t>
        </is>
      </c>
      <c r="B192" s="1" t="n">
        <v>43635</v>
      </c>
      <c r="C192" s="1" t="n">
        <v>45630</v>
      </c>
      <c r="D192" t="inlineStr">
        <is>
          <t>UPPSALA LÄN</t>
        </is>
      </c>
      <c r="E192" t="inlineStr">
        <is>
          <t>ÖSTHAMMAR</t>
        </is>
      </c>
      <c r="F192" t="inlineStr">
        <is>
          <t>Övriga statliga verk och myndigheter</t>
        </is>
      </c>
      <c r="G192" t="n">
        <v>1.5</v>
      </c>
      <c r="H192" t="n">
        <v>0</v>
      </c>
      <c r="I192" t="n">
        <v>0</v>
      </c>
      <c r="J192" t="n">
        <v>0</v>
      </c>
      <c r="K192" t="n">
        <v>0</v>
      </c>
      <c r="L192" t="n">
        <v>0</v>
      </c>
      <c r="M192" t="n">
        <v>0</v>
      </c>
      <c r="N192" t="n">
        <v>0</v>
      </c>
      <c r="O192" t="n">
        <v>0</v>
      </c>
      <c r="P192" t="n">
        <v>0</v>
      </c>
      <c r="Q192" t="n">
        <v>0</v>
      </c>
      <c r="R192" s="2" t="inlineStr"/>
    </row>
    <row r="193" ht="15" customHeight="1">
      <c r="A193" t="inlineStr">
        <is>
          <t>A 31716-2019</t>
        </is>
      </c>
      <c r="B193" s="1" t="n">
        <v>43642</v>
      </c>
      <c r="C193" s="1" t="n">
        <v>45630</v>
      </c>
      <c r="D193" t="inlineStr">
        <is>
          <t>UPPSALA LÄN</t>
        </is>
      </c>
      <c r="E193" t="inlineStr">
        <is>
          <t>ÖSTHAMMAR</t>
        </is>
      </c>
      <c r="G193" t="n">
        <v>1.5</v>
      </c>
      <c r="H193" t="n">
        <v>0</v>
      </c>
      <c r="I193" t="n">
        <v>0</v>
      </c>
      <c r="J193" t="n">
        <v>0</v>
      </c>
      <c r="K193" t="n">
        <v>0</v>
      </c>
      <c r="L193" t="n">
        <v>0</v>
      </c>
      <c r="M193" t="n">
        <v>0</v>
      </c>
      <c r="N193" t="n">
        <v>0</v>
      </c>
      <c r="O193" t="n">
        <v>0</v>
      </c>
      <c r="P193" t="n">
        <v>0</v>
      </c>
      <c r="Q193" t="n">
        <v>0</v>
      </c>
      <c r="R193" s="2" t="inlineStr"/>
    </row>
    <row r="194" ht="15" customHeight="1">
      <c r="A194" t="inlineStr">
        <is>
          <t>A 31882-2019</t>
        </is>
      </c>
      <c r="B194" s="1" t="n">
        <v>43642</v>
      </c>
      <c r="C194" s="1" t="n">
        <v>45630</v>
      </c>
      <c r="D194" t="inlineStr">
        <is>
          <t>UPPSALA LÄN</t>
        </is>
      </c>
      <c r="E194" t="inlineStr">
        <is>
          <t>ÖSTHAMMAR</t>
        </is>
      </c>
      <c r="G194" t="n">
        <v>3.5</v>
      </c>
      <c r="H194" t="n">
        <v>0</v>
      </c>
      <c r="I194" t="n">
        <v>0</v>
      </c>
      <c r="J194" t="n">
        <v>0</v>
      </c>
      <c r="K194" t="n">
        <v>0</v>
      </c>
      <c r="L194" t="n">
        <v>0</v>
      </c>
      <c r="M194" t="n">
        <v>0</v>
      </c>
      <c r="N194" t="n">
        <v>0</v>
      </c>
      <c r="O194" t="n">
        <v>0</v>
      </c>
      <c r="P194" t="n">
        <v>0</v>
      </c>
      <c r="Q194" t="n">
        <v>0</v>
      </c>
      <c r="R194" s="2" t="inlineStr"/>
    </row>
    <row r="195" ht="15" customHeight="1">
      <c r="A195" t="inlineStr">
        <is>
          <t>A 32718-2019</t>
        </is>
      </c>
      <c r="B195" s="1" t="n">
        <v>43647</v>
      </c>
      <c r="C195" s="1" t="n">
        <v>45630</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33532-2019</t>
        </is>
      </c>
      <c r="B196" s="1" t="n">
        <v>43651</v>
      </c>
      <c r="C196" s="1" t="n">
        <v>45630</v>
      </c>
      <c r="D196" t="inlineStr">
        <is>
          <t>UPPSALA LÄN</t>
        </is>
      </c>
      <c r="E196" t="inlineStr">
        <is>
          <t>ÖSTHAMMAR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33544-2019</t>
        </is>
      </c>
      <c r="B197" s="1" t="n">
        <v>43651</v>
      </c>
      <c r="C197" s="1" t="n">
        <v>45630</v>
      </c>
      <c r="D197" t="inlineStr">
        <is>
          <t>UPPSALA LÄN</t>
        </is>
      </c>
      <c r="E197" t="inlineStr">
        <is>
          <t>ÖSTHAMMAR</t>
        </is>
      </c>
      <c r="G197" t="n">
        <v>4.3</v>
      </c>
      <c r="H197" t="n">
        <v>0</v>
      </c>
      <c r="I197" t="n">
        <v>0</v>
      </c>
      <c r="J197" t="n">
        <v>0</v>
      </c>
      <c r="K197" t="n">
        <v>0</v>
      </c>
      <c r="L197" t="n">
        <v>0</v>
      </c>
      <c r="M197" t="n">
        <v>0</v>
      </c>
      <c r="N197" t="n">
        <v>0</v>
      </c>
      <c r="O197" t="n">
        <v>0</v>
      </c>
      <c r="P197" t="n">
        <v>0</v>
      </c>
      <c r="Q197" t="n">
        <v>0</v>
      </c>
      <c r="R197" s="2" t="inlineStr"/>
    </row>
    <row r="198" ht="15" customHeight="1">
      <c r="A198" t="inlineStr">
        <is>
          <t>A 33539-2019</t>
        </is>
      </c>
      <c r="B198" s="1" t="n">
        <v>43651</v>
      </c>
      <c r="C198" s="1" t="n">
        <v>45630</v>
      </c>
      <c r="D198" t="inlineStr">
        <is>
          <t>UPPSALA LÄN</t>
        </is>
      </c>
      <c r="E198" t="inlineStr">
        <is>
          <t>ÖSTHAMMAR</t>
        </is>
      </c>
      <c r="G198" t="n">
        <v>4.6</v>
      </c>
      <c r="H198" t="n">
        <v>0</v>
      </c>
      <c r="I198" t="n">
        <v>0</v>
      </c>
      <c r="J198" t="n">
        <v>0</v>
      </c>
      <c r="K198" t="n">
        <v>0</v>
      </c>
      <c r="L198" t="n">
        <v>0</v>
      </c>
      <c r="M198" t="n">
        <v>0</v>
      </c>
      <c r="N198" t="n">
        <v>0</v>
      </c>
      <c r="O198" t="n">
        <v>0</v>
      </c>
      <c r="P198" t="n">
        <v>0</v>
      </c>
      <c r="Q198" t="n">
        <v>0</v>
      </c>
      <c r="R198" s="2" t="inlineStr"/>
    </row>
    <row r="199" ht="15" customHeight="1">
      <c r="A199" t="inlineStr">
        <is>
          <t>A 33551-2019</t>
        </is>
      </c>
      <c r="B199" s="1" t="n">
        <v>43651</v>
      </c>
      <c r="C199" s="1" t="n">
        <v>45630</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row>
    <row r="200" ht="15" customHeight="1">
      <c r="A200" t="inlineStr">
        <is>
          <t>A 33784-2019</t>
        </is>
      </c>
      <c r="B200" s="1" t="n">
        <v>43651</v>
      </c>
      <c r="C200" s="1" t="n">
        <v>45630</v>
      </c>
      <c r="D200" t="inlineStr">
        <is>
          <t>UPPSALA LÄN</t>
        </is>
      </c>
      <c r="E200" t="inlineStr">
        <is>
          <t>ÖSTHAMMAR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39582-2019</t>
        </is>
      </c>
      <c r="B201" s="1" t="n">
        <v>43686</v>
      </c>
      <c r="C201" s="1" t="n">
        <v>45630</v>
      </c>
      <c r="D201" t="inlineStr">
        <is>
          <t>UPPSALA LÄN</t>
        </is>
      </c>
      <c r="E201" t="inlineStr">
        <is>
          <t>ÖSTHAMMAR</t>
        </is>
      </c>
      <c r="G201" t="n">
        <v>12.2</v>
      </c>
      <c r="H201" t="n">
        <v>0</v>
      </c>
      <c r="I201" t="n">
        <v>0</v>
      </c>
      <c r="J201" t="n">
        <v>0</v>
      </c>
      <c r="K201" t="n">
        <v>0</v>
      </c>
      <c r="L201" t="n">
        <v>0</v>
      </c>
      <c r="M201" t="n">
        <v>0</v>
      </c>
      <c r="N201" t="n">
        <v>0</v>
      </c>
      <c r="O201" t="n">
        <v>0</v>
      </c>
      <c r="P201" t="n">
        <v>0</v>
      </c>
      <c r="Q201" t="n">
        <v>0</v>
      </c>
      <c r="R201" s="2" t="inlineStr"/>
    </row>
    <row r="202" ht="15" customHeight="1">
      <c r="A202" t="inlineStr">
        <is>
          <t>A 39910-2019</t>
        </is>
      </c>
      <c r="B202" s="1" t="n">
        <v>43692</v>
      </c>
      <c r="C202" s="1" t="n">
        <v>45630</v>
      </c>
      <c r="D202" t="inlineStr">
        <is>
          <t>UPPSALA LÄN</t>
        </is>
      </c>
      <c r="E202" t="inlineStr">
        <is>
          <t>ÖSTHAMMAR</t>
        </is>
      </c>
      <c r="G202" t="n">
        <v>3.9</v>
      </c>
      <c r="H202" t="n">
        <v>0</v>
      </c>
      <c r="I202" t="n">
        <v>0</v>
      </c>
      <c r="J202" t="n">
        <v>0</v>
      </c>
      <c r="K202" t="n">
        <v>0</v>
      </c>
      <c r="L202" t="n">
        <v>0</v>
      </c>
      <c r="M202" t="n">
        <v>0</v>
      </c>
      <c r="N202" t="n">
        <v>0</v>
      </c>
      <c r="O202" t="n">
        <v>0</v>
      </c>
      <c r="P202" t="n">
        <v>0</v>
      </c>
      <c r="Q202" t="n">
        <v>0</v>
      </c>
      <c r="R202" s="2" t="inlineStr"/>
    </row>
    <row r="203" ht="15" customHeight="1">
      <c r="A203" t="inlineStr">
        <is>
          <t>A 41697-2019</t>
        </is>
      </c>
      <c r="B203" s="1" t="n">
        <v>43699</v>
      </c>
      <c r="C203" s="1" t="n">
        <v>45630</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41539-2019</t>
        </is>
      </c>
      <c r="B204" s="1" t="n">
        <v>43699</v>
      </c>
      <c r="C204" s="1" t="n">
        <v>45630</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43426-2019</t>
        </is>
      </c>
      <c r="B205" s="1" t="n">
        <v>43706</v>
      </c>
      <c r="C205" s="1" t="n">
        <v>45630</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45140-2019</t>
        </is>
      </c>
      <c r="B206" s="1" t="n">
        <v>43713</v>
      </c>
      <c r="C206" s="1" t="n">
        <v>45630</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45681-2019</t>
        </is>
      </c>
      <c r="B207" s="1" t="n">
        <v>43717</v>
      </c>
      <c r="C207" s="1" t="n">
        <v>45630</v>
      </c>
      <c r="D207" t="inlineStr">
        <is>
          <t>UPPSALA LÄN</t>
        </is>
      </c>
      <c r="E207" t="inlineStr">
        <is>
          <t>ÖSTHAMMAR</t>
        </is>
      </c>
      <c r="F207" t="inlineStr">
        <is>
          <t>Bergvik skog öst AB</t>
        </is>
      </c>
      <c r="G207" t="n">
        <v>3</v>
      </c>
      <c r="H207" t="n">
        <v>0</v>
      </c>
      <c r="I207" t="n">
        <v>0</v>
      </c>
      <c r="J207" t="n">
        <v>0</v>
      </c>
      <c r="K207" t="n">
        <v>0</v>
      </c>
      <c r="L207" t="n">
        <v>0</v>
      </c>
      <c r="M207" t="n">
        <v>0</v>
      </c>
      <c r="N207" t="n">
        <v>0</v>
      </c>
      <c r="O207" t="n">
        <v>0</v>
      </c>
      <c r="P207" t="n">
        <v>0</v>
      </c>
      <c r="Q207" t="n">
        <v>0</v>
      </c>
      <c r="R207" s="2" t="inlineStr"/>
    </row>
    <row r="208" ht="15" customHeight="1">
      <c r="A208" t="inlineStr">
        <is>
          <t>A 47440-2019</t>
        </is>
      </c>
      <c r="B208" s="1" t="n">
        <v>43723</v>
      </c>
      <c r="C208" s="1" t="n">
        <v>45630</v>
      </c>
      <c r="D208" t="inlineStr">
        <is>
          <t>UPPSALA LÄN</t>
        </is>
      </c>
      <c r="E208" t="inlineStr">
        <is>
          <t>ÖSTHAMMAR</t>
        </is>
      </c>
      <c r="G208" t="n">
        <v>0.1</v>
      </c>
      <c r="H208" t="n">
        <v>0</v>
      </c>
      <c r="I208" t="n">
        <v>0</v>
      </c>
      <c r="J208" t="n">
        <v>0</v>
      </c>
      <c r="K208" t="n">
        <v>0</v>
      </c>
      <c r="L208" t="n">
        <v>0</v>
      </c>
      <c r="M208" t="n">
        <v>0</v>
      </c>
      <c r="N208" t="n">
        <v>0</v>
      </c>
      <c r="O208" t="n">
        <v>0</v>
      </c>
      <c r="P208" t="n">
        <v>0</v>
      </c>
      <c r="Q208" t="n">
        <v>0</v>
      </c>
      <c r="R208" s="2" t="inlineStr"/>
    </row>
    <row r="209" ht="15" customHeight="1">
      <c r="A209" t="inlineStr">
        <is>
          <t>A 47436-2019</t>
        </is>
      </c>
      <c r="B209" s="1" t="n">
        <v>43723</v>
      </c>
      <c r="C209" s="1" t="n">
        <v>45630</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51025-2019</t>
        </is>
      </c>
      <c r="B210" s="1" t="n">
        <v>43739</v>
      </c>
      <c r="C210" s="1" t="n">
        <v>45630</v>
      </c>
      <c r="D210" t="inlineStr">
        <is>
          <t>UPPSALA LÄN</t>
        </is>
      </c>
      <c r="E210" t="inlineStr">
        <is>
          <t>ÖSTHAMMAR</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53442-2019</t>
        </is>
      </c>
      <c r="B211" s="1" t="n">
        <v>43748</v>
      </c>
      <c r="C211" s="1" t="n">
        <v>45630</v>
      </c>
      <c r="D211" t="inlineStr">
        <is>
          <t>UPPSALA LÄN</t>
        </is>
      </c>
      <c r="E211" t="inlineStr">
        <is>
          <t>ÖSTHAMMAR</t>
        </is>
      </c>
      <c r="F211" t="inlineStr">
        <is>
          <t>Bergvik skog öst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55382-2019</t>
        </is>
      </c>
      <c r="B212" s="1" t="n">
        <v>43755</v>
      </c>
      <c r="C212" s="1" t="n">
        <v>45630</v>
      </c>
      <c r="D212" t="inlineStr">
        <is>
          <t>UPPSALA LÄN</t>
        </is>
      </c>
      <c r="E212" t="inlineStr">
        <is>
          <t>ÖSTHAMMAR</t>
        </is>
      </c>
      <c r="G212" t="n">
        <v>1.8</v>
      </c>
      <c r="H212" t="n">
        <v>0</v>
      </c>
      <c r="I212" t="n">
        <v>0</v>
      </c>
      <c r="J212" t="n">
        <v>0</v>
      </c>
      <c r="K212" t="n">
        <v>0</v>
      </c>
      <c r="L212" t="n">
        <v>0</v>
      </c>
      <c r="M212" t="n">
        <v>0</v>
      </c>
      <c r="N212" t="n">
        <v>0</v>
      </c>
      <c r="O212" t="n">
        <v>0</v>
      </c>
      <c r="P212" t="n">
        <v>0</v>
      </c>
      <c r="Q212" t="n">
        <v>0</v>
      </c>
      <c r="R212" s="2" t="inlineStr"/>
    </row>
    <row r="213" ht="15" customHeight="1">
      <c r="A213" t="inlineStr">
        <is>
          <t>A 57686-2019</t>
        </is>
      </c>
      <c r="B213" s="1" t="n">
        <v>43761</v>
      </c>
      <c r="C213" s="1" t="n">
        <v>45630</v>
      </c>
      <c r="D213" t="inlineStr">
        <is>
          <t>UPPSALA LÄN</t>
        </is>
      </c>
      <c r="E213" t="inlineStr">
        <is>
          <t>ÖSTHAMMAR</t>
        </is>
      </c>
      <c r="G213" t="n">
        <v>5.7</v>
      </c>
      <c r="H213" t="n">
        <v>0</v>
      </c>
      <c r="I213" t="n">
        <v>0</v>
      </c>
      <c r="J213" t="n">
        <v>0</v>
      </c>
      <c r="K213" t="n">
        <v>0</v>
      </c>
      <c r="L213" t="n">
        <v>0</v>
      </c>
      <c r="M213" t="n">
        <v>0</v>
      </c>
      <c r="N213" t="n">
        <v>0</v>
      </c>
      <c r="O213" t="n">
        <v>0</v>
      </c>
      <c r="P213" t="n">
        <v>0</v>
      </c>
      <c r="Q213" t="n">
        <v>0</v>
      </c>
      <c r="R213" s="2" t="inlineStr"/>
    </row>
    <row r="214" ht="15" customHeight="1">
      <c r="A214" t="inlineStr">
        <is>
          <t>A 57304-2019</t>
        </is>
      </c>
      <c r="B214" s="1" t="n">
        <v>43767</v>
      </c>
      <c r="C214" s="1" t="n">
        <v>45630</v>
      </c>
      <c r="D214" t="inlineStr">
        <is>
          <t>UPPSALA LÄN</t>
        </is>
      </c>
      <c r="E214" t="inlineStr">
        <is>
          <t>ÖSTHAMMAR</t>
        </is>
      </c>
      <c r="F214" t="inlineStr">
        <is>
          <t>Bergvik skog öst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58665-2019</t>
        </is>
      </c>
      <c r="B215" s="1" t="n">
        <v>43773</v>
      </c>
      <c r="C215" s="1" t="n">
        <v>45630</v>
      </c>
      <c r="D215" t="inlineStr">
        <is>
          <t>UPPSALA LÄN</t>
        </is>
      </c>
      <c r="E215" t="inlineStr">
        <is>
          <t>ÖSTHAMMAR</t>
        </is>
      </c>
      <c r="G215" t="n">
        <v>2</v>
      </c>
      <c r="H215" t="n">
        <v>0</v>
      </c>
      <c r="I215" t="n">
        <v>0</v>
      </c>
      <c r="J215" t="n">
        <v>0</v>
      </c>
      <c r="K215" t="n">
        <v>0</v>
      </c>
      <c r="L215" t="n">
        <v>0</v>
      </c>
      <c r="M215" t="n">
        <v>0</v>
      </c>
      <c r="N215" t="n">
        <v>0</v>
      </c>
      <c r="O215" t="n">
        <v>0</v>
      </c>
      <c r="P215" t="n">
        <v>0</v>
      </c>
      <c r="Q215" t="n">
        <v>0</v>
      </c>
      <c r="R215" s="2" t="inlineStr"/>
    </row>
    <row r="216" ht="15" customHeight="1">
      <c r="A216" t="inlineStr">
        <is>
          <t>A 60977-2019</t>
        </is>
      </c>
      <c r="B216" s="1" t="n">
        <v>43782</v>
      </c>
      <c r="C216" s="1" t="n">
        <v>45630</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61866-2019</t>
        </is>
      </c>
      <c r="B217" s="1" t="n">
        <v>43787</v>
      </c>
      <c r="C217" s="1" t="n">
        <v>45630</v>
      </c>
      <c r="D217" t="inlineStr">
        <is>
          <t>UPPSALA LÄN</t>
        </is>
      </c>
      <c r="E217" t="inlineStr">
        <is>
          <t>ÖSTHAMMAR</t>
        </is>
      </c>
      <c r="F217" t="inlineStr">
        <is>
          <t>Bergvik skog öst AB</t>
        </is>
      </c>
      <c r="G217" t="n">
        <v>6.6</v>
      </c>
      <c r="H217" t="n">
        <v>0</v>
      </c>
      <c r="I217" t="n">
        <v>0</v>
      </c>
      <c r="J217" t="n">
        <v>0</v>
      </c>
      <c r="K217" t="n">
        <v>0</v>
      </c>
      <c r="L217" t="n">
        <v>0</v>
      </c>
      <c r="M217" t="n">
        <v>0</v>
      </c>
      <c r="N217" t="n">
        <v>0</v>
      </c>
      <c r="O217" t="n">
        <v>0</v>
      </c>
      <c r="P217" t="n">
        <v>0</v>
      </c>
      <c r="Q217" t="n">
        <v>0</v>
      </c>
      <c r="R217" s="2" t="inlineStr"/>
    </row>
    <row r="218" ht="15" customHeight="1">
      <c r="A218" t="inlineStr">
        <is>
          <t>A 62808-2019</t>
        </is>
      </c>
      <c r="B218" s="1" t="n">
        <v>43790</v>
      </c>
      <c r="C218" s="1" t="n">
        <v>45630</v>
      </c>
      <c r="D218" t="inlineStr">
        <is>
          <t>UPPSALA LÄN</t>
        </is>
      </c>
      <c r="E218" t="inlineStr">
        <is>
          <t>ÖSTHAMMAR</t>
        </is>
      </c>
      <c r="G218" t="n">
        <v>1.8</v>
      </c>
      <c r="H218" t="n">
        <v>0</v>
      </c>
      <c r="I218" t="n">
        <v>0</v>
      </c>
      <c r="J218" t="n">
        <v>0</v>
      </c>
      <c r="K218" t="n">
        <v>0</v>
      </c>
      <c r="L218" t="n">
        <v>0</v>
      </c>
      <c r="M218" t="n">
        <v>0</v>
      </c>
      <c r="N218" t="n">
        <v>0</v>
      </c>
      <c r="O218" t="n">
        <v>0</v>
      </c>
      <c r="P218" t="n">
        <v>0</v>
      </c>
      <c r="Q218" t="n">
        <v>0</v>
      </c>
      <c r="R218" s="2" t="inlineStr"/>
    </row>
    <row r="219" ht="15" customHeight="1">
      <c r="A219" t="inlineStr">
        <is>
          <t>A 63564-2019</t>
        </is>
      </c>
      <c r="B219" s="1" t="n">
        <v>43795</v>
      </c>
      <c r="C219" s="1" t="n">
        <v>45630</v>
      </c>
      <c r="D219" t="inlineStr">
        <is>
          <t>UPPSALA LÄN</t>
        </is>
      </c>
      <c r="E219" t="inlineStr">
        <is>
          <t>ÖSTHAMMAR</t>
        </is>
      </c>
      <c r="F219" t="inlineStr">
        <is>
          <t>Övriga Aktiebolag</t>
        </is>
      </c>
      <c r="G219" t="n">
        <v>4.7</v>
      </c>
      <c r="H219" t="n">
        <v>0</v>
      </c>
      <c r="I219" t="n">
        <v>0</v>
      </c>
      <c r="J219" t="n">
        <v>0</v>
      </c>
      <c r="K219" t="n">
        <v>0</v>
      </c>
      <c r="L219" t="n">
        <v>0</v>
      </c>
      <c r="M219" t="n">
        <v>0</v>
      </c>
      <c r="N219" t="n">
        <v>0</v>
      </c>
      <c r="O219" t="n">
        <v>0</v>
      </c>
      <c r="P219" t="n">
        <v>0</v>
      </c>
      <c r="Q219" t="n">
        <v>0</v>
      </c>
      <c r="R219" s="2" t="inlineStr"/>
    </row>
    <row r="220" ht="15" customHeight="1">
      <c r="A220" t="inlineStr">
        <is>
          <t>A 64344-2019</t>
        </is>
      </c>
      <c r="B220" s="1" t="n">
        <v>43797</v>
      </c>
      <c r="C220" s="1" t="n">
        <v>45630</v>
      </c>
      <c r="D220" t="inlineStr">
        <is>
          <t>UPPSALA LÄN</t>
        </is>
      </c>
      <c r="E220" t="inlineStr">
        <is>
          <t>ÖSTHAMMAR</t>
        </is>
      </c>
      <c r="G220" t="n">
        <v>3.1</v>
      </c>
      <c r="H220" t="n">
        <v>0</v>
      </c>
      <c r="I220" t="n">
        <v>0</v>
      </c>
      <c r="J220" t="n">
        <v>0</v>
      </c>
      <c r="K220" t="n">
        <v>0</v>
      </c>
      <c r="L220" t="n">
        <v>0</v>
      </c>
      <c r="M220" t="n">
        <v>0</v>
      </c>
      <c r="N220" t="n">
        <v>0</v>
      </c>
      <c r="O220" t="n">
        <v>0</v>
      </c>
      <c r="P220" t="n">
        <v>0</v>
      </c>
      <c r="Q220" t="n">
        <v>0</v>
      </c>
      <c r="R220" s="2" t="inlineStr"/>
    </row>
    <row r="221" ht="15" customHeight="1">
      <c r="A221" t="inlineStr">
        <is>
          <t>A 65107-2019</t>
        </is>
      </c>
      <c r="B221" s="1" t="n">
        <v>43802</v>
      </c>
      <c r="C221" s="1" t="n">
        <v>45630</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67647-2019</t>
        </is>
      </c>
      <c r="B222" s="1" t="n">
        <v>43808</v>
      </c>
      <c r="C222" s="1" t="n">
        <v>45630</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66802-2019</t>
        </is>
      </c>
      <c r="B223" s="1" t="n">
        <v>43810</v>
      </c>
      <c r="C223" s="1" t="n">
        <v>45630</v>
      </c>
      <c r="D223" t="inlineStr">
        <is>
          <t>UPPSALA LÄN</t>
        </is>
      </c>
      <c r="E223" t="inlineStr">
        <is>
          <t>ÖSTHAMMAR</t>
        </is>
      </c>
      <c r="F223" t="inlineStr">
        <is>
          <t>Bergvik skog öst AB</t>
        </is>
      </c>
      <c r="G223" t="n">
        <v>34.8</v>
      </c>
      <c r="H223" t="n">
        <v>0</v>
      </c>
      <c r="I223" t="n">
        <v>0</v>
      </c>
      <c r="J223" t="n">
        <v>0</v>
      </c>
      <c r="K223" t="n">
        <v>0</v>
      </c>
      <c r="L223" t="n">
        <v>0</v>
      </c>
      <c r="M223" t="n">
        <v>0</v>
      </c>
      <c r="N223" t="n">
        <v>0</v>
      </c>
      <c r="O223" t="n">
        <v>0</v>
      </c>
      <c r="P223" t="n">
        <v>0</v>
      </c>
      <c r="Q223" t="n">
        <v>0</v>
      </c>
      <c r="R223" s="2" t="inlineStr"/>
    </row>
    <row r="224" ht="15" customHeight="1">
      <c r="A224" t="inlineStr">
        <is>
          <t>A 67254-2019</t>
        </is>
      </c>
      <c r="B224" s="1" t="n">
        <v>43812</v>
      </c>
      <c r="C224" s="1" t="n">
        <v>45630</v>
      </c>
      <c r="D224" t="inlineStr">
        <is>
          <t>UPPSALA LÄN</t>
        </is>
      </c>
      <c r="E224" t="inlineStr">
        <is>
          <t>ÖSTHAMMAR</t>
        </is>
      </c>
      <c r="F224" t="inlineStr">
        <is>
          <t>Allmännings- och besparingsskogar</t>
        </is>
      </c>
      <c r="G224" t="n">
        <v>0.8</v>
      </c>
      <c r="H224" t="n">
        <v>0</v>
      </c>
      <c r="I224" t="n">
        <v>0</v>
      </c>
      <c r="J224" t="n">
        <v>0</v>
      </c>
      <c r="K224" t="n">
        <v>0</v>
      </c>
      <c r="L224" t="n">
        <v>0</v>
      </c>
      <c r="M224" t="n">
        <v>0</v>
      </c>
      <c r="N224" t="n">
        <v>0</v>
      </c>
      <c r="O224" t="n">
        <v>0</v>
      </c>
      <c r="P224" t="n">
        <v>0</v>
      </c>
      <c r="Q224" t="n">
        <v>0</v>
      </c>
      <c r="R224" s="2" t="inlineStr"/>
    </row>
    <row r="225" ht="15" customHeight="1">
      <c r="A225" t="inlineStr">
        <is>
          <t>A 618-2020</t>
        </is>
      </c>
      <c r="B225" s="1" t="n">
        <v>43817</v>
      </c>
      <c r="C225" s="1" t="n">
        <v>45630</v>
      </c>
      <c r="D225" t="inlineStr">
        <is>
          <t>UPPSALA LÄN</t>
        </is>
      </c>
      <c r="E225" t="inlineStr">
        <is>
          <t>ÖSTHAMMAR</t>
        </is>
      </c>
      <c r="G225" t="n">
        <v>3.2</v>
      </c>
      <c r="H225" t="n">
        <v>0</v>
      </c>
      <c r="I225" t="n">
        <v>0</v>
      </c>
      <c r="J225" t="n">
        <v>0</v>
      </c>
      <c r="K225" t="n">
        <v>0</v>
      </c>
      <c r="L225" t="n">
        <v>0</v>
      </c>
      <c r="M225" t="n">
        <v>0</v>
      </c>
      <c r="N225" t="n">
        <v>0</v>
      </c>
      <c r="O225" t="n">
        <v>0</v>
      </c>
      <c r="P225" t="n">
        <v>0</v>
      </c>
      <c r="Q225" t="n">
        <v>0</v>
      </c>
      <c r="R225" s="2" t="inlineStr"/>
    </row>
    <row r="226" ht="15" customHeight="1">
      <c r="A226" t="inlineStr">
        <is>
          <t>A 68870-2019</t>
        </is>
      </c>
      <c r="B226" s="1" t="n">
        <v>43821</v>
      </c>
      <c r="C226" s="1" t="n">
        <v>45630</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68871-2019</t>
        </is>
      </c>
      <c r="B227" s="1" t="n">
        <v>43821</v>
      </c>
      <c r="C227" s="1" t="n">
        <v>45630</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68868-2019</t>
        </is>
      </c>
      <c r="B228" s="1" t="n">
        <v>43821</v>
      </c>
      <c r="C228" s="1" t="n">
        <v>45630</v>
      </c>
      <c r="D228" t="inlineStr">
        <is>
          <t>UPPSALA LÄN</t>
        </is>
      </c>
      <c r="E228" t="inlineStr">
        <is>
          <t>ÖSTHAMMAR</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685-2020</t>
        </is>
      </c>
      <c r="B229" s="1" t="n">
        <v>43838</v>
      </c>
      <c r="C229" s="1" t="n">
        <v>45630</v>
      </c>
      <c r="D229" t="inlineStr">
        <is>
          <t>UPPSALA LÄN</t>
        </is>
      </c>
      <c r="E229" t="inlineStr">
        <is>
          <t>ÖSTHAMMAR</t>
        </is>
      </c>
      <c r="F229" t="inlineStr">
        <is>
          <t>Bergvik skog öst AB</t>
        </is>
      </c>
      <c r="G229" t="n">
        <v>0.9</v>
      </c>
      <c r="H229" t="n">
        <v>0</v>
      </c>
      <c r="I229" t="n">
        <v>0</v>
      </c>
      <c r="J229" t="n">
        <v>0</v>
      </c>
      <c r="K229" t="n">
        <v>0</v>
      </c>
      <c r="L229" t="n">
        <v>0</v>
      </c>
      <c r="M229" t="n">
        <v>0</v>
      </c>
      <c r="N229" t="n">
        <v>0</v>
      </c>
      <c r="O229" t="n">
        <v>0</v>
      </c>
      <c r="P229" t="n">
        <v>0</v>
      </c>
      <c r="Q229" t="n">
        <v>0</v>
      </c>
      <c r="R229" s="2" t="inlineStr"/>
    </row>
    <row r="230" ht="15" customHeight="1">
      <c r="A230" t="inlineStr">
        <is>
          <t>A 1685-2020</t>
        </is>
      </c>
      <c r="B230" s="1" t="n">
        <v>43844</v>
      </c>
      <c r="C230" s="1" t="n">
        <v>45630</v>
      </c>
      <c r="D230" t="inlineStr">
        <is>
          <t>UPPSALA LÄN</t>
        </is>
      </c>
      <c r="E230" t="inlineStr">
        <is>
          <t>ÖSTHAMMAR</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1681-2020</t>
        </is>
      </c>
      <c r="B231" s="1" t="n">
        <v>43844</v>
      </c>
      <c r="C231" s="1" t="n">
        <v>45630</v>
      </c>
      <c r="D231" t="inlineStr">
        <is>
          <t>UPPSALA LÄN</t>
        </is>
      </c>
      <c r="E231" t="inlineStr">
        <is>
          <t>ÖSTHAMMAR</t>
        </is>
      </c>
      <c r="F231" t="inlineStr">
        <is>
          <t>Övriga Aktiebolag</t>
        </is>
      </c>
      <c r="G231" t="n">
        <v>1.6</v>
      </c>
      <c r="H231" t="n">
        <v>0</v>
      </c>
      <c r="I231" t="n">
        <v>0</v>
      </c>
      <c r="J231" t="n">
        <v>0</v>
      </c>
      <c r="K231" t="n">
        <v>0</v>
      </c>
      <c r="L231" t="n">
        <v>0</v>
      </c>
      <c r="M231" t="n">
        <v>0</v>
      </c>
      <c r="N231" t="n">
        <v>0</v>
      </c>
      <c r="O231" t="n">
        <v>0</v>
      </c>
      <c r="P231" t="n">
        <v>0</v>
      </c>
      <c r="Q231" t="n">
        <v>0</v>
      </c>
      <c r="R231" s="2" t="inlineStr"/>
    </row>
    <row r="232" ht="15" customHeight="1">
      <c r="A232" t="inlineStr">
        <is>
          <t>A 4473-2020</t>
        </is>
      </c>
      <c r="B232" s="1" t="n">
        <v>43850</v>
      </c>
      <c r="C232" s="1" t="n">
        <v>45630</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3334-2020</t>
        </is>
      </c>
      <c r="B233" s="1" t="n">
        <v>43852</v>
      </c>
      <c r="C233" s="1" t="n">
        <v>45630</v>
      </c>
      <c r="D233" t="inlineStr">
        <is>
          <t>UPPSALA LÄN</t>
        </is>
      </c>
      <c r="E233" t="inlineStr">
        <is>
          <t>ÖSTHAMMAR</t>
        </is>
      </c>
      <c r="G233" t="n">
        <v>2.5</v>
      </c>
      <c r="H233" t="n">
        <v>0</v>
      </c>
      <c r="I233" t="n">
        <v>0</v>
      </c>
      <c r="J233" t="n">
        <v>0</v>
      </c>
      <c r="K233" t="n">
        <v>0</v>
      </c>
      <c r="L233" t="n">
        <v>0</v>
      </c>
      <c r="M233" t="n">
        <v>0</v>
      </c>
      <c r="N233" t="n">
        <v>0</v>
      </c>
      <c r="O233" t="n">
        <v>0</v>
      </c>
      <c r="P233" t="n">
        <v>0</v>
      </c>
      <c r="Q233" t="n">
        <v>0</v>
      </c>
      <c r="R233" s="2" t="inlineStr"/>
    </row>
    <row r="234" ht="15" customHeight="1">
      <c r="A234" t="inlineStr">
        <is>
          <t>A 3984-2020</t>
        </is>
      </c>
      <c r="B234" s="1" t="n">
        <v>43855</v>
      </c>
      <c r="C234" s="1" t="n">
        <v>45630</v>
      </c>
      <c r="D234" t="inlineStr">
        <is>
          <t>UPPSALA LÄN</t>
        </is>
      </c>
      <c r="E234" t="inlineStr">
        <is>
          <t>ÖSTHAMMAR</t>
        </is>
      </c>
      <c r="F234" t="inlineStr">
        <is>
          <t>Bergvik skog öst AB</t>
        </is>
      </c>
      <c r="G234" t="n">
        <v>1.1</v>
      </c>
      <c r="H234" t="n">
        <v>0</v>
      </c>
      <c r="I234" t="n">
        <v>0</v>
      </c>
      <c r="J234" t="n">
        <v>0</v>
      </c>
      <c r="K234" t="n">
        <v>0</v>
      </c>
      <c r="L234" t="n">
        <v>0</v>
      </c>
      <c r="M234" t="n">
        <v>0</v>
      </c>
      <c r="N234" t="n">
        <v>0</v>
      </c>
      <c r="O234" t="n">
        <v>0</v>
      </c>
      <c r="P234" t="n">
        <v>0</v>
      </c>
      <c r="Q234" t="n">
        <v>0</v>
      </c>
      <c r="R234" s="2" t="inlineStr"/>
    </row>
    <row r="235" ht="15" customHeight="1">
      <c r="A235" t="inlineStr">
        <is>
          <t>A 6052-2020</t>
        </is>
      </c>
      <c r="B235" s="1" t="n">
        <v>43864</v>
      </c>
      <c r="C235" s="1" t="n">
        <v>45630</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6026-2020</t>
        </is>
      </c>
      <c r="B236" s="1" t="n">
        <v>43865</v>
      </c>
      <c r="C236" s="1" t="n">
        <v>45630</v>
      </c>
      <c r="D236" t="inlineStr">
        <is>
          <t>UPPSALA LÄN</t>
        </is>
      </c>
      <c r="E236" t="inlineStr">
        <is>
          <t>ÖSTHAMMAR</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6791-2020</t>
        </is>
      </c>
      <c r="B237" s="1" t="n">
        <v>43867</v>
      </c>
      <c r="C237" s="1" t="n">
        <v>45630</v>
      </c>
      <c r="D237" t="inlineStr">
        <is>
          <t>UPPSALA LÄN</t>
        </is>
      </c>
      <c r="E237" t="inlineStr">
        <is>
          <t>ÖSTHAMMAR</t>
        </is>
      </c>
      <c r="G237" t="n">
        <v>3</v>
      </c>
      <c r="H237" t="n">
        <v>0</v>
      </c>
      <c r="I237" t="n">
        <v>0</v>
      </c>
      <c r="J237" t="n">
        <v>0</v>
      </c>
      <c r="K237" t="n">
        <v>0</v>
      </c>
      <c r="L237" t="n">
        <v>0</v>
      </c>
      <c r="M237" t="n">
        <v>0</v>
      </c>
      <c r="N237" t="n">
        <v>0</v>
      </c>
      <c r="O237" t="n">
        <v>0</v>
      </c>
      <c r="P237" t="n">
        <v>0</v>
      </c>
      <c r="Q237" t="n">
        <v>0</v>
      </c>
      <c r="R237" s="2" t="inlineStr"/>
    </row>
    <row r="238" ht="15" customHeight="1">
      <c r="A238" t="inlineStr">
        <is>
          <t>A 7847-2020</t>
        </is>
      </c>
      <c r="B238" s="1" t="n">
        <v>43873</v>
      </c>
      <c r="C238" s="1" t="n">
        <v>45630</v>
      </c>
      <c r="D238" t="inlineStr">
        <is>
          <t>UPPSALA LÄN</t>
        </is>
      </c>
      <c r="E238" t="inlineStr">
        <is>
          <t>ÖSTHAMMAR</t>
        </is>
      </c>
      <c r="F238" t="inlineStr">
        <is>
          <t>Övriga Aktiebolag</t>
        </is>
      </c>
      <c r="G238" t="n">
        <v>15.3</v>
      </c>
      <c r="H238" t="n">
        <v>0</v>
      </c>
      <c r="I238" t="n">
        <v>0</v>
      </c>
      <c r="J238" t="n">
        <v>0</v>
      </c>
      <c r="K238" t="n">
        <v>0</v>
      </c>
      <c r="L238" t="n">
        <v>0</v>
      </c>
      <c r="M238" t="n">
        <v>0</v>
      </c>
      <c r="N238" t="n">
        <v>0</v>
      </c>
      <c r="O238" t="n">
        <v>0</v>
      </c>
      <c r="P238" t="n">
        <v>0</v>
      </c>
      <c r="Q238" t="n">
        <v>0</v>
      </c>
      <c r="R238" s="2" t="inlineStr"/>
    </row>
    <row r="239" ht="15" customHeight="1">
      <c r="A239" t="inlineStr">
        <is>
          <t>A 10008-2020</t>
        </is>
      </c>
      <c r="B239" s="1" t="n">
        <v>43882</v>
      </c>
      <c r="C239" s="1" t="n">
        <v>45630</v>
      </c>
      <c r="D239" t="inlineStr">
        <is>
          <t>UPPSALA LÄN</t>
        </is>
      </c>
      <c r="E239" t="inlineStr">
        <is>
          <t>ÖSTHAMMAR</t>
        </is>
      </c>
      <c r="G239" t="n">
        <v>1</v>
      </c>
      <c r="H239" t="n">
        <v>0</v>
      </c>
      <c r="I239" t="n">
        <v>0</v>
      </c>
      <c r="J239" t="n">
        <v>0</v>
      </c>
      <c r="K239" t="n">
        <v>0</v>
      </c>
      <c r="L239" t="n">
        <v>0</v>
      </c>
      <c r="M239" t="n">
        <v>0</v>
      </c>
      <c r="N239" t="n">
        <v>0</v>
      </c>
      <c r="O239" t="n">
        <v>0</v>
      </c>
      <c r="P239" t="n">
        <v>0</v>
      </c>
      <c r="Q239" t="n">
        <v>0</v>
      </c>
      <c r="R239" s="2" t="inlineStr"/>
    </row>
    <row r="240" ht="15" customHeight="1">
      <c r="A240" t="inlineStr">
        <is>
          <t>A 10345-2020</t>
        </is>
      </c>
      <c r="B240" s="1" t="n">
        <v>43885</v>
      </c>
      <c r="C240" s="1" t="n">
        <v>45630</v>
      </c>
      <c r="D240" t="inlineStr">
        <is>
          <t>UPPSALA LÄN</t>
        </is>
      </c>
      <c r="E240" t="inlineStr">
        <is>
          <t>ÖSTHAMMAR</t>
        </is>
      </c>
      <c r="F240" t="inlineStr">
        <is>
          <t>Allmännings- och besparingsskogar</t>
        </is>
      </c>
      <c r="G240" t="n">
        <v>1.1</v>
      </c>
      <c r="H240" t="n">
        <v>0</v>
      </c>
      <c r="I240" t="n">
        <v>0</v>
      </c>
      <c r="J240" t="n">
        <v>0</v>
      </c>
      <c r="K240" t="n">
        <v>0</v>
      </c>
      <c r="L240" t="n">
        <v>0</v>
      </c>
      <c r="M240" t="n">
        <v>0</v>
      </c>
      <c r="N240" t="n">
        <v>0</v>
      </c>
      <c r="O240" t="n">
        <v>0</v>
      </c>
      <c r="P240" t="n">
        <v>0</v>
      </c>
      <c r="Q240" t="n">
        <v>0</v>
      </c>
      <c r="R240" s="2" t="inlineStr"/>
    </row>
    <row r="241" ht="15" customHeight="1">
      <c r="A241" t="inlineStr">
        <is>
          <t>A 10347-2020</t>
        </is>
      </c>
      <c r="B241" s="1" t="n">
        <v>43885</v>
      </c>
      <c r="C241" s="1" t="n">
        <v>45630</v>
      </c>
      <c r="D241" t="inlineStr">
        <is>
          <t>UPPSALA LÄN</t>
        </is>
      </c>
      <c r="E241" t="inlineStr">
        <is>
          <t>ÖSTHAMMAR</t>
        </is>
      </c>
      <c r="F241" t="inlineStr">
        <is>
          <t>Allmännings- och besparingsskogar</t>
        </is>
      </c>
      <c r="G241" t="n">
        <v>1.2</v>
      </c>
      <c r="H241" t="n">
        <v>0</v>
      </c>
      <c r="I241" t="n">
        <v>0</v>
      </c>
      <c r="J241" t="n">
        <v>0</v>
      </c>
      <c r="K241" t="n">
        <v>0</v>
      </c>
      <c r="L241" t="n">
        <v>0</v>
      </c>
      <c r="M241" t="n">
        <v>0</v>
      </c>
      <c r="N241" t="n">
        <v>0</v>
      </c>
      <c r="O241" t="n">
        <v>0</v>
      </c>
      <c r="P241" t="n">
        <v>0</v>
      </c>
      <c r="Q241" t="n">
        <v>0</v>
      </c>
      <c r="R241" s="2" t="inlineStr"/>
    </row>
    <row r="242" ht="15" customHeight="1">
      <c r="A242" t="inlineStr">
        <is>
          <t>A 12080-2020</t>
        </is>
      </c>
      <c r="B242" s="1" t="n">
        <v>43895</v>
      </c>
      <c r="C242" s="1" t="n">
        <v>45630</v>
      </c>
      <c r="D242" t="inlineStr">
        <is>
          <t>UPPSALA LÄN</t>
        </is>
      </c>
      <c r="E242" t="inlineStr">
        <is>
          <t>ÖSTHAMMAR</t>
        </is>
      </c>
      <c r="F242" t="inlineStr">
        <is>
          <t>Övriga Aktiebolag</t>
        </is>
      </c>
      <c r="G242" t="n">
        <v>13.9</v>
      </c>
      <c r="H242" t="n">
        <v>0</v>
      </c>
      <c r="I242" t="n">
        <v>0</v>
      </c>
      <c r="J242" t="n">
        <v>0</v>
      </c>
      <c r="K242" t="n">
        <v>0</v>
      </c>
      <c r="L242" t="n">
        <v>0</v>
      </c>
      <c r="M242" t="n">
        <v>0</v>
      </c>
      <c r="N242" t="n">
        <v>0</v>
      </c>
      <c r="O242" t="n">
        <v>0</v>
      </c>
      <c r="P242" t="n">
        <v>0</v>
      </c>
      <c r="Q242" t="n">
        <v>0</v>
      </c>
      <c r="R242" s="2" t="inlineStr"/>
    </row>
    <row r="243" ht="15" customHeight="1">
      <c r="A243" t="inlineStr">
        <is>
          <t>A 13112-2020</t>
        </is>
      </c>
      <c r="B243" s="1" t="n">
        <v>43901</v>
      </c>
      <c r="C243" s="1" t="n">
        <v>45630</v>
      </c>
      <c r="D243" t="inlineStr">
        <is>
          <t>UPPSALA LÄN</t>
        </is>
      </c>
      <c r="E243" t="inlineStr">
        <is>
          <t>ÖSTHAMMAR</t>
        </is>
      </c>
      <c r="F243" t="inlineStr">
        <is>
          <t>Övriga Aktiebolag</t>
        </is>
      </c>
      <c r="G243" t="n">
        <v>6.5</v>
      </c>
      <c r="H243" t="n">
        <v>0</v>
      </c>
      <c r="I243" t="n">
        <v>0</v>
      </c>
      <c r="J243" t="n">
        <v>0</v>
      </c>
      <c r="K243" t="n">
        <v>0</v>
      </c>
      <c r="L243" t="n">
        <v>0</v>
      </c>
      <c r="M243" t="n">
        <v>0</v>
      </c>
      <c r="N243" t="n">
        <v>0</v>
      </c>
      <c r="O243" t="n">
        <v>0</v>
      </c>
      <c r="P243" t="n">
        <v>0</v>
      </c>
      <c r="Q243" t="n">
        <v>0</v>
      </c>
      <c r="R243" s="2" t="inlineStr"/>
    </row>
    <row r="244" ht="15" customHeight="1">
      <c r="A244" t="inlineStr">
        <is>
          <t>A 13310-2020</t>
        </is>
      </c>
      <c r="B244" s="1" t="n">
        <v>43902</v>
      </c>
      <c r="C244" s="1" t="n">
        <v>45630</v>
      </c>
      <c r="D244" t="inlineStr">
        <is>
          <t>UPPSALA LÄN</t>
        </is>
      </c>
      <c r="E244" t="inlineStr">
        <is>
          <t>ÖSTHAMMAR</t>
        </is>
      </c>
      <c r="F244" t="inlineStr">
        <is>
          <t>Bergvik skog öst AB</t>
        </is>
      </c>
      <c r="G244" t="n">
        <v>14.4</v>
      </c>
      <c r="H244" t="n">
        <v>0</v>
      </c>
      <c r="I244" t="n">
        <v>0</v>
      </c>
      <c r="J244" t="n">
        <v>0</v>
      </c>
      <c r="K244" t="n">
        <v>0</v>
      </c>
      <c r="L244" t="n">
        <v>0</v>
      </c>
      <c r="M244" t="n">
        <v>0</v>
      </c>
      <c r="N244" t="n">
        <v>0</v>
      </c>
      <c r="O244" t="n">
        <v>0</v>
      </c>
      <c r="P244" t="n">
        <v>0</v>
      </c>
      <c r="Q244" t="n">
        <v>0</v>
      </c>
      <c r="R244" s="2" t="inlineStr"/>
    </row>
    <row r="245" ht="15" customHeight="1">
      <c r="A245" t="inlineStr">
        <is>
          <t>A 13595-2020</t>
        </is>
      </c>
      <c r="B245" s="1" t="n">
        <v>43903</v>
      </c>
      <c r="C245" s="1" t="n">
        <v>45630</v>
      </c>
      <c r="D245" t="inlineStr">
        <is>
          <t>UPPSALA LÄN</t>
        </is>
      </c>
      <c r="E245" t="inlineStr">
        <is>
          <t>ÖSTHAMMAR</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13945-2020</t>
        </is>
      </c>
      <c r="B246" s="1" t="n">
        <v>43906</v>
      </c>
      <c r="C246" s="1" t="n">
        <v>45630</v>
      </c>
      <c r="D246" t="inlineStr">
        <is>
          <t>UPPSALA LÄN</t>
        </is>
      </c>
      <c r="E246" t="inlineStr">
        <is>
          <t>ÖSTHAMMAR</t>
        </is>
      </c>
      <c r="G246" t="n">
        <v>3.5</v>
      </c>
      <c r="H246" t="n">
        <v>0</v>
      </c>
      <c r="I246" t="n">
        <v>0</v>
      </c>
      <c r="J246" t="n">
        <v>0</v>
      </c>
      <c r="K246" t="n">
        <v>0</v>
      </c>
      <c r="L246" t="n">
        <v>0</v>
      </c>
      <c r="M246" t="n">
        <v>0</v>
      </c>
      <c r="N246" t="n">
        <v>0</v>
      </c>
      <c r="O246" t="n">
        <v>0</v>
      </c>
      <c r="P246" t="n">
        <v>0</v>
      </c>
      <c r="Q246" t="n">
        <v>0</v>
      </c>
      <c r="R246" s="2" t="inlineStr"/>
    </row>
    <row r="247" ht="15" customHeight="1">
      <c r="A247" t="inlineStr">
        <is>
          <t>A 14802-2020</t>
        </is>
      </c>
      <c r="B247" s="1" t="n">
        <v>43909</v>
      </c>
      <c r="C247" s="1" t="n">
        <v>45630</v>
      </c>
      <c r="D247" t="inlineStr">
        <is>
          <t>UPPSALA LÄN</t>
        </is>
      </c>
      <c r="E247" t="inlineStr">
        <is>
          <t>ÖSTHAMMAR</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14817-2020</t>
        </is>
      </c>
      <c r="B248" s="1" t="n">
        <v>43909</v>
      </c>
      <c r="C248" s="1" t="n">
        <v>45630</v>
      </c>
      <c r="D248" t="inlineStr">
        <is>
          <t>UPPSALA LÄN</t>
        </is>
      </c>
      <c r="E248" t="inlineStr">
        <is>
          <t>ÖSTHAMMAR</t>
        </is>
      </c>
      <c r="F248" t="inlineStr">
        <is>
          <t>Bergvik skog öst AB</t>
        </is>
      </c>
      <c r="G248" t="n">
        <v>3.1</v>
      </c>
      <c r="H248" t="n">
        <v>0</v>
      </c>
      <c r="I248" t="n">
        <v>0</v>
      </c>
      <c r="J248" t="n">
        <v>0</v>
      </c>
      <c r="K248" t="n">
        <v>0</v>
      </c>
      <c r="L248" t="n">
        <v>0</v>
      </c>
      <c r="M248" t="n">
        <v>0</v>
      </c>
      <c r="N248" t="n">
        <v>0</v>
      </c>
      <c r="O248" t="n">
        <v>0</v>
      </c>
      <c r="P248" t="n">
        <v>0</v>
      </c>
      <c r="Q248" t="n">
        <v>0</v>
      </c>
      <c r="R248" s="2" t="inlineStr"/>
    </row>
    <row r="249" ht="15" customHeight="1">
      <c r="A249" t="inlineStr">
        <is>
          <t>A 15067-2020</t>
        </is>
      </c>
      <c r="B249" s="1" t="n">
        <v>43910</v>
      </c>
      <c r="C249" s="1" t="n">
        <v>45630</v>
      </c>
      <c r="D249" t="inlineStr">
        <is>
          <t>UPPSALA LÄN</t>
        </is>
      </c>
      <c r="E249" t="inlineStr">
        <is>
          <t>ÖSTHAMMAR</t>
        </is>
      </c>
      <c r="F249" t="inlineStr">
        <is>
          <t>Bergvik skog öst AB</t>
        </is>
      </c>
      <c r="G249" t="n">
        <v>20.5</v>
      </c>
      <c r="H249" t="n">
        <v>0</v>
      </c>
      <c r="I249" t="n">
        <v>0</v>
      </c>
      <c r="J249" t="n">
        <v>0</v>
      </c>
      <c r="K249" t="n">
        <v>0</v>
      </c>
      <c r="L249" t="n">
        <v>0</v>
      </c>
      <c r="M249" t="n">
        <v>0</v>
      </c>
      <c r="N249" t="n">
        <v>0</v>
      </c>
      <c r="O249" t="n">
        <v>0</v>
      </c>
      <c r="P249" t="n">
        <v>0</v>
      </c>
      <c r="Q249" t="n">
        <v>0</v>
      </c>
      <c r="R249" s="2" t="inlineStr"/>
    </row>
    <row r="250" ht="15" customHeight="1">
      <c r="A250" t="inlineStr">
        <is>
          <t>A 17549-2020</t>
        </is>
      </c>
      <c r="B250" s="1" t="n">
        <v>43920</v>
      </c>
      <c r="C250" s="1" t="n">
        <v>45630</v>
      </c>
      <c r="D250" t="inlineStr">
        <is>
          <t>UPPSALA LÄN</t>
        </is>
      </c>
      <c r="E250" t="inlineStr">
        <is>
          <t>ÖSTHAMMAR</t>
        </is>
      </c>
      <c r="G250" t="n">
        <v>1.5</v>
      </c>
      <c r="H250" t="n">
        <v>0</v>
      </c>
      <c r="I250" t="n">
        <v>0</v>
      </c>
      <c r="J250" t="n">
        <v>0</v>
      </c>
      <c r="K250" t="n">
        <v>0</v>
      </c>
      <c r="L250" t="n">
        <v>0</v>
      </c>
      <c r="M250" t="n">
        <v>0</v>
      </c>
      <c r="N250" t="n">
        <v>0</v>
      </c>
      <c r="O250" t="n">
        <v>0</v>
      </c>
      <c r="P250" t="n">
        <v>0</v>
      </c>
      <c r="Q250" t="n">
        <v>0</v>
      </c>
      <c r="R250" s="2" t="inlineStr"/>
    </row>
    <row r="251" ht="15" customHeight="1">
      <c r="A251" t="inlineStr">
        <is>
          <t>A 19556-2020</t>
        </is>
      </c>
      <c r="B251" s="1" t="n">
        <v>43936</v>
      </c>
      <c r="C251" s="1" t="n">
        <v>45630</v>
      </c>
      <c r="D251" t="inlineStr">
        <is>
          <t>UPPSALA LÄN</t>
        </is>
      </c>
      <c r="E251" t="inlineStr">
        <is>
          <t>ÖSTHAMMAR</t>
        </is>
      </c>
      <c r="G251" t="n">
        <v>6.3</v>
      </c>
      <c r="H251" t="n">
        <v>0</v>
      </c>
      <c r="I251" t="n">
        <v>0</v>
      </c>
      <c r="J251" t="n">
        <v>0</v>
      </c>
      <c r="K251" t="n">
        <v>0</v>
      </c>
      <c r="L251" t="n">
        <v>0</v>
      </c>
      <c r="M251" t="n">
        <v>0</v>
      </c>
      <c r="N251" t="n">
        <v>0</v>
      </c>
      <c r="O251" t="n">
        <v>0</v>
      </c>
      <c r="P251" t="n">
        <v>0</v>
      </c>
      <c r="Q251" t="n">
        <v>0</v>
      </c>
      <c r="R251" s="2" t="inlineStr"/>
    </row>
    <row r="252" ht="15" customHeight="1">
      <c r="A252" t="inlineStr">
        <is>
          <t>A 23621-2020</t>
        </is>
      </c>
      <c r="B252" s="1" t="n">
        <v>43969</v>
      </c>
      <c r="C252" s="1" t="n">
        <v>45630</v>
      </c>
      <c r="D252" t="inlineStr">
        <is>
          <t>UPPSALA LÄN</t>
        </is>
      </c>
      <c r="E252" t="inlineStr">
        <is>
          <t>ÖSTHAMMAR</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26198-2020</t>
        </is>
      </c>
      <c r="B253" s="1" t="n">
        <v>43986</v>
      </c>
      <c r="C253" s="1" t="n">
        <v>45630</v>
      </c>
      <c r="D253" t="inlineStr">
        <is>
          <t>UPPSALA LÄN</t>
        </is>
      </c>
      <c r="E253" t="inlineStr">
        <is>
          <t>ÖSTHAMMAR</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30338-2020</t>
        </is>
      </c>
      <c r="B254" s="1" t="n">
        <v>44007</v>
      </c>
      <c r="C254" s="1" t="n">
        <v>45630</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30419-2020</t>
        </is>
      </c>
      <c r="B255" s="1" t="n">
        <v>44007</v>
      </c>
      <c r="C255" s="1" t="n">
        <v>45630</v>
      </c>
      <c r="D255" t="inlineStr">
        <is>
          <t>UPPSALA LÄN</t>
        </is>
      </c>
      <c r="E255" t="inlineStr">
        <is>
          <t>ÖSTHAMMAR</t>
        </is>
      </c>
      <c r="G255" t="n">
        <v>5.6</v>
      </c>
      <c r="H255" t="n">
        <v>0</v>
      </c>
      <c r="I255" t="n">
        <v>0</v>
      </c>
      <c r="J255" t="n">
        <v>0</v>
      </c>
      <c r="K255" t="n">
        <v>0</v>
      </c>
      <c r="L255" t="n">
        <v>0</v>
      </c>
      <c r="M255" t="n">
        <v>0</v>
      </c>
      <c r="N255" t="n">
        <v>0</v>
      </c>
      <c r="O255" t="n">
        <v>0</v>
      </c>
      <c r="P255" t="n">
        <v>0</v>
      </c>
      <c r="Q255" t="n">
        <v>0</v>
      </c>
      <c r="R255" s="2" t="inlineStr"/>
    </row>
    <row r="256" ht="15" customHeight="1">
      <c r="A256" t="inlineStr">
        <is>
          <t>A 32192-2020</t>
        </is>
      </c>
      <c r="B256" s="1" t="n">
        <v>44015</v>
      </c>
      <c r="C256" s="1" t="n">
        <v>45630</v>
      </c>
      <c r="D256" t="inlineStr">
        <is>
          <t>UPPSALA LÄN</t>
        </is>
      </c>
      <c r="E256" t="inlineStr">
        <is>
          <t>ÖSTHAMMAR</t>
        </is>
      </c>
      <c r="G256" t="n">
        <v>1.6</v>
      </c>
      <c r="H256" t="n">
        <v>0</v>
      </c>
      <c r="I256" t="n">
        <v>0</v>
      </c>
      <c r="J256" t="n">
        <v>0</v>
      </c>
      <c r="K256" t="n">
        <v>0</v>
      </c>
      <c r="L256" t="n">
        <v>0</v>
      </c>
      <c r="M256" t="n">
        <v>0</v>
      </c>
      <c r="N256" t="n">
        <v>0</v>
      </c>
      <c r="O256" t="n">
        <v>0</v>
      </c>
      <c r="P256" t="n">
        <v>0</v>
      </c>
      <c r="Q256" t="n">
        <v>0</v>
      </c>
      <c r="R256" s="2" t="inlineStr"/>
    </row>
    <row r="257" ht="15" customHeight="1">
      <c r="A257" t="inlineStr">
        <is>
          <t>A 33098-2020</t>
        </is>
      </c>
      <c r="B257" s="1" t="n">
        <v>44021</v>
      </c>
      <c r="C257" s="1" t="n">
        <v>45630</v>
      </c>
      <c r="D257" t="inlineStr">
        <is>
          <t>UPPSALA LÄN</t>
        </is>
      </c>
      <c r="E257" t="inlineStr">
        <is>
          <t>ÖSTHAMMAR</t>
        </is>
      </c>
      <c r="G257" t="n">
        <v>3.8</v>
      </c>
      <c r="H257" t="n">
        <v>0</v>
      </c>
      <c r="I257" t="n">
        <v>0</v>
      </c>
      <c r="J257" t="n">
        <v>0</v>
      </c>
      <c r="K257" t="n">
        <v>0</v>
      </c>
      <c r="L257" t="n">
        <v>0</v>
      </c>
      <c r="M257" t="n">
        <v>0</v>
      </c>
      <c r="N257" t="n">
        <v>0</v>
      </c>
      <c r="O257" t="n">
        <v>0</v>
      </c>
      <c r="P257" t="n">
        <v>0</v>
      </c>
      <c r="Q257" t="n">
        <v>0</v>
      </c>
      <c r="R257" s="2" t="inlineStr"/>
    </row>
    <row r="258" ht="15" customHeight="1">
      <c r="A258" t="inlineStr">
        <is>
          <t>A 34943-2020</t>
        </is>
      </c>
      <c r="B258" s="1" t="n">
        <v>44038</v>
      </c>
      <c r="C258" s="1" t="n">
        <v>45630</v>
      </c>
      <c r="D258" t="inlineStr">
        <is>
          <t>UPPSALA LÄN</t>
        </is>
      </c>
      <c r="E258" t="inlineStr">
        <is>
          <t>ÖSTHAMMAR</t>
        </is>
      </c>
      <c r="F258" t="inlineStr">
        <is>
          <t>Bergvik skog öst AB</t>
        </is>
      </c>
      <c r="G258" t="n">
        <v>4.2</v>
      </c>
      <c r="H258" t="n">
        <v>0</v>
      </c>
      <c r="I258" t="n">
        <v>0</v>
      </c>
      <c r="J258" t="n">
        <v>0</v>
      </c>
      <c r="K258" t="n">
        <v>0</v>
      </c>
      <c r="L258" t="n">
        <v>0</v>
      </c>
      <c r="M258" t="n">
        <v>0</v>
      </c>
      <c r="N258" t="n">
        <v>0</v>
      </c>
      <c r="O258" t="n">
        <v>0</v>
      </c>
      <c r="P258" t="n">
        <v>0</v>
      </c>
      <c r="Q258" t="n">
        <v>0</v>
      </c>
      <c r="R258" s="2" t="inlineStr"/>
    </row>
    <row r="259" ht="15" customHeight="1">
      <c r="A259" t="inlineStr">
        <is>
          <t>A 34941-2020</t>
        </is>
      </c>
      <c r="B259" s="1" t="n">
        <v>44038</v>
      </c>
      <c r="C259" s="1" t="n">
        <v>45630</v>
      </c>
      <c r="D259" t="inlineStr">
        <is>
          <t>UPPSALA LÄN</t>
        </is>
      </c>
      <c r="E259" t="inlineStr">
        <is>
          <t>ÖSTHAMMAR</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34940-2020</t>
        </is>
      </c>
      <c r="B260" s="1" t="n">
        <v>44038</v>
      </c>
      <c r="C260" s="1" t="n">
        <v>45630</v>
      </c>
      <c r="D260" t="inlineStr">
        <is>
          <t>UPPSALA LÄN</t>
        </is>
      </c>
      <c r="E260" t="inlineStr">
        <is>
          <t>ÖSTHAMMAR</t>
        </is>
      </c>
      <c r="F260" t="inlineStr">
        <is>
          <t>Bergvik skog öst AB</t>
        </is>
      </c>
      <c r="G260" t="n">
        <v>3.5</v>
      </c>
      <c r="H260" t="n">
        <v>0</v>
      </c>
      <c r="I260" t="n">
        <v>0</v>
      </c>
      <c r="J260" t="n">
        <v>0</v>
      </c>
      <c r="K260" t="n">
        <v>0</v>
      </c>
      <c r="L260" t="n">
        <v>0</v>
      </c>
      <c r="M260" t="n">
        <v>0</v>
      </c>
      <c r="N260" t="n">
        <v>0</v>
      </c>
      <c r="O260" t="n">
        <v>0</v>
      </c>
      <c r="P260" t="n">
        <v>0</v>
      </c>
      <c r="Q260" t="n">
        <v>0</v>
      </c>
      <c r="R260" s="2" t="inlineStr"/>
    </row>
    <row r="261" ht="15" customHeight="1">
      <c r="A261" t="inlineStr">
        <is>
          <t>A 35094-2020</t>
        </is>
      </c>
      <c r="B261" s="1" t="n">
        <v>44040</v>
      </c>
      <c r="C261" s="1" t="n">
        <v>45630</v>
      </c>
      <c r="D261" t="inlineStr">
        <is>
          <t>UPPSALA LÄN</t>
        </is>
      </c>
      <c r="E261" t="inlineStr">
        <is>
          <t>ÖSTHAMMAR</t>
        </is>
      </c>
      <c r="F261" t="inlineStr">
        <is>
          <t>Bergvik skog öst AB</t>
        </is>
      </c>
      <c r="G261" t="n">
        <v>14.5</v>
      </c>
      <c r="H261" t="n">
        <v>0</v>
      </c>
      <c r="I261" t="n">
        <v>0</v>
      </c>
      <c r="J261" t="n">
        <v>0</v>
      </c>
      <c r="K261" t="n">
        <v>0</v>
      </c>
      <c r="L261" t="n">
        <v>0</v>
      </c>
      <c r="M261" t="n">
        <v>0</v>
      </c>
      <c r="N261" t="n">
        <v>0</v>
      </c>
      <c r="O261" t="n">
        <v>0</v>
      </c>
      <c r="P261" t="n">
        <v>0</v>
      </c>
      <c r="Q261" t="n">
        <v>0</v>
      </c>
      <c r="R261" s="2" t="inlineStr"/>
    </row>
    <row r="262" ht="15" customHeight="1">
      <c r="A262" t="inlineStr">
        <is>
          <t>A 35096-2020</t>
        </is>
      </c>
      <c r="B262" s="1" t="n">
        <v>44040</v>
      </c>
      <c r="C262" s="1" t="n">
        <v>45630</v>
      </c>
      <c r="D262" t="inlineStr">
        <is>
          <t>UPPSALA LÄN</t>
        </is>
      </c>
      <c r="E262" t="inlineStr">
        <is>
          <t>ÖSTHAMMAR</t>
        </is>
      </c>
      <c r="F262" t="inlineStr">
        <is>
          <t>Bergvik skog öst AB</t>
        </is>
      </c>
      <c r="G262" t="n">
        <v>7.6</v>
      </c>
      <c r="H262" t="n">
        <v>0</v>
      </c>
      <c r="I262" t="n">
        <v>0</v>
      </c>
      <c r="J262" t="n">
        <v>0</v>
      </c>
      <c r="K262" t="n">
        <v>0</v>
      </c>
      <c r="L262" t="n">
        <v>0</v>
      </c>
      <c r="M262" t="n">
        <v>0</v>
      </c>
      <c r="N262" t="n">
        <v>0</v>
      </c>
      <c r="O262" t="n">
        <v>0</v>
      </c>
      <c r="P262" t="n">
        <v>0</v>
      </c>
      <c r="Q262" t="n">
        <v>0</v>
      </c>
      <c r="R262" s="2" t="inlineStr"/>
    </row>
    <row r="263" ht="15" customHeight="1">
      <c r="A263" t="inlineStr">
        <is>
          <t>A 38285-2020</t>
        </is>
      </c>
      <c r="B263" s="1" t="n">
        <v>44060</v>
      </c>
      <c r="C263" s="1" t="n">
        <v>45630</v>
      </c>
      <c r="D263" t="inlineStr">
        <is>
          <t>UPPSALA LÄN</t>
        </is>
      </c>
      <c r="E263" t="inlineStr">
        <is>
          <t>ÖSTHAMMAR</t>
        </is>
      </c>
      <c r="G263" t="n">
        <v>4.7</v>
      </c>
      <c r="H263" t="n">
        <v>0</v>
      </c>
      <c r="I263" t="n">
        <v>0</v>
      </c>
      <c r="J263" t="n">
        <v>0</v>
      </c>
      <c r="K263" t="n">
        <v>0</v>
      </c>
      <c r="L263" t="n">
        <v>0</v>
      </c>
      <c r="M263" t="n">
        <v>0</v>
      </c>
      <c r="N263" t="n">
        <v>0</v>
      </c>
      <c r="O263" t="n">
        <v>0</v>
      </c>
      <c r="P263" t="n">
        <v>0</v>
      </c>
      <c r="Q263" t="n">
        <v>0</v>
      </c>
      <c r="R263" s="2" t="inlineStr"/>
    </row>
    <row r="264" ht="15" customHeight="1">
      <c r="A264" t="inlineStr">
        <is>
          <t>A 38630-2020</t>
        </is>
      </c>
      <c r="B264" s="1" t="n">
        <v>44061</v>
      </c>
      <c r="C264" s="1" t="n">
        <v>45630</v>
      </c>
      <c r="D264" t="inlineStr">
        <is>
          <t>UPPSALA LÄN</t>
        </is>
      </c>
      <c r="E264" t="inlineStr">
        <is>
          <t>ÖSTHAMMAR</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39640-2020</t>
        </is>
      </c>
      <c r="B265" s="1" t="n">
        <v>44064</v>
      </c>
      <c r="C265" s="1" t="n">
        <v>45630</v>
      </c>
      <c r="D265" t="inlineStr">
        <is>
          <t>UPPSALA LÄN</t>
        </is>
      </c>
      <c r="E265" t="inlineStr">
        <is>
          <t>ÖSTHAMMAR</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41849-2020</t>
        </is>
      </c>
      <c r="B266" s="1" t="n">
        <v>44074</v>
      </c>
      <c r="C266" s="1" t="n">
        <v>45630</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42549-2020</t>
        </is>
      </c>
      <c r="B267" s="1" t="n">
        <v>44077</v>
      </c>
      <c r="C267" s="1" t="n">
        <v>45630</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46311-2020</t>
        </is>
      </c>
      <c r="B268" s="1" t="n">
        <v>44092</v>
      </c>
      <c r="C268" s="1" t="n">
        <v>45630</v>
      </c>
      <c r="D268" t="inlineStr">
        <is>
          <t>UPPSALA LÄN</t>
        </is>
      </c>
      <c r="E268" t="inlineStr">
        <is>
          <t>ÖSTHAMMAR</t>
        </is>
      </c>
      <c r="F268" t="inlineStr">
        <is>
          <t>Bergvik skog öst AB</t>
        </is>
      </c>
      <c r="G268" t="n">
        <v>4</v>
      </c>
      <c r="H268" t="n">
        <v>0</v>
      </c>
      <c r="I268" t="n">
        <v>0</v>
      </c>
      <c r="J268" t="n">
        <v>0</v>
      </c>
      <c r="K268" t="n">
        <v>0</v>
      </c>
      <c r="L268" t="n">
        <v>0</v>
      </c>
      <c r="M268" t="n">
        <v>0</v>
      </c>
      <c r="N268" t="n">
        <v>0</v>
      </c>
      <c r="O268" t="n">
        <v>0</v>
      </c>
      <c r="P268" t="n">
        <v>0</v>
      </c>
      <c r="Q268" t="n">
        <v>0</v>
      </c>
      <c r="R268" s="2" t="inlineStr"/>
    </row>
    <row r="269" ht="15" customHeight="1">
      <c r="A269" t="inlineStr">
        <is>
          <t>A 46423-2020</t>
        </is>
      </c>
      <c r="B269" s="1" t="n">
        <v>44095</v>
      </c>
      <c r="C269" s="1" t="n">
        <v>45630</v>
      </c>
      <c r="D269" t="inlineStr">
        <is>
          <t>UPPSALA LÄN</t>
        </is>
      </c>
      <c r="E269" t="inlineStr">
        <is>
          <t>ÖSTHAMMAR</t>
        </is>
      </c>
      <c r="G269" t="n">
        <v>3</v>
      </c>
      <c r="H269" t="n">
        <v>0</v>
      </c>
      <c r="I269" t="n">
        <v>0</v>
      </c>
      <c r="J269" t="n">
        <v>0</v>
      </c>
      <c r="K269" t="n">
        <v>0</v>
      </c>
      <c r="L269" t="n">
        <v>0</v>
      </c>
      <c r="M269" t="n">
        <v>0</v>
      </c>
      <c r="N269" t="n">
        <v>0</v>
      </c>
      <c r="O269" t="n">
        <v>0</v>
      </c>
      <c r="P269" t="n">
        <v>0</v>
      </c>
      <c r="Q269" t="n">
        <v>0</v>
      </c>
      <c r="R269" s="2" t="inlineStr"/>
    </row>
    <row r="270" ht="15" customHeight="1">
      <c r="A270" t="inlineStr">
        <is>
          <t>A 47481-2020</t>
        </is>
      </c>
      <c r="B270" s="1" t="n">
        <v>44098</v>
      </c>
      <c r="C270" s="1" t="n">
        <v>45630</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49206-2020</t>
        </is>
      </c>
      <c r="B271" s="1" t="n">
        <v>44105</v>
      </c>
      <c r="C271" s="1" t="n">
        <v>45630</v>
      </c>
      <c r="D271" t="inlineStr">
        <is>
          <t>UPPSALA LÄN</t>
        </is>
      </c>
      <c r="E271" t="inlineStr">
        <is>
          <t>ÖSTHAMMAR</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49336-2020</t>
        </is>
      </c>
      <c r="B272" s="1" t="n">
        <v>44105</v>
      </c>
      <c r="C272" s="1" t="n">
        <v>45630</v>
      </c>
      <c r="D272" t="inlineStr">
        <is>
          <t>UPPSALA LÄN</t>
        </is>
      </c>
      <c r="E272" t="inlineStr">
        <is>
          <t>ÖSTHAMMAR</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52432-2020</t>
        </is>
      </c>
      <c r="B273" s="1" t="n">
        <v>44118</v>
      </c>
      <c r="C273" s="1" t="n">
        <v>45630</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52434-2020</t>
        </is>
      </c>
      <c r="B274" s="1" t="n">
        <v>44118</v>
      </c>
      <c r="C274" s="1" t="n">
        <v>45630</v>
      </c>
      <c r="D274" t="inlineStr">
        <is>
          <t>UPPSALA LÄN</t>
        </is>
      </c>
      <c r="E274" t="inlineStr">
        <is>
          <t>ÖSTHAMMAR</t>
        </is>
      </c>
      <c r="G274" t="n">
        <v>2.8</v>
      </c>
      <c r="H274" t="n">
        <v>0</v>
      </c>
      <c r="I274" t="n">
        <v>0</v>
      </c>
      <c r="J274" t="n">
        <v>0</v>
      </c>
      <c r="K274" t="n">
        <v>0</v>
      </c>
      <c r="L274" t="n">
        <v>0</v>
      </c>
      <c r="M274" t="n">
        <v>0</v>
      </c>
      <c r="N274" t="n">
        <v>0</v>
      </c>
      <c r="O274" t="n">
        <v>0</v>
      </c>
      <c r="P274" t="n">
        <v>0</v>
      </c>
      <c r="Q274" t="n">
        <v>0</v>
      </c>
      <c r="R274" s="2" t="inlineStr"/>
    </row>
    <row r="275" ht="15" customHeight="1">
      <c r="A275" t="inlineStr">
        <is>
          <t>A 53137-2020</t>
        </is>
      </c>
      <c r="B275" s="1" t="n">
        <v>44120</v>
      </c>
      <c r="C275" s="1" t="n">
        <v>45630</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55389-2020</t>
        </is>
      </c>
      <c r="B276" s="1" t="n">
        <v>44131</v>
      </c>
      <c r="C276" s="1" t="n">
        <v>45630</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56041-2020</t>
        </is>
      </c>
      <c r="B277" s="1" t="n">
        <v>44133</v>
      </c>
      <c r="C277" s="1" t="n">
        <v>45630</v>
      </c>
      <c r="D277" t="inlineStr">
        <is>
          <t>UPPSALA LÄN</t>
        </is>
      </c>
      <c r="E277" t="inlineStr">
        <is>
          <t>ÖSTHAMMAR</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56079-2020</t>
        </is>
      </c>
      <c r="B278" s="1" t="n">
        <v>44133</v>
      </c>
      <c r="C278" s="1" t="n">
        <v>45630</v>
      </c>
      <c r="D278" t="inlineStr">
        <is>
          <t>UPPSALA LÄN</t>
        </is>
      </c>
      <c r="E278" t="inlineStr">
        <is>
          <t>ÖSTHAMMAR</t>
        </is>
      </c>
      <c r="F278" t="inlineStr">
        <is>
          <t>Bergvik skog öst AB</t>
        </is>
      </c>
      <c r="G278" t="n">
        <v>2.9</v>
      </c>
      <c r="H278" t="n">
        <v>0</v>
      </c>
      <c r="I278" t="n">
        <v>0</v>
      </c>
      <c r="J278" t="n">
        <v>0</v>
      </c>
      <c r="K278" t="n">
        <v>0</v>
      </c>
      <c r="L278" t="n">
        <v>0</v>
      </c>
      <c r="M278" t="n">
        <v>0</v>
      </c>
      <c r="N278" t="n">
        <v>0</v>
      </c>
      <c r="O278" t="n">
        <v>0</v>
      </c>
      <c r="P278" t="n">
        <v>0</v>
      </c>
      <c r="Q278" t="n">
        <v>0</v>
      </c>
      <c r="R278" s="2" t="inlineStr"/>
    </row>
    <row r="279" ht="15" customHeight="1">
      <c r="A279" t="inlineStr">
        <is>
          <t>A 56089-2020</t>
        </is>
      </c>
      <c r="B279" s="1" t="n">
        <v>44133</v>
      </c>
      <c r="C279" s="1" t="n">
        <v>45630</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57408-2020</t>
        </is>
      </c>
      <c r="B280" s="1" t="n">
        <v>44140</v>
      </c>
      <c r="C280" s="1" t="n">
        <v>45630</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59432-2020</t>
        </is>
      </c>
      <c r="B281" s="1" t="n">
        <v>44148</v>
      </c>
      <c r="C281" s="1" t="n">
        <v>45630</v>
      </c>
      <c r="D281" t="inlineStr">
        <is>
          <t>UPPSALA LÄN</t>
        </is>
      </c>
      <c r="E281" t="inlineStr">
        <is>
          <t>ÖSTHAMMAR</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59414-2020</t>
        </is>
      </c>
      <c r="B282" s="1" t="n">
        <v>44148</v>
      </c>
      <c r="C282" s="1" t="n">
        <v>45630</v>
      </c>
      <c r="D282" t="inlineStr">
        <is>
          <t>UPPSALA LÄN</t>
        </is>
      </c>
      <c r="E282" t="inlineStr">
        <is>
          <t>ÖSTHAMMAR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59417-2020</t>
        </is>
      </c>
      <c r="B283" s="1" t="n">
        <v>44148</v>
      </c>
      <c r="C283" s="1" t="n">
        <v>45630</v>
      </c>
      <c r="D283" t="inlineStr">
        <is>
          <t>UPPSALA LÄN</t>
        </is>
      </c>
      <c r="E283" t="inlineStr">
        <is>
          <t>ÖSTHAMMAR</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59714-2020</t>
        </is>
      </c>
      <c r="B284" s="1" t="n">
        <v>44151</v>
      </c>
      <c r="C284" s="1" t="n">
        <v>45630</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59807-2020</t>
        </is>
      </c>
      <c r="B285" s="1" t="n">
        <v>44151</v>
      </c>
      <c r="C285" s="1" t="n">
        <v>45630</v>
      </c>
      <c r="D285" t="inlineStr">
        <is>
          <t>UPPSALA LÄN</t>
        </is>
      </c>
      <c r="E285" t="inlineStr">
        <is>
          <t>ÖSTHAMMAR</t>
        </is>
      </c>
      <c r="G285" t="n">
        <v>3.4</v>
      </c>
      <c r="H285" t="n">
        <v>0</v>
      </c>
      <c r="I285" t="n">
        <v>0</v>
      </c>
      <c r="J285" t="n">
        <v>0</v>
      </c>
      <c r="K285" t="n">
        <v>0</v>
      </c>
      <c r="L285" t="n">
        <v>0</v>
      </c>
      <c r="M285" t="n">
        <v>0</v>
      </c>
      <c r="N285" t="n">
        <v>0</v>
      </c>
      <c r="O285" t="n">
        <v>0</v>
      </c>
      <c r="P285" t="n">
        <v>0</v>
      </c>
      <c r="Q285" t="n">
        <v>0</v>
      </c>
      <c r="R285" s="2" t="inlineStr"/>
    </row>
    <row r="286" ht="15" customHeight="1">
      <c r="A286" t="inlineStr">
        <is>
          <t>A 61193-2020</t>
        </is>
      </c>
      <c r="B286" s="1" t="n">
        <v>44155</v>
      </c>
      <c r="C286" s="1" t="n">
        <v>45630</v>
      </c>
      <c r="D286" t="inlineStr">
        <is>
          <t>UPPSALA LÄN</t>
        </is>
      </c>
      <c r="E286" t="inlineStr">
        <is>
          <t>ÖSTHAMMAR</t>
        </is>
      </c>
      <c r="F286" t="inlineStr">
        <is>
          <t>Övriga Aktiebolag</t>
        </is>
      </c>
      <c r="G286" t="n">
        <v>2.1</v>
      </c>
      <c r="H286" t="n">
        <v>0</v>
      </c>
      <c r="I286" t="n">
        <v>0</v>
      </c>
      <c r="J286" t="n">
        <v>0</v>
      </c>
      <c r="K286" t="n">
        <v>0</v>
      </c>
      <c r="L286" t="n">
        <v>0</v>
      </c>
      <c r="M286" t="n">
        <v>0</v>
      </c>
      <c r="N286" t="n">
        <v>0</v>
      </c>
      <c r="O286" t="n">
        <v>0</v>
      </c>
      <c r="P286" t="n">
        <v>0</v>
      </c>
      <c r="Q286" t="n">
        <v>0</v>
      </c>
      <c r="R286" s="2" t="inlineStr"/>
    </row>
    <row r="287" ht="15" customHeight="1">
      <c r="A287" t="inlineStr">
        <is>
          <t>A 62484-2020</t>
        </is>
      </c>
      <c r="B287" s="1" t="n">
        <v>44160</v>
      </c>
      <c r="C287" s="1" t="n">
        <v>45630</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63637-2020</t>
        </is>
      </c>
      <c r="B288" s="1" t="n">
        <v>44162</v>
      </c>
      <c r="C288" s="1" t="n">
        <v>45630</v>
      </c>
      <c r="D288" t="inlineStr">
        <is>
          <t>UPPSALA LÄN</t>
        </is>
      </c>
      <c r="E288" t="inlineStr">
        <is>
          <t>ÖSTHAMMAR</t>
        </is>
      </c>
      <c r="G288" t="n">
        <v>4</v>
      </c>
      <c r="H288" t="n">
        <v>0</v>
      </c>
      <c r="I288" t="n">
        <v>0</v>
      </c>
      <c r="J288" t="n">
        <v>0</v>
      </c>
      <c r="K288" t="n">
        <v>0</v>
      </c>
      <c r="L288" t="n">
        <v>0</v>
      </c>
      <c r="M288" t="n">
        <v>0</v>
      </c>
      <c r="N288" t="n">
        <v>0</v>
      </c>
      <c r="O288" t="n">
        <v>0</v>
      </c>
      <c r="P288" t="n">
        <v>0</v>
      </c>
      <c r="Q288" t="n">
        <v>0</v>
      </c>
      <c r="R288" s="2" t="inlineStr"/>
    </row>
    <row r="289" ht="15" customHeight="1">
      <c r="A289" t="inlineStr">
        <is>
          <t>A 63577-2020</t>
        </is>
      </c>
      <c r="B289" s="1" t="n">
        <v>44165</v>
      </c>
      <c r="C289" s="1" t="n">
        <v>45630</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63987-2020</t>
        </is>
      </c>
      <c r="B290" s="1" t="n">
        <v>44167</v>
      </c>
      <c r="C290" s="1" t="n">
        <v>45630</v>
      </c>
      <c r="D290" t="inlineStr">
        <is>
          <t>UPPSALA LÄN</t>
        </is>
      </c>
      <c r="E290" t="inlineStr">
        <is>
          <t>ÖSTHAMMAR</t>
        </is>
      </c>
      <c r="G290" t="n">
        <v>5.9</v>
      </c>
      <c r="H290" t="n">
        <v>0</v>
      </c>
      <c r="I290" t="n">
        <v>0</v>
      </c>
      <c r="J290" t="n">
        <v>0</v>
      </c>
      <c r="K290" t="n">
        <v>0</v>
      </c>
      <c r="L290" t="n">
        <v>0</v>
      </c>
      <c r="M290" t="n">
        <v>0</v>
      </c>
      <c r="N290" t="n">
        <v>0</v>
      </c>
      <c r="O290" t="n">
        <v>0</v>
      </c>
      <c r="P290" t="n">
        <v>0</v>
      </c>
      <c r="Q290" t="n">
        <v>0</v>
      </c>
      <c r="R290" s="2" t="inlineStr"/>
    </row>
    <row r="291" ht="15" customHeight="1">
      <c r="A291" t="inlineStr">
        <is>
          <t>A 65361-2020</t>
        </is>
      </c>
      <c r="B291" s="1" t="n">
        <v>44173</v>
      </c>
      <c r="C291" s="1" t="n">
        <v>45630</v>
      </c>
      <c r="D291" t="inlineStr">
        <is>
          <t>UPPSALA LÄN</t>
        </is>
      </c>
      <c r="E291" t="inlineStr">
        <is>
          <t>ÖSTHAMMAR</t>
        </is>
      </c>
      <c r="G291" t="n">
        <v>3.6</v>
      </c>
      <c r="H291" t="n">
        <v>0</v>
      </c>
      <c r="I291" t="n">
        <v>0</v>
      </c>
      <c r="J291" t="n">
        <v>0</v>
      </c>
      <c r="K291" t="n">
        <v>0</v>
      </c>
      <c r="L291" t="n">
        <v>0</v>
      </c>
      <c r="M291" t="n">
        <v>0</v>
      </c>
      <c r="N291" t="n">
        <v>0</v>
      </c>
      <c r="O291" t="n">
        <v>0</v>
      </c>
      <c r="P291" t="n">
        <v>0</v>
      </c>
      <c r="Q291" t="n">
        <v>0</v>
      </c>
      <c r="R291" s="2" t="inlineStr"/>
    </row>
    <row r="292" ht="15" customHeight="1">
      <c r="A292" t="inlineStr">
        <is>
          <t>A 68243-2020</t>
        </is>
      </c>
      <c r="B292" s="1" t="n">
        <v>44183</v>
      </c>
      <c r="C292" s="1" t="n">
        <v>45630</v>
      </c>
      <c r="D292" t="inlineStr">
        <is>
          <t>UPPSALA LÄN</t>
        </is>
      </c>
      <c r="E292" t="inlineStr">
        <is>
          <t>ÖSTHAMMAR</t>
        </is>
      </c>
      <c r="G292" t="n">
        <v>8.5</v>
      </c>
      <c r="H292" t="n">
        <v>0</v>
      </c>
      <c r="I292" t="n">
        <v>0</v>
      </c>
      <c r="J292" t="n">
        <v>0</v>
      </c>
      <c r="K292" t="n">
        <v>0</v>
      </c>
      <c r="L292" t="n">
        <v>0</v>
      </c>
      <c r="M292" t="n">
        <v>0</v>
      </c>
      <c r="N292" t="n">
        <v>0</v>
      </c>
      <c r="O292" t="n">
        <v>0</v>
      </c>
      <c r="P292" t="n">
        <v>0</v>
      </c>
      <c r="Q292" t="n">
        <v>0</v>
      </c>
      <c r="R292" s="2" t="inlineStr"/>
    </row>
    <row r="293" ht="15" customHeight="1">
      <c r="A293" t="inlineStr">
        <is>
          <t>A 68828-2020</t>
        </is>
      </c>
      <c r="B293" s="1" t="n">
        <v>44186</v>
      </c>
      <c r="C293" s="1" t="n">
        <v>45630</v>
      </c>
      <c r="D293" t="inlineStr">
        <is>
          <t>UPPSALA LÄN</t>
        </is>
      </c>
      <c r="E293" t="inlineStr">
        <is>
          <t>ÖSTHAMMAR</t>
        </is>
      </c>
      <c r="G293" t="n">
        <v>1.5</v>
      </c>
      <c r="H293" t="n">
        <v>0</v>
      </c>
      <c r="I293" t="n">
        <v>0</v>
      </c>
      <c r="J293" t="n">
        <v>0</v>
      </c>
      <c r="K293" t="n">
        <v>0</v>
      </c>
      <c r="L293" t="n">
        <v>0</v>
      </c>
      <c r="M293" t="n">
        <v>0</v>
      </c>
      <c r="N293" t="n">
        <v>0</v>
      </c>
      <c r="O293" t="n">
        <v>0</v>
      </c>
      <c r="P293" t="n">
        <v>0</v>
      </c>
      <c r="Q293" t="n">
        <v>0</v>
      </c>
      <c r="R293" s="2" t="inlineStr"/>
    </row>
    <row r="294" ht="15" customHeight="1">
      <c r="A294" t="inlineStr">
        <is>
          <t>A 69681-2020</t>
        </is>
      </c>
      <c r="B294" s="1" t="n">
        <v>44196</v>
      </c>
      <c r="C294" s="1" t="n">
        <v>45630</v>
      </c>
      <c r="D294" t="inlineStr">
        <is>
          <t>UPPSALA LÄN</t>
        </is>
      </c>
      <c r="E294" t="inlineStr">
        <is>
          <t>ÖSTHAMMAR</t>
        </is>
      </c>
      <c r="F294" t="inlineStr">
        <is>
          <t>Bergvik skog öst AB</t>
        </is>
      </c>
      <c r="G294" t="n">
        <v>21.9</v>
      </c>
      <c r="H294" t="n">
        <v>0</v>
      </c>
      <c r="I294" t="n">
        <v>0</v>
      </c>
      <c r="J294" t="n">
        <v>0</v>
      </c>
      <c r="K294" t="n">
        <v>0</v>
      </c>
      <c r="L294" t="n">
        <v>0</v>
      </c>
      <c r="M294" t="n">
        <v>0</v>
      </c>
      <c r="N294" t="n">
        <v>0</v>
      </c>
      <c r="O294" t="n">
        <v>0</v>
      </c>
      <c r="P294" t="n">
        <v>0</v>
      </c>
      <c r="Q294" t="n">
        <v>0</v>
      </c>
      <c r="R294" s="2" t="inlineStr"/>
    </row>
    <row r="295" ht="15" customHeight="1">
      <c r="A295" t="inlineStr">
        <is>
          <t>A 3693-2021</t>
        </is>
      </c>
      <c r="B295" s="1" t="n">
        <v>44221</v>
      </c>
      <c r="C295" s="1" t="n">
        <v>45630</v>
      </c>
      <c r="D295" t="inlineStr">
        <is>
          <t>UPPSALA LÄN</t>
        </is>
      </c>
      <c r="E295" t="inlineStr">
        <is>
          <t>ÖSTHAMMAR</t>
        </is>
      </c>
      <c r="G295" t="n">
        <v>0.3</v>
      </c>
      <c r="H295" t="n">
        <v>0</v>
      </c>
      <c r="I295" t="n">
        <v>0</v>
      </c>
      <c r="J295" t="n">
        <v>0</v>
      </c>
      <c r="K295" t="n">
        <v>0</v>
      </c>
      <c r="L295" t="n">
        <v>0</v>
      </c>
      <c r="M295" t="n">
        <v>0</v>
      </c>
      <c r="N295" t="n">
        <v>0</v>
      </c>
      <c r="O295" t="n">
        <v>0</v>
      </c>
      <c r="P295" t="n">
        <v>0</v>
      </c>
      <c r="Q295" t="n">
        <v>0</v>
      </c>
      <c r="R295" s="2" t="inlineStr"/>
    </row>
    <row r="296" ht="15" customHeight="1">
      <c r="A296" t="inlineStr">
        <is>
          <t>A 4151-2021</t>
        </is>
      </c>
      <c r="B296" s="1" t="n">
        <v>44221</v>
      </c>
      <c r="C296" s="1" t="n">
        <v>45630</v>
      </c>
      <c r="D296" t="inlineStr">
        <is>
          <t>UPPSALA LÄN</t>
        </is>
      </c>
      <c r="E296" t="inlineStr">
        <is>
          <t>ÖSTHAMMAR</t>
        </is>
      </c>
      <c r="G296" t="n">
        <v>2.9</v>
      </c>
      <c r="H296" t="n">
        <v>0</v>
      </c>
      <c r="I296" t="n">
        <v>0</v>
      </c>
      <c r="J296" t="n">
        <v>0</v>
      </c>
      <c r="K296" t="n">
        <v>0</v>
      </c>
      <c r="L296" t="n">
        <v>0</v>
      </c>
      <c r="M296" t="n">
        <v>0</v>
      </c>
      <c r="N296" t="n">
        <v>0</v>
      </c>
      <c r="O296" t="n">
        <v>0</v>
      </c>
      <c r="P296" t="n">
        <v>0</v>
      </c>
      <c r="Q296" t="n">
        <v>0</v>
      </c>
      <c r="R296" s="2" t="inlineStr"/>
    </row>
    <row r="297" ht="15" customHeight="1">
      <c r="A297" t="inlineStr">
        <is>
          <t>A 4590-2021</t>
        </is>
      </c>
      <c r="B297" s="1" t="n">
        <v>44224</v>
      </c>
      <c r="C297" s="1" t="n">
        <v>45630</v>
      </c>
      <c r="D297" t="inlineStr">
        <is>
          <t>UPPSALA LÄN</t>
        </is>
      </c>
      <c r="E297" t="inlineStr">
        <is>
          <t>ÖSTHAMMAR</t>
        </is>
      </c>
      <c r="F297" t="inlineStr">
        <is>
          <t>Bergvik skog öst AB</t>
        </is>
      </c>
      <c r="G297" t="n">
        <v>2.4</v>
      </c>
      <c r="H297" t="n">
        <v>0</v>
      </c>
      <c r="I297" t="n">
        <v>0</v>
      </c>
      <c r="J297" t="n">
        <v>0</v>
      </c>
      <c r="K297" t="n">
        <v>0</v>
      </c>
      <c r="L297" t="n">
        <v>0</v>
      </c>
      <c r="M297" t="n">
        <v>0</v>
      </c>
      <c r="N297" t="n">
        <v>0</v>
      </c>
      <c r="O297" t="n">
        <v>0</v>
      </c>
      <c r="P297" t="n">
        <v>0</v>
      </c>
      <c r="Q297" t="n">
        <v>0</v>
      </c>
      <c r="R297" s="2" t="inlineStr"/>
    </row>
    <row r="298" ht="15" customHeight="1">
      <c r="A298" t="inlineStr">
        <is>
          <t>A 6221-2021</t>
        </is>
      </c>
      <c r="B298" s="1" t="n">
        <v>44235</v>
      </c>
      <c r="C298" s="1" t="n">
        <v>45630</v>
      </c>
      <c r="D298" t="inlineStr">
        <is>
          <t>UPPSALA LÄN</t>
        </is>
      </c>
      <c r="E298" t="inlineStr">
        <is>
          <t>ÖSTHAMMAR</t>
        </is>
      </c>
      <c r="G298" t="n">
        <v>0.8</v>
      </c>
      <c r="H298" t="n">
        <v>0</v>
      </c>
      <c r="I298" t="n">
        <v>0</v>
      </c>
      <c r="J298" t="n">
        <v>0</v>
      </c>
      <c r="K298" t="n">
        <v>0</v>
      </c>
      <c r="L298" t="n">
        <v>0</v>
      </c>
      <c r="M298" t="n">
        <v>0</v>
      </c>
      <c r="N298" t="n">
        <v>0</v>
      </c>
      <c r="O298" t="n">
        <v>0</v>
      </c>
      <c r="P298" t="n">
        <v>0</v>
      </c>
      <c r="Q298" t="n">
        <v>0</v>
      </c>
      <c r="R298" s="2" t="inlineStr"/>
    </row>
    <row r="299" ht="15" customHeight="1">
      <c r="A299" t="inlineStr">
        <is>
          <t>A 7113-2021</t>
        </is>
      </c>
      <c r="B299" s="1" t="n">
        <v>44238</v>
      </c>
      <c r="C299" s="1" t="n">
        <v>45630</v>
      </c>
      <c r="D299" t="inlineStr">
        <is>
          <t>UPPSALA LÄN</t>
        </is>
      </c>
      <c r="E299" t="inlineStr">
        <is>
          <t>ÖSTHAMMAR</t>
        </is>
      </c>
      <c r="F299" t="inlineStr">
        <is>
          <t>Bergvik skog öst AB</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8009-2021</t>
        </is>
      </c>
      <c r="B300" s="1" t="n">
        <v>44243</v>
      </c>
      <c r="C300" s="1" t="n">
        <v>45630</v>
      </c>
      <c r="D300" t="inlineStr">
        <is>
          <t>UPPSALA LÄN</t>
        </is>
      </c>
      <c r="E300" t="inlineStr">
        <is>
          <t>ÖSTHAMMAR</t>
        </is>
      </c>
      <c r="G300" t="n">
        <v>9.9</v>
      </c>
      <c r="H300" t="n">
        <v>0</v>
      </c>
      <c r="I300" t="n">
        <v>0</v>
      </c>
      <c r="J300" t="n">
        <v>0</v>
      </c>
      <c r="K300" t="n">
        <v>0</v>
      </c>
      <c r="L300" t="n">
        <v>0</v>
      </c>
      <c r="M300" t="n">
        <v>0</v>
      </c>
      <c r="N300" t="n">
        <v>0</v>
      </c>
      <c r="O300" t="n">
        <v>0</v>
      </c>
      <c r="P300" t="n">
        <v>0</v>
      </c>
      <c r="Q300" t="n">
        <v>0</v>
      </c>
      <c r="R300" s="2" t="inlineStr"/>
    </row>
    <row r="301" ht="15" customHeight="1">
      <c r="A301" t="inlineStr">
        <is>
          <t>A 10316-2021</t>
        </is>
      </c>
      <c r="B301" s="1" t="n">
        <v>44257</v>
      </c>
      <c r="C301" s="1" t="n">
        <v>45630</v>
      </c>
      <c r="D301" t="inlineStr">
        <is>
          <t>UPPSALA LÄN</t>
        </is>
      </c>
      <c r="E301" t="inlineStr">
        <is>
          <t>ÖSTHAMMAR</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10498-2021</t>
        </is>
      </c>
      <c r="B302" s="1" t="n">
        <v>44258</v>
      </c>
      <c r="C302" s="1" t="n">
        <v>45630</v>
      </c>
      <c r="D302" t="inlineStr">
        <is>
          <t>UPPSALA LÄN</t>
        </is>
      </c>
      <c r="E302" t="inlineStr">
        <is>
          <t>ÖSTHAMMAR</t>
        </is>
      </c>
      <c r="F302" t="inlineStr">
        <is>
          <t>Övriga Aktiebolag</t>
        </is>
      </c>
      <c r="G302" t="n">
        <v>0.8</v>
      </c>
      <c r="H302" t="n">
        <v>0</v>
      </c>
      <c r="I302" t="n">
        <v>0</v>
      </c>
      <c r="J302" t="n">
        <v>0</v>
      </c>
      <c r="K302" t="n">
        <v>0</v>
      </c>
      <c r="L302" t="n">
        <v>0</v>
      </c>
      <c r="M302" t="n">
        <v>0</v>
      </c>
      <c r="N302" t="n">
        <v>0</v>
      </c>
      <c r="O302" t="n">
        <v>0</v>
      </c>
      <c r="P302" t="n">
        <v>0</v>
      </c>
      <c r="Q302" t="n">
        <v>0</v>
      </c>
      <c r="R302" s="2" t="inlineStr"/>
    </row>
    <row r="303" ht="15" customHeight="1">
      <c r="A303" t="inlineStr">
        <is>
          <t>A 14248-2021</t>
        </is>
      </c>
      <c r="B303" s="1" t="n">
        <v>44278</v>
      </c>
      <c r="C303" s="1" t="n">
        <v>45630</v>
      </c>
      <c r="D303" t="inlineStr">
        <is>
          <t>UPPSALA LÄN</t>
        </is>
      </c>
      <c r="E303" t="inlineStr">
        <is>
          <t>ÖSTHAMMAR</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14525-2021</t>
        </is>
      </c>
      <c r="B304" s="1" t="n">
        <v>44279</v>
      </c>
      <c r="C304" s="1" t="n">
        <v>45630</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16212-2021</t>
        </is>
      </c>
      <c r="B305" s="1" t="n">
        <v>44287</v>
      </c>
      <c r="C305" s="1" t="n">
        <v>45630</v>
      </c>
      <c r="D305" t="inlineStr">
        <is>
          <t>UPPSALA LÄN</t>
        </is>
      </c>
      <c r="E305" t="inlineStr">
        <is>
          <t>ÖSTHAMMAR</t>
        </is>
      </c>
      <c r="G305" t="n">
        <v>1.6</v>
      </c>
      <c r="H305" t="n">
        <v>0</v>
      </c>
      <c r="I305" t="n">
        <v>0</v>
      </c>
      <c r="J305" t="n">
        <v>0</v>
      </c>
      <c r="K305" t="n">
        <v>0</v>
      </c>
      <c r="L305" t="n">
        <v>0</v>
      </c>
      <c r="M305" t="n">
        <v>0</v>
      </c>
      <c r="N305" t="n">
        <v>0</v>
      </c>
      <c r="O305" t="n">
        <v>0</v>
      </c>
      <c r="P305" t="n">
        <v>0</v>
      </c>
      <c r="Q305" t="n">
        <v>0</v>
      </c>
      <c r="R305" s="2" t="inlineStr"/>
    </row>
    <row r="306" ht="15" customHeight="1">
      <c r="A306" t="inlineStr">
        <is>
          <t>A 16209-2021</t>
        </is>
      </c>
      <c r="B306" s="1" t="n">
        <v>44287</v>
      </c>
      <c r="C306" s="1" t="n">
        <v>45630</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17009-2021</t>
        </is>
      </c>
      <c r="B307" s="1" t="n">
        <v>44295</v>
      </c>
      <c r="C307" s="1" t="n">
        <v>45630</v>
      </c>
      <c r="D307" t="inlineStr">
        <is>
          <t>UPPSALA LÄN</t>
        </is>
      </c>
      <c r="E307" t="inlineStr">
        <is>
          <t>ÖSTHAMMAR</t>
        </is>
      </c>
      <c r="F307" t="inlineStr">
        <is>
          <t>Bergvik skog öst AB</t>
        </is>
      </c>
      <c r="G307" t="n">
        <v>3.2</v>
      </c>
      <c r="H307" t="n">
        <v>0</v>
      </c>
      <c r="I307" t="n">
        <v>0</v>
      </c>
      <c r="J307" t="n">
        <v>0</v>
      </c>
      <c r="K307" t="n">
        <v>0</v>
      </c>
      <c r="L307" t="n">
        <v>0</v>
      </c>
      <c r="M307" t="n">
        <v>0</v>
      </c>
      <c r="N307" t="n">
        <v>0</v>
      </c>
      <c r="O307" t="n">
        <v>0</v>
      </c>
      <c r="P307" t="n">
        <v>0</v>
      </c>
      <c r="Q307" t="n">
        <v>0</v>
      </c>
      <c r="R307" s="2" t="inlineStr"/>
    </row>
    <row r="308" ht="15" customHeight="1">
      <c r="A308" t="inlineStr">
        <is>
          <t>A 17022-2021</t>
        </is>
      </c>
      <c r="B308" s="1" t="n">
        <v>44295</v>
      </c>
      <c r="C308" s="1" t="n">
        <v>45630</v>
      </c>
      <c r="D308" t="inlineStr">
        <is>
          <t>UPPSALA LÄN</t>
        </is>
      </c>
      <c r="E308" t="inlineStr">
        <is>
          <t>ÖSTHAMMAR</t>
        </is>
      </c>
      <c r="F308" t="inlineStr">
        <is>
          <t>Bergvik skog öst AB</t>
        </is>
      </c>
      <c r="G308" t="n">
        <v>0.3</v>
      </c>
      <c r="H308" t="n">
        <v>0</v>
      </c>
      <c r="I308" t="n">
        <v>0</v>
      </c>
      <c r="J308" t="n">
        <v>0</v>
      </c>
      <c r="K308" t="n">
        <v>0</v>
      </c>
      <c r="L308" t="n">
        <v>0</v>
      </c>
      <c r="M308" t="n">
        <v>0</v>
      </c>
      <c r="N308" t="n">
        <v>0</v>
      </c>
      <c r="O308" t="n">
        <v>0</v>
      </c>
      <c r="P308" t="n">
        <v>0</v>
      </c>
      <c r="Q308" t="n">
        <v>0</v>
      </c>
      <c r="R308" s="2" t="inlineStr"/>
    </row>
    <row r="309" ht="15" customHeight="1">
      <c r="A309" t="inlineStr">
        <is>
          <t>A 17033-2021</t>
        </is>
      </c>
      <c r="B309" s="1" t="n">
        <v>44295</v>
      </c>
      <c r="C309" s="1" t="n">
        <v>45630</v>
      </c>
      <c r="D309" t="inlineStr">
        <is>
          <t>UPPSALA LÄN</t>
        </is>
      </c>
      <c r="E309" t="inlineStr">
        <is>
          <t>ÖSTHAMMAR</t>
        </is>
      </c>
      <c r="F309" t="inlineStr">
        <is>
          <t>Bergvik skog öst AB</t>
        </is>
      </c>
      <c r="G309" t="n">
        <v>4.7</v>
      </c>
      <c r="H309" t="n">
        <v>0</v>
      </c>
      <c r="I309" t="n">
        <v>0</v>
      </c>
      <c r="J309" t="n">
        <v>0</v>
      </c>
      <c r="K309" t="n">
        <v>0</v>
      </c>
      <c r="L309" t="n">
        <v>0</v>
      </c>
      <c r="M309" t="n">
        <v>0</v>
      </c>
      <c r="N309" t="n">
        <v>0</v>
      </c>
      <c r="O309" t="n">
        <v>0</v>
      </c>
      <c r="P309" t="n">
        <v>0</v>
      </c>
      <c r="Q309" t="n">
        <v>0</v>
      </c>
      <c r="R309" s="2" t="inlineStr"/>
    </row>
    <row r="310" ht="15" customHeight="1">
      <c r="A310" t="inlineStr">
        <is>
          <t>A 17349-2021</t>
        </is>
      </c>
      <c r="B310" s="1" t="n">
        <v>44298</v>
      </c>
      <c r="C310" s="1" t="n">
        <v>45630</v>
      </c>
      <c r="D310" t="inlineStr">
        <is>
          <t>UPPSALA LÄN</t>
        </is>
      </c>
      <c r="E310" t="inlineStr">
        <is>
          <t>ÖSTHAMMAR</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18944-2021</t>
        </is>
      </c>
      <c r="B311" s="1" t="n">
        <v>44308</v>
      </c>
      <c r="C311" s="1" t="n">
        <v>45630</v>
      </c>
      <c r="D311" t="inlineStr">
        <is>
          <t>UPPSALA LÄN</t>
        </is>
      </c>
      <c r="E311" t="inlineStr">
        <is>
          <t>ÖSTHAMMAR</t>
        </is>
      </c>
      <c r="F311" t="inlineStr">
        <is>
          <t>Bergvik skog öst AB</t>
        </is>
      </c>
      <c r="G311" t="n">
        <v>12.5</v>
      </c>
      <c r="H311" t="n">
        <v>0</v>
      </c>
      <c r="I311" t="n">
        <v>0</v>
      </c>
      <c r="J311" t="n">
        <v>0</v>
      </c>
      <c r="K311" t="n">
        <v>0</v>
      </c>
      <c r="L311" t="n">
        <v>0</v>
      </c>
      <c r="M311" t="n">
        <v>0</v>
      </c>
      <c r="N311" t="n">
        <v>0</v>
      </c>
      <c r="O311" t="n">
        <v>0</v>
      </c>
      <c r="P311" t="n">
        <v>0</v>
      </c>
      <c r="Q311" t="n">
        <v>0</v>
      </c>
      <c r="R311" s="2" t="inlineStr"/>
    </row>
    <row r="312" ht="15" customHeight="1">
      <c r="A312" t="inlineStr">
        <is>
          <t>A 20326-2021</t>
        </is>
      </c>
      <c r="B312" s="1" t="n">
        <v>44308</v>
      </c>
      <c r="C312" s="1" t="n">
        <v>45630</v>
      </c>
      <c r="D312" t="inlineStr">
        <is>
          <t>UPPSALA LÄN</t>
        </is>
      </c>
      <c r="E312" t="inlineStr">
        <is>
          <t>ÖSTHAMMAR</t>
        </is>
      </c>
      <c r="G312" t="n">
        <v>7.8</v>
      </c>
      <c r="H312" t="n">
        <v>0</v>
      </c>
      <c r="I312" t="n">
        <v>0</v>
      </c>
      <c r="J312" t="n">
        <v>0</v>
      </c>
      <c r="K312" t="n">
        <v>0</v>
      </c>
      <c r="L312" t="n">
        <v>0</v>
      </c>
      <c r="M312" t="n">
        <v>0</v>
      </c>
      <c r="N312" t="n">
        <v>0</v>
      </c>
      <c r="O312" t="n">
        <v>0</v>
      </c>
      <c r="P312" t="n">
        <v>0</v>
      </c>
      <c r="Q312" t="n">
        <v>0</v>
      </c>
      <c r="R312" s="2" t="inlineStr"/>
    </row>
    <row r="313" ht="15" customHeight="1">
      <c r="A313" t="inlineStr">
        <is>
          <t>A 20325-2021</t>
        </is>
      </c>
      <c r="B313" s="1" t="n">
        <v>44308</v>
      </c>
      <c r="C313" s="1" t="n">
        <v>45630</v>
      </c>
      <c r="D313" t="inlineStr">
        <is>
          <t>UPPSALA LÄN</t>
        </is>
      </c>
      <c r="E313" t="inlineStr">
        <is>
          <t>ÖSTHAMMAR</t>
        </is>
      </c>
      <c r="G313" t="n">
        <v>5</v>
      </c>
      <c r="H313" t="n">
        <v>0</v>
      </c>
      <c r="I313" t="n">
        <v>0</v>
      </c>
      <c r="J313" t="n">
        <v>0</v>
      </c>
      <c r="K313" t="n">
        <v>0</v>
      </c>
      <c r="L313" t="n">
        <v>0</v>
      </c>
      <c r="M313" t="n">
        <v>0</v>
      </c>
      <c r="N313" t="n">
        <v>0</v>
      </c>
      <c r="O313" t="n">
        <v>0</v>
      </c>
      <c r="P313" t="n">
        <v>0</v>
      </c>
      <c r="Q313" t="n">
        <v>0</v>
      </c>
      <c r="R313" s="2" t="inlineStr"/>
    </row>
    <row r="314" ht="15" customHeight="1">
      <c r="A314" t="inlineStr">
        <is>
          <t>A 20324-2021</t>
        </is>
      </c>
      <c r="B314" s="1" t="n">
        <v>44308</v>
      </c>
      <c r="C314" s="1" t="n">
        <v>45630</v>
      </c>
      <c r="D314" t="inlineStr">
        <is>
          <t>UPPSALA LÄN</t>
        </is>
      </c>
      <c r="E314" t="inlineStr">
        <is>
          <t>ÖSTHAMMAR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19214-2021</t>
        </is>
      </c>
      <c r="B315" s="1" t="n">
        <v>44309</v>
      </c>
      <c r="C315" s="1" t="n">
        <v>45630</v>
      </c>
      <c r="D315" t="inlineStr">
        <is>
          <t>UPPSALA LÄN</t>
        </is>
      </c>
      <c r="E315" t="inlineStr">
        <is>
          <t>ÖSTHAMMAR</t>
        </is>
      </c>
      <c r="F315" t="inlineStr">
        <is>
          <t>Bergvik skog öst AB</t>
        </is>
      </c>
      <c r="G315" t="n">
        <v>6</v>
      </c>
      <c r="H315" t="n">
        <v>0</v>
      </c>
      <c r="I315" t="n">
        <v>0</v>
      </c>
      <c r="J315" t="n">
        <v>0</v>
      </c>
      <c r="K315" t="n">
        <v>0</v>
      </c>
      <c r="L315" t="n">
        <v>0</v>
      </c>
      <c r="M315" t="n">
        <v>0</v>
      </c>
      <c r="N315" t="n">
        <v>0</v>
      </c>
      <c r="O315" t="n">
        <v>0</v>
      </c>
      <c r="P315" t="n">
        <v>0</v>
      </c>
      <c r="Q315" t="n">
        <v>0</v>
      </c>
      <c r="R315" s="2" t="inlineStr"/>
    </row>
    <row r="316" ht="15" customHeight="1">
      <c r="A316" t="inlineStr">
        <is>
          <t>A 19552-2021</t>
        </is>
      </c>
      <c r="B316" s="1" t="n">
        <v>44312</v>
      </c>
      <c r="C316" s="1" t="n">
        <v>45630</v>
      </c>
      <c r="D316" t="inlineStr">
        <is>
          <t>UPPSALA LÄN</t>
        </is>
      </c>
      <c r="E316" t="inlineStr">
        <is>
          <t>ÖSTHAMMAR</t>
        </is>
      </c>
      <c r="G316" t="n">
        <v>4.5</v>
      </c>
      <c r="H316" t="n">
        <v>0</v>
      </c>
      <c r="I316" t="n">
        <v>0</v>
      </c>
      <c r="J316" t="n">
        <v>0</v>
      </c>
      <c r="K316" t="n">
        <v>0</v>
      </c>
      <c r="L316" t="n">
        <v>0</v>
      </c>
      <c r="M316" t="n">
        <v>0</v>
      </c>
      <c r="N316" t="n">
        <v>0</v>
      </c>
      <c r="O316" t="n">
        <v>0</v>
      </c>
      <c r="P316" t="n">
        <v>0</v>
      </c>
      <c r="Q316" t="n">
        <v>0</v>
      </c>
      <c r="R316" s="2" t="inlineStr"/>
    </row>
    <row r="317" ht="15" customHeight="1">
      <c r="A317" t="inlineStr">
        <is>
          <t>A 22709-2021</t>
        </is>
      </c>
      <c r="B317" s="1" t="n">
        <v>44327</v>
      </c>
      <c r="C317" s="1" t="n">
        <v>45630</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23120-2021</t>
        </is>
      </c>
      <c r="B318" s="1" t="n">
        <v>44330</v>
      </c>
      <c r="C318" s="1" t="n">
        <v>45630</v>
      </c>
      <c r="D318" t="inlineStr">
        <is>
          <t>UPPSALA LÄN</t>
        </is>
      </c>
      <c r="E318" t="inlineStr">
        <is>
          <t>ÖSTHAMMAR</t>
        </is>
      </c>
      <c r="G318" t="n">
        <v>0.5</v>
      </c>
      <c r="H318" t="n">
        <v>0</v>
      </c>
      <c r="I318" t="n">
        <v>0</v>
      </c>
      <c r="J318" t="n">
        <v>0</v>
      </c>
      <c r="K318" t="n">
        <v>0</v>
      </c>
      <c r="L318" t="n">
        <v>0</v>
      </c>
      <c r="M318" t="n">
        <v>0</v>
      </c>
      <c r="N318" t="n">
        <v>0</v>
      </c>
      <c r="O318" t="n">
        <v>0</v>
      </c>
      <c r="P318" t="n">
        <v>0</v>
      </c>
      <c r="Q318" t="n">
        <v>0</v>
      </c>
      <c r="R318" s="2" t="inlineStr"/>
    </row>
    <row r="319" ht="15" customHeight="1">
      <c r="A319" t="inlineStr">
        <is>
          <t>A 24062-2021</t>
        </is>
      </c>
      <c r="B319" s="1" t="n">
        <v>44336</v>
      </c>
      <c r="C319" s="1" t="n">
        <v>45630</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24316-2021</t>
        </is>
      </c>
      <c r="B320" s="1" t="n">
        <v>44337</v>
      </c>
      <c r="C320" s="1" t="n">
        <v>45630</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25033-2021</t>
        </is>
      </c>
      <c r="B321" s="1" t="n">
        <v>44341</v>
      </c>
      <c r="C321" s="1" t="n">
        <v>45630</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25378-2021</t>
        </is>
      </c>
      <c r="B322" s="1" t="n">
        <v>44342</v>
      </c>
      <c r="C322" s="1" t="n">
        <v>45630</v>
      </c>
      <c r="D322" t="inlineStr">
        <is>
          <t>UPPSALA LÄN</t>
        </is>
      </c>
      <c r="E322" t="inlineStr">
        <is>
          <t>ÖSTHAMMAR</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25395-2021</t>
        </is>
      </c>
      <c r="B323" s="1" t="n">
        <v>44342</v>
      </c>
      <c r="C323" s="1" t="n">
        <v>45630</v>
      </c>
      <c r="D323" t="inlineStr">
        <is>
          <t>UPPSALA LÄN</t>
        </is>
      </c>
      <c r="E323" t="inlineStr">
        <is>
          <t>ÖSTHAMMAR</t>
        </is>
      </c>
      <c r="F323" t="inlineStr">
        <is>
          <t>Övriga Aktiebolag</t>
        </is>
      </c>
      <c r="G323" t="n">
        <v>0.5</v>
      </c>
      <c r="H323" t="n">
        <v>0</v>
      </c>
      <c r="I323" t="n">
        <v>0</v>
      </c>
      <c r="J323" t="n">
        <v>0</v>
      </c>
      <c r="K323" t="n">
        <v>0</v>
      </c>
      <c r="L323" t="n">
        <v>0</v>
      </c>
      <c r="M323" t="n">
        <v>0</v>
      </c>
      <c r="N323" t="n">
        <v>0</v>
      </c>
      <c r="O323" t="n">
        <v>0</v>
      </c>
      <c r="P323" t="n">
        <v>0</v>
      </c>
      <c r="Q323" t="n">
        <v>0</v>
      </c>
      <c r="R323" s="2" t="inlineStr"/>
    </row>
    <row r="324" ht="15" customHeight="1">
      <c r="A324" t="inlineStr">
        <is>
          <t>A 26257-2021</t>
        </is>
      </c>
      <c r="B324" s="1" t="n">
        <v>44347</v>
      </c>
      <c r="C324" s="1" t="n">
        <v>45630</v>
      </c>
      <c r="D324" t="inlineStr">
        <is>
          <t>UPPSALA LÄN</t>
        </is>
      </c>
      <c r="E324" t="inlineStr">
        <is>
          <t>ÖSTHAMMAR</t>
        </is>
      </c>
      <c r="G324" t="n">
        <v>3.2</v>
      </c>
      <c r="H324" t="n">
        <v>0</v>
      </c>
      <c r="I324" t="n">
        <v>0</v>
      </c>
      <c r="J324" t="n">
        <v>0</v>
      </c>
      <c r="K324" t="n">
        <v>0</v>
      </c>
      <c r="L324" t="n">
        <v>0</v>
      </c>
      <c r="M324" t="n">
        <v>0</v>
      </c>
      <c r="N324" t="n">
        <v>0</v>
      </c>
      <c r="O324" t="n">
        <v>0</v>
      </c>
      <c r="P324" t="n">
        <v>0</v>
      </c>
      <c r="Q324" t="n">
        <v>0</v>
      </c>
      <c r="R324" s="2" t="inlineStr"/>
    </row>
    <row r="325" ht="15" customHeight="1">
      <c r="A325" t="inlineStr">
        <is>
          <t>A 27939-2021</t>
        </is>
      </c>
      <c r="B325" s="1" t="n">
        <v>44354</v>
      </c>
      <c r="C325" s="1" t="n">
        <v>45630</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27940-2021</t>
        </is>
      </c>
      <c r="B326" s="1" t="n">
        <v>44354</v>
      </c>
      <c r="C326" s="1" t="n">
        <v>45630</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29282-2021</t>
        </is>
      </c>
      <c r="B327" s="1" t="n">
        <v>44361</v>
      </c>
      <c r="C327" s="1" t="n">
        <v>45630</v>
      </c>
      <c r="D327" t="inlineStr">
        <is>
          <t>UPPSALA LÄN</t>
        </is>
      </c>
      <c r="E327" t="inlineStr">
        <is>
          <t>ÖSTHAMMAR</t>
        </is>
      </c>
      <c r="G327" t="n">
        <v>2.4</v>
      </c>
      <c r="H327" t="n">
        <v>0</v>
      </c>
      <c r="I327" t="n">
        <v>0</v>
      </c>
      <c r="J327" t="n">
        <v>0</v>
      </c>
      <c r="K327" t="n">
        <v>0</v>
      </c>
      <c r="L327" t="n">
        <v>0</v>
      </c>
      <c r="M327" t="n">
        <v>0</v>
      </c>
      <c r="N327" t="n">
        <v>0</v>
      </c>
      <c r="O327" t="n">
        <v>0</v>
      </c>
      <c r="P327" t="n">
        <v>0</v>
      </c>
      <c r="Q327" t="n">
        <v>0</v>
      </c>
      <c r="R327" s="2" t="inlineStr"/>
    </row>
    <row r="328" ht="15" customHeight="1">
      <c r="A328" t="inlineStr">
        <is>
          <t>A 30927-2021</t>
        </is>
      </c>
      <c r="B328" s="1" t="n">
        <v>44365</v>
      </c>
      <c r="C328" s="1" t="n">
        <v>45630</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30931-2021</t>
        </is>
      </c>
      <c r="B329" s="1" t="n">
        <v>44365</v>
      </c>
      <c r="C329" s="1" t="n">
        <v>45630</v>
      </c>
      <c r="D329" t="inlineStr">
        <is>
          <t>UPPSALA LÄN</t>
        </is>
      </c>
      <c r="E329" t="inlineStr">
        <is>
          <t>ÖSTHAMMAR</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31263-2021</t>
        </is>
      </c>
      <c r="B330" s="1" t="n">
        <v>44368</v>
      </c>
      <c r="C330" s="1" t="n">
        <v>45630</v>
      </c>
      <c r="D330" t="inlineStr">
        <is>
          <t>UPPSALA LÄN</t>
        </is>
      </c>
      <c r="E330" t="inlineStr">
        <is>
          <t>ÖSTHAMMAR</t>
        </is>
      </c>
      <c r="G330" t="n">
        <v>1.9</v>
      </c>
      <c r="H330" t="n">
        <v>0</v>
      </c>
      <c r="I330" t="n">
        <v>0</v>
      </c>
      <c r="J330" t="n">
        <v>0</v>
      </c>
      <c r="K330" t="n">
        <v>0</v>
      </c>
      <c r="L330" t="n">
        <v>0</v>
      </c>
      <c r="M330" t="n">
        <v>0</v>
      </c>
      <c r="N330" t="n">
        <v>0</v>
      </c>
      <c r="O330" t="n">
        <v>0</v>
      </c>
      <c r="P330" t="n">
        <v>0</v>
      </c>
      <c r="Q330" t="n">
        <v>0</v>
      </c>
      <c r="R330" s="2" t="inlineStr"/>
    </row>
    <row r="331" ht="15" customHeight="1">
      <c r="A331" t="inlineStr">
        <is>
          <t>A 32244-2021</t>
        </is>
      </c>
      <c r="B331" s="1" t="n">
        <v>44371</v>
      </c>
      <c r="C331" s="1" t="n">
        <v>45630</v>
      </c>
      <c r="D331" t="inlineStr">
        <is>
          <t>UPPSALA LÄN</t>
        </is>
      </c>
      <c r="E331" t="inlineStr">
        <is>
          <t>ÖSTHAMMAR</t>
        </is>
      </c>
      <c r="F331" t="inlineStr">
        <is>
          <t>Bergvik skog öst AB</t>
        </is>
      </c>
      <c r="G331" t="n">
        <v>2.6</v>
      </c>
      <c r="H331" t="n">
        <v>0</v>
      </c>
      <c r="I331" t="n">
        <v>0</v>
      </c>
      <c r="J331" t="n">
        <v>0</v>
      </c>
      <c r="K331" t="n">
        <v>0</v>
      </c>
      <c r="L331" t="n">
        <v>0</v>
      </c>
      <c r="M331" t="n">
        <v>0</v>
      </c>
      <c r="N331" t="n">
        <v>0</v>
      </c>
      <c r="O331" t="n">
        <v>0</v>
      </c>
      <c r="P331" t="n">
        <v>0</v>
      </c>
      <c r="Q331" t="n">
        <v>0</v>
      </c>
      <c r="R331" s="2" t="inlineStr"/>
    </row>
    <row r="332" ht="15" customHeight="1">
      <c r="A332" t="inlineStr">
        <is>
          <t>A 32939-2021</t>
        </is>
      </c>
      <c r="B332" s="1" t="n">
        <v>44376</v>
      </c>
      <c r="C332" s="1" t="n">
        <v>45630</v>
      </c>
      <c r="D332" t="inlineStr">
        <is>
          <t>UPPSALA LÄN</t>
        </is>
      </c>
      <c r="E332" t="inlineStr">
        <is>
          <t>ÖSTHAMMAR</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32948-2021</t>
        </is>
      </c>
      <c r="B333" s="1" t="n">
        <v>44376</v>
      </c>
      <c r="C333" s="1" t="n">
        <v>45630</v>
      </c>
      <c r="D333" t="inlineStr">
        <is>
          <t>UPPSALA LÄN</t>
        </is>
      </c>
      <c r="E333" t="inlineStr">
        <is>
          <t>ÖSTHAMMAR</t>
        </is>
      </c>
      <c r="F333" t="inlineStr">
        <is>
          <t>Bergvik skog öst AB</t>
        </is>
      </c>
      <c r="G333" t="n">
        <v>13.5</v>
      </c>
      <c r="H333" t="n">
        <v>0</v>
      </c>
      <c r="I333" t="n">
        <v>0</v>
      </c>
      <c r="J333" t="n">
        <v>0</v>
      </c>
      <c r="K333" t="n">
        <v>0</v>
      </c>
      <c r="L333" t="n">
        <v>0</v>
      </c>
      <c r="M333" t="n">
        <v>0</v>
      </c>
      <c r="N333" t="n">
        <v>0</v>
      </c>
      <c r="O333" t="n">
        <v>0</v>
      </c>
      <c r="P333" t="n">
        <v>0</v>
      </c>
      <c r="Q333" t="n">
        <v>0</v>
      </c>
      <c r="R333" s="2" t="inlineStr"/>
    </row>
    <row r="334" ht="15" customHeight="1">
      <c r="A334" t="inlineStr">
        <is>
          <t>A 33062-2021</t>
        </is>
      </c>
      <c r="B334" s="1" t="n">
        <v>44376</v>
      </c>
      <c r="C334" s="1" t="n">
        <v>45630</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33056-2021</t>
        </is>
      </c>
      <c r="B335" s="1" t="n">
        <v>44376</v>
      </c>
      <c r="C335" s="1" t="n">
        <v>45630</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33271-2021</t>
        </is>
      </c>
      <c r="B336" s="1" t="n">
        <v>44377</v>
      </c>
      <c r="C336" s="1" t="n">
        <v>45630</v>
      </c>
      <c r="D336" t="inlineStr">
        <is>
          <t>UPPSALA LÄN</t>
        </is>
      </c>
      <c r="E336" t="inlineStr">
        <is>
          <t>ÖSTHAMMAR</t>
        </is>
      </c>
      <c r="F336" t="inlineStr">
        <is>
          <t>Bergvik skog öst AB</t>
        </is>
      </c>
      <c r="G336" t="n">
        <v>3.9</v>
      </c>
      <c r="H336" t="n">
        <v>0</v>
      </c>
      <c r="I336" t="n">
        <v>0</v>
      </c>
      <c r="J336" t="n">
        <v>0</v>
      </c>
      <c r="K336" t="n">
        <v>0</v>
      </c>
      <c r="L336" t="n">
        <v>0</v>
      </c>
      <c r="M336" t="n">
        <v>0</v>
      </c>
      <c r="N336" t="n">
        <v>0</v>
      </c>
      <c r="O336" t="n">
        <v>0</v>
      </c>
      <c r="P336" t="n">
        <v>0</v>
      </c>
      <c r="Q336" t="n">
        <v>0</v>
      </c>
      <c r="R336" s="2" t="inlineStr"/>
    </row>
    <row r="337" ht="15" customHeight="1">
      <c r="A337" t="inlineStr">
        <is>
          <t>A 38411-2021</t>
        </is>
      </c>
      <c r="B337" s="1" t="n">
        <v>44406</v>
      </c>
      <c r="C337" s="1" t="n">
        <v>45630</v>
      </c>
      <c r="D337" t="inlineStr">
        <is>
          <t>UPPSALA LÄN</t>
        </is>
      </c>
      <c r="E337" t="inlineStr">
        <is>
          <t>ÖSTHAMMAR</t>
        </is>
      </c>
      <c r="F337" t="inlineStr">
        <is>
          <t>Bergvik skog öst AB</t>
        </is>
      </c>
      <c r="G337" t="n">
        <v>20.6</v>
      </c>
      <c r="H337" t="n">
        <v>0</v>
      </c>
      <c r="I337" t="n">
        <v>0</v>
      </c>
      <c r="J337" t="n">
        <v>0</v>
      </c>
      <c r="K337" t="n">
        <v>0</v>
      </c>
      <c r="L337" t="n">
        <v>0</v>
      </c>
      <c r="M337" t="n">
        <v>0</v>
      </c>
      <c r="N337" t="n">
        <v>0</v>
      </c>
      <c r="O337" t="n">
        <v>0</v>
      </c>
      <c r="P337" t="n">
        <v>0</v>
      </c>
      <c r="Q337" t="n">
        <v>0</v>
      </c>
      <c r="R337" s="2" t="inlineStr"/>
    </row>
    <row r="338" ht="15" customHeight="1">
      <c r="A338" t="inlineStr">
        <is>
          <t>A 40606-2021</t>
        </is>
      </c>
      <c r="B338" s="1" t="n">
        <v>44420</v>
      </c>
      <c r="C338" s="1" t="n">
        <v>45630</v>
      </c>
      <c r="D338" t="inlineStr">
        <is>
          <t>UPPSALA LÄN</t>
        </is>
      </c>
      <c r="E338" t="inlineStr">
        <is>
          <t>ÖSTHAMMAR</t>
        </is>
      </c>
      <c r="G338" t="n">
        <v>0.8</v>
      </c>
      <c r="H338" t="n">
        <v>0</v>
      </c>
      <c r="I338" t="n">
        <v>0</v>
      </c>
      <c r="J338" t="n">
        <v>0</v>
      </c>
      <c r="K338" t="n">
        <v>0</v>
      </c>
      <c r="L338" t="n">
        <v>0</v>
      </c>
      <c r="M338" t="n">
        <v>0</v>
      </c>
      <c r="N338" t="n">
        <v>0</v>
      </c>
      <c r="O338" t="n">
        <v>0</v>
      </c>
      <c r="P338" t="n">
        <v>0</v>
      </c>
      <c r="Q338" t="n">
        <v>0</v>
      </c>
      <c r="R338" s="2" t="inlineStr"/>
    </row>
    <row r="339" ht="15" customHeight="1">
      <c r="A339" t="inlineStr">
        <is>
          <t>A 41531-2021</t>
        </is>
      </c>
      <c r="B339" s="1" t="n">
        <v>44425</v>
      </c>
      <c r="C339" s="1" t="n">
        <v>45630</v>
      </c>
      <c r="D339" t="inlineStr">
        <is>
          <t>UPPSALA LÄN</t>
        </is>
      </c>
      <c r="E339" t="inlineStr">
        <is>
          <t>ÖSTHAMMAR</t>
        </is>
      </c>
      <c r="F339" t="inlineStr">
        <is>
          <t>Bergvik skog öst AB</t>
        </is>
      </c>
      <c r="G339" t="n">
        <v>2.8</v>
      </c>
      <c r="H339" t="n">
        <v>0</v>
      </c>
      <c r="I339" t="n">
        <v>0</v>
      </c>
      <c r="J339" t="n">
        <v>0</v>
      </c>
      <c r="K339" t="n">
        <v>0</v>
      </c>
      <c r="L339" t="n">
        <v>0</v>
      </c>
      <c r="M339" t="n">
        <v>0</v>
      </c>
      <c r="N339" t="n">
        <v>0</v>
      </c>
      <c r="O339" t="n">
        <v>0</v>
      </c>
      <c r="P339" t="n">
        <v>0</v>
      </c>
      <c r="Q339" t="n">
        <v>0</v>
      </c>
      <c r="R339" s="2" t="inlineStr"/>
    </row>
    <row r="340" ht="15" customHeight="1">
      <c r="A340" t="inlineStr">
        <is>
          <t>A 41558-2021</t>
        </is>
      </c>
      <c r="B340" s="1" t="n">
        <v>44425</v>
      </c>
      <c r="C340" s="1" t="n">
        <v>45630</v>
      </c>
      <c r="D340" t="inlineStr">
        <is>
          <t>UPPSALA LÄN</t>
        </is>
      </c>
      <c r="E340" t="inlineStr">
        <is>
          <t>ÖSTHAMMAR</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41538-2021</t>
        </is>
      </c>
      <c r="B341" s="1" t="n">
        <v>44425</v>
      </c>
      <c r="C341" s="1" t="n">
        <v>45630</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41744-2021</t>
        </is>
      </c>
      <c r="B342" s="1" t="n">
        <v>44425</v>
      </c>
      <c r="C342" s="1" t="n">
        <v>45630</v>
      </c>
      <c r="D342" t="inlineStr">
        <is>
          <t>UPPSALA LÄN</t>
        </is>
      </c>
      <c r="E342" t="inlineStr">
        <is>
          <t>ÖSTHAMMAR</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43469-2021</t>
        </is>
      </c>
      <c r="B343" s="1" t="n">
        <v>44432</v>
      </c>
      <c r="C343" s="1" t="n">
        <v>45630</v>
      </c>
      <c r="D343" t="inlineStr">
        <is>
          <t>UPPSALA LÄN</t>
        </is>
      </c>
      <c r="E343" t="inlineStr">
        <is>
          <t>ÖSTHAMMAR</t>
        </is>
      </c>
      <c r="G343" t="n">
        <v>3.9</v>
      </c>
      <c r="H343" t="n">
        <v>0</v>
      </c>
      <c r="I343" t="n">
        <v>0</v>
      </c>
      <c r="J343" t="n">
        <v>0</v>
      </c>
      <c r="K343" t="n">
        <v>0</v>
      </c>
      <c r="L343" t="n">
        <v>0</v>
      </c>
      <c r="M343" t="n">
        <v>0</v>
      </c>
      <c r="N343" t="n">
        <v>0</v>
      </c>
      <c r="O343" t="n">
        <v>0</v>
      </c>
      <c r="P343" t="n">
        <v>0</v>
      </c>
      <c r="Q343" t="n">
        <v>0</v>
      </c>
      <c r="R343" s="2" t="inlineStr"/>
    </row>
    <row r="344" ht="15" customHeight="1">
      <c r="A344" t="inlineStr">
        <is>
          <t>A 48308-2021</t>
        </is>
      </c>
      <c r="B344" s="1" t="n">
        <v>44450</v>
      </c>
      <c r="C344" s="1" t="n">
        <v>45630</v>
      </c>
      <c r="D344" t="inlineStr">
        <is>
          <t>UPPSALA LÄN</t>
        </is>
      </c>
      <c r="E344" t="inlineStr">
        <is>
          <t>ÖSTHAMMAR</t>
        </is>
      </c>
      <c r="G344" t="n">
        <v>3.5</v>
      </c>
      <c r="H344" t="n">
        <v>0</v>
      </c>
      <c r="I344" t="n">
        <v>0</v>
      </c>
      <c r="J344" t="n">
        <v>0</v>
      </c>
      <c r="K344" t="n">
        <v>0</v>
      </c>
      <c r="L344" t="n">
        <v>0</v>
      </c>
      <c r="M344" t="n">
        <v>0</v>
      </c>
      <c r="N344" t="n">
        <v>0</v>
      </c>
      <c r="O344" t="n">
        <v>0</v>
      </c>
      <c r="P344" t="n">
        <v>0</v>
      </c>
      <c r="Q344" t="n">
        <v>0</v>
      </c>
      <c r="R344" s="2" t="inlineStr"/>
    </row>
    <row r="345" ht="15" customHeight="1">
      <c r="A345" t="inlineStr">
        <is>
          <t>A 51010-2021</t>
        </is>
      </c>
      <c r="B345" s="1" t="n">
        <v>44460</v>
      </c>
      <c r="C345" s="1" t="n">
        <v>45630</v>
      </c>
      <c r="D345" t="inlineStr">
        <is>
          <t>UPPSALA LÄN</t>
        </is>
      </c>
      <c r="E345" t="inlineStr">
        <is>
          <t>ÖSTHAMMAR</t>
        </is>
      </c>
      <c r="G345" t="n">
        <v>2.3</v>
      </c>
      <c r="H345" t="n">
        <v>0</v>
      </c>
      <c r="I345" t="n">
        <v>0</v>
      </c>
      <c r="J345" t="n">
        <v>0</v>
      </c>
      <c r="K345" t="n">
        <v>0</v>
      </c>
      <c r="L345" t="n">
        <v>0</v>
      </c>
      <c r="M345" t="n">
        <v>0</v>
      </c>
      <c r="N345" t="n">
        <v>0</v>
      </c>
      <c r="O345" t="n">
        <v>0</v>
      </c>
      <c r="P345" t="n">
        <v>0</v>
      </c>
      <c r="Q345" t="n">
        <v>0</v>
      </c>
      <c r="R345" s="2" t="inlineStr"/>
    </row>
    <row r="346" ht="15" customHeight="1">
      <c r="A346" t="inlineStr">
        <is>
          <t>A 51412-2021</t>
        </is>
      </c>
      <c r="B346" s="1" t="n">
        <v>44461</v>
      </c>
      <c r="C346" s="1" t="n">
        <v>45630</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51364-2021</t>
        </is>
      </c>
      <c r="B347" s="1" t="n">
        <v>44461</v>
      </c>
      <c r="C347" s="1" t="n">
        <v>45630</v>
      </c>
      <c r="D347" t="inlineStr">
        <is>
          <t>UPPSALA LÄN</t>
        </is>
      </c>
      <c r="E347" t="inlineStr">
        <is>
          <t>ÖSTHAMMAR</t>
        </is>
      </c>
      <c r="G347" t="n">
        <v>2.4</v>
      </c>
      <c r="H347" t="n">
        <v>0</v>
      </c>
      <c r="I347" t="n">
        <v>0</v>
      </c>
      <c r="J347" t="n">
        <v>0</v>
      </c>
      <c r="K347" t="n">
        <v>0</v>
      </c>
      <c r="L347" t="n">
        <v>0</v>
      </c>
      <c r="M347" t="n">
        <v>0</v>
      </c>
      <c r="N347" t="n">
        <v>0</v>
      </c>
      <c r="O347" t="n">
        <v>0</v>
      </c>
      <c r="P347" t="n">
        <v>0</v>
      </c>
      <c r="Q347" t="n">
        <v>0</v>
      </c>
      <c r="R347" s="2" t="inlineStr"/>
    </row>
    <row r="348" ht="15" customHeight="1">
      <c r="A348" t="inlineStr">
        <is>
          <t>A 51612-2021</t>
        </is>
      </c>
      <c r="B348" s="1" t="n">
        <v>44462</v>
      </c>
      <c r="C348" s="1" t="n">
        <v>45630</v>
      </c>
      <c r="D348" t="inlineStr">
        <is>
          <t>UPPSALA LÄN</t>
        </is>
      </c>
      <c r="E348" t="inlineStr">
        <is>
          <t>ÖSTHAMMAR</t>
        </is>
      </c>
      <c r="G348" t="n">
        <v>2.7</v>
      </c>
      <c r="H348" t="n">
        <v>0</v>
      </c>
      <c r="I348" t="n">
        <v>0</v>
      </c>
      <c r="J348" t="n">
        <v>0</v>
      </c>
      <c r="K348" t="n">
        <v>0</v>
      </c>
      <c r="L348" t="n">
        <v>0</v>
      </c>
      <c r="M348" t="n">
        <v>0</v>
      </c>
      <c r="N348" t="n">
        <v>0</v>
      </c>
      <c r="O348" t="n">
        <v>0</v>
      </c>
      <c r="P348" t="n">
        <v>0</v>
      </c>
      <c r="Q348" t="n">
        <v>0</v>
      </c>
      <c r="R348" s="2" t="inlineStr"/>
    </row>
    <row r="349" ht="15" customHeight="1">
      <c r="A349" t="inlineStr">
        <is>
          <t>A 52659-2021</t>
        </is>
      </c>
      <c r="B349" s="1" t="n">
        <v>44466</v>
      </c>
      <c r="C349" s="1" t="n">
        <v>45630</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52544-2021</t>
        </is>
      </c>
      <c r="B350" s="1" t="n">
        <v>44466</v>
      </c>
      <c r="C350" s="1" t="n">
        <v>45630</v>
      </c>
      <c r="D350" t="inlineStr">
        <is>
          <t>UPPSALA LÄN</t>
        </is>
      </c>
      <c r="E350" t="inlineStr">
        <is>
          <t>ÖSTHAMMAR</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52898-2021</t>
        </is>
      </c>
      <c r="B351" s="1" t="n">
        <v>44467</v>
      </c>
      <c r="C351" s="1" t="n">
        <v>45630</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55646-2021</t>
        </is>
      </c>
      <c r="B352" s="1" t="n">
        <v>44476</v>
      </c>
      <c r="C352" s="1" t="n">
        <v>45630</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55872-2021</t>
        </is>
      </c>
      <c r="B353" s="1" t="n">
        <v>44476</v>
      </c>
      <c r="C353" s="1" t="n">
        <v>45630</v>
      </c>
      <c r="D353" t="inlineStr">
        <is>
          <t>UPPSALA LÄN</t>
        </is>
      </c>
      <c r="E353" t="inlineStr">
        <is>
          <t>ÖSTHAMMAR</t>
        </is>
      </c>
      <c r="F353" t="inlineStr">
        <is>
          <t>Bergvik skog öst AB</t>
        </is>
      </c>
      <c r="G353" t="n">
        <v>13.7</v>
      </c>
      <c r="H353" t="n">
        <v>0</v>
      </c>
      <c r="I353" t="n">
        <v>0</v>
      </c>
      <c r="J353" t="n">
        <v>0</v>
      </c>
      <c r="K353" t="n">
        <v>0</v>
      </c>
      <c r="L353" t="n">
        <v>0</v>
      </c>
      <c r="M353" t="n">
        <v>0</v>
      </c>
      <c r="N353" t="n">
        <v>0</v>
      </c>
      <c r="O353" t="n">
        <v>0</v>
      </c>
      <c r="P353" t="n">
        <v>0</v>
      </c>
      <c r="Q353" t="n">
        <v>0</v>
      </c>
      <c r="R353" s="2" t="inlineStr"/>
    </row>
    <row r="354" ht="15" customHeight="1">
      <c r="A354" t="inlineStr">
        <is>
          <t>A 57003-2021</t>
        </is>
      </c>
      <c r="B354" s="1" t="n">
        <v>44482</v>
      </c>
      <c r="C354" s="1" t="n">
        <v>45630</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57080-2021</t>
        </is>
      </c>
      <c r="B355" s="1" t="n">
        <v>44482</v>
      </c>
      <c r="C355" s="1" t="n">
        <v>45630</v>
      </c>
      <c r="D355" t="inlineStr">
        <is>
          <t>UPPSALA LÄN</t>
        </is>
      </c>
      <c r="E355" t="inlineStr">
        <is>
          <t>ÖSTHAMMAR</t>
        </is>
      </c>
      <c r="F355" t="inlineStr">
        <is>
          <t>Bergvik skog öst AB</t>
        </is>
      </c>
      <c r="G355" t="n">
        <v>13.4</v>
      </c>
      <c r="H355" t="n">
        <v>0</v>
      </c>
      <c r="I355" t="n">
        <v>0</v>
      </c>
      <c r="J355" t="n">
        <v>0</v>
      </c>
      <c r="K355" t="n">
        <v>0</v>
      </c>
      <c r="L355" t="n">
        <v>0</v>
      </c>
      <c r="M355" t="n">
        <v>0</v>
      </c>
      <c r="N355" t="n">
        <v>0</v>
      </c>
      <c r="O355" t="n">
        <v>0</v>
      </c>
      <c r="P355" t="n">
        <v>0</v>
      </c>
      <c r="Q355" t="n">
        <v>0</v>
      </c>
      <c r="R355" s="2" t="inlineStr"/>
    </row>
    <row r="356" ht="15" customHeight="1">
      <c r="A356" t="inlineStr">
        <is>
          <t>A 58334-2021</t>
        </is>
      </c>
      <c r="B356" s="1" t="n">
        <v>44488</v>
      </c>
      <c r="C356" s="1" t="n">
        <v>45630</v>
      </c>
      <c r="D356" t="inlineStr">
        <is>
          <t>UPPSALA LÄN</t>
        </is>
      </c>
      <c r="E356" t="inlineStr">
        <is>
          <t>ÖSTHAMMAR</t>
        </is>
      </c>
      <c r="G356" t="n">
        <v>5.7</v>
      </c>
      <c r="H356" t="n">
        <v>0</v>
      </c>
      <c r="I356" t="n">
        <v>0</v>
      </c>
      <c r="J356" t="n">
        <v>0</v>
      </c>
      <c r="K356" t="n">
        <v>0</v>
      </c>
      <c r="L356" t="n">
        <v>0</v>
      </c>
      <c r="M356" t="n">
        <v>0</v>
      </c>
      <c r="N356" t="n">
        <v>0</v>
      </c>
      <c r="O356" t="n">
        <v>0</v>
      </c>
      <c r="P356" t="n">
        <v>0</v>
      </c>
      <c r="Q356" t="n">
        <v>0</v>
      </c>
      <c r="R356" s="2" t="inlineStr"/>
    </row>
    <row r="357" ht="15" customHeight="1">
      <c r="A357" t="inlineStr">
        <is>
          <t>A 59360-2021</t>
        </is>
      </c>
      <c r="B357" s="1" t="n">
        <v>44491</v>
      </c>
      <c r="C357" s="1" t="n">
        <v>45630</v>
      </c>
      <c r="D357" t="inlineStr">
        <is>
          <t>UPPSALA LÄN</t>
        </is>
      </c>
      <c r="E357" t="inlineStr">
        <is>
          <t>ÖSTHAMMAR</t>
        </is>
      </c>
      <c r="F357" t="inlineStr">
        <is>
          <t>Bergvik skog öst AB</t>
        </is>
      </c>
      <c r="G357" t="n">
        <v>8</v>
      </c>
      <c r="H357" t="n">
        <v>0</v>
      </c>
      <c r="I357" t="n">
        <v>0</v>
      </c>
      <c r="J357" t="n">
        <v>0</v>
      </c>
      <c r="K357" t="n">
        <v>0</v>
      </c>
      <c r="L357" t="n">
        <v>0</v>
      </c>
      <c r="M357" t="n">
        <v>0</v>
      </c>
      <c r="N357" t="n">
        <v>0</v>
      </c>
      <c r="O357" t="n">
        <v>0</v>
      </c>
      <c r="P357" t="n">
        <v>0</v>
      </c>
      <c r="Q357" t="n">
        <v>0</v>
      </c>
      <c r="R357" s="2" t="inlineStr"/>
    </row>
    <row r="358" ht="15" customHeight="1">
      <c r="A358" t="inlineStr">
        <is>
          <t>A 59498-2021</t>
        </is>
      </c>
      <c r="B358" s="1" t="n">
        <v>44491</v>
      </c>
      <c r="C358" s="1" t="n">
        <v>45630</v>
      </c>
      <c r="D358" t="inlineStr">
        <is>
          <t>UPPSALA LÄN</t>
        </is>
      </c>
      <c r="E358" t="inlineStr">
        <is>
          <t>ÖSTHAMMAR</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60047-2021</t>
        </is>
      </c>
      <c r="B359" s="1" t="n">
        <v>44495</v>
      </c>
      <c r="C359" s="1" t="n">
        <v>45630</v>
      </c>
      <c r="D359" t="inlineStr">
        <is>
          <t>UPPSALA LÄN</t>
        </is>
      </c>
      <c r="E359" t="inlineStr">
        <is>
          <t>ÖSTHAMMAR</t>
        </is>
      </c>
      <c r="F359" t="inlineStr">
        <is>
          <t>Övriga Aktiebolag</t>
        </is>
      </c>
      <c r="G359" t="n">
        <v>1.8</v>
      </c>
      <c r="H359" t="n">
        <v>0</v>
      </c>
      <c r="I359" t="n">
        <v>0</v>
      </c>
      <c r="J359" t="n">
        <v>0</v>
      </c>
      <c r="K359" t="n">
        <v>0</v>
      </c>
      <c r="L359" t="n">
        <v>0</v>
      </c>
      <c r="M359" t="n">
        <v>0</v>
      </c>
      <c r="N359" t="n">
        <v>0</v>
      </c>
      <c r="O359" t="n">
        <v>0</v>
      </c>
      <c r="P359" t="n">
        <v>0</v>
      </c>
      <c r="Q359" t="n">
        <v>0</v>
      </c>
      <c r="R359" s="2" t="inlineStr"/>
    </row>
    <row r="360" ht="15" customHeight="1">
      <c r="A360" t="inlineStr">
        <is>
          <t>A 60577-2021</t>
        </is>
      </c>
      <c r="B360" s="1" t="n">
        <v>44496</v>
      </c>
      <c r="C360" s="1" t="n">
        <v>45630</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60584-2021</t>
        </is>
      </c>
      <c r="B361" s="1" t="n">
        <v>44496</v>
      </c>
      <c r="C361" s="1" t="n">
        <v>45630</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61746-2021</t>
        </is>
      </c>
      <c r="B362" s="1" t="n">
        <v>44498</v>
      </c>
      <c r="C362" s="1" t="n">
        <v>45630</v>
      </c>
      <c r="D362" t="inlineStr">
        <is>
          <t>UPPSALA LÄN</t>
        </is>
      </c>
      <c r="E362" t="inlineStr">
        <is>
          <t>ÖSTHAMMAR</t>
        </is>
      </c>
      <c r="G362" t="n">
        <v>5.6</v>
      </c>
      <c r="H362" t="n">
        <v>0</v>
      </c>
      <c r="I362" t="n">
        <v>0</v>
      </c>
      <c r="J362" t="n">
        <v>0</v>
      </c>
      <c r="K362" t="n">
        <v>0</v>
      </c>
      <c r="L362" t="n">
        <v>0</v>
      </c>
      <c r="M362" t="n">
        <v>0</v>
      </c>
      <c r="N362" t="n">
        <v>0</v>
      </c>
      <c r="O362" t="n">
        <v>0</v>
      </c>
      <c r="P362" t="n">
        <v>0</v>
      </c>
      <c r="Q362" t="n">
        <v>0</v>
      </c>
      <c r="R362" s="2" t="inlineStr"/>
    </row>
    <row r="363" ht="15" customHeight="1">
      <c r="A363" t="inlineStr">
        <is>
          <t>A 61555-2021</t>
        </is>
      </c>
      <c r="B363" s="1" t="n">
        <v>44501</v>
      </c>
      <c r="C363" s="1" t="n">
        <v>45630</v>
      </c>
      <c r="D363" t="inlineStr">
        <is>
          <t>UPPSALA LÄN</t>
        </is>
      </c>
      <c r="E363" t="inlineStr">
        <is>
          <t>ÖSTHAMMAR</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61560-2021</t>
        </is>
      </c>
      <c r="B364" s="1" t="n">
        <v>44501</v>
      </c>
      <c r="C364" s="1" t="n">
        <v>45630</v>
      </c>
      <c r="D364" t="inlineStr">
        <is>
          <t>UPPSALA LÄN</t>
        </is>
      </c>
      <c r="E364" t="inlineStr">
        <is>
          <t>ÖSTHAMMAR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61817-2021</t>
        </is>
      </c>
      <c r="B365" s="1" t="n">
        <v>44501</v>
      </c>
      <c r="C365" s="1" t="n">
        <v>45630</v>
      </c>
      <c r="D365" t="inlineStr">
        <is>
          <t>UPPSALA LÄN</t>
        </is>
      </c>
      <c r="E365" t="inlineStr">
        <is>
          <t>ÖSTHAMMAR</t>
        </is>
      </c>
      <c r="F365" t="inlineStr">
        <is>
          <t>Bergvik skog öst AB</t>
        </is>
      </c>
      <c r="G365" t="n">
        <v>2.3</v>
      </c>
      <c r="H365" t="n">
        <v>0</v>
      </c>
      <c r="I365" t="n">
        <v>0</v>
      </c>
      <c r="J365" t="n">
        <v>0</v>
      </c>
      <c r="K365" t="n">
        <v>0</v>
      </c>
      <c r="L365" t="n">
        <v>0</v>
      </c>
      <c r="M365" t="n">
        <v>0</v>
      </c>
      <c r="N365" t="n">
        <v>0</v>
      </c>
      <c r="O365" t="n">
        <v>0</v>
      </c>
      <c r="P365" t="n">
        <v>0</v>
      </c>
      <c r="Q365" t="n">
        <v>0</v>
      </c>
      <c r="R365" s="2" t="inlineStr"/>
    </row>
    <row r="366" ht="15" customHeight="1">
      <c r="A366" t="inlineStr">
        <is>
          <t>A 62854-2021</t>
        </is>
      </c>
      <c r="B366" s="1" t="n">
        <v>44504</v>
      </c>
      <c r="C366" s="1" t="n">
        <v>45630</v>
      </c>
      <c r="D366" t="inlineStr">
        <is>
          <t>UPPSALA LÄN</t>
        </is>
      </c>
      <c r="E366" t="inlineStr">
        <is>
          <t>ÖSTHAMMAR</t>
        </is>
      </c>
      <c r="F366" t="inlineStr">
        <is>
          <t>Bergvik skog öst AB</t>
        </is>
      </c>
      <c r="G366" t="n">
        <v>10.3</v>
      </c>
      <c r="H366" t="n">
        <v>0</v>
      </c>
      <c r="I366" t="n">
        <v>0</v>
      </c>
      <c r="J366" t="n">
        <v>0</v>
      </c>
      <c r="K366" t="n">
        <v>0</v>
      </c>
      <c r="L366" t="n">
        <v>0</v>
      </c>
      <c r="M366" t="n">
        <v>0</v>
      </c>
      <c r="N366" t="n">
        <v>0</v>
      </c>
      <c r="O366" t="n">
        <v>0</v>
      </c>
      <c r="P366" t="n">
        <v>0</v>
      </c>
      <c r="Q366" t="n">
        <v>0</v>
      </c>
      <c r="R366" s="2" t="inlineStr"/>
    </row>
    <row r="367" ht="15" customHeight="1">
      <c r="A367" t="inlineStr">
        <is>
          <t>A 62782-2021</t>
        </is>
      </c>
      <c r="B367" s="1" t="n">
        <v>44504</v>
      </c>
      <c r="C367" s="1" t="n">
        <v>45630</v>
      </c>
      <c r="D367" t="inlineStr">
        <is>
          <t>UPPSALA LÄN</t>
        </is>
      </c>
      <c r="E367" t="inlineStr">
        <is>
          <t>ÖSTHAMMAR</t>
        </is>
      </c>
      <c r="G367" t="n">
        <v>2.6</v>
      </c>
      <c r="H367" t="n">
        <v>0</v>
      </c>
      <c r="I367" t="n">
        <v>0</v>
      </c>
      <c r="J367" t="n">
        <v>0</v>
      </c>
      <c r="K367" t="n">
        <v>0</v>
      </c>
      <c r="L367" t="n">
        <v>0</v>
      </c>
      <c r="M367" t="n">
        <v>0</v>
      </c>
      <c r="N367" t="n">
        <v>0</v>
      </c>
      <c r="O367" t="n">
        <v>0</v>
      </c>
      <c r="P367" t="n">
        <v>0</v>
      </c>
      <c r="Q367" t="n">
        <v>0</v>
      </c>
      <c r="R367" s="2" t="inlineStr"/>
    </row>
    <row r="368" ht="15" customHeight="1">
      <c r="A368" t="inlineStr">
        <is>
          <t>A 64586-2021</t>
        </is>
      </c>
      <c r="B368" s="1" t="n">
        <v>44511</v>
      </c>
      <c r="C368" s="1" t="n">
        <v>45630</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64811-2021</t>
        </is>
      </c>
      <c r="B369" s="1" t="n">
        <v>44512</v>
      </c>
      <c r="C369" s="1" t="n">
        <v>45630</v>
      </c>
      <c r="D369" t="inlineStr">
        <is>
          <t>UPPSALA LÄN</t>
        </is>
      </c>
      <c r="E369" t="inlineStr">
        <is>
          <t>ÖSTHAMMAR</t>
        </is>
      </c>
      <c r="G369" t="n">
        <v>4.2</v>
      </c>
      <c r="H369" t="n">
        <v>0</v>
      </c>
      <c r="I369" t="n">
        <v>0</v>
      </c>
      <c r="J369" t="n">
        <v>0</v>
      </c>
      <c r="K369" t="n">
        <v>0</v>
      </c>
      <c r="L369" t="n">
        <v>0</v>
      </c>
      <c r="M369" t="n">
        <v>0</v>
      </c>
      <c r="N369" t="n">
        <v>0</v>
      </c>
      <c r="O369" t="n">
        <v>0</v>
      </c>
      <c r="P369" t="n">
        <v>0</v>
      </c>
      <c r="Q369" t="n">
        <v>0</v>
      </c>
      <c r="R369" s="2" t="inlineStr"/>
    </row>
    <row r="370" ht="15" customHeight="1">
      <c r="A370" t="inlineStr">
        <is>
          <t>A 64872-2021</t>
        </is>
      </c>
      <c r="B370" s="1" t="n">
        <v>44512</v>
      </c>
      <c r="C370" s="1" t="n">
        <v>45630</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64885-2021</t>
        </is>
      </c>
      <c r="B371" s="1" t="n">
        <v>44512</v>
      </c>
      <c r="C371" s="1" t="n">
        <v>45630</v>
      </c>
      <c r="D371" t="inlineStr">
        <is>
          <t>UPPSALA LÄN</t>
        </is>
      </c>
      <c r="E371" t="inlineStr">
        <is>
          <t>ÖSTHAMMAR</t>
        </is>
      </c>
      <c r="G371" t="n">
        <v>2.1</v>
      </c>
      <c r="H371" t="n">
        <v>0</v>
      </c>
      <c r="I371" t="n">
        <v>0</v>
      </c>
      <c r="J371" t="n">
        <v>0</v>
      </c>
      <c r="K371" t="n">
        <v>0</v>
      </c>
      <c r="L371" t="n">
        <v>0</v>
      </c>
      <c r="M371" t="n">
        <v>0</v>
      </c>
      <c r="N371" t="n">
        <v>0</v>
      </c>
      <c r="O371" t="n">
        <v>0</v>
      </c>
      <c r="P371" t="n">
        <v>0</v>
      </c>
      <c r="Q371" t="n">
        <v>0</v>
      </c>
      <c r="R371" s="2" t="inlineStr"/>
    </row>
    <row r="372" ht="15" customHeight="1">
      <c r="A372" t="inlineStr">
        <is>
          <t>A 65020-2021</t>
        </is>
      </c>
      <c r="B372" s="1" t="n">
        <v>44515</v>
      </c>
      <c r="C372" s="1" t="n">
        <v>45630</v>
      </c>
      <c r="D372" t="inlineStr">
        <is>
          <t>UPPSALA LÄN</t>
        </is>
      </c>
      <c r="E372" t="inlineStr">
        <is>
          <t>ÖSTHAMMAR</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65165-2021</t>
        </is>
      </c>
      <c r="B373" s="1" t="n">
        <v>44515</v>
      </c>
      <c r="C373" s="1" t="n">
        <v>45630</v>
      </c>
      <c r="D373" t="inlineStr">
        <is>
          <t>UPPSALA LÄN</t>
        </is>
      </c>
      <c r="E373" t="inlineStr">
        <is>
          <t>ÖSTHAMMAR</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65104-2021</t>
        </is>
      </c>
      <c r="B374" s="1" t="n">
        <v>44515</v>
      </c>
      <c r="C374" s="1" t="n">
        <v>45630</v>
      </c>
      <c r="D374" t="inlineStr">
        <is>
          <t>UPPSALA LÄN</t>
        </is>
      </c>
      <c r="E374" t="inlineStr">
        <is>
          <t>ÖSTHAMMAR</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65028-2021</t>
        </is>
      </c>
      <c r="B375" s="1" t="n">
        <v>44515</v>
      </c>
      <c r="C375" s="1" t="n">
        <v>45630</v>
      </c>
      <c r="D375" t="inlineStr">
        <is>
          <t>UPPSALA LÄN</t>
        </is>
      </c>
      <c r="E375" t="inlineStr">
        <is>
          <t>ÖSTHAMMAR</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66549-2021</t>
        </is>
      </c>
      <c r="B376" s="1" t="n">
        <v>44519</v>
      </c>
      <c r="C376" s="1" t="n">
        <v>45630</v>
      </c>
      <c r="D376" t="inlineStr">
        <is>
          <t>UPPSALA LÄN</t>
        </is>
      </c>
      <c r="E376" t="inlineStr">
        <is>
          <t>ÖSTHAMMAR</t>
        </is>
      </c>
      <c r="F376" t="inlineStr">
        <is>
          <t>Bergvik skog öst AB</t>
        </is>
      </c>
      <c r="G376" t="n">
        <v>2.8</v>
      </c>
      <c r="H376" t="n">
        <v>0</v>
      </c>
      <c r="I376" t="n">
        <v>0</v>
      </c>
      <c r="J376" t="n">
        <v>0</v>
      </c>
      <c r="K376" t="n">
        <v>0</v>
      </c>
      <c r="L376" t="n">
        <v>0</v>
      </c>
      <c r="M376" t="n">
        <v>0</v>
      </c>
      <c r="N376" t="n">
        <v>0</v>
      </c>
      <c r="O376" t="n">
        <v>0</v>
      </c>
      <c r="P376" t="n">
        <v>0</v>
      </c>
      <c r="Q376" t="n">
        <v>0</v>
      </c>
      <c r="R376" s="2" t="inlineStr"/>
    </row>
    <row r="377" ht="15" customHeight="1">
      <c r="A377" t="inlineStr">
        <is>
          <t>A 66779-2021</t>
        </is>
      </c>
      <c r="B377" s="1" t="n">
        <v>44522</v>
      </c>
      <c r="C377" s="1" t="n">
        <v>45630</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67033-2021</t>
        </is>
      </c>
      <c r="B378" s="1" t="n">
        <v>44522</v>
      </c>
      <c r="C378" s="1" t="n">
        <v>45630</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67030-2021</t>
        </is>
      </c>
      <c r="B379" s="1" t="n">
        <v>44522</v>
      </c>
      <c r="C379" s="1" t="n">
        <v>45630</v>
      </c>
      <c r="D379" t="inlineStr">
        <is>
          <t>UPPSALA LÄN</t>
        </is>
      </c>
      <c r="E379" t="inlineStr">
        <is>
          <t>ÖSTHAMMAR</t>
        </is>
      </c>
      <c r="G379" t="n">
        <v>8.6</v>
      </c>
      <c r="H379" t="n">
        <v>0</v>
      </c>
      <c r="I379" t="n">
        <v>0</v>
      </c>
      <c r="J379" t="n">
        <v>0</v>
      </c>
      <c r="K379" t="n">
        <v>0</v>
      </c>
      <c r="L379" t="n">
        <v>0</v>
      </c>
      <c r="M379" t="n">
        <v>0</v>
      </c>
      <c r="N379" t="n">
        <v>0</v>
      </c>
      <c r="O379" t="n">
        <v>0</v>
      </c>
      <c r="P379" t="n">
        <v>0</v>
      </c>
      <c r="Q379" t="n">
        <v>0</v>
      </c>
      <c r="R379" s="2" t="inlineStr"/>
    </row>
    <row r="380" ht="15" customHeight="1">
      <c r="A380" t="inlineStr">
        <is>
          <t>A 67151-2021</t>
        </is>
      </c>
      <c r="B380" s="1" t="n">
        <v>44523</v>
      </c>
      <c r="C380" s="1" t="n">
        <v>45630</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67199-2021</t>
        </is>
      </c>
      <c r="B381" s="1" t="n">
        <v>44523</v>
      </c>
      <c r="C381" s="1" t="n">
        <v>45630</v>
      </c>
      <c r="D381" t="inlineStr">
        <is>
          <t>UPPSALA LÄN</t>
        </is>
      </c>
      <c r="E381" t="inlineStr">
        <is>
          <t>ÖSTHAMMAR</t>
        </is>
      </c>
      <c r="G381" t="n">
        <v>2.3</v>
      </c>
      <c r="H381" t="n">
        <v>0</v>
      </c>
      <c r="I381" t="n">
        <v>0</v>
      </c>
      <c r="J381" t="n">
        <v>0</v>
      </c>
      <c r="K381" t="n">
        <v>0</v>
      </c>
      <c r="L381" t="n">
        <v>0</v>
      </c>
      <c r="M381" t="n">
        <v>0</v>
      </c>
      <c r="N381" t="n">
        <v>0</v>
      </c>
      <c r="O381" t="n">
        <v>0</v>
      </c>
      <c r="P381" t="n">
        <v>0</v>
      </c>
      <c r="Q381" t="n">
        <v>0</v>
      </c>
      <c r="R381" s="2" t="inlineStr"/>
    </row>
    <row r="382" ht="15" customHeight="1">
      <c r="A382" t="inlineStr">
        <is>
          <t>A 67217-2021</t>
        </is>
      </c>
      <c r="B382" s="1" t="n">
        <v>44523</v>
      </c>
      <c r="C382" s="1" t="n">
        <v>45630</v>
      </c>
      <c r="D382" t="inlineStr">
        <is>
          <t>UPPSALA LÄN</t>
        </is>
      </c>
      <c r="E382" t="inlineStr">
        <is>
          <t>ÖSTHAMMAR</t>
        </is>
      </c>
      <c r="G382" t="n">
        <v>2.4</v>
      </c>
      <c r="H382" t="n">
        <v>0</v>
      </c>
      <c r="I382" t="n">
        <v>0</v>
      </c>
      <c r="J382" t="n">
        <v>0</v>
      </c>
      <c r="K382" t="n">
        <v>0</v>
      </c>
      <c r="L382" t="n">
        <v>0</v>
      </c>
      <c r="M382" t="n">
        <v>0</v>
      </c>
      <c r="N382" t="n">
        <v>0</v>
      </c>
      <c r="O382" t="n">
        <v>0</v>
      </c>
      <c r="P382" t="n">
        <v>0</v>
      </c>
      <c r="Q382" t="n">
        <v>0</v>
      </c>
      <c r="R382" s="2" t="inlineStr"/>
    </row>
    <row r="383" ht="15" customHeight="1">
      <c r="A383" t="inlineStr">
        <is>
          <t>A 67859-2021</t>
        </is>
      </c>
      <c r="B383" s="1" t="n">
        <v>44525</v>
      </c>
      <c r="C383" s="1" t="n">
        <v>45630</v>
      </c>
      <c r="D383" t="inlineStr">
        <is>
          <t>UPPSALA LÄN</t>
        </is>
      </c>
      <c r="E383" t="inlineStr">
        <is>
          <t>ÖSTHAMMAR</t>
        </is>
      </c>
      <c r="G383" t="n">
        <v>1.9</v>
      </c>
      <c r="H383" t="n">
        <v>0</v>
      </c>
      <c r="I383" t="n">
        <v>0</v>
      </c>
      <c r="J383" t="n">
        <v>0</v>
      </c>
      <c r="K383" t="n">
        <v>0</v>
      </c>
      <c r="L383" t="n">
        <v>0</v>
      </c>
      <c r="M383" t="n">
        <v>0</v>
      </c>
      <c r="N383" t="n">
        <v>0</v>
      </c>
      <c r="O383" t="n">
        <v>0</v>
      </c>
      <c r="P383" t="n">
        <v>0</v>
      </c>
      <c r="Q383" t="n">
        <v>0</v>
      </c>
      <c r="R383" s="2" t="inlineStr"/>
    </row>
    <row r="384" ht="15" customHeight="1">
      <c r="A384" t="inlineStr">
        <is>
          <t>A 67848-2021</t>
        </is>
      </c>
      <c r="B384" s="1" t="n">
        <v>44525</v>
      </c>
      <c r="C384" s="1" t="n">
        <v>45630</v>
      </c>
      <c r="D384" t="inlineStr">
        <is>
          <t>UPPSALA LÄN</t>
        </is>
      </c>
      <c r="E384" t="inlineStr">
        <is>
          <t>ÖSTHAMMAR</t>
        </is>
      </c>
      <c r="G384" t="n">
        <v>1</v>
      </c>
      <c r="H384" t="n">
        <v>0</v>
      </c>
      <c r="I384" t="n">
        <v>0</v>
      </c>
      <c r="J384" t="n">
        <v>0</v>
      </c>
      <c r="K384" t="n">
        <v>0</v>
      </c>
      <c r="L384" t="n">
        <v>0</v>
      </c>
      <c r="M384" t="n">
        <v>0</v>
      </c>
      <c r="N384" t="n">
        <v>0</v>
      </c>
      <c r="O384" t="n">
        <v>0</v>
      </c>
      <c r="P384" t="n">
        <v>0</v>
      </c>
      <c r="Q384" t="n">
        <v>0</v>
      </c>
      <c r="R384" s="2" t="inlineStr"/>
    </row>
    <row r="385" ht="15" customHeight="1">
      <c r="A385" t="inlineStr">
        <is>
          <t>A 69505-2021</t>
        </is>
      </c>
      <c r="B385" s="1" t="n">
        <v>44531</v>
      </c>
      <c r="C385" s="1" t="n">
        <v>45630</v>
      </c>
      <c r="D385" t="inlineStr">
        <is>
          <t>UPPSALA LÄN</t>
        </is>
      </c>
      <c r="E385" t="inlineStr">
        <is>
          <t>ÖSTHAMMAR</t>
        </is>
      </c>
      <c r="F385" t="inlineStr">
        <is>
          <t>Bergvik skog öst AB</t>
        </is>
      </c>
      <c r="G385" t="n">
        <v>5.4</v>
      </c>
      <c r="H385" t="n">
        <v>0</v>
      </c>
      <c r="I385" t="n">
        <v>0</v>
      </c>
      <c r="J385" t="n">
        <v>0</v>
      </c>
      <c r="K385" t="n">
        <v>0</v>
      </c>
      <c r="L385" t="n">
        <v>0</v>
      </c>
      <c r="M385" t="n">
        <v>0</v>
      </c>
      <c r="N385" t="n">
        <v>0</v>
      </c>
      <c r="O385" t="n">
        <v>0</v>
      </c>
      <c r="P385" t="n">
        <v>0</v>
      </c>
      <c r="Q385" t="n">
        <v>0</v>
      </c>
      <c r="R385" s="2" t="inlineStr"/>
    </row>
    <row r="386" ht="15" customHeight="1">
      <c r="A386" t="inlineStr">
        <is>
          <t>A 69411-2021</t>
        </is>
      </c>
      <c r="B386" s="1" t="n">
        <v>44531</v>
      </c>
      <c r="C386" s="1" t="n">
        <v>45630</v>
      </c>
      <c r="D386" t="inlineStr">
        <is>
          <t>UPPSALA LÄN</t>
        </is>
      </c>
      <c r="E386" t="inlineStr">
        <is>
          <t>ÖSTHAMMAR</t>
        </is>
      </c>
      <c r="F386" t="inlineStr">
        <is>
          <t>Bergvik skog öst AB</t>
        </is>
      </c>
      <c r="G386" t="n">
        <v>1.1</v>
      </c>
      <c r="H386" t="n">
        <v>0</v>
      </c>
      <c r="I386" t="n">
        <v>0</v>
      </c>
      <c r="J386" t="n">
        <v>0</v>
      </c>
      <c r="K386" t="n">
        <v>0</v>
      </c>
      <c r="L386" t="n">
        <v>0</v>
      </c>
      <c r="M386" t="n">
        <v>0</v>
      </c>
      <c r="N386" t="n">
        <v>0</v>
      </c>
      <c r="O386" t="n">
        <v>0</v>
      </c>
      <c r="P386" t="n">
        <v>0</v>
      </c>
      <c r="Q386" t="n">
        <v>0</v>
      </c>
      <c r="R386" s="2" t="inlineStr"/>
    </row>
    <row r="387" ht="15" customHeight="1">
      <c r="A387" t="inlineStr">
        <is>
          <t>A 69518-2021</t>
        </is>
      </c>
      <c r="B387" s="1" t="n">
        <v>44531</v>
      </c>
      <c r="C387" s="1" t="n">
        <v>45630</v>
      </c>
      <c r="D387" t="inlineStr">
        <is>
          <t>UPPSALA LÄN</t>
        </is>
      </c>
      <c r="E387" t="inlineStr">
        <is>
          <t>ÖSTHAMMAR</t>
        </is>
      </c>
      <c r="G387" t="n">
        <v>4.5</v>
      </c>
      <c r="H387" t="n">
        <v>0</v>
      </c>
      <c r="I387" t="n">
        <v>0</v>
      </c>
      <c r="J387" t="n">
        <v>0</v>
      </c>
      <c r="K387" t="n">
        <v>0</v>
      </c>
      <c r="L387" t="n">
        <v>0</v>
      </c>
      <c r="M387" t="n">
        <v>0</v>
      </c>
      <c r="N387" t="n">
        <v>0</v>
      </c>
      <c r="O387" t="n">
        <v>0</v>
      </c>
      <c r="P387" t="n">
        <v>0</v>
      </c>
      <c r="Q387" t="n">
        <v>0</v>
      </c>
      <c r="R387" s="2" t="inlineStr"/>
    </row>
    <row r="388" ht="15" customHeight="1">
      <c r="A388" t="inlineStr">
        <is>
          <t>A 70008-2021</t>
        </is>
      </c>
      <c r="B388" s="1" t="n">
        <v>44533</v>
      </c>
      <c r="C388" s="1" t="n">
        <v>45630</v>
      </c>
      <c r="D388" t="inlineStr">
        <is>
          <t>UPPSALA LÄN</t>
        </is>
      </c>
      <c r="E388" t="inlineStr">
        <is>
          <t>ÖSTHAMMAR</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70408-2021</t>
        </is>
      </c>
      <c r="B389" s="1" t="n">
        <v>44536</v>
      </c>
      <c r="C389" s="1" t="n">
        <v>45630</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72627-2021</t>
        </is>
      </c>
      <c r="B390" s="1" t="n">
        <v>44546</v>
      </c>
      <c r="C390" s="1" t="n">
        <v>45630</v>
      </c>
      <c r="D390" t="inlineStr">
        <is>
          <t>UPPSALA LÄN</t>
        </is>
      </c>
      <c r="E390" t="inlineStr">
        <is>
          <t>ÖSTHAMMAR</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72637-2021</t>
        </is>
      </c>
      <c r="B391" s="1" t="n">
        <v>44546</v>
      </c>
      <c r="C391" s="1" t="n">
        <v>45630</v>
      </c>
      <c r="D391" t="inlineStr">
        <is>
          <t>UPPSALA LÄN</t>
        </is>
      </c>
      <c r="E391" t="inlineStr">
        <is>
          <t>ÖSTHAMMAR</t>
        </is>
      </c>
      <c r="G391" t="n">
        <v>2.5</v>
      </c>
      <c r="H391" t="n">
        <v>0</v>
      </c>
      <c r="I391" t="n">
        <v>0</v>
      </c>
      <c r="J391" t="n">
        <v>0</v>
      </c>
      <c r="K391" t="n">
        <v>0</v>
      </c>
      <c r="L391" t="n">
        <v>0</v>
      </c>
      <c r="M391" t="n">
        <v>0</v>
      </c>
      <c r="N391" t="n">
        <v>0</v>
      </c>
      <c r="O391" t="n">
        <v>0</v>
      </c>
      <c r="P391" t="n">
        <v>0</v>
      </c>
      <c r="Q391" t="n">
        <v>0</v>
      </c>
      <c r="R391" s="2" t="inlineStr"/>
    </row>
    <row r="392" ht="15" customHeight="1">
      <c r="A392" t="inlineStr">
        <is>
          <t>A 72969-2021</t>
        </is>
      </c>
      <c r="B392" s="1" t="n">
        <v>44548</v>
      </c>
      <c r="C392" s="1" t="n">
        <v>45630</v>
      </c>
      <c r="D392" t="inlineStr">
        <is>
          <t>UPPSALA LÄN</t>
        </is>
      </c>
      <c r="E392" t="inlineStr">
        <is>
          <t>ÖSTHAMMAR</t>
        </is>
      </c>
      <c r="F392" t="inlineStr">
        <is>
          <t>Bergvik skog öst AB</t>
        </is>
      </c>
      <c r="G392" t="n">
        <v>8</v>
      </c>
      <c r="H392" t="n">
        <v>0</v>
      </c>
      <c r="I392" t="n">
        <v>0</v>
      </c>
      <c r="J392" t="n">
        <v>0</v>
      </c>
      <c r="K392" t="n">
        <v>0</v>
      </c>
      <c r="L392" t="n">
        <v>0</v>
      </c>
      <c r="M392" t="n">
        <v>0</v>
      </c>
      <c r="N392" t="n">
        <v>0</v>
      </c>
      <c r="O392" t="n">
        <v>0</v>
      </c>
      <c r="P392" t="n">
        <v>0</v>
      </c>
      <c r="Q392" t="n">
        <v>0</v>
      </c>
      <c r="R392" s="2" t="inlineStr"/>
    </row>
    <row r="393" ht="15" customHeight="1">
      <c r="A393" t="inlineStr">
        <is>
          <t>A 73483-2021</t>
        </is>
      </c>
      <c r="B393" s="1" t="n">
        <v>44550</v>
      </c>
      <c r="C393" s="1" t="n">
        <v>45630</v>
      </c>
      <c r="D393" t="inlineStr">
        <is>
          <t>UPPSALA LÄN</t>
        </is>
      </c>
      <c r="E393" t="inlineStr">
        <is>
          <t>ÖSTHAMMAR</t>
        </is>
      </c>
      <c r="G393" t="n">
        <v>2.8</v>
      </c>
      <c r="H393" t="n">
        <v>0</v>
      </c>
      <c r="I393" t="n">
        <v>0</v>
      </c>
      <c r="J393" t="n">
        <v>0</v>
      </c>
      <c r="K393" t="n">
        <v>0</v>
      </c>
      <c r="L393" t="n">
        <v>0</v>
      </c>
      <c r="M393" t="n">
        <v>0</v>
      </c>
      <c r="N393" t="n">
        <v>0</v>
      </c>
      <c r="O393" t="n">
        <v>0</v>
      </c>
      <c r="P393" t="n">
        <v>0</v>
      </c>
      <c r="Q393" t="n">
        <v>0</v>
      </c>
      <c r="R393" s="2" t="inlineStr"/>
    </row>
    <row r="394" ht="15" customHeight="1">
      <c r="A394" t="inlineStr">
        <is>
          <t>A 73592-2021</t>
        </is>
      </c>
      <c r="B394" s="1" t="n">
        <v>44552</v>
      </c>
      <c r="C394" s="1" t="n">
        <v>45630</v>
      </c>
      <c r="D394" t="inlineStr">
        <is>
          <t>UPPSALA LÄN</t>
        </is>
      </c>
      <c r="E394" t="inlineStr">
        <is>
          <t>ÖSTHAMMAR</t>
        </is>
      </c>
      <c r="G394" t="n">
        <v>1.7</v>
      </c>
      <c r="H394" t="n">
        <v>0</v>
      </c>
      <c r="I394" t="n">
        <v>0</v>
      </c>
      <c r="J394" t="n">
        <v>0</v>
      </c>
      <c r="K394" t="n">
        <v>0</v>
      </c>
      <c r="L394" t="n">
        <v>0</v>
      </c>
      <c r="M394" t="n">
        <v>0</v>
      </c>
      <c r="N394" t="n">
        <v>0</v>
      </c>
      <c r="O394" t="n">
        <v>0</v>
      </c>
      <c r="P394" t="n">
        <v>0</v>
      </c>
      <c r="Q394" t="n">
        <v>0</v>
      </c>
      <c r="R394" s="2" t="inlineStr"/>
    </row>
    <row r="395" ht="15" customHeight="1">
      <c r="A395" t="inlineStr">
        <is>
          <t>A 73965-2021</t>
        </is>
      </c>
      <c r="B395" s="1" t="n">
        <v>44553</v>
      </c>
      <c r="C395" s="1" t="n">
        <v>45630</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73982-2021</t>
        </is>
      </c>
      <c r="B396" s="1" t="n">
        <v>44555</v>
      </c>
      <c r="C396" s="1" t="n">
        <v>45630</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73983-2021</t>
        </is>
      </c>
      <c r="B397" s="1" t="n">
        <v>44555</v>
      </c>
      <c r="C397" s="1" t="n">
        <v>45630</v>
      </c>
      <c r="D397" t="inlineStr">
        <is>
          <t>UPPSALA LÄN</t>
        </is>
      </c>
      <c r="E397" t="inlineStr">
        <is>
          <t>ÖSTHAMMAR</t>
        </is>
      </c>
      <c r="G397" t="n">
        <v>0.6</v>
      </c>
      <c r="H397" t="n">
        <v>0</v>
      </c>
      <c r="I397" t="n">
        <v>0</v>
      </c>
      <c r="J397" t="n">
        <v>0</v>
      </c>
      <c r="K397" t="n">
        <v>0</v>
      </c>
      <c r="L397" t="n">
        <v>0</v>
      </c>
      <c r="M397" t="n">
        <v>0</v>
      </c>
      <c r="N397" t="n">
        <v>0</v>
      </c>
      <c r="O397" t="n">
        <v>0</v>
      </c>
      <c r="P397" t="n">
        <v>0</v>
      </c>
      <c r="Q397" t="n">
        <v>0</v>
      </c>
      <c r="R397" s="2" t="inlineStr"/>
    </row>
    <row r="398" ht="15" customHeight="1">
      <c r="A398" t="inlineStr">
        <is>
          <t>A 74429-2021</t>
        </is>
      </c>
      <c r="B398" s="1" t="n">
        <v>44560</v>
      </c>
      <c r="C398" s="1" t="n">
        <v>45630</v>
      </c>
      <c r="D398" t="inlineStr">
        <is>
          <t>UPPSALA LÄN</t>
        </is>
      </c>
      <c r="E398" t="inlineStr">
        <is>
          <t>ÖSTHAMMAR</t>
        </is>
      </c>
      <c r="F398" t="inlineStr">
        <is>
          <t>Bergvik skog öst AB</t>
        </is>
      </c>
      <c r="G398" t="n">
        <v>0.8</v>
      </c>
      <c r="H398" t="n">
        <v>0</v>
      </c>
      <c r="I398" t="n">
        <v>0</v>
      </c>
      <c r="J398" t="n">
        <v>0</v>
      </c>
      <c r="K398" t="n">
        <v>0</v>
      </c>
      <c r="L398" t="n">
        <v>0</v>
      </c>
      <c r="M398" t="n">
        <v>0</v>
      </c>
      <c r="N398" t="n">
        <v>0</v>
      </c>
      <c r="O398" t="n">
        <v>0</v>
      </c>
      <c r="P398" t="n">
        <v>0</v>
      </c>
      <c r="Q398" t="n">
        <v>0</v>
      </c>
      <c r="R398" s="2" t="inlineStr"/>
    </row>
    <row r="399" ht="15" customHeight="1">
      <c r="A399" t="inlineStr">
        <is>
          <t>A 74467-2021</t>
        </is>
      </c>
      <c r="B399" s="1" t="n">
        <v>44560</v>
      </c>
      <c r="C399" s="1" t="n">
        <v>45630</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74428-2021</t>
        </is>
      </c>
      <c r="B400" s="1" t="n">
        <v>44560</v>
      </c>
      <c r="C400" s="1" t="n">
        <v>45630</v>
      </c>
      <c r="D400" t="inlineStr">
        <is>
          <t>UPPSALA LÄN</t>
        </is>
      </c>
      <c r="E400" t="inlineStr">
        <is>
          <t>ÖSTHAMMAR</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74436-2021</t>
        </is>
      </c>
      <c r="B401" s="1" t="n">
        <v>44560</v>
      </c>
      <c r="C401" s="1" t="n">
        <v>45630</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1238-2022</t>
        </is>
      </c>
      <c r="B402" s="1" t="n">
        <v>44572</v>
      </c>
      <c r="C402" s="1" t="n">
        <v>45630</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1609-2022</t>
        </is>
      </c>
      <c r="B403" s="1" t="n">
        <v>44573</v>
      </c>
      <c r="C403" s="1" t="n">
        <v>45630</v>
      </c>
      <c r="D403" t="inlineStr">
        <is>
          <t>UPPSALA LÄN</t>
        </is>
      </c>
      <c r="E403" t="inlineStr">
        <is>
          <t>ÖSTHAMMAR</t>
        </is>
      </c>
      <c r="G403" t="n">
        <v>5.3</v>
      </c>
      <c r="H403" t="n">
        <v>0</v>
      </c>
      <c r="I403" t="n">
        <v>0</v>
      </c>
      <c r="J403" t="n">
        <v>0</v>
      </c>
      <c r="K403" t="n">
        <v>0</v>
      </c>
      <c r="L403" t="n">
        <v>0</v>
      </c>
      <c r="M403" t="n">
        <v>0</v>
      </c>
      <c r="N403" t="n">
        <v>0</v>
      </c>
      <c r="O403" t="n">
        <v>0</v>
      </c>
      <c r="P403" t="n">
        <v>0</v>
      </c>
      <c r="Q403" t="n">
        <v>0</v>
      </c>
      <c r="R403" s="2" t="inlineStr"/>
    </row>
    <row r="404" ht="15" customHeight="1">
      <c r="A404" t="inlineStr">
        <is>
          <t>A 2085-2022</t>
        </is>
      </c>
      <c r="B404" s="1" t="n">
        <v>44576</v>
      </c>
      <c r="C404" s="1" t="n">
        <v>45630</v>
      </c>
      <c r="D404" t="inlineStr">
        <is>
          <t>UPPSALA LÄN</t>
        </is>
      </c>
      <c r="E404" t="inlineStr">
        <is>
          <t>ÖSTHAMMAR</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2108-2022</t>
        </is>
      </c>
      <c r="B405" s="1" t="n">
        <v>44577</v>
      </c>
      <c r="C405" s="1" t="n">
        <v>45630</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2168-2022</t>
        </is>
      </c>
      <c r="B406" s="1" t="n">
        <v>44578</v>
      </c>
      <c r="C406" s="1" t="n">
        <v>45630</v>
      </c>
      <c r="D406" t="inlineStr">
        <is>
          <t>UPPSALA LÄN</t>
        </is>
      </c>
      <c r="E406" t="inlineStr">
        <is>
          <t>ÖSTHAMMAR</t>
        </is>
      </c>
      <c r="G406" t="n">
        <v>2.9</v>
      </c>
      <c r="H406" t="n">
        <v>0</v>
      </c>
      <c r="I406" t="n">
        <v>0</v>
      </c>
      <c r="J406" t="n">
        <v>0</v>
      </c>
      <c r="K406" t="n">
        <v>0</v>
      </c>
      <c r="L406" t="n">
        <v>0</v>
      </c>
      <c r="M406" t="n">
        <v>0</v>
      </c>
      <c r="N406" t="n">
        <v>0</v>
      </c>
      <c r="O406" t="n">
        <v>0</v>
      </c>
      <c r="P406" t="n">
        <v>0</v>
      </c>
      <c r="Q406" t="n">
        <v>0</v>
      </c>
      <c r="R406" s="2" t="inlineStr"/>
    </row>
    <row r="407" ht="15" customHeight="1">
      <c r="A407" t="inlineStr">
        <is>
          <t>A 3638-2022</t>
        </is>
      </c>
      <c r="B407" s="1" t="n">
        <v>44578</v>
      </c>
      <c r="C407" s="1" t="n">
        <v>45630</v>
      </c>
      <c r="D407" t="inlineStr">
        <is>
          <t>UPPSALA LÄN</t>
        </is>
      </c>
      <c r="E407" t="inlineStr">
        <is>
          <t>ÖSTHAMMAR</t>
        </is>
      </c>
      <c r="G407" t="n">
        <v>1.7</v>
      </c>
      <c r="H407" t="n">
        <v>0</v>
      </c>
      <c r="I407" t="n">
        <v>0</v>
      </c>
      <c r="J407" t="n">
        <v>0</v>
      </c>
      <c r="K407" t="n">
        <v>0</v>
      </c>
      <c r="L407" t="n">
        <v>0</v>
      </c>
      <c r="M407" t="n">
        <v>0</v>
      </c>
      <c r="N407" t="n">
        <v>0</v>
      </c>
      <c r="O407" t="n">
        <v>0</v>
      </c>
      <c r="P407" t="n">
        <v>0</v>
      </c>
      <c r="Q407" t="n">
        <v>0</v>
      </c>
      <c r="R407" s="2" t="inlineStr"/>
    </row>
    <row r="408" ht="15" customHeight="1">
      <c r="A408" t="inlineStr">
        <is>
          <t>A 3725-2022</t>
        </is>
      </c>
      <c r="B408" s="1" t="n">
        <v>44586</v>
      </c>
      <c r="C408" s="1" t="n">
        <v>45630</v>
      </c>
      <c r="D408" t="inlineStr">
        <is>
          <t>UPPSALA LÄN</t>
        </is>
      </c>
      <c r="E408" t="inlineStr">
        <is>
          <t>ÖSTHAMMAR</t>
        </is>
      </c>
      <c r="G408" t="n">
        <v>2</v>
      </c>
      <c r="H408" t="n">
        <v>0</v>
      </c>
      <c r="I408" t="n">
        <v>0</v>
      </c>
      <c r="J408" t="n">
        <v>0</v>
      </c>
      <c r="K408" t="n">
        <v>0</v>
      </c>
      <c r="L408" t="n">
        <v>0</v>
      </c>
      <c r="M408" t="n">
        <v>0</v>
      </c>
      <c r="N408" t="n">
        <v>0</v>
      </c>
      <c r="O408" t="n">
        <v>0</v>
      </c>
      <c r="P408" t="n">
        <v>0</v>
      </c>
      <c r="Q408" t="n">
        <v>0</v>
      </c>
      <c r="R408" s="2" t="inlineStr"/>
    </row>
    <row r="409" ht="15" customHeight="1">
      <c r="A409" t="inlineStr">
        <is>
          <t>A 3732-2022</t>
        </is>
      </c>
      <c r="B409" s="1" t="n">
        <v>44586</v>
      </c>
      <c r="C409" s="1" t="n">
        <v>45630</v>
      </c>
      <c r="D409" t="inlineStr">
        <is>
          <t>UPPSALA LÄN</t>
        </is>
      </c>
      <c r="E409" t="inlineStr">
        <is>
          <t>ÖSTHAMMAR</t>
        </is>
      </c>
      <c r="F409" t="inlineStr">
        <is>
          <t>Bergvik skog öst AB</t>
        </is>
      </c>
      <c r="G409" t="n">
        <v>3.6</v>
      </c>
      <c r="H409" t="n">
        <v>0</v>
      </c>
      <c r="I409" t="n">
        <v>0</v>
      </c>
      <c r="J409" t="n">
        <v>0</v>
      </c>
      <c r="K409" t="n">
        <v>0</v>
      </c>
      <c r="L409" t="n">
        <v>0</v>
      </c>
      <c r="M409" t="n">
        <v>0</v>
      </c>
      <c r="N409" t="n">
        <v>0</v>
      </c>
      <c r="O409" t="n">
        <v>0</v>
      </c>
      <c r="P409" t="n">
        <v>0</v>
      </c>
      <c r="Q409" t="n">
        <v>0</v>
      </c>
      <c r="R409" s="2" t="inlineStr"/>
    </row>
    <row r="410" ht="15" customHeight="1">
      <c r="A410" t="inlineStr">
        <is>
          <t>A 3740-2022</t>
        </is>
      </c>
      <c r="B410" s="1" t="n">
        <v>44586</v>
      </c>
      <c r="C410" s="1" t="n">
        <v>45630</v>
      </c>
      <c r="D410" t="inlineStr">
        <is>
          <t>UPPSALA LÄN</t>
        </is>
      </c>
      <c r="E410" t="inlineStr">
        <is>
          <t>ÖSTHAMMAR</t>
        </is>
      </c>
      <c r="F410" t="inlineStr">
        <is>
          <t>Bergvik skog öst AB</t>
        </is>
      </c>
      <c r="G410" t="n">
        <v>7.7</v>
      </c>
      <c r="H410" t="n">
        <v>0</v>
      </c>
      <c r="I410" t="n">
        <v>0</v>
      </c>
      <c r="J410" t="n">
        <v>0</v>
      </c>
      <c r="K410" t="n">
        <v>0</v>
      </c>
      <c r="L410" t="n">
        <v>0</v>
      </c>
      <c r="M410" t="n">
        <v>0</v>
      </c>
      <c r="N410" t="n">
        <v>0</v>
      </c>
      <c r="O410" t="n">
        <v>0</v>
      </c>
      <c r="P410" t="n">
        <v>0</v>
      </c>
      <c r="Q410" t="n">
        <v>0</v>
      </c>
      <c r="R410" s="2" t="inlineStr"/>
    </row>
    <row r="411" ht="15" customHeight="1">
      <c r="A411" t="inlineStr">
        <is>
          <t>A 3991-2022</t>
        </is>
      </c>
      <c r="B411" s="1" t="n">
        <v>44587</v>
      </c>
      <c r="C411" s="1" t="n">
        <v>45630</v>
      </c>
      <c r="D411" t="inlineStr">
        <is>
          <t>UPPSALA LÄN</t>
        </is>
      </c>
      <c r="E411" t="inlineStr">
        <is>
          <t>ÖSTHAMMAR</t>
        </is>
      </c>
      <c r="F411" t="inlineStr">
        <is>
          <t>Bergvik skog öst AB</t>
        </is>
      </c>
      <c r="G411" t="n">
        <v>3.7</v>
      </c>
      <c r="H411" t="n">
        <v>0</v>
      </c>
      <c r="I411" t="n">
        <v>0</v>
      </c>
      <c r="J411" t="n">
        <v>0</v>
      </c>
      <c r="K411" t="n">
        <v>0</v>
      </c>
      <c r="L411" t="n">
        <v>0</v>
      </c>
      <c r="M411" t="n">
        <v>0</v>
      </c>
      <c r="N411" t="n">
        <v>0</v>
      </c>
      <c r="O411" t="n">
        <v>0</v>
      </c>
      <c r="P411" t="n">
        <v>0</v>
      </c>
      <c r="Q411" t="n">
        <v>0</v>
      </c>
      <c r="R411" s="2" t="inlineStr"/>
    </row>
    <row r="412" ht="15" customHeight="1">
      <c r="A412" t="inlineStr">
        <is>
          <t>A 4101-2022</t>
        </is>
      </c>
      <c r="B412" s="1" t="n">
        <v>44588</v>
      </c>
      <c r="C412" s="1" t="n">
        <v>45630</v>
      </c>
      <c r="D412" t="inlineStr">
        <is>
          <t>UPPSALA LÄN</t>
        </is>
      </c>
      <c r="E412" t="inlineStr">
        <is>
          <t>ÖSTHAMMAR</t>
        </is>
      </c>
      <c r="G412" t="n">
        <v>4.4</v>
      </c>
      <c r="H412" t="n">
        <v>0</v>
      </c>
      <c r="I412" t="n">
        <v>0</v>
      </c>
      <c r="J412" t="n">
        <v>0</v>
      </c>
      <c r="K412" t="n">
        <v>0</v>
      </c>
      <c r="L412" t="n">
        <v>0</v>
      </c>
      <c r="M412" t="n">
        <v>0</v>
      </c>
      <c r="N412" t="n">
        <v>0</v>
      </c>
      <c r="O412" t="n">
        <v>0</v>
      </c>
      <c r="P412" t="n">
        <v>0</v>
      </c>
      <c r="Q412" t="n">
        <v>0</v>
      </c>
      <c r="R412" s="2" t="inlineStr"/>
    </row>
    <row r="413" ht="15" customHeight="1">
      <c r="A413" t="inlineStr">
        <is>
          <t>A 4318-2022</t>
        </is>
      </c>
      <c r="B413" s="1" t="n">
        <v>44588</v>
      </c>
      <c r="C413" s="1" t="n">
        <v>45630</v>
      </c>
      <c r="D413" t="inlineStr">
        <is>
          <t>UPPSALA LÄN</t>
        </is>
      </c>
      <c r="E413" t="inlineStr">
        <is>
          <t>ÖSTHAMMAR</t>
        </is>
      </c>
      <c r="F413" t="inlineStr">
        <is>
          <t>Bergvik skog öst AB</t>
        </is>
      </c>
      <c r="G413" t="n">
        <v>9.6</v>
      </c>
      <c r="H413" t="n">
        <v>0</v>
      </c>
      <c r="I413" t="n">
        <v>0</v>
      </c>
      <c r="J413" t="n">
        <v>0</v>
      </c>
      <c r="K413" t="n">
        <v>0</v>
      </c>
      <c r="L413" t="n">
        <v>0</v>
      </c>
      <c r="M413" t="n">
        <v>0</v>
      </c>
      <c r="N413" t="n">
        <v>0</v>
      </c>
      <c r="O413" t="n">
        <v>0</v>
      </c>
      <c r="P413" t="n">
        <v>0</v>
      </c>
      <c r="Q413" t="n">
        <v>0</v>
      </c>
      <c r="R413" s="2" t="inlineStr"/>
    </row>
    <row r="414" ht="15" customHeight="1">
      <c r="A414" t="inlineStr">
        <is>
          <t>A 4315-2022</t>
        </is>
      </c>
      <c r="B414" s="1" t="n">
        <v>44588</v>
      </c>
      <c r="C414" s="1" t="n">
        <v>45630</v>
      </c>
      <c r="D414" t="inlineStr">
        <is>
          <t>UPPSALA LÄN</t>
        </is>
      </c>
      <c r="E414" t="inlineStr">
        <is>
          <t>ÖSTHAMMAR</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4491-2022</t>
        </is>
      </c>
      <c r="B415" s="1" t="n">
        <v>44589</v>
      </c>
      <c r="C415" s="1" t="n">
        <v>45630</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4357-2022</t>
        </is>
      </c>
      <c r="B416" s="1" t="n">
        <v>44589</v>
      </c>
      <c r="C416" s="1" t="n">
        <v>45630</v>
      </c>
      <c r="D416" t="inlineStr">
        <is>
          <t>UPPSALA LÄN</t>
        </is>
      </c>
      <c r="E416" t="inlineStr">
        <is>
          <t>ÖSTHAMMAR</t>
        </is>
      </c>
      <c r="G416" t="n">
        <v>0.7</v>
      </c>
      <c r="H416" t="n">
        <v>0</v>
      </c>
      <c r="I416" t="n">
        <v>0</v>
      </c>
      <c r="J416" t="n">
        <v>0</v>
      </c>
      <c r="K416" t="n">
        <v>0</v>
      </c>
      <c r="L416" t="n">
        <v>0</v>
      </c>
      <c r="M416" t="n">
        <v>0</v>
      </c>
      <c r="N416" t="n">
        <v>0</v>
      </c>
      <c r="O416" t="n">
        <v>0</v>
      </c>
      <c r="P416" t="n">
        <v>0</v>
      </c>
      <c r="Q416" t="n">
        <v>0</v>
      </c>
      <c r="R416" s="2" t="inlineStr"/>
    </row>
    <row r="417" ht="15" customHeight="1">
      <c r="A417" t="inlineStr">
        <is>
          <t>A 4563-2022</t>
        </is>
      </c>
      <c r="B417" s="1" t="n">
        <v>44591</v>
      </c>
      <c r="C417" s="1" t="n">
        <v>45630</v>
      </c>
      <c r="D417" t="inlineStr">
        <is>
          <t>UPPSALA LÄN</t>
        </is>
      </c>
      <c r="E417" t="inlineStr">
        <is>
          <t>ÖSTHAMMAR</t>
        </is>
      </c>
      <c r="F417" t="inlineStr">
        <is>
          <t>Bergvik skog öst AB</t>
        </is>
      </c>
      <c r="G417" t="n">
        <v>1.9</v>
      </c>
      <c r="H417" t="n">
        <v>0</v>
      </c>
      <c r="I417" t="n">
        <v>0</v>
      </c>
      <c r="J417" t="n">
        <v>0</v>
      </c>
      <c r="K417" t="n">
        <v>0</v>
      </c>
      <c r="L417" t="n">
        <v>0</v>
      </c>
      <c r="M417" t="n">
        <v>0</v>
      </c>
      <c r="N417" t="n">
        <v>0</v>
      </c>
      <c r="O417" t="n">
        <v>0</v>
      </c>
      <c r="P417" t="n">
        <v>0</v>
      </c>
      <c r="Q417" t="n">
        <v>0</v>
      </c>
      <c r="R417" s="2" t="inlineStr"/>
    </row>
    <row r="418" ht="15" customHeight="1">
      <c r="A418" t="inlineStr">
        <is>
          <t>A 4562-2022</t>
        </is>
      </c>
      <c r="B418" s="1" t="n">
        <v>44591</v>
      </c>
      <c r="C418" s="1" t="n">
        <v>45630</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4561-2022</t>
        </is>
      </c>
      <c r="B419" s="1" t="n">
        <v>44591</v>
      </c>
      <c r="C419" s="1" t="n">
        <v>45630</v>
      </c>
      <c r="D419" t="inlineStr">
        <is>
          <t>UPPSALA LÄN</t>
        </is>
      </c>
      <c r="E419" t="inlineStr">
        <is>
          <t>ÖSTHAMMAR</t>
        </is>
      </c>
      <c r="F419" t="inlineStr">
        <is>
          <t>Bergvik skog öst AB</t>
        </is>
      </c>
      <c r="G419" t="n">
        <v>1.5</v>
      </c>
      <c r="H419" t="n">
        <v>0</v>
      </c>
      <c r="I419" t="n">
        <v>0</v>
      </c>
      <c r="J419" t="n">
        <v>0</v>
      </c>
      <c r="K419" t="n">
        <v>0</v>
      </c>
      <c r="L419" t="n">
        <v>0</v>
      </c>
      <c r="M419" t="n">
        <v>0</v>
      </c>
      <c r="N419" t="n">
        <v>0</v>
      </c>
      <c r="O419" t="n">
        <v>0</v>
      </c>
      <c r="P419" t="n">
        <v>0</v>
      </c>
      <c r="Q419" t="n">
        <v>0</v>
      </c>
      <c r="R419" s="2" t="inlineStr"/>
    </row>
    <row r="420" ht="15" customHeight="1">
      <c r="A420" t="inlineStr">
        <is>
          <t>A 4559-2022</t>
        </is>
      </c>
      <c r="B420" s="1" t="n">
        <v>44591</v>
      </c>
      <c r="C420" s="1" t="n">
        <v>45630</v>
      </c>
      <c r="D420" t="inlineStr">
        <is>
          <t>UPPSALA LÄN</t>
        </is>
      </c>
      <c r="E420" t="inlineStr">
        <is>
          <t>ÖSTHAMMAR</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4565-2022</t>
        </is>
      </c>
      <c r="B421" s="1" t="n">
        <v>44591</v>
      </c>
      <c r="C421" s="1" t="n">
        <v>45630</v>
      </c>
      <c r="D421" t="inlineStr">
        <is>
          <t>UPPSALA LÄN</t>
        </is>
      </c>
      <c r="E421" t="inlineStr">
        <is>
          <t>ÖSTHAMMAR</t>
        </is>
      </c>
      <c r="F421" t="inlineStr">
        <is>
          <t>Bergvik skog öst AB</t>
        </is>
      </c>
      <c r="G421" t="n">
        <v>5.3</v>
      </c>
      <c r="H421" t="n">
        <v>0</v>
      </c>
      <c r="I421" t="n">
        <v>0</v>
      </c>
      <c r="J421" t="n">
        <v>0</v>
      </c>
      <c r="K421" t="n">
        <v>0</v>
      </c>
      <c r="L421" t="n">
        <v>0</v>
      </c>
      <c r="M421" t="n">
        <v>0</v>
      </c>
      <c r="N421" t="n">
        <v>0</v>
      </c>
      <c r="O421" t="n">
        <v>0</v>
      </c>
      <c r="P421" t="n">
        <v>0</v>
      </c>
      <c r="Q421" t="n">
        <v>0</v>
      </c>
      <c r="R421" s="2" t="inlineStr"/>
    </row>
    <row r="422" ht="15" customHeight="1">
      <c r="A422" t="inlineStr">
        <is>
          <t>A 5855-2022</t>
        </is>
      </c>
      <c r="B422" s="1" t="n">
        <v>44596</v>
      </c>
      <c r="C422" s="1" t="n">
        <v>45630</v>
      </c>
      <c r="D422" t="inlineStr">
        <is>
          <t>UPPSALA LÄN</t>
        </is>
      </c>
      <c r="E422" t="inlineStr">
        <is>
          <t>ÖSTHAMMAR</t>
        </is>
      </c>
      <c r="G422" t="n">
        <v>0.9</v>
      </c>
      <c r="H422" t="n">
        <v>0</v>
      </c>
      <c r="I422" t="n">
        <v>0</v>
      </c>
      <c r="J422" t="n">
        <v>0</v>
      </c>
      <c r="K422" t="n">
        <v>0</v>
      </c>
      <c r="L422" t="n">
        <v>0</v>
      </c>
      <c r="M422" t="n">
        <v>0</v>
      </c>
      <c r="N422" t="n">
        <v>0</v>
      </c>
      <c r="O422" t="n">
        <v>0</v>
      </c>
      <c r="P422" t="n">
        <v>0</v>
      </c>
      <c r="Q422" t="n">
        <v>0</v>
      </c>
      <c r="R422" s="2" t="inlineStr"/>
    </row>
    <row r="423" ht="15" customHeight="1">
      <c r="A423" t="inlineStr">
        <is>
          <t>A 5974-2022</t>
        </is>
      </c>
      <c r="B423" s="1" t="n">
        <v>44597</v>
      </c>
      <c r="C423" s="1" t="n">
        <v>45630</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5933-2022</t>
        </is>
      </c>
      <c r="B424" s="1" t="n">
        <v>44598</v>
      </c>
      <c r="C424" s="1" t="n">
        <v>45630</v>
      </c>
      <c r="D424" t="inlineStr">
        <is>
          <t>UPPSALA LÄN</t>
        </is>
      </c>
      <c r="E424" t="inlineStr">
        <is>
          <t>ÖSTHAMMAR</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5934-2022</t>
        </is>
      </c>
      <c r="B425" s="1" t="n">
        <v>44598</v>
      </c>
      <c r="C425" s="1" t="n">
        <v>45630</v>
      </c>
      <c r="D425" t="inlineStr">
        <is>
          <t>UPPSALA LÄN</t>
        </is>
      </c>
      <c r="E425" t="inlineStr">
        <is>
          <t>ÖSTHAMMAR</t>
        </is>
      </c>
      <c r="F425" t="inlineStr">
        <is>
          <t>Bergvik skog öst AB</t>
        </is>
      </c>
      <c r="G425" t="n">
        <v>2.4</v>
      </c>
      <c r="H425" t="n">
        <v>0</v>
      </c>
      <c r="I425" t="n">
        <v>0</v>
      </c>
      <c r="J425" t="n">
        <v>0</v>
      </c>
      <c r="K425" t="n">
        <v>0</v>
      </c>
      <c r="L425" t="n">
        <v>0</v>
      </c>
      <c r="M425" t="n">
        <v>0</v>
      </c>
      <c r="N425" t="n">
        <v>0</v>
      </c>
      <c r="O425" t="n">
        <v>0</v>
      </c>
      <c r="P425" t="n">
        <v>0</v>
      </c>
      <c r="Q425" t="n">
        <v>0</v>
      </c>
      <c r="R425" s="2" t="inlineStr"/>
    </row>
    <row r="426" ht="15" customHeight="1">
      <c r="A426" t="inlineStr">
        <is>
          <t>A 5932-2022</t>
        </is>
      </c>
      <c r="B426" s="1" t="n">
        <v>44598</v>
      </c>
      <c r="C426" s="1" t="n">
        <v>45630</v>
      </c>
      <c r="D426" t="inlineStr">
        <is>
          <t>UPPSALA LÄN</t>
        </is>
      </c>
      <c r="E426" t="inlineStr">
        <is>
          <t>ÖSTHAMMAR</t>
        </is>
      </c>
      <c r="F426" t="inlineStr">
        <is>
          <t>Bergvik skog öst AB</t>
        </is>
      </c>
      <c r="G426" t="n">
        <v>0.3</v>
      </c>
      <c r="H426" t="n">
        <v>0</v>
      </c>
      <c r="I426" t="n">
        <v>0</v>
      </c>
      <c r="J426" t="n">
        <v>0</v>
      </c>
      <c r="K426" t="n">
        <v>0</v>
      </c>
      <c r="L426" t="n">
        <v>0</v>
      </c>
      <c r="M426" t="n">
        <v>0</v>
      </c>
      <c r="N426" t="n">
        <v>0</v>
      </c>
      <c r="O426" t="n">
        <v>0</v>
      </c>
      <c r="P426" t="n">
        <v>0</v>
      </c>
      <c r="Q426" t="n">
        <v>0</v>
      </c>
      <c r="R426" s="2" t="inlineStr"/>
    </row>
    <row r="427" ht="15" customHeight="1">
      <c r="A427" t="inlineStr">
        <is>
          <t>A 5931-2022</t>
        </is>
      </c>
      <c r="B427" s="1" t="n">
        <v>44598</v>
      </c>
      <c r="C427" s="1" t="n">
        <v>45630</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6143-2022</t>
        </is>
      </c>
      <c r="B428" s="1" t="n">
        <v>44599</v>
      </c>
      <c r="C428" s="1" t="n">
        <v>45630</v>
      </c>
      <c r="D428" t="inlineStr">
        <is>
          <t>UPPSALA LÄN</t>
        </is>
      </c>
      <c r="E428" t="inlineStr">
        <is>
          <t>ÖSTHAMMAR</t>
        </is>
      </c>
      <c r="G428" t="n">
        <v>3.4</v>
      </c>
      <c r="H428" t="n">
        <v>0</v>
      </c>
      <c r="I428" t="n">
        <v>0</v>
      </c>
      <c r="J428" t="n">
        <v>0</v>
      </c>
      <c r="K428" t="n">
        <v>0</v>
      </c>
      <c r="L428" t="n">
        <v>0</v>
      </c>
      <c r="M428" t="n">
        <v>0</v>
      </c>
      <c r="N428" t="n">
        <v>0</v>
      </c>
      <c r="O428" t="n">
        <v>0</v>
      </c>
      <c r="P428" t="n">
        <v>0</v>
      </c>
      <c r="Q428" t="n">
        <v>0</v>
      </c>
      <c r="R428" s="2" t="inlineStr"/>
    </row>
    <row r="429" ht="15" customHeight="1">
      <c r="A429" t="inlineStr">
        <is>
          <t>A 6153-2022</t>
        </is>
      </c>
      <c r="B429" s="1" t="n">
        <v>44599</v>
      </c>
      <c r="C429" s="1" t="n">
        <v>45630</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6206-2022</t>
        </is>
      </c>
      <c r="B430" s="1" t="n">
        <v>44600</v>
      </c>
      <c r="C430" s="1" t="n">
        <v>45630</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6313-2022</t>
        </is>
      </c>
      <c r="B431" s="1" t="n">
        <v>44600</v>
      </c>
      <c r="C431" s="1" t="n">
        <v>45630</v>
      </c>
      <c r="D431" t="inlineStr">
        <is>
          <t>UPPSALA LÄN</t>
        </is>
      </c>
      <c r="E431" t="inlineStr">
        <is>
          <t>ÖSTHAMMAR</t>
        </is>
      </c>
      <c r="G431" t="n">
        <v>4</v>
      </c>
      <c r="H431" t="n">
        <v>0</v>
      </c>
      <c r="I431" t="n">
        <v>0</v>
      </c>
      <c r="J431" t="n">
        <v>0</v>
      </c>
      <c r="K431" t="n">
        <v>0</v>
      </c>
      <c r="L431" t="n">
        <v>0</v>
      </c>
      <c r="M431" t="n">
        <v>0</v>
      </c>
      <c r="N431" t="n">
        <v>0</v>
      </c>
      <c r="O431" t="n">
        <v>0</v>
      </c>
      <c r="P431" t="n">
        <v>0</v>
      </c>
      <c r="Q431" t="n">
        <v>0</v>
      </c>
      <c r="R431" s="2" t="inlineStr"/>
    </row>
    <row r="432" ht="15" customHeight="1">
      <c r="A432" t="inlineStr">
        <is>
          <t>A 6892-2022</t>
        </is>
      </c>
      <c r="B432" s="1" t="n">
        <v>44602</v>
      </c>
      <c r="C432" s="1" t="n">
        <v>45630</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7181-2022</t>
        </is>
      </c>
      <c r="B433" s="1" t="n">
        <v>44605</v>
      </c>
      <c r="C433" s="1" t="n">
        <v>45630</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7302-2022</t>
        </is>
      </c>
      <c r="B434" s="1" t="n">
        <v>44606</v>
      </c>
      <c r="C434" s="1" t="n">
        <v>45630</v>
      </c>
      <c r="D434" t="inlineStr">
        <is>
          <t>UPPSALA LÄN</t>
        </is>
      </c>
      <c r="E434" t="inlineStr">
        <is>
          <t>ÖSTHAMMAR</t>
        </is>
      </c>
      <c r="G434" t="n">
        <v>4</v>
      </c>
      <c r="H434" t="n">
        <v>0</v>
      </c>
      <c r="I434" t="n">
        <v>0</v>
      </c>
      <c r="J434" t="n">
        <v>0</v>
      </c>
      <c r="K434" t="n">
        <v>0</v>
      </c>
      <c r="L434" t="n">
        <v>0</v>
      </c>
      <c r="M434" t="n">
        <v>0</v>
      </c>
      <c r="N434" t="n">
        <v>0</v>
      </c>
      <c r="O434" t="n">
        <v>0</v>
      </c>
      <c r="P434" t="n">
        <v>0</v>
      </c>
      <c r="Q434" t="n">
        <v>0</v>
      </c>
      <c r="R434" s="2" t="inlineStr"/>
    </row>
    <row r="435" ht="15" customHeight="1">
      <c r="A435" t="inlineStr">
        <is>
          <t>A 7475-2022</t>
        </is>
      </c>
      <c r="B435" s="1" t="n">
        <v>44607</v>
      </c>
      <c r="C435" s="1" t="n">
        <v>45630</v>
      </c>
      <c r="D435" t="inlineStr">
        <is>
          <t>UPPSALA LÄN</t>
        </is>
      </c>
      <c r="E435" t="inlineStr">
        <is>
          <t>ÖSTHAMMAR</t>
        </is>
      </c>
      <c r="G435" t="n">
        <v>2.2</v>
      </c>
      <c r="H435" t="n">
        <v>0</v>
      </c>
      <c r="I435" t="n">
        <v>0</v>
      </c>
      <c r="J435" t="n">
        <v>0</v>
      </c>
      <c r="K435" t="n">
        <v>0</v>
      </c>
      <c r="L435" t="n">
        <v>0</v>
      </c>
      <c r="M435" t="n">
        <v>0</v>
      </c>
      <c r="N435" t="n">
        <v>0</v>
      </c>
      <c r="O435" t="n">
        <v>0</v>
      </c>
      <c r="P435" t="n">
        <v>0</v>
      </c>
      <c r="Q435" t="n">
        <v>0</v>
      </c>
      <c r="R435" s="2" t="inlineStr"/>
    </row>
    <row r="436" ht="15" customHeight="1">
      <c r="A436" t="inlineStr">
        <is>
          <t>A 7488-2022</t>
        </is>
      </c>
      <c r="B436" s="1" t="n">
        <v>44607</v>
      </c>
      <c r="C436" s="1" t="n">
        <v>45630</v>
      </c>
      <c r="D436" t="inlineStr">
        <is>
          <t>UPPSALA LÄN</t>
        </is>
      </c>
      <c r="E436" t="inlineStr">
        <is>
          <t>ÖSTHAMMAR</t>
        </is>
      </c>
      <c r="G436" t="n">
        <v>2.3</v>
      </c>
      <c r="H436" t="n">
        <v>0</v>
      </c>
      <c r="I436" t="n">
        <v>0</v>
      </c>
      <c r="J436" t="n">
        <v>0</v>
      </c>
      <c r="K436" t="n">
        <v>0</v>
      </c>
      <c r="L436" t="n">
        <v>0</v>
      </c>
      <c r="M436" t="n">
        <v>0</v>
      </c>
      <c r="N436" t="n">
        <v>0</v>
      </c>
      <c r="O436" t="n">
        <v>0</v>
      </c>
      <c r="P436" t="n">
        <v>0</v>
      </c>
      <c r="Q436" t="n">
        <v>0</v>
      </c>
      <c r="R436" s="2" t="inlineStr"/>
    </row>
    <row r="437" ht="15" customHeight="1">
      <c r="A437" t="inlineStr">
        <is>
          <t>A 7858-2022</t>
        </is>
      </c>
      <c r="B437" s="1" t="n">
        <v>44608</v>
      </c>
      <c r="C437" s="1" t="n">
        <v>45630</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7871-2022</t>
        </is>
      </c>
      <c r="B438" s="1" t="n">
        <v>44608</v>
      </c>
      <c r="C438" s="1" t="n">
        <v>45630</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7997-2022</t>
        </is>
      </c>
      <c r="B439" s="1" t="n">
        <v>44609</v>
      </c>
      <c r="C439" s="1" t="n">
        <v>45630</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8283-2022</t>
        </is>
      </c>
      <c r="B440" s="1" t="n">
        <v>44610</v>
      </c>
      <c r="C440" s="1" t="n">
        <v>45630</v>
      </c>
      <c r="D440" t="inlineStr">
        <is>
          <t>UPPSALA LÄN</t>
        </is>
      </c>
      <c r="E440" t="inlineStr">
        <is>
          <t>ÖSTHAMMAR</t>
        </is>
      </c>
      <c r="F440" t="inlineStr">
        <is>
          <t>Övriga Aktiebolag</t>
        </is>
      </c>
      <c r="G440" t="n">
        <v>2</v>
      </c>
      <c r="H440" t="n">
        <v>0</v>
      </c>
      <c r="I440" t="n">
        <v>0</v>
      </c>
      <c r="J440" t="n">
        <v>0</v>
      </c>
      <c r="K440" t="n">
        <v>0</v>
      </c>
      <c r="L440" t="n">
        <v>0</v>
      </c>
      <c r="M440" t="n">
        <v>0</v>
      </c>
      <c r="N440" t="n">
        <v>0</v>
      </c>
      <c r="O440" t="n">
        <v>0</v>
      </c>
      <c r="P440" t="n">
        <v>0</v>
      </c>
      <c r="Q440" t="n">
        <v>0</v>
      </c>
      <c r="R440" s="2" t="inlineStr"/>
    </row>
    <row r="441" ht="15" customHeight="1">
      <c r="A441" t="inlineStr">
        <is>
          <t>A 8592-2022</t>
        </is>
      </c>
      <c r="B441" s="1" t="n">
        <v>44613</v>
      </c>
      <c r="C441" s="1" t="n">
        <v>45630</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8708-2022</t>
        </is>
      </c>
      <c r="B442" s="1" t="n">
        <v>44613</v>
      </c>
      <c r="C442" s="1" t="n">
        <v>45630</v>
      </c>
      <c r="D442" t="inlineStr">
        <is>
          <t>UPPSALA LÄN</t>
        </is>
      </c>
      <c r="E442" t="inlineStr">
        <is>
          <t>ÖSTHAMMAR</t>
        </is>
      </c>
      <c r="G442" t="n">
        <v>4.3</v>
      </c>
      <c r="H442" t="n">
        <v>0</v>
      </c>
      <c r="I442" t="n">
        <v>0</v>
      </c>
      <c r="J442" t="n">
        <v>0</v>
      </c>
      <c r="K442" t="n">
        <v>0</v>
      </c>
      <c r="L442" t="n">
        <v>0</v>
      </c>
      <c r="M442" t="n">
        <v>0</v>
      </c>
      <c r="N442" t="n">
        <v>0</v>
      </c>
      <c r="O442" t="n">
        <v>0</v>
      </c>
      <c r="P442" t="n">
        <v>0</v>
      </c>
      <c r="Q442" t="n">
        <v>0</v>
      </c>
      <c r="R442" s="2" t="inlineStr"/>
    </row>
    <row r="443" ht="15" customHeight="1">
      <c r="A443" t="inlineStr">
        <is>
          <t>A 8710-2022</t>
        </is>
      </c>
      <c r="B443" s="1" t="n">
        <v>44613</v>
      </c>
      <c r="C443" s="1" t="n">
        <v>45630</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8537-2022</t>
        </is>
      </c>
      <c r="B444" s="1" t="n">
        <v>44613</v>
      </c>
      <c r="C444" s="1" t="n">
        <v>45630</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8554-2022</t>
        </is>
      </c>
      <c r="B445" s="1" t="n">
        <v>44613</v>
      </c>
      <c r="C445" s="1" t="n">
        <v>45630</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8556-2022</t>
        </is>
      </c>
      <c r="B446" s="1" t="n">
        <v>44613</v>
      </c>
      <c r="C446" s="1" t="n">
        <v>45630</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8775-2022</t>
        </is>
      </c>
      <c r="B447" s="1" t="n">
        <v>44614</v>
      </c>
      <c r="C447" s="1" t="n">
        <v>45630</v>
      </c>
      <c r="D447" t="inlineStr">
        <is>
          <t>UPPSALA LÄN</t>
        </is>
      </c>
      <c r="E447" t="inlineStr">
        <is>
          <t>ÖSTHAMMAR</t>
        </is>
      </c>
      <c r="G447" t="n">
        <v>0.3</v>
      </c>
      <c r="H447" t="n">
        <v>0</v>
      </c>
      <c r="I447" t="n">
        <v>0</v>
      </c>
      <c r="J447" t="n">
        <v>0</v>
      </c>
      <c r="K447" t="n">
        <v>0</v>
      </c>
      <c r="L447" t="n">
        <v>0</v>
      </c>
      <c r="M447" t="n">
        <v>0</v>
      </c>
      <c r="N447" t="n">
        <v>0</v>
      </c>
      <c r="O447" t="n">
        <v>0</v>
      </c>
      <c r="P447" t="n">
        <v>0</v>
      </c>
      <c r="Q447" t="n">
        <v>0</v>
      </c>
      <c r="R447" s="2" t="inlineStr"/>
    </row>
    <row r="448" ht="15" customHeight="1">
      <c r="A448" t="inlineStr">
        <is>
          <t>A 8750-2022</t>
        </is>
      </c>
      <c r="B448" s="1" t="n">
        <v>44614</v>
      </c>
      <c r="C448" s="1" t="n">
        <v>45630</v>
      </c>
      <c r="D448" t="inlineStr">
        <is>
          <t>UPPSALA LÄN</t>
        </is>
      </c>
      <c r="E448" t="inlineStr">
        <is>
          <t>ÖSTHAMMAR</t>
        </is>
      </c>
      <c r="G448" t="n">
        <v>1.6</v>
      </c>
      <c r="H448" t="n">
        <v>0</v>
      </c>
      <c r="I448" t="n">
        <v>0</v>
      </c>
      <c r="J448" t="n">
        <v>0</v>
      </c>
      <c r="K448" t="n">
        <v>0</v>
      </c>
      <c r="L448" t="n">
        <v>0</v>
      </c>
      <c r="M448" t="n">
        <v>0</v>
      </c>
      <c r="N448" t="n">
        <v>0</v>
      </c>
      <c r="O448" t="n">
        <v>0</v>
      </c>
      <c r="P448" t="n">
        <v>0</v>
      </c>
      <c r="Q448" t="n">
        <v>0</v>
      </c>
      <c r="R448" s="2" t="inlineStr"/>
    </row>
    <row r="449" ht="15" customHeight="1">
      <c r="A449" t="inlineStr">
        <is>
          <t>A 9755-2022</t>
        </is>
      </c>
      <c r="B449" s="1" t="n">
        <v>44618</v>
      </c>
      <c r="C449" s="1" t="n">
        <v>45630</v>
      </c>
      <c r="D449" t="inlineStr">
        <is>
          <t>UPPSALA LÄN</t>
        </is>
      </c>
      <c r="E449" t="inlineStr">
        <is>
          <t>ÖSTHAMMAR</t>
        </is>
      </c>
      <c r="F449" t="inlineStr">
        <is>
          <t>Bergvik skog öst AB</t>
        </is>
      </c>
      <c r="G449" t="n">
        <v>13.9</v>
      </c>
      <c r="H449" t="n">
        <v>0</v>
      </c>
      <c r="I449" t="n">
        <v>0</v>
      </c>
      <c r="J449" t="n">
        <v>0</v>
      </c>
      <c r="K449" t="n">
        <v>0</v>
      </c>
      <c r="L449" t="n">
        <v>0</v>
      </c>
      <c r="M449" t="n">
        <v>0</v>
      </c>
      <c r="N449" t="n">
        <v>0</v>
      </c>
      <c r="O449" t="n">
        <v>0</v>
      </c>
      <c r="P449" t="n">
        <v>0</v>
      </c>
      <c r="Q449" t="n">
        <v>0</v>
      </c>
      <c r="R449" s="2" t="inlineStr"/>
    </row>
    <row r="450" ht="15" customHeight="1">
      <c r="A450" t="inlineStr">
        <is>
          <t>A 9789-2022</t>
        </is>
      </c>
      <c r="B450" s="1" t="n">
        <v>44620</v>
      </c>
      <c r="C450" s="1" t="n">
        <v>45630</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9795-2022</t>
        </is>
      </c>
      <c r="B451" s="1" t="n">
        <v>44620</v>
      </c>
      <c r="C451" s="1" t="n">
        <v>45630</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10287-2022</t>
        </is>
      </c>
      <c r="B452" s="1" t="n">
        <v>44622</v>
      </c>
      <c r="C452" s="1" t="n">
        <v>45630</v>
      </c>
      <c r="D452" t="inlineStr">
        <is>
          <t>UPPSALA LÄN</t>
        </is>
      </c>
      <c r="E452" t="inlineStr">
        <is>
          <t>ÖSTHAMMAR</t>
        </is>
      </c>
      <c r="F452" t="inlineStr">
        <is>
          <t>Bergvik skog öst AB</t>
        </is>
      </c>
      <c r="G452" t="n">
        <v>0.2</v>
      </c>
      <c r="H452" t="n">
        <v>0</v>
      </c>
      <c r="I452" t="n">
        <v>0</v>
      </c>
      <c r="J452" t="n">
        <v>0</v>
      </c>
      <c r="K452" t="n">
        <v>0</v>
      </c>
      <c r="L452" t="n">
        <v>0</v>
      </c>
      <c r="M452" t="n">
        <v>0</v>
      </c>
      <c r="N452" t="n">
        <v>0</v>
      </c>
      <c r="O452" t="n">
        <v>0</v>
      </c>
      <c r="P452" t="n">
        <v>0</v>
      </c>
      <c r="Q452" t="n">
        <v>0</v>
      </c>
      <c r="R452" s="2" t="inlineStr"/>
    </row>
    <row r="453" ht="15" customHeight="1">
      <c r="A453" t="inlineStr">
        <is>
          <t>A 10294-2022</t>
        </is>
      </c>
      <c r="B453" s="1" t="n">
        <v>44622</v>
      </c>
      <c r="C453" s="1" t="n">
        <v>45630</v>
      </c>
      <c r="D453" t="inlineStr">
        <is>
          <t>UPPSALA LÄN</t>
        </is>
      </c>
      <c r="E453" t="inlineStr">
        <is>
          <t>ÖSTHAMMAR</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45630</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10298-2022</t>
        </is>
      </c>
      <c r="B455" s="1" t="n">
        <v>44622</v>
      </c>
      <c r="C455" s="1" t="n">
        <v>45630</v>
      </c>
      <c r="D455" t="inlineStr">
        <is>
          <t>UPPSALA LÄN</t>
        </is>
      </c>
      <c r="E455" t="inlineStr">
        <is>
          <t>ÖSTHAMMAR</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10980-2022</t>
        </is>
      </c>
      <c r="B456" s="1" t="n">
        <v>44628</v>
      </c>
      <c r="C456" s="1" t="n">
        <v>45630</v>
      </c>
      <c r="D456" t="inlineStr">
        <is>
          <t>UPPSALA LÄN</t>
        </is>
      </c>
      <c r="E456" t="inlineStr">
        <is>
          <t>ÖSTHAMMAR</t>
        </is>
      </c>
      <c r="G456" t="n">
        <v>7.4</v>
      </c>
      <c r="H456" t="n">
        <v>0</v>
      </c>
      <c r="I456" t="n">
        <v>0</v>
      </c>
      <c r="J456" t="n">
        <v>0</v>
      </c>
      <c r="K456" t="n">
        <v>0</v>
      </c>
      <c r="L456" t="n">
        <v>0</v>
      </c>
      <c r="M456" t="n">
        <v>0</v>
      </c>
      <c r="N456" t="n">
        <v>0</v>
      </c>
      <c r="O456" t="n">
        <v>0</v>
      </c>
      <c r="P456" t="n">
        <v>0</v>
      </c>
      <c r="Q456" t="n">
        <v>0</v>
      </c>
      <c r="R456" s="2" t="inlineStr"/>
    </row>
    <row r="457" ht="15" customHeight="1">
      <c r="A457" t="inlineStr">
        <is>
          <t>A 11547-2022</t>
        </is>
      </c>
      <c r="B457" s="1" t="n">
        <v>44631</v>
      </c>
      <c r="C457" s="1" t="n">
        <v>45630</v>
      </c>
      <c r="D457" t="inlineStr">
        <is>
          <t>UPPSALA LÄN</t>
        </is>
      </c>
      <c r="E457" t="inlineStr">
        <is>
          <t>ÖSTHAMMAR</t>
        </is>
      </c>
      <c r="G457" t="n">
        <v>4.4</v>
      </c>
      <c r="H457" t="n">
        <v>0</v>
      </c>
      <c r="I457" t="n">
        <v>0</v>
      </c>
      <c r="J457" t="n">
        <v>0</v>
      </c>
      <c r="K457" t="n">
        <v>0</v>
      </c>
      <c r="L457" t="n">
        <v>0</v>
      </c>
      <c r="M457" t="n">
        <v>0</v>
      </c>
      <c r="N457" t="n">
        <v>0</v>
      </c>
      <c r="O457" t="n">
        <v>0</v>
      </c>
      <c r="P457" t="n">
        <v>0</v>
      </c>
      <c r="Q457" t="n">
        <v>0</v>
      </c>
      <c r="R457" s="2" t="inlineStr"/>
    </row>
    <row r="458" ht="15" customHeight="1">
      <c r="A458" t="inlineStr">
        <is>
          <t>A 11643-2022</t>
        </is>
      </c>
      <c r="B458" s="1" t="n">
        <v>44631</v>
      </c>
      <c r="C458" s="1" t="n">
        <v>45630</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11884-2022</t>
        </is>
      </c>
      <c r="B459" s="1" t="n">
        <v>44635</v>
      </c>
      <c r="C459" s="1" t="n">
        <v>45630</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11987-2022</t>
        </is>
      </c>
      <c r="B460" s="1" t="n">
        <v>44635</v>
      </c>
      <c r="C460" s="1" t="n">
        <v>45630</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11986-2022</t>
        </is>
      </c>
      <c r="B461" s="1" t="n">
        <v>44635</v>
      </c>
      <c r="C461" s="1" t="n">
        <v>45630</v>
      </c>
      <c r="D461" t="inlineStr">
        <is>
          <t>UPPSALA LÄN</t>
        </is>
      </c>
      <c r="E461" t="inlineStr">
        <is>
          <t>ÖSTHAMMAR</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12176-2022</t>
        </is>
      </c>
      <c r="B462" s="1" t="n">
        <v>44636</v>
      </c>
      <c r="C462" s="1" t="n">
        <v>45630</v>
      </c>
      <c r="D462" t="inlineStr">
        <is>
          <t>UPPSALA LÄN</t>
        </is>
      </c>
      <c r="E462" t="inlineStr">
        <is>
          <t>ÖSTHAMMAR</t>
        </is>
      </c>
      <c r="G462" t="n">
        <v>3.5</v>
      </c>
      <c r="H462" t="n">
        <v>0</v>
      </c>
      <c r="I462" t="n">
        <v>0</v>
      </c>
      <c r="J462" t="n">
        <v>0</v>
      </c>
      <c r="K462" t="n">
        <v>0</v>
      </c>
      <c r="L462" t="n">
        <v>0</v>
      </c>
      <c r="M462" t="n">
        <v>0</v>
      </c>
      <c r="N462" t="n">
        <v>0</v>
      </c>
      <c r="O462" t="n">
        <v>0</v>
      </c>
      <c r="P462" t="n">
        <v>0</v>
      </c>
      <c r="Q462" t="n">
        <v>0</v>
      </c>
      <c r="R462" s="2" t="inlineStr"/>
    </row>
    <row r="463" ht="15" customHeight="1">
      <c r="A463" t="inlineStr">
        <is>
          <t>A 12999-2022</t>
        </is>
      </c>
      <c r="B463" s="1" t="n">
        <v>44643</v>
      </c>
      <c r="C463" s="1" t="n">
        <v>45630</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13044-2022</t>
        </is>
      </c>
      <c r="B464" s="1" t="n">
        <v>44643</v>
      </c>
      <c r="C464" s="1" t="n">
        <v>45630</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13093-2022</t>
        </is>
      </c>
      <c r="B465" s="1" t="n">
        <v>44643</v>
      </c>
      <c r="C465" s="1" t="n">
        <v>45630</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13238-2022</t>
        </is>
      </c>
      <c r="B466" s="1" t="n">
        <v>44644</v>
      </c>
      <c r="C466" s="1" t="n">
        <v>45630</v>
      </c>
      <c r="D466" t="inlineStr">
        <is>
          <t>UPPSALA LÄN</t>
        </is>
      </c>
      <c r="E466" t="inlineStr">
        <is>
          <t>ÖSTHAMMAR</t>
        </is>
      </c>
      <c r="G466" t="n">
        <v>6.5</v>
      </c>
      <c r="H466" t="n">
        <v>0</v>
      </c>
      <c r="I466" t="n">
        <v>0</v>
      </c>
      <c r="J466" t="n">
        <v>0</v>
      </c>
      <c r="K466" t="n">
        <v>0</v>
      </c>
      <c r="L466" t="n">
        <v>0</v>
      </c>
      <c r="M466" t="n">
        <v>0</v>
      </c>
      <c r="N466" t="n">
        <v>0</v>
      </c>
      <c r="O466" t="n">
        <v>0</v>
      </c>
      <c r="P466" t="n">
        <v>0</v>
      </c>
      <c r="Q466" t="n">
        <v>0</v>
      </c>
      <c r="R466" s="2" t="inlineStr"/>
    </row>
    <row r="467" ht="15" customHeight="1">
      <c r="A467" t="inlineStr">
        <is>
          <t>A 13279-2022</t>
        </is>
      </c>
      <c r="B467" s="1" t="n">
        <v>44644</v>
      </c>
      <c r="C467" s="1" t="n">
        <v>45630</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13867-2022</t>
        </is>
      </c>
      <c r="B468" s="1" t="n">
        <v>44649</v>
      </c>
      <c r="C468" s="1" t="n">
        <v>45630</v>
      </c>
      <c r="D468" t="inlineStr">
        <is>
          <t>UPPSALA LÄN</t>
        </is>
      </c>
      <c r="E468" t="inlineStr">
        <is>
          <t>ÖSTHAMMAR</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14272-2022</t>
        </is>
      </c>
      <c r="B469" s="1" t="n">
        <v>44651</v>
      </c>
      <c r="C469" s="1" t="n">
        <v>45630</v>
      </c>
      <c r="D469" t="inlineStr">
        <is>
          <t>UPPSALA LÄN</t>
        </is>
      </c>
      <c r="E469" t="inlineStr">
        <is>
          <t>ÖSTHAMMAR</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14124-2022</t>
        </is>
      </c>
      <c r="B470" s="1" t="n">
        <v>44651</v>
      </c>
      <c r="C470" s="1" t="n">
        <v>45630</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14187-2022</t>
        </is>
      </c>
      <c r="B471" s="1" t="n">
        <v>44651</v>
      </c>
      <c r="C471" s="1" t="n">
        <v>45630</v>
      </c>
      <c r="D471" t="inlineStr">
        <is>
          <t>UPPSALA LÄN</t>
        </is>
      </c>
      <c r="E471" t="inlineStr">
        <is>
          <t>ÖSTHAMMAR</t>
        </is>
      </c>
      <c r="F471" t="inlineStr">
        <is>
          <t>Övriga Aktiebolag</t>
        </is>
      </c>
      <c r="G471" t="n">
        <v>14.1</v>
      </c>
      <c r="H471" t="n">
        <v>0</v>
      </c>
      <c r="I471" t="n">
        <v>0</v>
      </c>
      <c r="J471" t="n">
        <v>0</v>
      </c>
      <c r="K471" t="n">
        <v>0</v>
      </c>
      <c r="L471" t="n">
        <v>0</v>
      </c>
      <c r="M471" t="n">
        <v>0</v>
      </c>
      <c r="N471" t="n">
        <v>0</v>
      </c>
      <c r="O471" t="n">
        <v>0</v>
      </c>
      <c r="P471" t="n">
        <v>0</v>
      </c>
      <c r="Q471" t="n">
        <v>0</v>
      </c>
      <c r="R471" s="2" t="inlineStr"/>
    </row>
    <row r="472" ht="15" customHeight="1">
      <c r="A472" t="inlineStr">
        <is>
          <t>A 14271-2022</t>
        </is>
      </c>
      <c r="B472" s="1" t="n">
        <v>44651</v>
      </c>
      <c r="C472" s="1" t="n">
        <v>45630</v>
      </c>
      <c r="D472" t="inlineStr">
        <is>
          <t>UPPSALA LÄN</t>
        </is>
      </c>
      <c r="E472" t="inlineStr">
        <is>
          <t>ÖSTHAMMAR</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14671-2022</t>
        </is>
      </c>
      <c r="B473" s="1" t="n">
        <v>44655</v>
      </c>
      <c r="C473" s="1" t="n">
        <v>45630</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15064-2022</t>
        </is>
      </c>
      <c r="B474" s="1" t="n">
        <v>44657</v>
      </c>
      <c r="C474" s="1" t="n">
        <v>45630</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15311-2022</t>
        </is>
      </c>
      <c r="B475" s="1" t="n">
        <v>44659</v>
      </c>
      <c r="C475" s="1" t="n">
        <v>45630</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15334-2022</t>
        </is>
      </c>
      <c r="B476" s="1" t="n">
        <v>44659</v>
      </c>
      <c r="C476" s="1" t="n">
        <v>45630</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15447-2022</t>
        </is>
      </c>
      <c r="B477" s="1" t="n">
        <v>44660</v>
      </c>
      <c r="C477" s="1" t="n">
        <v>45630</v>
      </c>
      <c r="D477" t="inlineStr">
        <is>
          <t>UPPSALA LÄN</t>
        </is>
      </c>
      <c r="E477" t="inlineStr">
        <is>
          <t>ÖSTHAMMAR</t>
        </is>
      </c>
      <c r="F477" t="inlineStr">
        <is>
          <t>Bergvik skog öst AB</t>
        </is>
      </c>
      <c r="G477" t="n">
        <v>2.2</v>
      </c>
      <c r="H477" t="n">
        <v>0</v>
      </c>
      <c r="I477" t="n">
        <v>0</v>
      </c>
      <c r="J477" t="n">
        <v>0</v>
      </c>
      <c r="K477" t="n">
        <v>0</v>
      </c>
      <c r="L477" t="n">
        <v>0</v>
      </c>
      <c r="M477" t="n">
        <v>0</v>
      </c>
      <c r="N477" t="n">
        <v>0</v>
      </c>
      <c r="O477" t="n">
        <v>0</v>
      </c>
      <c r="P477" t="n">
        <v>0</v>
      </c>
      <c r="Q477" t="n">
        <v>0</v>
      </c>
      <c r="R477" s="2" t="inlineStr"/>
    </row>
    <row r="478" ht="15" customHeight="1">
      <c r="A478" t="inlineStr">
        <is>
          <t>A 15445-2022</t>
        </is>
      </c>
      <c r="B478" s="1" t="n">
        <v>44660</v>
      </c>
      <c r="C478" s="1" t="n">
        <v>45630</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15449-2022</t>
        </is>
      </c>
      <c r="B479" s="1" t="n">
        <v>44660</v>
      </c>
      <c r="C479" s="1" t="n">
        <v>45630</v>
      </c>
      <c r="D479" t="inlineStr">
        <is>
          <t>UPPSALA LÄN</t>
        </is>
      </c>
      <c r="E479" t="inlineStr">
        <is>
          <t>ÖSTHAMMAR</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15456-2022</t>
        </is>
      </c>
      <c r="B480" s="1" t="n">
        <v>44661</v>
      </c>
      <c r="C480" s="1" t="n">
        <v>45630</v>
      </c>
      <c r="D480" t="inlineStr">
        <is>
          <t>UPPSALA LÄN</t>
        </is>
      </c>
      <c r="E480" t="inlineStr">
        <is>
          <t>ÖSTHAMMAR</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15457-2022</t>
        </is>
      </c>
      <c r="B481" s="1" t="n">
        <v>44661</v>
      </c>
      <c r="C481" s="1" t="n">
        <v>45630</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45630</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15845-2022</t>
        </is>
      </c>
      <c r="B483" s="1" t="n">
        <v>44664</v>
      </c>
      <c r="C483" s="1" t="n">
        <v>45630</v>
      </c>
      <c r="D483" t="inlineStr">
        <is>
          <t>UPPSALA LÄN</t>
        </is>
      </c>
      <c r="E483" t="inlineStr">
        <is>
          <t>ÖSTHAMMAR</t>
        </is>
      </c>
      <c r="G483" t="n">
        <v>4.5</v>
      </c>
      <c r="H483" t="n">
        <v>0</v>
      </c>
      <c r="I483" t="n">
        <v>0</v>
      </c>
      <c r="J483" t="n">
        <v>0</v>
      </c>
      <c r="K483" t="n">
        <v>0</v>
      </c>
      <c r="L483" t="n">
        <v>0</v>
      </c>
      <c r="M483" t="n">
        <v>0</v>
      </c>
      <c r="N483" t="n">
        <v>0</v>
      </c>
      <c r="O483" t="n">
        <v>0</v>
      </c>
      <c r="P483" t="n">
        <v>0</v>
      </c>
      <c r="Q483" t="n">
        <v>0</v>
      </c>
      <c r="R483" s="2" t="inlineStr"/>
    </row>
    <row r="484" ht="15" customHeight="1">
      <c r="A484" t="inlineStr">
        <is>
          <t>A 15928-2022</t>
        </is>
      </c>
      <c r="B484" s="1" t="n">
        <v>44664</v>
      </c>
      <c r="C484" s="1" t="n">
        <v>45630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16141-2022</t>
        </is>
      </c>
      <c r="B485" s="1" t="n">
        <v>44665</v>
      </c>
      <c r="C485" s="1" t="n">
        <v>45630</v>
      </c>
      <c r="D485" t="inlineStr">
        <is>
          <t>UPPSALA LÄN</t>
        </is>
      </c>
      <c r="E485" t="inlineStr">
        <is>
          <t>ÖSTHAMMAR</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16142-2022</t>
        </is>
      </c>
      <c r="B486" s="1" t="n">
        <v>44665</v>
      </c>
      <c r="C486" s="1" t="n">
        <v>45630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16167-2022</t>
        </is>
      </c>
      <c r="B487" s="1" t="n">
        <v>44667</v>
      </c>
      <c r="C487" s="1" t="n">
        <v>45630</v>
      </c>
      <c r="D487" t="inlineStr">
        <is>
          <t>UPPSALA LÄN</t>
        </is>
      </c>
      <c r="E487" t="inlineStr">
        <is>
          <t>ÖSTHAMMAR</t>
        </is>
      </c>
      <c r="F487" t="inlineStr">
        <is>
          <t>Bergvik skog öst AB</t>
        </is>
      </c>
      <c r="G487" t="n">
        <v>18.7</v>
      </c>
      <c r="H487" t="n">
        <v>0</v>
      </c>
      <c r="I487" t="n">
        <v>0</v>
      </c>
      <c r="J487" t="n">
        <v>0</v>
      </c>
      <c r="K487" t="n">
        <v>0</v>
      </c>
      <c r="L487" t="n">
        <v>0</v>
      </c>
      <c r="M487" t="n">
        <v>0</v>
      </c>
      <c r="N487" t="n">
        <v>0</v>
      </c>
      <c r="O487" t="n">
        <v>0</v>
      </c>
      <c r="P487" t="n">
        <v>0</v>
      </c>
      <c r="Q487" t="n">
        <v>0</v>
      </c>
      <c r="R487" s="2" t="inlineStr"/>
    </row>
    <row r="488" ht="15" customHeight="1">
      <c r="A488" t="inlineStr">
        <is>
          <t>A 16185-2022</t>
        </is>
      </c>
      <c r="B488" s="1" t="n">
        <v>44669</v>
      </c>
      <c r="C488" s="1" t="n">
        <v>45630</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16184-2022</t>
        </is>
      </c>
      <c r="B489" s="1" t="n">
        <v>44669</v>
      </c>
      <c r="C489" s="1" t="n">
        <v>45630</v>
      </c>
      <c r="D489" t="inlineStr">
        <is>
          <t>UPPSALA LÄN</t>
        </is>
      </c>
      <c r="E489" t="inlineStr">
        <is>
          <t>ÖSTHAMMAR</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16254-2022</t>
        </is>
      </c>
      <c r="B490" s="1" t="n">
        <v>44670</v>
      </c>
      <c r="C490" s="1" t="n">
        <v>45630</v>
      </c>
      <c r="D490" t="inlineStr">
        <is>
          <t>UPPSALA LÄN</t>
        </is>
      </c>
      <c r="E490" t="inlineStr">
        <is>
          <t>ÖSTHAMMAR</t>
        </is>
      </c>
      <c r="G490" t="n">
        <v>0.7</v>
      </c>
      <c r="H490" t="n">
        <v>0</v>
      </c>
      <c r="I490" t="n">
        <v>0</v>
      </c>
      <c r="J490" t="n">
        <v>0</v>
      </c>
      <c r="K490" t="n">
        <v>0</v>
      </c>
      <c r="L490" t="n">
        <v>0</v>
      </c>
      <c r="M490" t="n">
        <v>0</v>
      </c>
      <c r="N490" t="n">
        <v>0</v>
      </c>
      <c r="O490" t="n">
        <v>0</v>
      </c>
      <c r="P490" t="n">
        <v>0</v>
      </c>
      <c r="Q490" t="n">
        <v>0</v>
      </c>
      <c r="R490" s="2" t="inlineStr"/>
    </row>
    <row r="491" ht="15" customHeight="1">
      <c r="A491" t="inlineStr">
        <is>
          <t>A 16933-2022</t>
        </is>
      </c>
      <c r="B491" s="1" t="n">
        <v>44676</v>
      </c>
      <c r="C491" s="1" t="n">
        <v>45630</v>
      </c>
      <c r="D491" t="inlineStr">
        <is>
          <t>UPPSALA LÄN</t>
        </is>
      </c>
      <c r="E491" t="inlineStr">
        <is>
          <t>ÖSTHAMMAR</t>
        </is>
      </c>
      <c r="G491" t="n">
        <v>1.3</v>
      </c>
      <c r="H491" t="n">
        <v>0</v>
      </c>
      <c r="I491" t="n">
        <v>0</v>
      </c>
      <c r="J491" t="n">
        <v>0</v>
      </c>
      <c r="K491" t="n">
        <v>0</v>
      </c>
      <c r="L491" t="n">
        <v>0</v>
      </c>
      <c r="M491" t="n">
        <v>0</v>
      </c>
      <c r="N491" t="n">
        <v>0</v>
      </c>
      <c r="O491" t="n">
        <v>0</v>
      </c>
      <c r="P491" t="n">
        <v>0</v>
      </c>
      <c r="Q491" t="n">
        <v>0</v>
      </c>
      <c r="R491" s="2" t="inlineStr"/>
    </row>
    <row r="492" ht="15" customHeight="1">
      <c r="A492" t="inlineStr">
        <is>
          <t>A 17013-2022</t>
        </is>
      </c>
      <c r="B492" s="1" t="n">
        <v>44676</v>
      </c>
      <c r="C492" s="1" t="n">
        <v>45630</v>
      </c>
      <c r="D492" t="inlineStr">
        <is>
          <t>UPPSALA LÄN</t>
        </is>
      </c>
      <c r="E492" t="inlineStr">
        <is>
          <t>ÖSTHAMMAR</t>
        </is>
      </c>
      <c r="F492" t="inlineStr">
        <is>
          <t>Bergvik skog öst AB</t>
        </is>
      </c>
      <c r="G492" t="n">
        <v>0.2</v>
      </c>
      <c r="H492" t="n">
        <v>0</v>
      </c>
      <c r="I492" t="n">
        <v>0</v>
      </c>
      <c r="J492" t="n">
        <v>0</v>
      </c>
      <c r="K492" t="n">
        <v>0</v>
      </c>
      <c r="L492" t="n">
        <v>0</v>
      </c>
      <c r="M492" t="n">
        <v>0</v>
      </c>
      <c r="N492" t="n">
        <v>0</v>
      </c>
      <c r="O492" t="n">
        <v>0</v>
      </c>
      <c r="P492" t="n">
        <v>0</v>
      </c>
      <c r="Q492" t="n">
        <v>0</v>
      </c>
      <c r="R492" s="2" t="inlineStr"/>
    </row>
    <row r="493" ht="15" customHeight="1">
      <c r="A493" t="inlineStr">
        <is>
          <t>A 17947-2022</t>
        </is>
      </c>
      <c r="B493" s="1" t="n">
        <v>44683</v>
      </c>
      <c r="C493" s="1" t="n">
        <v>45630</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18183-2022</t>
        </is>
      </c>
      <c r="B494" s="1" t="n">
        <v>44684</v>
      </c>
      <c r="C494" s="1" t="n">
        <v>45630</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18732-2022</t>
        </is>
      </c>
      <c r="B495" s="1" t="n">
        <v>44687</v>
      </c>
      <c r="C495" s="1" t="n">
        <v>45630</v>
      </c>
      <c r="D495" t="inlineStr">
        <is>
          <t>UPPSALA LÄN</t>
        </is>
      </c>
      <c r="E495" t="inlineStr">
        <is>
          <t>ÖSTHAMMAR</t>
        </is>
      </c>
      <c r="G495" t="n">
        <v>10.5</v>
      </c>
      <c r="H495" t="n">
        <v>0</v>
      </c>
      <c r="I495" t="n">
        <v>0</v>
      </c>
      <c r="J495" t="n">
        <v>0</v>
      </c>
      <c r="K495" t="n">
        <v>0</v>
      </c>
      <c r="L495" t="n">
        <v>0</v>
      </c>
      <c r="M495" t="n">
        <v>0</v>
      </c>
      <c r="N495" t="n">
        <v>0</v>
      </c>
      <c r="O495" t="n">
        <v>0</v>
      </c>
      <c r="P495" t="n">
        <v>0</v>
      </c>
      <c r="Q495" t="n">
        <v>0</v>
      </c>
      <c r="R495" s="2" t="inlineStr"/>
    </row>
    <row r="496" ht="15" customHeight="1">
      <c r="A496" t="inlineStr">
        <is>
          <t>A 18727-2022</t>
        </is>
      </c>
      <c r="B496" s="1" t="n">
        <v>44687</v>
      </c>
      <c r="C496" s="1" t="n">
        <v>45630</v>
      </c>
      <c r="D496" t="inlineStr">
        <is>
          <t>UPPSALA LÄN</t>
        </is>
      </c>
      <c r="E496" t="inlineStr">
        <is>
          <t>ÖSTHAMMAR</t>
        </is>
      </c>
      <c r="G496" t="n">
        <v>0.4</v>
      </c>
      <c r="H496" t="n">
        <v>0</v>
      </c>
      <c r="I496" t="n">
        <v>0</v>
      </c>
      <c r="J496" t="n">
        <v>0</v>
      </c>
      <c r="K496" t="n">
        <v>0</v>
      </c>
      <c r="L496" t="n">
        <v>0</v>
      </c>
      <c r="M496" t="n">
        <v>0</v>
      </c>
      <c r="N496" t="n">
        <v>0</v>
      </c>
      <c r="O496" t="n">
        <v>0</v>
      </c>
      <c r="P496" t="n">
        <v>0</v>
      </c>
      <c r="Q496" t="n">
        <v>0</v>
      </c>
      <c r="R496" s="2" t="inlineStr"/>
    </row>
    <row r="497" ht="15" customHeight="1">
      <c r="A497" t="inlineStr">
        <is>
          <t>A 18728-2022</t>
        </is>
      </c>
      <c r="B497" s="1" t="n">
        <v>44687</v>
      </c>
      <c r="C497" s="1" t="n">
        <v>45630</v>
      </c>
      <c r="D497" t="inlineStr">
        <is>
          <t>UPPSALA LÄN</t>
        </is>
      </c>
      <c r="E497" t="inlineStr">
        <is>
          <t>ÖSTHAMMAR</t>
        </is>
      </c>
      <c r="G497" t="n">
        <v>8.1</v>
      </c>
      <c r="H497" t="n">
        <v>0</v>
      </c>
      <c r="I497" t="n">
        <v>0</v>
      </c>
      <c r="J497" t="n">
        <v>0</v>
      </c>
      <c r="K497" t="n">
        <v>0</v>
      </c>
      <c r="L497" t="n">
        <v>0</v>
      </c>
      <c r="M497" t="n">
        <v>0</v>
      </c>
      <c r="N497" t="n">
        <v>0</v>
      </c>
      <c r="O497" t="n">
        <v>0</v>
      </c>
      <c r="P497" t="n">
        <v>0</v>
      </c>
      <c r="Q497" t="n">
        <v>0</v>
      </c>
      <c r="R497" s="2" t="inlineStr"/>
    </row>
    <row r="498" ht="15" customHeight="1">
      <c r="A498" t="inlineStr">
        <is>
          <t>A 18734-2022</t>
        </is>
      </c>
      <c r="B498" s="1" t="n">
        <v>44687</v>
      </c>
      <c r="C498" s="1" t="n">
        <v>45630</v>
      </c>
      <c r="D498" t="inlineStr">
        <is>
          <t>UPPSALA LÄN</t>
        </is>
      </c>
      <c r="E498" t="inlineStr">
        <is>
          <t>ÖSTHAMMAR</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18731-2022</t>
        </is>
      </c>
      <c r="B499" s="1" t="n">
        <v>44687</v>
      </c>
      <c r="C499" s="1" t="n">
        <v>45630</v>
      </c>
      <c r="D499" t="inlineStr">
        <is>
          <t>UPPSALA LÄN</t>
        </is>
      </c>
      <c r="E499" t="inlineStr">
        <is>
          <t>ÖSTHAMMAR</t>
        </is>
      </c>
      <c r="G499" t="n">
        <v>4.9</v>
      </c>
      <c r="H499" t="n">
        <v>0</v>
      </c>
      <c r="I499" t="n">
        <v>0</v>
      </c>
      <c r="J499" t="n">
        <v>0</v>
      </c>
      <c r="K499" t="n">
        <v>0</v>
      </c>
      <c r="L499" t="n">
        <v>0</v>
      </c>
      <c r="M499" t="n">
        <v>0</v>
      </c>
      <c r="N499" t="n">
        <v>0</v>
      </c>
      <c r="O499" t="n">
        <v>0</v>
      </c>
      <c r="P499" t="n">
        <v>0</v>
      </c>
      <c r="Q499" t="n">
        <v>0</v>
      </c>
      <c r="R499" s="2" t="inlineStr"/>
    </row>
    <row r="500" ht="15" customHeight="1">
      <c r="A500" t="inlineStr">
        <is>
          <t>A 18736-2022</t>
        </is>
      </c>
      <c r="B500" s="1" t="n">
        <v>44687</v>
      </c>
      <c r="C500" s="1" t="n">
        <v>45630</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19174-2022</t>
        </is>
      </c>
      <c r="B501" s="1" t="n">
        <v>44691</v>
      </c>
      <c r="C501" s="1" t="n">
        <v>45630</v>
      </c>
      <c r="D501" t="inlineStr">
        <is>
          <t>UPPSALA LÄN</t>
        </is>
      </c>
      <c r="E501" t="inlineStr">
        <is>
          <t>ÖSTHAMMAR</t>
        </is>
      </c>
      <c r="G501" t="n">
        <v>0.8</v>
      </c>
      <c r="H501" t="n">
        <v>0</v>
      </c>
      <c r="I501" t="n">
        <v>0</v>
      </c>
      <c r="J501" t="n">
        <v>0</v>
      </c>
      <c r="K501" t="n">
        <v>0</v>
      </c>
      <c r="L501" t="n">
        <v>0</v>
      </c>
      <c r="M501" t="n">
        <v>0</v>
      </c>
      <c r="N501" t="n">
        <v>0</v>
      </c>
      <c r="O501" t="n">
        <v>0</v>
      </c>
      <c r="P501" t="n">
        <v>0</v>
      </c>
      <c r="Q501" t="n">
        <v>0</v>
      </c>
      <c r="R501" s="2" t="inlineStr"/>
    </row>
    <row r="502" ht="15" customHeight="1">
      <c r="A502" t="inlineStr">
        <is>
          <t>A 19181-2022</t>
        </is>
      </c>
      <c r="B502" s="1" t="n">
        <v>44691</v>
      </c>
      <c r="C502" s="1" t="n">
        <v>45630</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19287-2022</t>
        </is>
      </c>
      <c r="B503" s="1" t="n">
        <v>44692</v>
      </c>
      <c r="C503" s="1" t="n">
        <v>45630</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19707-2022</t>
        </is>
      </c>
      <c r="B504" s="1" t="n">
        <v>44694</v>
      </c>
      <c r="C504" s="1" t="n">
        <v>45630</v>
      </c>
      <c r="D504" t="inlineStr">
        <is>
          <t>UPPSALA LÄN</t>
        </is>
      </c>
      <c r="E504" t="inlineStr">
        <is>
          <t>ÖSTHAMMAR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20468-2022</t>
        </is>
      </c>
      <c r="B505" s="1" t="n">
        <v>44699</v>
      </c>
      <c r="C505" s="1" t="n">
        <v>45630</v>
      </c>
      <c r="D505" t="inlineStr">
        <is>
          <t>UPPSALA LÄN</t>
        </is>
      </c>
      <c r="E505" t="inlineStr">
        <is>
          <t>ÖSTHAMMAR</t>
        </is>
      </c>
      <c r="G505" t="n">
        <v>3.7</v>
      </c>
      <c r="H505" t="n">
        <v>0</v>
      </c>
      <c r="I505" t="n">
        <v>0</v>
      </c>
      <c r="J505" t="n">
        <v>0</v>
      </c>
      <c r="K505" t="n">
        <v>0</v>
      </c>
      <c r="L505" t="n">
        <v>0</v>
      </c>
      <c r="M505" t="n">
        <v>0</v>
      </c>
      <c r="N505" t="n">
        <v>0</v>
      </c>
      <c r="O505" t="n">
        <v>0</v>
      </c>
      <c r="P505" t="n">
        <v>0</v>
      </c>
      <c r="Q505" t="n">
        <v>0</v>
      </c>
      <c r="R505" s="2" t="inlineStr"/>
    </row>
    <row r="506" ht="15" customHeight="1">
      <c r="A506" t="inlineStr">
        <is>
          <t>A 21522-2022</t>
        </is>
      </c>
      <c r="B506" s="1" t="n">
        <v>44706</v>
      </c>
      <c r="C506" s="1" t="n">
        <v>45630</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21830-2022</t>
        </is>
      </c>
      <c r="B507" s="1" t="n">
        <v>44710</v>
      </c>
      <c r="C507" s="1" t="n">
        <v>45630</v>
      </c>
      <c r="D507" t="inlineStr">
        <is>
          <t>UPPSALA LÄN</t>
        </is>
      </c>
      <c r="E507" t="inlineStr">
        <is>
          <t>ÖSTHAMMAR</t>
        </is>
      </c>
      <c r="F507" t="inlineStr">
        <is>
          <t>Bergvik skog öst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21829-2022</t>
        </is>
      </c>
      <c r="B508" s="1" t="n">
        <v>44710</v>
      </c>
      <c r="C508" s="1" t="n">
        <v>45630</v>
      </c>
      <c r="D508" t="inlineStr">
        <is>
          <t>UPPSALA LÄN</t>
        </is>
      </c>
      <c r="E508" t="inlineStr">
        <is>
          <t>ÖSTHAMMAR</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22207-2022</t>
        </is>
      </c>
      <c r="B509" s="1" t="n">
        <v>44712</v>
      </c>
      <c r="C509" s="1" t="n">
        <v>45630</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22619-2022</t>
        </is>
      </c>
      <c r="B510" s="1" t="n">
        <v>44714</v>
      </c>
      <c r="C510" s="1" t="n">
        <v>45630</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22804-2022</t>
        </is>
      </c>
      <c r="B511" s="1" t="n">
        <v>44715</v>
      </c>
      <c r="C511" s="1" t="n">
        <v>45630</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22887-2022</t>
        </is>
      </c>
      <c r="B512" s="1" t="n">
        <v>44715</v>
      </c>
      <c r="C512" s="1" t="n">
        <v>45630</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22945-2022</t>
        </is>
      </c>
      <c r="B513" s="1" t="n">
        <v>44715</v>
      </c>
      <c r="C513" s="1" t="n">
        <v>45630</v>
      </c>
      <c r="D513" t="inlineStr">
        <is>
          <t>UPPSALA LÄN</t>
        </is>
      </c>
      <c r="E513" t="inlineStr">
        <is>
          <t>ÖSTHAMMAR</t>
        </is>
      </c>
      <c r="F513" t="inlineStr">
        <is>
          <t>Bergvik skog öst AB</t>
        </is>
      </c>
      <c r="G513" t="n">
        <v>1</v>
      </c>
      <c r="H513" t="n">
        <v>0</v>
      </c>
      <c r="I513" t="n">
        <v>0</v>
      </c>
      <c r="J513" t="n">
        <v>0</v>
      </c>
      <c r="K513" t="n">
        <v>0</v>
      </c>
      <c r="L513" t="n">
        <v>0</v>
      </c>
      <c r="M513" t="n">
        <v>0</v>
      </c>
      <c r="N513" t="n">
        <v>0</v>
      </c>
      <c r="O513" t="n">
        <v>0</v>
      </c>
      <c r="P513" t="n">
        <v>0</v>
      </c>
      <c r="Q513" t="n">
        <v>0</v>
      </c>
      <c r="R513" s="2" t="inlineStr"/>
    </row>
    <row r="514" ht="15" customHeight="1">
      <c r="A514" t="inlineStr">
        <is>
          <t>A 22993-2022</t>
        </is>
      </c>
      <c r="B514" s="1" t="n">
        <v>44718</v>
      </c>
      <c r="C514" s="1" t="n">
        <v>45630</v>
      </c>
      <c r="D514" t="inlineStr">
        <is>
          <t>UPPSALA LÄN</t>
        </is>
      </c>
      <c r="E514" t="inlineStr">
        <is>
          <t>ÖSTHAMMAR</t>
        </is>
      </c>
      <c r="F514" t="inlineStr">
        <is>
          <t>Bergvik skog öst AB</t>
        </is>
      </c>
      <c r="G514" t="n">
        <v>4.8</v>
      </c>
      <c r="H514" t="n">
        <v>0</v>
      </c>
      <c r="I514" t="n">
        <v>0</v>
      </c>
      <c r="J514" t="n">
        <v>0</v>
      </c>
      <c r="K514" t="n">
        <v>0</v>
      </c>
      <c r="L514" t="n">
        <v>0</v>
      </c>
      <c r="M514" t="n">
        <v>0</v>
      </c>
      <c r="N514" t="n">
        <v>0</v>
      </c>
      <c r="O514" t="n">
        <v>0</v>
      </c>
      <c r="P514" t="n">
        <v>0</v>
      </c>
      <c r="Q514" t="n">
        <v>0</v>
      </c>
      <c r="R514" s="2" t="inlineStr"/>
    </row>
    <row r="515" ht="15" customHeight="1">
      <c r="A515" t="inlineStr">
        <is>
          <t>A 22994-2022</t>
        </is>
      </c>
      <c r="B515" s="1" t="n">
        <v>44718</v>
      </c>
      <c r="C515" s="1" t="n">
        <v>45630</v>
      </c>
      <c r="D515" t="inlineStr">
        <is>
          <t>UPPSALA LÄN</t>
        </is>
      </c>
      <c r="E515" t="inlineStr">
        <is>
          <t>ÖSTHAMMAR</t>
        </is>
      </c>
      <c r="F515" t="inlineStr">
        <is>
          <t>Bergvik skog öst AB</t>
        </is>
      </c>
      <c r="G515" t="n">
        <v>29.9</v>
      </c>
      <c r="H515" t="n">
        <v>0</v>
      </c>
      <c r="I515" t="n">
        <v>0</v>
      </c>
      <c r="J515" t="n">
        <v>0</v>
      </c>
      <c r="K515" t="n">
        <v>0</v>
      </c>
      <c r="L515" t="n">
        <v>0</v>
      </c>
      <c r="M515" t="n">
        <v>0</v>
      </c>
      <c r="N515" t="n">
        <v>0</v>
      </c>
      <c r="O515" t="n">
        <v>0</v>
      </c>
      <c r="P515" t="n">
        <v>0</v>
      </c>
      <c r="Q515" t="n">
        <v>0</v>
      </c>
      <c r="R515" s="2" t="inlineStr"/>
    </row>
    <row r="516" ht="15" customHeight="1">
      <c r="A516" t="inlineStr">
        <is>
          <t>A 23603-2022</t>
        </is>
      </c>
      <c r="B516" s="1" t="n">
        <v>44721</v>
      </c>
      <c r="C516" s="1" t="n">
        <v>45630</v>
      </c>
      <c r="D516" t="inlineStr">
        <is>
          <t>UPPSALA LÄN</t>
        </is>
      </c>
      <c r="E516" t="inlineStr">
        <is>
          <t>ÖSTHAMMAR</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24138-2022</t>
        </is>
      </c>
      <c r="B517" s="1" t="n">
        <v>44725</v>
      </c>
      <c r="C517" s="1" t="n">
        <v>45630</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24149-2022</t>
        </is>
      </c>
      <c r="B518" s="1" t="n">
        <v>44725</v>
      </c>
      <c r="C518" s="1" t="n">
        <v>45630</v>
      </c>
      <c r="D518" t="inlineStr">
        <is>
          <t>UPPSALA LÄN</t>
        </is>
      </c>
      <c r="E518" t="inlineStr">
        <is>
          <t>ÖSTHAMMAR</t>
        </is>
      </c>
      <c r="G518" t="n">
        <v>1.1</v>
      </c>
      <c r="H518" t="n">
        <v>0</v>
      </c>
      <c r="I518" t="n">
        <v>0</v>
      </c>
      <c r="J518" t="n">
        <v>0</v>
      </c>
      <c r="K518" t="n">
        <v>0</v>
      </c>
      <c r="L518" t="n">
        <v>0</v>
      </c>
      <c r="M518" t="n">
        <v>0</v>
      </c>
      <c r="N518" t="n">
        <v>0</v>
      </c>
      <c r="O518" t="n">
        <v>0</v>
      </c>
      <c r="P518" t="n">
        <v>0</v>
      </c>
      <c r="Q518" t="n">
        <v>0</v>
      </c>
      <c r="R518" s="2" t="inlineStr"/>
    </row>
    <row r="519" ht="15" customHeight="1">
      <c r="A519" t="inlineStr">
        <is>
          <t>A 24181-2022</t>
        </is>
      </c>
      <c r="B519" s="1" t="n">
        <v>44725</v>
      </c>
      <c r="C519" s="1" t="n">
        <v>45630</v>
      </c>
      <c r="D519" t="inlineStr">
        <is>
          <t>UPPSALA LÄN</t>
        </is>
      </c>
      <c r="E519" t="inlineStr">
        <is>
          <t>ÖSTHAMMAR</t>
        </is>
      </c>
      <c r="G519" t="n">
        <v>1.4</v>
      </c>
      <c r="H519" t="n">
        <v>0</v>
      </c>
      <c r="I519" t="n">
        <v>0</v>
      </c>
      <c r="J519" t="n">
        <v>0</v>
      </c>
      <c r="K519" t="n">
        <v>0</v>
      </c>
      <c r="L519" t="n">
        <v>0</v>
      </c>
      <c r="M519" t="n">
        <v>0</v>
      </c>
      <c r="N519" t="n">
        <v>0</v>
      </c>
      <c r="O519" t="n">
        <v>0</v>
      </c>
      <c r="P519" t="n">
        <v>0</v>
      </c>
      <c r="Q519" t="n">
        <v>0</v>
      </c>
      <c r="R519" s="2" t="inlineStr"/>
    </row>
    <row r="520" ht="15" customHeight="1">
      <c r="A520" t="inlineStr">
        <is>
          <t>A 24259-2022</t>
        </is>
      </c>
      <c r="B520" s="1" t="n">
        <v>44725</v>
      </c>
      <c r="C520" s="1" t="n">
        <v>45630</v>
      </c>
      <c r="D520" t="inlineStr">
        <is>
          <t>UPPSALA LÄN</t>
        </is>
      </c>
      <c r="E520" t="inlineStr">
        <is>
          <t>ÖSTHAMMAR</t>
        </is>
      </c>
      <c r="G520" t="n">
        <v>2.4</v>
      </c>
      <c r="H520" t="n">
        <v>0</v>
      </c>
      <c r="I520" t="n">
        <v>0</v>
      </c>
      <c r="J520" t="n">
        <v>0</v>
      </c>
      <c r="K520" t="n">
        <v>0</v>
      </c>
      <c r="L520" t="n">
        <v>0</v>
      </c>
      <c r="M520" t="n">
        <v>0</v>
      </c>
      <c r="N520" t="n">
        <v>0</v>
      </c>
      <c r="O520" t="n">
        <v>0</v>
      </c>
      <c r="P520" t="n">
        <v>0</v>
      </c>
      <c r="Q520" t="n">
        <v>0</v>
      </c>
      <c r="R520" s="2" t="inlineStr"/>
    </row>
    <row r="521" ht="15" customHeight="1">
      <c r="A521" t="inlineStr">
        <is>
          <t>A 24447-2022</t>
        </is>
      </c>
      <c r="B521" s="1" t="n">
        <v>44726</v>
      </c>
      <c r="C521" s="1" t="n">
        <v>45630</v>
      </c>
      <c r="D521" t="inlineStr">
        <is>
          <t>UPPSALA LÄN</t>
        </is>
      </c>
      <c r="E521" t="inlineStr">
        <is>
          <t>ÖSTHAMMAR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24367-2022</t>
        </is>
      </c>
      <c r="B522" s="1" t="n">
        <v>44726</v>
      </c>
      <c r="C522" s="1" t="n">
        <v>45630</v>
      </c>
      <c r="D522" t="inlineStr">
        <is>
          <t>UPPSALA LÄN</t>
        </is>
      </c>
      <c r="E522" t="inlineStr">
        <is>
          <t>ÖSTHAMMAR</t>
        </is>
      </c>
      <c r="G522" t="n">
        <v>2.7</v>
      </c>
      <c r="H522" t="n">
        <v>0</v>
      </c>
      <c r="I522" t="n">
        <v>0</v>
      </c>
      <c r="J522" t="n">
        <v>0</v>
      </c>
      <c r="K522" t="n">
        <v>0</v>
      </c>
      <c r="L522" t="n">
        <v>0</v>
      </c>
      <c r="M522" t="n">
        <v>0</v>
      </c>
      <c r="N522" t="n">
        <v>0</v>
      </c>
      <c r="O522" t="n">
        <v>0</v>
      </c>
      <c r="P522" t="n">
        <v>0</v>
      </c>
      <c r="Q522" t="n">
        <v>0</v>
      </c>
      <c r="R522" s="2" t="inlineStr"/>
    </row>
    <row r="523" ht="15" customHeight="1">
      <c r="A523" t="inlineStr">
        <is>
          <t>A 24817-2022</t>
        </is>
      </c>
      <c r="B523" s="1" t="n">
        <v>44728</v>
      </c>
      <c r="C523" s="1" t="n">
        <v>45630</v>
      </c>
      <c r="D523" t="inlineStr">
        <is>
          <t>UPPSALA LÄN</t>
        </is>
      </c>
      <c r="E523" t="inlineStr">
        <is>
          <t>ÖSTHAMMAR</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25076-2022</t>
        </is>
      </c>
      <c r="B524" s="1" t="n">
        <v>44729</v>
      </c>
      <c r="C524" s="1" t="n">
        <v>45630</v>
      </c>
      <c r="D524" t="inlineStr">
        <is>
          <t>UPPSALA LÄN</t>
        </is>
      </c>
      <c r="E524" t="inlineStr">
        <is>
          <t>ÖSTHAMMAR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25418-2022</t>
        </is>
      </c>
      <c r="B525" s="1" t="n">
        <v>44732</v>
      </c>
      <c r="C525" s="1" t="n">
        <v>45630</v>
      </c>
      <c r="D525" t="inlineStr">
        <is>
          <t>UPPSALA LÄN</t>
        </is>
      </c>
      <c r="E525" t="inlineStr">
        <is>
          <t>ÖSTHAMMAR</t>
        </is>
      </c>
      <c r="G525" t="n">
        <v>2.8</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v>
      </c>
      <c r="C526" s="1" t="n">
        <v>45630</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26008-2022</t>
        </is>
      </c>
      <c r="B527" s="1" t="n">
        <v>44734</v>
      </c>
      <c r="C527" s="1" t="n">
        <v>45630</v>
      </c>
      <c r="D527" t="inlineStr">
        <is>
          <t>UPPSALA LÄN</t>
        </is>
      </c>
      <c r="E527" t="inlineStr">
        <is>
          <t>ÖSTHAMMAR</t>
        </is>
      </c>
      <c r="F527" t="inlineStr">
        <is>
          <t>Bergvik skog öst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25987-2022</t>
        </is>
      </c>
      <c r="B528" s="1" t="n">
        <v>44734</v>
      </c>
      <c r="C528" s="1" t="n">
        <v>45630</v>
      </c>
      <c r="D528" t="inlineStr">
        <is>
          <t>UPPSALA LÄN</t>
        </is>
      </c>
      <c r="E528" t="inlineStr">
        <is>
          <t>ÖSTHAMMAR</t>
        </is>
      </c>
      <c r="G528" t="n">
        <v>0.6</v>
      </c>
      <c r="H528" t="n">
        <v>0</v>
      </c>
      <c r="I528" t="n">
        <v>0</v>
      </c>
      <c r="J528" t="n">
        <v>0</v>
      </c>
      <c r="K528" t="n">
        <v>0</v>
      </c>
      <c r="L528" t="n">
        <v>0</v>
      </c>
      <c r="M528" t="n">
        <v>0</v>
      </c>
      <c r="N528" t="n">
        <v>0</v>
      </c>
      <c r="O528" t="n">
        <v>0</v>
      </c>
      <c r="P528" t="n">
        <v>0</v>
      </c>
      <c r="Q528" t="n">
        <v>0</v>
      </c>
      <c r="R528" s="2" t="inlineStr"/>
    </row>
    <row r="529" ht="15" customHeight="1">
      <c r="A529" t="inlineStr">
        <is>
          <t>A 25983-2022</t>
        </is>
      </c>
      <c r="B529" s="1" t="n">
        <v>44734</v>
      </c>
      <c r="C529" s="1" t="n">
        <v>45630</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26004-2022</t>
        </is>
      </c>
      <c r="B530" s="1" t="n">
        <v>44734</v>
      </c>
      <c r="C530" s="1" t="n">
        <v>45630</v>
      </c>
      <c r="D530" t="inlineStr">
        <is>
          <t>UPPSALA LÄN</t>
        </is>
      </c>
      <c r="E530" t="inlineStr">
        <is>
          <t>ÖSTHAMMAR</t>
        </is>
      </c>
      <c r="F530" t="inlineStr">
        <is>
          <t>Bergvik skog öst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26534-2022</t>
        </is>
      </c>
      <c r="B531" s="1" t="n">
        <v>44739</v>
      </c>
      <c r="C531" s="1" t="n">
        <v>45630</v>
      </c>
      <c r="D531" t="inlineStr">
        <is>
          <t>UPPSALA LÄN</t>
        </is>
      </c>
      <c r="E531" t="inlineStr">
        <is>
          <t>ÖSTHAMMAR</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26552-2022</t>
        </is>
      </c>
      <c r="B532" s="1" t="n">
        <v>44739</v>
      </c>
      <c r="C532" s="1" t="n">
        <v>45630</v>
      </c>
      <c r="D532" t="inlineStr">
        <is>
          <t>UPPSALA LÄN</t>
        </is>
      </c>
      <c r="E532" t="inlineStr">
        <is>
          <t>ÖSTHAMMAR</t>
        </is>
      </c>
      <c r="G532" t="n">
        <v>2.2</v>
      </c>
      <c r="H532" t="n">
        <v>0</v>
      </c>
      <c r="I532" t="n">
        <v>0</v>
      </c>
      <c r="J532" t="n">
        <v>0</v>
      </c>
      <c r="K532" t="n">
        <v>0</v>
      </c>
      <c r="L532" t="n">
        <v>0</v>
      </c>
      <c r="M532" t="n">
        <v>0</v>
      </c>
      <c r="N532" t="n">
        <v>0</v>
      </c>
      <c r="O532" t="n">
        <v>0</v>
      </c>
      <c r="P532" t="n">
        <v>0</v>
      </c>
      <c r="Q532" t="n">
        <v>0</v>
      </c>
      <c r="R532" s="2" t="inlineStr"/>
    </row>
    <row r="533" ht="15" customHeight="1">
      <c r="A533" t="inlineStr">
        <is>
          <t>A 26561-2022</t>
        </is>
      </c>
      <c r="B533" s="1" t="n">
        <v>44739</v>
      </c>
      <c r="C533" s="1" t="n">
        <v>45630</v>
      </c>
      <c r="D533" t="inlineStr">
        <is>
          <t>UPPSALA LÄN</t>
        </is>
      </c>
      <c r="E533" t="inlineStr">
        <is>
          <t>ÖSTHAMMAR</t>
        </is>
      </c>
      <c r="G533" t="n">
        <v>3.7</v>
      </c>
      <c r="H533" t="n">
        <v>0</v>
      </c>
      <c r="I533" t="n">
        <v>0</v>
      </c>
      <c r="J533" t="n">
        <v>0</v>
      </c>
      <c r="K533" t="n">
        <v>0</v>
      </c>
      <c r="L533" t="n">
        <v>0</v>
      </c>
      <c r="M533" t="n">
        <v>0</v>
      </c>
      <c r="N533" t="n">
        <v>0</v>
      </c>
      <c r="O533" t="n">
        <v>0</v>
      </c>
      <c r="P533" t="n">
        <v>0</v>
      </c>
      <c r="Q533" t="n">
        <v>0</v>
      </c>
      <c r="R533" s="2" t="inlineStr"/>
    </row>
    <row r="534" ht="15" customHeight="1">
      <c r="A534" t="inlineStr">
        <is>
          <t>A 28228-2022</t>
        </is>
      </c>
      <c r="B534" s="1" t="n">
        <v>44746</v>
      </c>
      <c r="C534" s="1" t="n">
        <v>45630</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29753-2022</t>
        </is>
      </c>
      <c r="B535" s="1" t="n">
        <v>44755</v>
      </c>
      <c r="C535" s="1" t="n">
        <v>45630</v>
      </c>
      <c r="D535" t="inlineStr">
        <is>
          <t>UPPSALA LÄN</t>
        </is>
      </c>
      <c r="E535" t="inlineStr">
        <is>
          <t>ÖSTHAMMAR</t>
        </is>
      </c>
      <c r="G535" t="n">
        <v>9.4</v>
      </c>
      <c r="H535" t="n">
        <v>0</v>
      </c>
      <c r="I535" t="n">
        <v>0</v>
      </c>
      <c r="J535" t="n">
        <v>0</v>
      </c>
      <c r="K535" t="n">
        <v>0</v>
      </c>
      <c r="L535" t="n">
        <v>0</v>
      </c>
      <c r="M535" t="n">
        <v>0</v>
      </c>
      <c r="N535" t="n">
        <v>0</v>
      </c>
      <c r="O535" t="n">
        <v>0</v>
      </c>
      <c r="P535" t="n">
        <v>0</v>
      </c>
      <c r="Q535" t="n">
        <v>0</v>
      </c>
      <c r="R535" s="2" t="inlineStr"/>
    </row>
    <row r="536" ht="15" customHeight="1">
      <c r="A536" t="inlineStr">
        <is>
          <t>A 30212-2022</t>
        </is>
      </c>
      <c r="B536" s="1" t="n">
        <v>44757</v>
      </c>
      <c r="C536" s="1" t="n">
        <v>45630</v>
      </c>
      <c r="D536" t="inlineStr">
        <is>
          <t>UPPSALA LÄN</t>
        </is>
      </c>
      <c r="E536" t="inlineStr">
        <is>
          <t>ÖSTHAMMAR</t>
        </is>
      </c>
      <c r="F536" t="inlineStr">
        <is>
          <t>Bergvik skog öst AB</t>
        </is>
      </c>
      <c r="G536" t="n">
        <v>13.6</v>
      </c>
      <c r="H536" t="n">
        <v>0</v>
      </c>
      <c r="I536" t="n">
        <v>0</v>
      </c>
      <c r="J536" t="n">
        <v>0</v>
      </c>
      <c r="K536" t="n">
        <v>0</v>
      </c>
      <c r="L536" t="n">
        <v>0</v>
      </c>
      <c r="M536" t="n">
        <v>0</v>
      </c>
      <c r="N536" t="n">
        <v>0</v>
      </c>
      <c r="O536" t="n">
        <v>0</v>
      </c>
      <c r="P536" t="n">
        <v>0</v>
      </c>
      <c r="Q536" t="n">
        <v>0</v>
      </c>
      <c r="R536" s="2" t="inlineStr"/>
    </row>
    <row r="537" ht="15" customHeight="1">
      <c r="A537" t="inlineStr">
        <is>
          <t>A 30209-2022</t>
        </is>
      </c>
      <c r="B537" s="1" t="n">
        <v>44757</v>
      </c>
      <c r="C537" s="1" t="n">
        <v>45630</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30549-2022</t>
        </is>
      </c>
      <c r="B538" s="1" t="n">
        <v>44762</v>
      </c>
      <c r="C538" s="1" t="n">
        <v>45630</v>
      </c>
      <c r="D538" t="inlineStr">
        <is>
          <t>UPPSALA LÄN</t>
        </is>
      </c>
      <c r="E538" t="inlineStr">
        <is>
          <t>ÖSTHAMMAR</t>
        </is>
      </c>
      <c r="F538" t="inlineStr">
        <is>
          <t>Bergvik skog öst AB</t>
        </is>
      </c>
      <c r="G538" t="n">
        <v>6.2</v>
      </c>
      <c r="H538" t="n">
        <v>0</v>
      </c>
      <c r="I538" t="n">
        <v>0</v>
      </c>
      <c r="J538" t="n">
        <v>0</v>
      </c>
      <c r="K538" t="n">
        <v>0</v>
      </c>
      <c r="L538" t="n">
        <v>0</v>
      </c>
      <c r="M538" t="n">
        <v>0</v>
      </c>
      <c r="N538" t="n">
        <v>0</v>
      </c>
      <c r="O538" t="n">
        <v>0</v>
      </c>
      <c r="P538" t="n">
        <v>0</v>
      </c>
      <c r="Q538" t="n">
        <v>0</v>
      </c>
      <c r="R538" s="2" t="inlineStr"/>
    </row>
    <row r="539" ht="15" customHeight="1">
      <c r="A539" t="inlineStr">
        <is>
          <t>A 31027-2022</t>
        </is>
      </c>
      <c r="B539" s="1" t="n">
        <v>44768</v>
      </c>
      <c r="C539" s="1" t="n">
        <v>45630</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31035-2022</t>
        </is>
      </c>
      <c r="B540" s="1" t="n">
        <v>44768</v>
      </c>
      <c r="C540" s="1" t="n">
        <v>45630</v>
      </c>
      <c r="D540" t="inlineStr">
        <is>
          <t>UPPSALA LÄN</t>
        </is>
      </c>
      <c r="E540" t="inlineStr">
        <is>
          <t>ÖSTHAMMAR</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31026-2022</t>
        </is>
      </c>
      <c r="B541" s="1" t="n">
        <v>44768</v>
      </c>
      <c r="C541" s="1" t="n">
        <v>45630</v>
      </c>
      <c r="D541" t="inlineStr">
        <is>
          <t>UPPSALA LÄN</t>
        </is>
      </c>
      <c r="E541" t="inlineStr">
        <is>
          <t>ÖSTHAMMAR</t>
        </is>
      </c>
      <c r="F541" t="inlineStr">
        <is>
          <t>Bergvik skog öst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31182-2022</t>
        </is>
      </c>
      <c r="B542" s="1" t="n">
        <v>44770</v>
      </c>
      <c r="C542" s="1" t="n">
        <v>45630</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31140-2022</t>
        </is>
      </c>
      <c r="B543" s="1" t="n">
        <v>44770</v>
      </c>
      <c r="C543" s="1" t="n">
        <v>45630</v>
      </c>
      <c r="D543" t="inlineStr">
        <is>
          <t>UPPSALA LÄN</t>
        </is>
      </c>
      <c r="E543" t="inlineStr">
        <is>
          <t>ÖSTHAMMAR</t>
        </is>
      </c>
      <c r="F543" t="inlineStr">
        <is>
          <t>Bergvik skog öst AB</t>
        </is>
      </c>
      <c r="G543" t="n">
        <v>3</v>
      </c>
      <c r="H543" t="n">
        <v>0</v>
      </c>
      <c r="I543" t="n">
        <v>0</v>
      </c>
      <c r="J543" t="n">
        <v>0</v>
      </c>
      <c r="K543" t="n">
        <v>0</v>
      </c>
      <c r="L543" t="n">
        <v>0</v>
      </c>
      <c r="M543" t="n">
        <v>0</v>
      </c>
      <c r="N543" t="n">
        <v>0</v>
      </c>
      <c r="O543" t="n">
        <v>0</v>
      </c>
      <c r="P543" t="n">
        <v>0</v>
      </c>
      <c r="Q543" t="n">
        <v>0</v>
      </c>
      <c r="R543" s="2" t="inlineStr"/>
    </row>
    <row r="544" ht="15" customHeight="1">
      <c r="A544" t="inlineStr">
        <is>
          <t>A 31137-2022</t>
        </is>
      </c>
      <c r="B544" s="1" t="n">
        <v>44770</v>
      </c>
      <c r="C544" s="1" t="n">
        <v>45630</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31282-2022</t>
        </is>
      </c>
      <c r="B545" s="1" t="n">
        <v>44771</v>
      </c>
      <c r="C545" s="1" t="n">
        <v>45630</v>
      </c>
      <c r="D545" t="inlineStr">
        <is>
          <t>UPPSALA LÄN</t>
        </is>
      </c>
      <c r="E545" t="inlineStr">
        <is>
          <t>ÖSTHAMMAR</t>
        </is>
      </c>
      <c r="F545" t="inlineStr">
        <is>
          <t>Bergvik skog öst AB</t>
        </is>
      </c>
      <c r="G545" t="n">
        <v>3.8</v>
      </c>
      <c r="H545" t="n">
        <v>0</v>
      </c>
      <c r="I545" t="n">
        <v>0</v>
      </c>
      <c r="J545" t="n">
        <v>0</v>
      </c>
      <c r="K545" t="n">
        <v>0</v>
      </c>
      <c r="L545" t="n">
        <v>0</v>
      </c>
      <c r="M545" t="n">
        <v>0</v>
      </c>
      <c r="N545" t="n">
        <v>0</v>
      </c>
      <c r="O545" t="n">
        <v>0</v>
      </c>
      <c r="P545" t="n">
        <v>0</v>
      </c>
      <c r="Q545" t="n">
        <v>0</v>
      </c>
      <c r="R545" s="2" t="inlineStr"/>
    </row>
    <row r="546" ht="15" customHeight="1">
      <c r="A546" t="inlineStr">
        <is>
          <t>A 31574-2022</t>
        </is>
      </c>
      <c r="B546" s="1" t="n">
        <v>44775</v>
      </c>
      <c r="C546" s="1" t="n">
        <v>45630</v>
      </c>
      <c r="D546" t="inlineStr">
        <is>
          <t>UPPSALA LÄN</t>
        </is>
      </c>
      <c r="E546" t="inlineStr">
        <is>
          <t>ÖSTHAMMAR</t>
        </is>
      </c>
      <c r="G546" t="n">
        <v>29.7</v>
      </c>
      <c r="H546" t="n">
        <v>0</v>
      </c>
      <c r="I546" t="n">
        <v>0</v>
      </c>
      <c r="J546" t="n">
        <v>0</v>
      </c>
      <c r="K546" t="n">
        <v>0</v>
      </c>
      <c r="L546" t="n">
        <v>0</v>
      </c>
      <c r="M546" t="n">
        <v>0</v>
      </c>
      <c r="N546" t="n">
        <v>0</v>
      </c>
      <c r="O546" t="n">
        <v>0</v>
      </c>
      <c r="P546" t="n">
        <v>0</v>
      </c>
      <c r="Q546" t="n">
        <v>0</v>
      </c>
      <c r="R546" s="2" t="inlineStr"/>
    </row>
    <row r="547" ht="15" customHeight="1">
      <c r="A547" t="inlineStr">
        <is>
          <t>A 31549-2022</t>
        </is>
      </c>
      <c r="B547" s="1" t="n">
        <v>44775</v>
      </c>
      <c r="C547" s="1" t="n">
        <v>45630</v>
      </c>
      <c r="D547" t="inlineStr">
        <is>
          <t>UPPSALA LÄN</t>
        </is>
      </c>
      <c r="E547" t="inlineStr">
        <is>
          <t>ÖSTHAMMAR</t>
        </is>
      </c>
      <c r="G547" t="n">
        <v>1.5</v>
      </c>
      <c r="H547" t="n">
        <v>0</v>
      </c>
      <c r="I547" t="n">
        <v>0</v>
      </c>
      <c r="J547" t="n">
        <v>0</v>
      </c>
      <c r="K547" t="n">
        <v>0</v>
      </c>
      <c r="L547" t="n">
        <v>0</v>
      </c>
      <c r="M547" t="n">
        <v>0</v>
      </c>
      <c r="N547" t="n">
        <v>0</v>
      </c>
      <c r="O547" t="n">
        <v>0</v>
      </c>
      <c r="P547" t="n">
        <v>0</v>
      </c>
      <c r="Q547" t="n">
        <v>0</v>
      </c>
      <c r="R547" s="2" t="inlineStr"/>
    </row>
    <row r="548" ht="15" customHeight="1">
      <c r="A548" t="inlineStr">
        <is>
          <t>A 31669-2022</t>
        </is>
      </c>
      <c r="B548" s="1" t="n">
        <v>44775</v>
      </c>
      <c r="C548" s="1" t="n">
        <v>45630</v>
      </c>
      <c r="D548" t="inlineStr">
        <is>
          <t>UPPSALA LÄN</t>
        </is>
      </c>
      <c r="E548" t="inlineStr">
        <is>
          <t>ÖSTHAMMAR</t>
        </is>
      </c>
      <c r="G548" t="n">
        <v>6</v>
      </c>
      <c r="H548" t="n">
        <v>0</v>
      </c>
      <c r="I548" t="n">
        <v>0</v>
      </c>
      <c r="J548" t="n">
        <v>0</v>
      </c>
      <c r="K548" t="n">
        <v>0</v>
      </c>
      <c r="L548" t="n">
        <v>0</v>
      </c>
      <c r="M548" t="n">
        <v>0</v>
      </c>
      <c r="N548" t="n">
        <v>0</v>
      </c>
      <c r="O548" t="n">
        <v>0</v>
      </c>
      <c r="P548" t="n">
        <v>0</v>
      </c>
      <c r="Q548" t="n">
        <v>0</v>
      </c>
      <c r="R548" s="2" t="inlineStr"/>
    </row>
    <row r="549" ht="15" customHeight="1">
      <c r="A549" t="inlineStr">
        <is>
          <t>A 32678-2022</t>
        </is>
      </c>
      <c r="B549" s="1" t="n">
        <v>44783</v>
      </c>
      <c r="C549" s="1" t="n">
        <v>45630</v>
      </c>
      <c r="D549" t="inlineStr">
        <is>
          <t>UPPSALA LÄN</t>
        </is>
      </c>
      <c r="E549" t="inlineStr">
        <is>
          <t>ÖSTHAMMAR</t>
        </is>
      </c>
      <c r="G549" t="n">
        <v>1.3</v>
      </c>
      <c r="H549" t="n">
        <v>0</v>
      </c>
      <c r="I549" t="n">
        <v>0</v>
      </c>
      <c r="J549" t="n">
        <v>0</v>
      </c>
      <c r="K549" t="n">
        <v>0</v>
      </c>
      <c r="L549" t="n">
        <v>0</v>
      </c>
      <c r="M549" t="n">
        <v>0</v>
      </c>
      <c r="N549" t="n">
        <v>0</v>
      </c>
      <c r="O549" t="n">
        <v>0</v>
      </c>
      <c r="P549" t="n">
        <v>0</v>
      </c>
      <c r="Q549" t="n">
        <v>0</v>
      </c>
      <c r="R549" s="2" t="inlineStr"/>
    </row>
    <row r="550" ht="15" customHeight="1">
      <c r="A550" t="inlineStr">
        <is>
          <t>A 32742-2022</t>
        </is>
      </c>
      <c r="B550" s="1" t="n">
        <v>44783</v>
      </c>
      <c r="C550" s="1" t="n">
        <v>45630</v>
      </c>
      <c r="D550" t="inlineStr">
        <is>
          <t>UPPSALA LÄN</t>
        </is>
      </c>
      <c r="E550" t="inlineStr">
        <is>
          <t>ÖSTHAMMAR</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32744-2022</t>
        </is>
      </c>
      <c r="B551" s="1" t="n">
        <v>44783</v>
      </c>
      <c r="C551" s="1" t="n">
        <v>45630</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34418-2022</t>
        </is>
      </c>
      <c r="B552" s="1" t="n">
        <v>44792</v>
      </c>
      <c r="C552" s="1" t="n">
        <v>45630</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34742-2022</t>
        </is>
      </c>
      <c r="B553" s="1" t="n">
        <v>44795</v>
      </c>
      <c r="C553" s="1" t="n">
        <v>45630</v>
      </c>
      <c r="D553" t="inlineStr">
        <is>
          <t>UPPSALA LÄN</t>
        </is>
      </c>
      <c r="E553" t="inlineStr">
        <is>
          <t>ÖSTHAMMAR</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34971-2022</t>
        </is>
      </c>
      <c r="B554" s="1" t="n">
        <v>44796</v>
      </c>
      <c r="C554" s="1" t="n">
        <v>45630</v>
      </c>
      <c r="D554" t="inlineStr">
        <is>
          <t>UPPSALA LÄN</t>
        </is>
      </c>
      <c r="E554" t="inlineStr">
        <is>
          <t>ÖSTHAMMAR</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34994-2022</t>
        </is>
      </c>
      <c r="B555" s="1" t="n">
        <v>44796</v>
      </c>
      <c r="C555" s="1" t="n">
        <v>45630</v>
      </c>
      <c r="D555" t="inlineStr">
        <is>
          <t>UPPSALA LÄN</t>
        </is>
      </c>
      <c r="E555" t="inlineStr">
        <is>
          <t>ÖSTHAMMAR</t>
        </is>
      </c>
      <c r="F555" t="inlineStr">
        <is>
          <t>Bergvik skog öst AB</t>
        </is>
      </c>
      <c r="G555" t="n">
        <v>3.7</v>
      </c>
      <c r="H555" t="n">
        <v>0</v>
      </c>
      <c r="I555" t="n">
        <v>0</v>
      </c>
      <c r="J555" t="n">
        <v>0</v>
      </c>
      <c r="K555" t="n">
        <v>0</v>
      </c>
      <c r="L555" t="n">
        <v>0</v>
      </c>
      <c r="M555" t="n">
        <v>0</v>
      </c>
      <c r="N555" t="n">
        <v>0</v>
      </c>
      <c r="O555" t="n">
        <v>0</v>
      </c>
      <c r="P555" t="n">
        <v>0</v>
      </c>
      <c r="Q555" t="n">
        <v>0</v>
      </c>
      <c r="R555" s="2" t="inlineStr"/>
    </row>
    <row r="556" ht="15" customHeight="1">
      <c r="A556" t="inlineStr">
        <is>
          <t>A 36343-2022</t>
        </is>
      </c>
      <c r="B556" s="1" t="n">
        <v>44803</v>
      </c>
      <c r="C556" s="1" t="n">
        <v>45630</v>
      </c>
      <c r="D556" t="inlineStr">
        <is>
          <t>UPPSALA LÄN</t>
        </is>
      </c>
      <c r="E556" t="inlineStr">
        <is>
          <t>ÖSTHAMMAR</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36873-2022</t>
        </is>
      </c>
      <c r="B557" s="1" t="n">
        <v>44805</v>
      </c>
      <c r="C557" s="1" t="n">
        <v>45630</v>
      </c>
      <c r="D557" t="inlineStr">
        <is>
          <t>UPPSALA LÄN</t>
        </is>
      </c>
      <c r="E557" t="inlineStr">
        <is>
          <t>ÖSTHAMMAR</t>
        </is>
      </c>
      <c r="G557" t="n">
        <v>2.5</v>
      </c>
      <c r="H557" t="n">
        <v>0</v>
      </c>
      <c r="I557" t="n">
        <v>0</v>
      </c>
      <c r="J557" t="n">
        <v>0</v>
      </c>
      <c r="K557" t="n">
        <v>0</v>
      </c>
      <c r="L557" t="n">
        <v>0</v>
      </c>
      <c r="M557" t="n">
        <v>0</v>
      </c>
      <c r="N557" t="n">
        <v>0</v>
      </c>
      <c r="O557" t="n">
        <v>0</v>
      </c>
      <c r="P557" t="n">
        <v>0</v>
      </c>
      <c r="Q557" t="n">
        <v>0</v>
      </c>
      <c r="R557" s="2" t="inlineStr"/>
    </row>
    <row r="558" ht="15" customHeight="1">
      <c r="A558" t="inlineStr">
        <is>
          <t>A 37545-2022</t>
        </is>
      </c>
      <c r="B558" s="1" t="n">
        <v>44809</v>
      </c>
      <c r="C558" s="1" t="n">
        <v>45630</v>
      </c>
      <c r="D558" t="inlineStr">
        <is>
          <t>UPPSALA LÄN</t>
        </is>
      </c>
      <c r="E558" t="inlineStr">
        <is>
          <t>ÖSTHAMMAR</t>
        </is>
      </c>
      <c r="G558" t="n">
        <v>3.1</v>
      </c>
      <c r="H558" t="n">
        <v>0</v>
      </c>
      <c r="I558" t="n">
        <v>0</v>
      </c>
      <c r="J558" t="n">
        <v>0</v>
      </c>
      <c r="K558" t="n">
        <v>0</v>
      </c>
      <c r="L558" t="n">
        <v>0</v>
      </c>
      <c r="M558" t="n">
        <v>0</v>
      </c>
      <c r="N558" t="n">
        <v>0</v>
      </c>
      <c r="O558" t="n">
        <v>0</v>
      </c>
      <c r="P558" t="n">
        <v>0</v>
      </c>
      <c r="Q558" t="n">
        <v>0</v>
      </c>
      <c r="R558" s="2" t="inlineStr"/>
    </row>
    <row r="559" ht="15" customHeight="1">
      <c r="A559" t="inlineStr">
        <is>
          <t>A 37570-2022</t>
        </is>
      </c>
      <c r="B559" s="1" t="n">
        <v>44809</v>
      </c>
      <c r="C559" s="1" t="n">
        <v>45630</v>
      </c>
      <c r="D559" t="inlineStr">
        <is>
          <t>UPPSALA LÄN</t>
        </is>
      </c>
      <c r="E559" t="inlineStr">
        <is>
          <t>ÖSTHAMMAR</t>
        </is>
      </c>
      <c r="G559" t="n">
        <v>0.6</v>
      </c>
      <c r="H559" t="n">
        <v>0</v>
      </c>
      <c r="I559" t="n">
        <v>0</v>
      </c>
      <c r="J559" t="n">
        <v>0</v>
      </c>
      <c r="K559" t="n">
        <v>0</v>
      </c>
      <c r="L559" t="n">
        <v>0</v>
      </c>
      <c r="M559" t="n">
        <v>0</v>
      </c>
      <c r="N559" t="n">
        <v>0</v>
      </c>
      <c r="O559" t="n">
        <v>0</v>
      </c>
      <c r="P559" t="n">
        <v>0</v>
      </c>
      <c r="Q559" t="n">
        <v>0</v>
      </c>
      <c r="R559" s="2" t="inlineStr"/>
    </row>
    <row r="560" ht="15" customHeight="1">
      <c r="A560" t="inlineStr">
        <is>
          <t>A 37813-2022</t>
        </is>
      </c>
      <c r="B560" s="1" t="n">
        <v>44810</v>
      </c>
      <c r="C560" s="1" t="n">
        <v>45630</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37812-2022</t>
        </is>
      </c>
      <c r="B561" s="1" t="n">
        <v>44810</v>
      </c>
      <c r="C561" s="1" t="n">
        <v>45630</v>
      </c>
      <c r="D561" t="inlineStr">
        <is>
          <t>UPPSALA LÄN</t>
        </is>
      </c>
      <c r="E561" t="inlineStr">
        <is>
          <t>ÖSTHAMMAR</t>
        </is>
      </c>
      <c r="G561" t="n">
        <v>1</v>
      </c>
      <c r="H561" t="n">
        <v>0</v>
      </c>
      <c r="I561" t="n">
        <v>0</v>
      </c>
      <c r="J561" t="n">
        <v>0</v>
      </c>
      <c r="K561" t="n">
        <v>0</v>
      </c>
      <c r="L561" t="n">
        <v>0</v>
      </c>
      <c r="M561" t="n">
        <v>0</v>
      </c>
      <c r="N561" t="n">
        <v>0</v>
      </c>
      <c r="O561" t="n">
        <v>0</v>
      </c>
      <c r="P561" t="n">
        <v>0</v>
      </c>
      <c r="Q561" t="n">
        <v>0</v>
      </c>
      <c r="R561" s="2" t="inlineStr"/>
    </row>
    <row r="562" ht="15" customHeight="1">
      <c r="A562" t="inlineStr">
        <is>
          <t>A 38501-2022</t>
        </is>
      </c>
      <c r="B562" s="1" t="n">
        <v>44813</v>
      </c>
      <c r="C562" s="1" t="n">
        <v>45630</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38702-2022</t>
        </is>
      </c>
      <c r="B563" s="1" t="n">
        <v>44814</v>
      </c>
      <c r="C563" s="1" t="n">
        <v>45630</v>
      </c>
      <c r="D563" t="inlineStr">
        <is>
          <t>UPPSALA LÄN</t>
        </is>
      </c>
      <c r="E563" t="inlineStr">
        <is>
          <t>ÖSTHAMMAR</t>
        </is>
      </c>
      <c r="G563" t="n">
        <v>1.2</v>
      </c>
      <c r="H563" t="n">
        <v>0</v>
      </c>
      <c r="I563" t="n">
        <v>0</v>
      </c>
      <c r="J563" t="n">
        <v>0</v>
      </c>
      <c r="K563" t="n">
        <v>0</v>
      </c>
      <c r="L563" t="n">
        <v>0</v>
      </c>
      <c r="M563" t="n">
        <v>0</v>
      </c>
      <c r="N563" t="n">
        <v>0</v>
      </c>
      <c r="O563" t="n">
        <v>0</v>
      </c>
      <c r="P563" t="n">
        <v>0</v>
      </c>
      <c r="Q563" t="n">
        <v>0</v>
      </c>
      <c r="R563" s="2" t="inlineStr"/>
    </row>
    <row r="564" ht="15" customHeight="1">
      <c r="A564" t="inlineStr">
        <is>
          <t>A 39480-2022</t>
        </is>
      </c>
      <c r="B564" s="1" t="n">
        <v>44818</v>
      </c>
      <c r="C564" s="1" t="n">
        <v>45630</v>
      </c>
      <c r="D564" t="inlineStr">
        <is>
          <t>UPPSALA LÄN</t>
        </is>
      </c>
      <c r="E564" t="inlineStr">
        <is>
          <t>ÖSTHAMMAR</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40336-2022</t>
        </is>
      </c>
      <c r="B565" s="1" t="n">
        <v>44823</v>
      </c>
      <c r="C565" s="1" t="n">
        <v>45630</v>
      </c>
      <c r="D565" t="inlineStr">
        <is>
          <t>UPPSALA LÄN</t>
        </is>
      </c>
      <c r="E565" t="inlineStr">
        <is>
          <t>ÖSTHAMMAR</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40637-2022</t>
        </is>
      </c>
      <c r="B566" s="1" t="n">
        <v>44824</v>
      </c>
      <c r="C566" s="1" t="n">
        <v>45630</v>
      </c>
      <c r="D566" t="inlineStr">
        <is>
          <t>UPPSALA LÄN</t>
        </is>
      </c>
      <c r="E566" t="inlineStr">
        <is>
          <t>ÖSTHAMMAR</t>
        </is>
      </c>
      <c r="F566" t="inlineStr">
        <is>
          <t>Övriga Aktiebolag</t>
        </is>
      </c>
      <c r="G566" t="n">
        <v>3.7</v>
      </c>
      <c r="H566" t="n">
        <v>0</v>
      </c>
      <c r="I566" t="n">
        <v>0</v>
      </c>
      <c r="J566" t="n">
        <v>0</v>
      </c>
      <c r="K566" t="n">
        <v>0</v>
      </c>
      <c r="L566" t="n">
        <v>0</v>
      </c>
      <c r="M566" t="n">
        <v>0</v>
      </c>
      <c r="N566" t="n">
        <v>0</v>
      </c>
      <c r="O566" t="n">
        <v>0</v>
      </c>
      <c r="P566" t="n">
        <v>0</v>
      </c>
      <c r="Q566" t="n">
        <v>0</v>
      </c>
      <c r="R566" s="2" t="inlineStr"/>
    </row>
    <row r="567" ht="15" customHeight="1">
      <c r="A567" t="inlineStr">
        <is>
          <t>A 40681-2022</t>
        </is>
      </c>
      <c r="B567" s="1" t="n">
        <v>44824</v>
      </c>
      <c r="C567" s="1" t="n">
        <v>45630</v>
      </c>
      <c r="D567" t="inlineStr">
        <is>
          <t>UPPSALA LÄN</t>
        </is>
      </c>
      <c r="E567" t="inlineStr">
        <is>
          <t>ÖSTHAMMAR</t>
        </is>
      </c>
      <c r="G567" t="n">
        <v>1.7</v>
      </c>
      <c r="H567" t="n">
        <v>0</v>
      </c>
      <c r="I567" t="n">
        <v>0</v>
      </c>
      <c r="J567" t="n">
        <v>0</v>
      </c>
      <c r="K567" t="n">
        <v>0</v>
      </c>
      <c r="L567" t="n">
        <v>0</v>
      </c>
      <c r="M567" t="n">
        <v>0</v>
      </c>
      <c r="N567" t="n">
        <v>0</v>
      </c>
      <c r="O567" t="n">
        <v>0</v>
      </c>
      <c r="P567" t="n">
        <v>0</v>
      </c>
      <c r="Q567" t="n">
        <v>0</v>
      </c>
      <c r="R567" s="2" t="inlineStr"/>
    </row>
    <row r="568" ht="15" customHeight="1">
      <c r="A568" t="inlineStr">
        <is>
          <t>A 41033-2022</t>
        </is>
      </c>
      <c r="B568" s="1" t="n">
        <v>44825</v>
      </c>
      <c r="C568" s="1" t="n">
        <v>45630</v>
      </c>
      <c r="D568" t="inlineStr">
        <is>
          <t>UPPSALA LÄN</t>
        </is>
      </c>
      <c r="E568" t="inlineStr">
        <is>
          <t>ÖSTHAMMAR</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41423-2022</t>
        </is>
      </c>
      <c r="B569" s="1" t="n">
        <v>44826</v>
      </c>
      <c r="C569" s="1" t="n">
        <v>45630</v>
      </c>
      <c r="D569" t="inlineStr">
        <is>
          <t>UPPSALA LÄN</t>
        </is>
      </c>
      <c r="E569" t="inlineStr">
        <is>
          <t>ÖSTHAMMAR</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44020-2022</t>
        </is>
      </c>
      <c r="B570" s="1" t="n">
        <v>44838</v>
      </c>
      <c r="C570" s="1" t="n">
        <v>45630</v>
      </c>
      <c r="D570" t="inlineStr">
        <is>
          <t>UPPSALA LÄN</t>
        </is>
      </c>
      <c r="E570" t="inlineStr">
        <is>
          <t>ÖSTHAMMAR</t>
        </is>
      </c>
      <c r="F570" t="inlineStr">
        <is>
          <t>Bergvik skog öst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44019-2022</t>
        </is>
      </c>
      <c r="B571" s="1" t="n">
        <v>44838</v>
      </c>
      <c r="C571" s="1" t="n">
        <v>45630</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44354-2022</t>
        </is>
      </c>
      <c r="B572" s="1" t="n">
        <v>44839</v>
      </c>
      <c r="C572" s="1" t="n">
        <v>45630</v>
      </c>
      <c r="D572" t="inlineStr">
        <is>
          <t>UPPSALA LÄN</t>
        </is>
      </c>
      <c r="E572" t="inlineStr">
        <is>
          <t>ÖSTHAMMAR</t>
        </is>
      </c>
      <c r="G572" t="n">
        <v>5.4</v>
      </c>
      <c r="H572" t="n">
        <v>0</v>
      </c>
      <c r="I572" t="n">
        <v>0</v>
      </c>
      <c r="J572" t="n">
        <v>0</v>
      </c>
      <c r="K572" t="n">
        <v>0</v>
      </c>
      <c r="L572" t="n">
        <v>0</v>
      </c>
      <c r="M572" t="n">
        <v>0</v>
      </c>
      <c r="N572" t="n">
        <v>0</v>
      </c>
      <c r="O572" t="n">
        <v>0</v>
      </c>
      <c r="P572" t="n">
        <v>0</v>
      </c>
      <c r="Q572" t="n">
        <v>0</v>
      </c>
      <c r="R572" s="2" t="inlineStr"/>
    </row>
    <row r="573" ht="15" customHeight="1">
      <c r="A573" t="inlineStr">
        <is>
          <t>A 44366-2022</t>
        </is>
      </c>
      <c r="B573" s="1" t="n">
        <v>44839</v>
      </c>
      <c r="C573" s="1" t="n">
        <v>45630</v>
      </c>
      <c r="D573" t="inlineStr">
        <is>
          <t>UPPSALA LÄN</t>
        </is>
      </c>
      <c r="E573" t="inlineStr">
        <is>
          <t>ÖSTHAMMAR</t>
        </is>
      </c>
      <c r="G573" t="n">
        <v>8.1</v>
      </c>
      <c r="H573" t="n">
        <v>0</v>
      </c>
      <c r="I573" t="n">
        <v>0</v>
      </c>
      <c r="J573" t="n">
        <v>0</v>
      </c>
      <c r="K573" t="n">
        <v>0</v>
      </c>
      <c r="L573" t="n">
        <v>0</v>
      </c>
      <c r="M573" t="n">
        <v>0</v>
      </c>
      <c r="N573" t="n">
        <v>0</v>
      </c>
      <c r="O573" t="n">
        <v>0</v>
      </c>
      <c r="P573" t="n">
        <v>0</v>
      </c>
      <c r="Q573" t="n">
        <v>0</v>
      </c>
      <c r="R573" s="2" t="inlineStr"/>
    </row>
    <row r="574" ht="15" customHeight="1">
      <c r="A574" t="inlineStr">
        <is>
          <t>A 44184-2022</t>
        </is>
      </c>
      <c r="B574" s="1" t="n">
        <v>44839</v>
      </c>
      <c r="C574" s="1" t="n">
        <v>45630</v>
      </c>
      <c r="D574" t="inlineStr">
        <is>
          <t>UPPSALA LÄN</t>
        </is>
      </c>
      <c r="E574" t="inlineStr">
        <is>
          <t>ÖSTHAMMAR</t>
        </is>
      </c>
      <c r="G574" t="n">
        <v>4.2</v>
      </c>
      <c r="H574" t="n">
        <v>0</v>
      </c>
      <c r="I574" t="n">
        <v>0</v>
      </c>
      <c r="J574" t="n">
        <v>0</v>
      </c>
      <c r="K574" t="n">
        <v>0</v>
      </c>
      <c r="L574" t="n">
        <v>0</v>
      </c>
      <c r="M574" t="n">
        <v>0</v>
      </c>
      <c r="N574" t="n">
        <v>0</v>
      </c>
      <c r="O574" t="n">
        <v>0</v>
      </c>
      <c r="P574" t="n">
        <v>0</v>
      </c>
      <c r="Q574" t="n">
        <v>0</v>
      </c>
      <c r="R574" s="2" t="inlineStr"/>
    </row>
    <row r="575" ht="15" customHeight="1">
      <c r="A575" t="inlineStr">
        <is>
          <t>A 44617-2022</t>
        </is>
      </c>
      <c r="B575" s="1" t="n">
        <v>44840</v>
      </c>
      <c r="C575" s="1" t="n">
        <v>45630</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44945-2022</t>
        </is>
      </c>
      <c r="B576" s="1" t="n">
        <v>44841</v>
      </c>
      <c r="C576" s="1" t="n">
        <v>45630</v>
      </c>
      <c r="D576" t="inlineStr">
        <is>
          <t>UPPSALA LÄN</t>
        </is>
      </c>
      <c r="E576" t="inlineStr">
        <is>
          <t>ÖSTHAMMAR</t>
        </is>
      </c>
      <c r="G576" t="n">
        <v>1.5</v>
      </c>
      <c r="H576" t="n">
        <v>0</v>
      </c>
      <c r="I576" t="n">
        <v>0</v>
      </c>
      <c r="J576" t="n">
        <v>0</v>
      </c>
      <c r="K576" t="n">
        <v>0</v>
      </c>
      <c r="L576" t="n">
        <v>0</v>
      </c>
      <c r="M576" t="n">
        <v>0</v>
      </c>
      <c r="N576" t="n">
        <v>0</v>
      </c>
      <c r="O576" t="n">
        <v>0</v>
      </c>
      <c r="P576" t="n">
        <v>0</v>
      </c>
      <c r="Q576" t="n">
        <v>0</v>
      </c>
      <c r="R576" s="2" t="inlineStr"/>
    </row>
    <row r="577" ht="15" customHeight="1">
      <c r="A577" t="inlineStr">
        <is>
          <t>A 44815-2022</t>
        </is>
      </c>
      <c r="B577" s="1" t="n">
        <v>44841</v>
      </c>
      <c r="C577" s="1" t="n">
        <v>45630</v>
      </c>
      <c r="D577" t="inlineStr">
        <is>
          <t>UPPSALA LÄN</t>
        </is>
      </c>
      <c r="E577" t="inlineStr">
        <is>
          <t>ÖSTHAMMAR</t>
        </is>
      </c>
      <c r="G577" t="n">
        <v>1.8</v>
      </c>
      <c r="H577" t="n">
        <v>0</v>
      </c>
      <c r="I577" t="n">
        <v>0</v>
      </c>
      <c r="J577" t="n">
        <v>0</v>
      </c>
      <c r="K577" t="n">
        <v>0</v>
      </c>
      <c r="L577" t="n">
        <v>0</v>
      </c>
      <c r="M577" t="n">
        <v>0</v>
      </c>
      <c r="N577" t="n">
        <v>0</v>
      </c>
      <c r="O577" t="n">
        <v>0</v>
      </c>
      <c r="P577" t="n">
        <v>0</v>
      </c>
      <c r="Q577" t="n">
        <v>0</v>
      </c>
      <c r="R577" s="2" t="inlineStr"/>
    </row>
    <row r="578" ht="15" customHeight="1">
      <c r="A578" t="inlineStr">
        <is>
          <t>A 45788-2022</t>
        </is>
      </c>
      <c r="B578" s="1" t="n">
        <v>44846</v>
      </c>
      <c r="C578" s="1" t="n">
        <v>45630</v>
      </c>
      <c r="D578" t="inlineStr">
        <is>
          <t>UPPSALA LÄN</t>
        </is>
      </c>
      <c r="E578" t="inlineStr">
        <is>
          <t>ÖSTHAMMAR</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46448-2022</t>
        </is>
      </c>
      <c r="B579" s="1" t="n">
        <v>44848</v>
      </c>
      <c r="C579" s="1" t="n">
        <v>45630</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46915-2022</t>
        </is>
      </c>
      <c r="B580" s="1" t="n">
        <v>44851</v>
      </c>
      <c r="C580" s="1" t="n">
        <v>45630</v>
      </c>
      <c r="D580" t="inlineStr">
        <is>
          <t>UPPSALA LÄN</t>
        </is>
      </c>
      <c r="E580" t="inlineStr">
        <is>
          <t>ÖSTHAMMAR</t>
        </is>
      </c>
      <c r="F580" t="inlineStr">
        <is>
          <t>Bergvik skog öst AB</t>
        </is>
      </c>
      <c r="G580" t="n">
        <v>7.9</v>
      </c>
      <c r="H580" t="n">
        <v>0</v>
      </c>
      <c r="I580" t="n">
        <v>0</v>
      </c>
      <c r="J580" t="n">
        <v>0</v>
      </c>
      <c r="K580" t="n">
        <v>0</v>
      </c>
      <c r="L580" t="n">
        <v>0</v>
      </c>
      <c r="M580" t="n">
        <v>0</v>
      </c>
      <c r="N580" t="n">
        <v>0</v>
      </c>
      <c r="O580" t="n">
        <v>0</v>
      </c>
      <c r="P580" t="n">
        <v>0</v>
      </c>
      <c r="Q580" t="n">
        <v>0</v>
      </c>
      <c r="R580" s="2" t="inlineStr"/>
    </row>
    <row r="581" ht="15" customHeight="1">
      <c r="A581" t="inlineStr">
        <is>
          <t>A 47163-2022</t>
        </is>
      </c>
      <c r="B581" s="1" t="n">
        <v>44852</v>
      </c>
      <c r="C581" s="1" t="n">
        <v>45630</v>
      </c>
      <c r="D581" t="inlineStr">
        <is>
          <t>UPPSALA LÄN</t>
        </is>
      </c>
      <c r="E581" t="inlineStr">
        <is>
          <t>ÖSTHAMMAR</t>
        </is>
      </c>
      <c r="G581" t="n">
        <v>5.5</v>
      </c>
      <c r="H581" t="n">
        <v>0</v>
      </c>
      <c r="I581" t="n">
        <v>0</v>
      </c>
      <c r="J581" t="n">
        <v>0</v>
      </c>
      <c r="K581" t="n">
        <v>0</v>
      </c>
      <c r="L581" t="n">
        <v>0</v>
      </c>
      <c r="M581" t="n">
        <v>0</v>
      </c>
      <c r="N581" t="n">
        <v>0</v>
      </c>
      <c r="O581" t="n">
        <v>0</v>
      </c>
      <c r="P581" t="n">
        <v>0</v>
      </c>
      <c r="Q581" t="n">
        <v>0</v>
      </c>
      <c r="R581" s="2" t="inlineStr"/>
    </row>
    <row r="582" ht="15" customHeight="1">
      <c r="A582" t="inlineStr">
        <is>
          <t>A 48191-2022</t>
        </is>
      </c>
      <c r="B582" s="1" t="n">
        <v>44858</v>
      </c>
      <c r="C582" s="1" t="n">
        <v>45630</v>
      </c>
      <c r="D582" t="inlineStr">
        <is>
          <t>UPPSALA LÄN</t>
        </is>
      </c>
      <c r="E582" t="inlineStr">
        <is>
          <t>ÖSTHAMMAR</t>
        </is>
      </c>
      <c r="G582" t="n">
        <v>3.4</v>
      </c>
      <c r="H582" t="n">
        <v>0</v>
      </c>
      <c r="I582" t="n">
        <v>0</v>
      </c>
      <c r="J582" t="n">
        <v>0</v>
      </c>
      <c r="K582" t="n">
        <v>0</v>
      </c>
      <c r="L582" t="n">
        <v>0</v>
      </c>
      <c r="M582" t="n">
        <v>0</v>
      </c>
      <c r="N582" t="n">
        <v>0</v>
      </c>
      <c r="O582" t="n">
        <v>0</v>
      </c>
      <c r="P582" t="n">
        <v>0</v>
      </c>
      <c r="Q582" t="n">
        <v>0</v>
      </c>
      <c r="R582" s="2" t="inlineStr"/>
    </row>
    <row r="583" ht="15" customHeight="1">
      <c r="A583" t="inlineStr">
        <is>
          <t>A 48231-2022</t>
        </is>
      </c>
      <c r="B583" s="1" t="n">
        <v>44858</v>
      </c>
      <c r="C583" s="1" t="n">
        <v>45630</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49097-2022</t>
        </is>
      </c>
      <c r="B584" s="1" t="n">
        <v>44860</v>
      </c>
      <c r="C584" s="1" t="n">
        <v>45630</v>
      </c>
      <c r="D584" t="inlineStr">
        <is>
          <t>UPPSALA LÄN</t>
        </is>
      </c>
      <c r="E584" t="inlineStr">
        <is>
          <t>ÖSTHAMMAR</t>
        </is>
      </c>
      <c r="G584" t="n">
        <v>6.9</v>
      </c>
      <c r="H584" t="n">
        <v>0</v>
      </c>
      <c r="I584" t="n">
        <v>0</v>
      </c>
      <c r="J584" t="n">
        <v>0</v>
      </c>
      <c r="K584" t="n">
        <v>0</v>
      </c>
      <c r="L584" t="n">
        <v>0</v>
      </c>
      <c r="M584" t="n">
        <v>0</v>
      </c>
      <c r="N584" t="n">
        <v>0</v>
      </c>
      <c r="O584" t="n">
        <v>0</v>
      </c>
      <c r="P584" t="n">
        <v>0</v>
      </c>
      <c r="Q584" t="n">
        <v>0</v>
      </c>
      <c r="R584" s="2" t="inlineStr"/>
    </row>
    <row r="585" ht="15" customHeight="1">
      <c r="A585" t="inlineStr">
        <is>
          <t>A 49334-2022</t>
        </is>
      </c>
      <c r="B585" s="1" t="n">
        <v>44861</v>
      </c>
      <c r="C585" s="1" t="n">
        <v>45630</v>
      </c>
      <c r="D585" t="inlineStr">
        <is>
          <t>UPPSALA LÄN</t>
        </is>
      </c>
      <c r="E585" t="inlineStr">
        <is>
          <t>ÖSTHAMMAR</t>
        </is>
      </c>
      <c r="G585" t="n">
        <v>3.5</v>
      </c>
      <c r="H585" t="n">
        <v>0</v>
      </c>
      <c r="I585" t="n">
        <v>0</v>
      </c>
      <c r="J585" t="n">
        <v>0</v>
      </c>
      <c r="K585" t="n">
        <v>0</v>
      </c>
      <c r="L585" t="n">
        <v>0</v>
      </c>
      <c r="M585" t="n">
        <v>0</v>
      </c>
      <c r="N585" t="n">
        <v>0</v>
      </c>
      <c r="O585" t="n">
        <v>0</v>
      </c>
      <c r="P585" t="n">
        <v>0</v>
      </c>
      <c r="Q585" t="n">
        <v>0</v>
      </c>
      <c r="R585" s="2" t="inlineStr"/>
    </row>
    <row r="586" ht="15" customHeight="1">
      <c r="A586" t="inlineStr">
        <is>
          <t>A 49914-2022</t>
        </is>
      </c>
      <c r="B586" s="1" t="n">
        <v>44865</v>
      </c>
      <c r="C586" s="1" t="n">
        <v>45630</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50576-2022</t>
        </is>
      </c>
      <c r="B587" s="1" t="n">
        <v>44866</v>
      </c>
      <c r="C587" s="1" t="n">
        <v>45630</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45630</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51696-2022</t>
        </is>
      </c>
      <c r="B589" s="1" t="n">
        <v>44872</v>
      </c>
      <c r="C589" s="1" t="n">
        <v>45630</v>
      </c>
      <c r="D589" t="inlineStr">
        <is>
          <t>UPPSALA LÄN</t>
        </is>
      </c>
      <c r="E589" t="inlineStr">
        <is>
          <t>ÖSTHAMMAR</t>
        </is>
      </c>
      <c r="G589" t="n">
        <v>0.6</v>
      </c>
      <c r="H589" t="n">
        <v>0</v>
      </c>
      <c r="I589" t="n">
        <v>0</v>
      </c>
      <c r="J589" t="n">
        <v>0</v>
      </c>
      <c r="K589" t="n">
        <v>0</v>
      </c>
      <c r="L589" t="n">
        <v>0</v>
      </c>
      <c r="M589" t="n">
        <v>0</v>
      </c>
      <c r="N589" t="n">
        <v>0</v>
      </c>
      <c r="O589" t="n">
        <v>0</v>
      </c>
      <c r="P589" t="n">
        <v>0</v>
      </c>
      <c r="Q589" t="n">
        <v>0</v>
      </c>
      <c r="R589" s="2" t="inlineStr"/>
    </row>
    <row r="590" ht="15" customHeight="1">
      <c r="A590" t="inlineStr">
        <is>
          <t>A 51906-2022</t>
        </is>
      </c>
      <c r="B590" s="1" t="n">
        <v>44872</v>
      </c>
      <c r="C590" s="1" t="n">
        <v>45630</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52265-2022</t>
        </is>
      </c>
      <c r="B591" s="1" t="n">
        <v>44873</v>
      </c>
      <c r="C591" s="1" t="n">
        <v>45630</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52255-2022</t>
        </is>
      </c>
      <c r="B592" s="1" t="n">
        <v>44873</v>
      </c>
      <c r="C592" s="1" t="n">
        <v>45630</v>
      </c>
      <c r="D592" t="inlineStr">
        <is>
          <t>UPPSALA LÄN</t>
        </is>
      </c>
      <c r="E592" t="inlineStr">
        <is>
          <t>ÖSTHAMMAR</t>
        </is>
      </c>
      <c r="G592" t="n">
        <v>1.2</v>
      </c>
      <c r="H592" t="n">
        <v>0</v>
      </c>
      <c r="I592" t="n">
        <v>0</v>
      </c>
      <c r="J592" t="n">
        <v>0</v>
      </c>
      <c r="K592" t="n">
        <v>0</v>
      </c>
      <c r="L592" t="n">
        <v>0</v>
      </c>
      <c r="M592" t="n">
        <v>0</v>
      </c>
      <c r="N592" t="n">
        <v>0</v>
      </c>
      <c r="O592" t="n">
        <v>0</v>
      </c>
      <c r="P592" t="n">
        <v>0</v>
      </c>
      <c r="Q592" t="n">
        <v>0</v>
      </c>
      <c r="R592" s="2" t="inlineStr"/>
    </row>
    <row r="593" ht="15" customHeight="1">
      <c r="A593" t="inlineStr">
        <is>
          <t>A 52295-2022</t>
        </is>
      </c>
      <c r="B593" s="1" t="n">
        <v>44873</v>
      </c>
      <c r="C593" s="1" t="n">
        <v>45630</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52652-2022</t>
        </is>
      </c>
      <c r="B594" s="1" t="n">
        <v>44874</v>
      </c>
      <c r="C594" s="1" t="n">
        <v>45630</v>
      </c>
      <c r="D594" t="inlineStr">
        <is>
          <t>UPPSALA LÄN</t>
        </is>
      </c>
      <c r="E594" t="inlineStr">
        <is>
          <t>ÖSTHAMMAR</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52389-2022</t>
        </is>
      </c>
      <c r="B595" s="1" t="n">
        <v>44874</v>
      </c>
      <c r="C595" s="1" t="n">
        <v>45630</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52663-2022</t>
        </is>
      </c>
      <c r="B596" s="1" t="n">
        <v>44874</v>
      </c>
      <c r="C596" s="1" t="n">
        <v>45630</v>
      </c>
      <c r="D596" t="inlineStr">
        <is>
          <t>UPPSALA LÄN</t>
        </is>
      </c>
      <c r="E596" t="inlineStr">
        <is>
          <t>ÖSTHAMMAR</t>
        </is>
      </c>
      <c r="F596" t="inlineStr">
        <is>
          <t>Bergvik skog öst AB</t>
        </is>
      </c>
      <c r="G596" t="n">
        <v>2.6</v>
      </c>
      <c r="H596" t="n">
        <v>0</v>
      </c>
      <c r="I596" t="n">
        <v>0</v>
      </c>
      <c r="J596" t="n">
        <v>0</v>
      </c>
      <c r="K596" t="n">
        <v>0</v>
      </c>
      <c r="L596" t="n">
        <v>0</v>
      </c>
      <c r="M596" t="n">
        <v>0</v>
      </c>
      <c r="N596" t="n">
        <v>0</v>
      </c>
      <c r="O596" t="n">
        <v>0</v>
      </c>
      <c r="P596" t="n">
        <v>0</v>
      </c>
      <c r="Q596" t="n">
        <v>0</v>
      </c>
      <c r="R596" s="2" t="inlineStr"/>
    </row>
    <row r="597" ht="15" customHeight="1">
      <c r="A597" t="inlineStr">
        <is>
          <t>A 52650-2022</t>
        </is>
      </c>
      <c r="B597" s="1" t="n">
        <v>44874</v>
      </c>
      <c r="C597" s="1" t="n">
        <v>45630</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52661-2022</t>
        </is>
      </c>
      <c r="B598" s="1" t="n">
        <v>44874</v>
      </c>
      <c r="C598" s="1" t="n">
        <v>45630</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53180-2022</t>
        </is>
      </c>
      <c r="B599" s="1" t="n">
        <v>44876</v>
      </c>
      <c r="C599" s="1" t="n">
        <v>45630</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54666-2022</t>
        </is>
      </c>
      <c r="B600" s="1" t="n">
        <v>44883</v>
      </c>
      <c r="C600" s="1" t="n">
        <v>45630</v>
      </c>
      <c r="D600" t="inlineStr">
        <is>
          <t>UPPSALA LÄN</t>
        </is>
      </c>
      <c r="E600" t="inlineStr">
        <is>
          <t>ÖSTHAMMAR</t>
        </is>
      </c>
      <c r="G600" t="n">
        <v>14.3</v>
      </c>
      <c r="H600" t="n">
        <v>0</v>
      </c>
      <c r="I600" t="n">
        <v>0</v>
      </c>
      <c r="J600" t="n">
        <v>0</v>
      </c>
      <c r="K600" t="n">
        <v>0</v>
      </c>
      <c r="L600" t="n">
        <v>0</v>
      </c>
      <c r="M600" t="n">
        <v>0</v>
      </c>
      <c r="N600" t="n">
        <v>0</v>
      </c>
      <c r="O600" t="n">
        <v>0</v>
      </c>
      <c r="P600" t="n">
        <v>0</v>
      </c>
      <c r="Q600" t="n">
        <v>0</v>
      </c>
      <c r="R600" s="2" t="inlineStr"/>
    </row>
    <row r="601" ht="15" customHeight="1">
      <c r="A601" t="inlineStr">
        <is>
          <t>A 56260-2022</t>
        </is>
      </c>
      <c r="B601" s="1" t="n">
        <v>44890</v>
      </c>
      <c r="C601" s="1" t="n">
        <v>45630</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56969-2022</t>
        </is>
      </c>
      <c r="B602" s="1" t="n">
        <v>44894</v>
      </c>
      <c r="C602" s="1" t="n">
        <v>45630</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57462-2022</t>
        </is>
      </c>
      <c r="B603" s="1" t="n">
        <v>44896</v>
      </c>
      <c r="C603" s="1" t="n">
        <v>45630</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57453-2022</t>
        </is>
      </c>
      <c r="B604" s="1" t="n">
        <v>44896</v>
      </c>
      <c r="C604" s="1" t="n">
        <v>45630</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58127-2022</t>
        </is>
      </c>
      <c r="B605" s="1" t="n">
        <v>44900</v>
      </c>
      <c r="C605" s="1" t="n">
        <v>45630</v>
      </c>
      <c r="D605" t="inlineStr">
        <is>
          <t>UPPSALA LÄN</t>
        </is>
      </c>
      <c r="E605" t="inlineStr">
        <is>
          <t>ÖSTHAMMAR</t>
        </is>
      </c>
      <c r="F605" t="inlineStr">
        <is>
          <t>Bergvik skog öst AB</t>
        </is>
      </c>
      <c r="G605" t="n">
        <v>6.4</v>
      </c>
      <c r="H605" t="n">
        <v>0</v>
      </c>
      <c r="I605" t="n">
        <v>0</v>
      </c>
      <c r="J605" t="n">
        <v>0</v>
      </c>
      <c r="K605" t="n">
        <v>0</v>
      </c>
      <c r="L605" t="n">
        <v>0</v>
      </c>
      <c r="M605" t="n">
        <v>0</v>
      </c>
      <c r="N605" t="n">
        <v>0</v>
      </c>
      <c r="O605" t="n">
        <v>0</v>
      </c>
      <c r="P605" t="n">
        <v>0</v>
      </c>
      <c r="Q605" t="n">
        <v>0</v>
      </c>
      <c r="R605" s="2" t="inlineStr"/>
    </row>
    <row r="606" ht="15" customHeight="1">
      <c r="A606" t="inlineStr">
        <is>
          <t>A 58367-2022</t>
        </is>
      </c>
      <c r="B606" s="1" t="n">
        <v>44901</v>
      </c>
      <c r="C606" s="1" t="n">
        <v>45630</v>
      </c>
      <c r="D606" t="inlineStr">
        <is>
          <t>UPPSALA LÄN</t>
        </is>
      </c>
      <c r="E606" t="inlineStr">
        <is>
          <t>ÖSTHAMMAR</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58878-2022</t>
        </is>
      </c>
      <c r="B607" s="1" t="n">
        <v>44903</v>
      </c>
      <c r="C607" s="1" t="n">
        <v>45630</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60258-2022</t>
        </is>
      </c>
      <c r="B608" s="1" t="n">
        <v>44903</v>
      </c>
      <c r="C608" s="1" t="n">
        <v>45630</v>
      </c>
      <c r="D608" t="inlineStr">
        <is>
          <t>UPPSALA LÄN</t>
        </is>
      </c>
      <c r="E608" t="inlineStr">
        <is>
          <t>ÖSTHAMMAR</t>
        </is>
      </c>
      <c r="G608" t="n">
        <v>2.5</v>
      </c>
      <c r="H608" t="n">
        <v>0</v>
      </c>
      <c r="I608" t="n">
        <v>0</v>
      </c>
      <c r="J608" t="n">
        <v>0</v>
      </c>
      <c r="K608" t="n">
        <v>0</v>
      </c>
      <c r="L608" t="n">
        <v>0</v>
      </c>
      <c r="M608" t="n">
        <v>0</v>
      </c>
      <c r="N608" t="n">
        <v>0</v>
      </c>
      <c r="O608" t="n">
        <v>0</v>
      </c>
      <c r="P608" t="n">
        <v>0</v>
      </c>
      <c r="Q608" t="n">
        <v>0</v>
      </c>
      <c r="R608" s="2" t="inlineStr"/>
    </row>
    <row r="609" ht="15" customHeight="1">
      <c r="A609" t="inlineStr">
        <is>
          <t>A 59382-2022</t>
        </is>
      </c>
      <c r="B609" s="1" t="n">
        <v>44905</v>
      </c>
      <c r="C609" s="1" t="n">
        <v>45630</v>
      </c>
      <c r="D609" t="inlineStr">
        <is>
          <t>UPPSALA LÄN</t>
        </is>
      </c>
      <c r="E609" t="inlineStr">
        <is>
          <t>ÖSTHAMMAR</t>
        </is>
      </c>
      <c r="G609" t="n">
        <v>2.9</v>
      </c>
      <c r="H609" t="n">
        <v>0</v>
      </c>
      <c r="I609" t="n">
        <v>0</v>
      </c>
      <c r="J609" t="n">
        <v>0</v>
      </c>
      <c r="K609" t="n">
        <v>0</v>
      </c>
      <c r="L609" t="n">
        <v>0</v>
      </c>
      <c r="M609" t="n">
        <v>0</v>
      </c>
      <c r="N609" t="n">
        <v>0</v>
      </c>
      <c r="O609" t="n">
        <v>0</v>
      </c>
      <c r="P609" t="n">
        <v>0</v>
      </c>
      <c r="Q609" t="n">
        <v>0</v>
      </c>
      <c r="R609" s="2" t="inlineStr"/>
    </row>
    <row r="610" ht="15" customHeight="1">
      <c r="A610" t="inlineStr">
        <is>
          <t>A 59563-2022</t>
        </is>
      </c>
      <c r="B610" s="1" t="n">
        <v>44907</v>
      </c>
      <c r="C610" s="1" t="n">
        <v>45630</v>
      </c>
      <c r="D610" t="inlineStr">
        <is>
          <t>UPPSALA LÄN</t>
        </is>
      </c>
      <c r="E610" t="inlineStr">
        <is>
          <t>ÖSTHAMMAR</t>
        </is>
      </c>
      <c r="G610" t="n">
        <v>2.8</v>
      </c>
      <c r="H610" t="n">
        <v>0</v>
      </c>
      <c r="I610" t="n">
        <v>0</v>
      </c>
      <c r="J610" t="n">
        <v>0</v>
      </c>
      <c r="K610" t="n">
        <v>0</v>
      </c>
      <c r="L610" t="n">
        <v>0</v>
      </c>
      <c r="M610" t="n">
        <v>0</v>
      </c>
      <c r="N610" t="n">
        <v>0</v>
      </c>
      <c r="O610" t="n">
        <v>0</v>
      </c>
      <c r="P610" t="n">
        <v>0</v>
      </c>
      <c r="Q610" t="n">
        <v>0</v>
      </c>
      <c r="R610" s="2" t="inlineStr"/>
    </row>
    <row r="611" ht="15" customHeight="1">
      <c r="A611" t="inlineStr">
        <is>
          <t>A 59880-2022</t>
        </is>
      </c>
      <c r="B611" s="1" t="n">
        <v>44908</v>
      </c>
      <c r="C611" s="1" t="n">
        <v>45630</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60079-2022</t>
        </is>
      </c>
      <c r="B612" s="1" t="n">
        <v>44909</v>
      </c>
      <c r="C612" s="1" t="n">
        <v>45630</v>
      </c>
      <c r="D612" t="inlineStr">
        <is>
          <t>UPPSALA LÄN</t>
        </is>
      </c>
      <c r="E612" t="inlineStr">
        <is>
          <t>ÖSTHAMMAR</t>
        </is>
      </c>
      <c r="G612" t="n">
        <v>9.6</v>
      </c>
      <c r="H612" t="n">
        <v>0</v>
      </c>
      <c r="I612" t="n">
        <v>0</v>
      </c>
      <c r="J612" t="n">
        <v>0</v>
      </c>
      <c r="K612" t="n">
        <v>0</v>
      </c>
      <c r="L612" t="n">
        <v>0</v>
      </c>
      <c r="M612" t="n">
        <v>0</v>
      </c>
      <c r="N612" t="n">
        <v>0</v>
      </c>
      <c r="O612" t="n">
        <v>0</v>
      </c>
      <c r="P612" t="n">
        <v>0</v>
      </c>
      <c r="Q612" t="n">
        <v>0</v>
      </c>
      <c r="R612" s="2" t="inlineStr"/>
    </row>
    <row r="613" ht="15" customHeight="1">
      <c r="A613" t="inlineStr">
        <is>
          <t>A 60597-2022</t>
        </is>
      </c>
      <c r="B613" s="1" t="n">
        <v>44911</v>
      </c>
      <c r="C613" s="1" t="n">
        <v>45630</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61261-2022</t>
        </is>
      </c>
      <c r="B614" s="1" t="n">
        <v>44915</v>
      </c>
      <c r="C614" s="1" t="n">
        <v>45630</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61216-2022</t>
        </is>
      </c>
      <c r="B615" s="1" t="n">
        <v>44915</v>
      </c>
      <c r="C615" s="1" t="n">
        <v>45630</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61257-2022</t>
        </is>
      </c>
      <c r="B616" s="1" t="n">
        <v>44915</v>
      </c>
      <c r="C616" s="1" t="n">
        <v>45630</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62295-2022</t>
        </is>
      </c>
      <c r="B617" s="1" t="n">
        <v>44916</v>
      </c>
      <c r="C617" s="1" t="n">
        <v>45630</v>
      </c>
      <c r="D617" t="inlineStr">
        <is>
          <t>UPPSALA LÄN</t>
        </is>
      </c>
      <c r="E617" t="inlineStr">
        <is>
          <t>ÖSTHAMMAR</t>
        </is>
      </c>
      <c r="G617" t="n">
        <v>3.3</v>
      </c>
      <c r="H617" t="n">
        <v>0</v>
      </c>
      <c r="I617" t="n">
        <v>0</v>
      </c>
      <c r="J617" t="n">
        <v>0</v>
      </c>
      <c r="K617" t="n">
        <v>0</v>
      </c>
      <c r="L617" t="n">
        <v>0</v>
      </c>
      <c r="M617" t="n">
        <v>0</v>
      </c>
      <c r="N617" t="n">
        <v>0</v>
      </c>
      <c r="O617" t="n">
        <v>0</v>
      </c>
      <c r="P617" t="n">
        <v>0</v>
      </c>
      <c r="Q617" t="n">
        <v>0</v>
      </c>
      <c r="R617" s="2" t="inlineStr"/>
    </row>
    <row r="618" ht="15" customHeight="1">
      <c r="A618" t="inlineStr">
        <is>
          <t>A 62394-2022</t>
        </is>
      </c>
      <c r="B618" s="1" t="n">
        <v>44923</v>
      </c>
      <c r="C618" s="1" t="n">
        <v>45630</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62393-2022</t>
        </is>
      </c>
      <c r="B619" s="1" t="n">
        <v>44923</v>
      </c>
      <c r="C619" s="1" t="n">
        <v>45630</v>
      </c>
      <c r="D619" t="inlineStr">
        <is>
          <t>UPPSALA LÄN</t>
        </is>
      </c>
      <c r="E619" t="inlineStr">
        <is>
          <t>ÖSTHAMMAR</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62392-2022</t>
        </is>
      </c>
      <c r="B620" s="1" t="n">
        <v>44923</v>
      </c>
      <c r="C620" s="1" t="n">
        <v>45630</v>
      </c>
      <c r="D620" t="inlineStr">
        <is>
          <t>UPPSALA LÄN</t>
        </is>
      </c>
      <c r="E620" t="inlineStr">
        <is>
          <t>ÖSTHAMMAR</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62391-2022</t>
        </is>
      </c>
      <c r="B621" s="1" t="n">
        <v>44923</v>
      </c>
      <c r="C621" s="1" t="n">
        <v>45630</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57-2023</t>
        </is>
      </c>
      <c r="B622" s="1" t="n">
        <v>44928</v>
      </c>
      <c r="C622" s="1" t="n">
        <v>45630</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59-2023</t>
        </is>
      </c>
      <c r="B623" s="1" t="n">
        <v>44928</v>
      </c>
      <c r="C623" s="1" t="n">
        <v>45630</v>
      </c>
      <c r="D623" t="inlineStr">
        <is>
          <t>UPPSALA LÄN</t>
        </is>
      </c>
      <c r="E623" t="inlineStr">
        <is>
          <t>ÖSTHAMMAR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390-2023</t>
        </is>
      </c>
      <c r="B624" s="1" t="n">
        <v>44929</v>
      </c>
      <c r="C624" s="1" t="n">
        <v>45630</v>
      </c>
      <c r="D624" t="inlineStr">
        <is>
          <t>UPPSALA LÄN</t>
        </is>
      </c>
      <c r="E624" t="inlineStr">
        <is>
          <t>ÖSTHAMMAR</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1791-2023</t>
        </is>
      </c>
      <c r="B625" s="1" t="n">
        <v>44938</v>
      </c>
      <c r="C625" s="1" t="n">
        <v>45630</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1800-2023</t>
        </is>
      </c>
      <c r="B626" s="1" t="n">
        <v>44938</v>
      </c>
      <c r="C626" s="1" t="n">
        <v>45630</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1796-2023</t>
        </is>
      </c>
      <c r="B627" s="1" t="n">
        <v>44938</v>
      </c>
      <c r="C627" s="1" t="n">
        <v>45630</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2733-2023</t>
        </is>
      </c>
      <c r="B628" s="1" t="n">
        <v>44943</v>
      </c>
      <c r="C628" s="1" t="n">
        <v>45630</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2967-2023</t>
        </is>
      </c>
      <c r="B629" s="1" t="n">
        <v>44945</v>
      </c>
      <c r="C629" s="1" t="n">
        <v>45630</v>
      </c>
      <c r="D629" t="inlineStr">
        <is>
          <t>UPPSALA LÄN</t>
        </is>
      </c>
      <c r="E629" t="inlineStr">
        <is>
          <t>ÖSTHAMMAR</t>
        </is>
      </c>
      <c r="F629" t="inlineStr">
        <is>
          <t>Övriga Aktiebolag</t>
        </is>
      </c>
      <c r="G629" t="n">
        <v>3.1</v>
      </c>
      <c r="H629" t="n">
        <v>0</v>
      </c>
      <c r="I629" t="n">
        <v>0</v>
      </c>
      <c r="J629" t="n">
        <v>0</v>
      </c>
      <c r="K629" t="n">
        <v>0</v>
      </c>
      <c r="L629" t="n">
        <v>0</v>
      </c>
      <c r="M629" t="n">
        <v>0</v>
      </c>
      <c r="N629" t="n">
        <v>0</v>
      </c>
      <c r="O629" t="n">
        <v>0</v>
      </c>
      <c r="P629" t="n">
        <v>0</v>
      </c>
      <c r="Q629" t="n">
        <v>0</v>
      </c>
      <c r="R629" s="2" t="inlineStr"/>
    </row>
    <row r="630" ht="15" customHeight="1">
      <c r="A630" t="inlineStr">
        <is>
          <t>A 3005-2023</t>
        </is>
      </c>
      <c r="B630" s="1" t="n">
        <v>44945</v>
      </c>
      <c r="C630" s="1" t="n">
        <v>45630</v>
      </c>
      <c r="D630" t="inlineStr">
        <is>
          <t>UPPSALA LÄN</t>
        </is>
      </c>
      <c r="E630" t="inlineStr">
        <is>
          <t>ÖSTHAMMAR</t>
        </is>
      </c>
      <c r="F630" t="inlineStr">
        <is>
          <t>Bergvik skog öst AB</t>
        </is>
      </c>
      <c r="G630" t="n">
        <v>6.5</v>
      </c>
      <c r="H630" t="n">
        <v>0</v>
      </c>
      <c r="I630" t="n">
        <v>0</v>
      </c>
      <c r="J630" t="n">
        <v>0</v>
      </c>
      <c r="K630" t="n">
        <v>0</v>
      </c>
      <c r="L630" t="n">
        <v>0</v>
      </c>
      <c r="M630" t="n">
        <v>0</v>
      </c>
      <c r="N630" t="n">
        <v>0</v>
      </c>
      <c r="O630" t="n">
        <v>0</v>
      </c>
      <c r="P630" t="n">
        <v>0</v>
      </c>
      <c r="Q630" t="n">
        <v>0</v>
      </c>
      <c r="R630" s="2" t="inlineStr"/>
    </row>
    <row r="631" ht="15" customHeight="1">
      <c r="A631" t="inlineStr">
        <is>
          <t>A 3743-2023</t>
        </is>
      </c>
      <c r="B631" s="1" t="n">
        <v>44948</v>
      </c>
      <c r="C631" s="1" t="n">
        <v>45630</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3327-2023</t>
        </is>
      </c>
      <c r="B632" s="1" t="n">
        <v>44949</v>
      </c>
      <c r="C632" s="1" t="n">
        <v>45630</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3514-2023</t>
        </is>
      </c>
      <c r="B633" s="1" t="n">
        <v>44950</v>
      </c>
      <c r="C633" s="1" t="n">
        <v>45630</v>
      </c>
      <c r="D633" t="inlineStr">
        <is>
          <t>UPPSALA LÄN</t>
        </is>
      </c>
      <c r="E633" t="inlineStr">
        <is>
          <t>ÖSTHAMMAR</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4004-2023</t>
        </is>
      </c>
      <c r="B634" s="1" t="n">
        <v>44952</v>
      </c>
      <c r="C634" s="1" t="n">
        <v>45630</v>
      </c>
      <c r="D634" t="inlineStr">
        <is>
          <t>UPPSALA LÄN</t>
        </is>
      </c>
      <c r="E634" t="inlineStr">
        <is>
          <t>ÖSTHAMMAR</t>
        </is>
      </c>
      <c r="G634" t="n">
        <v>4.1</v>
      </c>
      <c r="H634" t="n">
        <v>0</v>
      </c>
      <c r="I634" t="n">
        <v>0</v>
      </c>
      <c r="J634" t="n">
        <v>0</v>
      </c>
      <c r="K634" t="n">
        <v>0</v>
      </c>
      <c r="L634" t="n">
        <v>0</v>
      </c>
      <c r="M634" t="n">
        <v>0</v>
      </c>
      <c r="N634" t="n">
        <v>0</v>
      </c>
      <c r="O634" t="n">
        <v>0</v>
      </c>
      <c r="P634" t="n">
        <v>0</v>
      </c>
      <c r="Q634" t="n">
        <v>0</v>
      </c>
      <c r="R634" s="2" t="inlineStr"/>
    </row>
    <row r="635" ht="15" customHeight="1">
      <c r="A635" t="inlineStr">
        <is>
          <t>A 4054-2023</t>
        </is>
      </c>
      <c r="B635" s="1" t="n">
        <v>44952</v>
      </c>
      <c r="C635" s="1" t="n">
        <v>45630</v>
      </c>
      <c r="D635" t="inlineStr">
        <is>
          <t>UPPSALA LÄN</t>
        </is>
      </c>
      <c r="E635" t="inlineStr">
        <is>
          <t>ÖSTHAMMAR</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4233-2023</t>
        </is>
      </c>
      <c r="B636" s="1" t="n">
        <v>44953</v>
      </c>
      <c r="C636" s="1" t="n">
        <v>45630</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4228-2023</t>
        </is>
      </c>
      <c r="B637" s="1" t="n">
        <v>44953</v>
      </c>
      <c r="C637" s="1" t="n">
        <v>45630</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4361-2023</t>
        </is>
      </c>
      <c r="B638" s="1" t="n">
        <v>44954</v>
      </c>
      <c r="C638" s="1" t="n">
        <v>45630</v>
      </c>
      <c r="D638" t="inlineStr">
        <is>
          <t>UPPSALA LÄN</t>
        </is>
      </c>
      <c r="E638" t="inlineStr">
        <is>
          <t>ÖSTHAMMAR</t>
        </is>
      </c>
      <c r="F638" t="inlineStr">
        <is>
          <t>Bergvik skog öst AB</t>
        </is>
      </c>
      <c r="G638" t="n">
        <v>18.3</v>
      </c>
      <c r="H638" t="n">
        <v>0</v>
      </c>
      <c r="I638" t="n">
        <v>0</v>
      </c>
      <c r="J638" t="n">
        <v>0</v>
      </c>
      <c r="K638" t="n">
        <v>0</v>
      </c>
      <c r="L638" t="n">
        <v>0</v>
      </c>
      <c r="M638" t="n">
        <v>0</v>
      </c>
      <c r="N638" t="n">
        <v>0</v>
      </c>
      <c r="O638" t="n">
        <v>0</v>
      </c>
      <c r="P638" t="n">
        <v>0</v>
      </c>
      <c r="Q638" t="n">
        <v>0</v>
      </c>
      <c r="R638" s="2" t="inlineStr"/>
    </row>
    <row r="639" ht="15" customHeight="1">
      <c r="A639" t="inlineStr">
        <is>
          <t>A 5404-2023</t>
        </is>
      </c>
      <c r="B639" s="1" t="n">
        <v>44957</v>
      </c>
      <c r="C639" s="1" t="n">
        <v>45630</v>
      </c>
      <c r="D639" t="inlineStr">
        <is>
          <t>UPPSALA LÄN</t>
        </is>
      </c>
      <c r="E639" t="inlineStr">
        <is>
          <t>ÖSTHAMMAR</t>
        </is>
      </c>
      <c r="G639" t="n">
        <v>2.5</v>
      </c>
      <c r="H639" t="n">
        <v>0</v>
      </c>
      <c r="I639" t="n">
        <v>0</v>
      </c>
      <c r="J639" t="n">
        <v>0</v>
      </c>
      <c r="K639" t="n">
        <v>0</v>
      </c>
      <c r="L639" t="n">
        <v>0</v>
      </c>
      <c r="M639" t="n">
        <v>0</v>
      </c>
      <c r="N639" t="n">
        <v>0</v>
      </c>
      <c r="O639" t="n">
        <v>0</v>
      </c>
      <c r="P639" t="n">
        <v>0</v>
      </c>
      <c r="Q639" t="n">
        <v>0</v>
      </c>
      <c r="R639" s="2" t="inlineStr"/>
    </row>
    <row r="640" ht="15" customHeight="1">
      <c r="A640" t="inlineStr">
        <is>
          <t>A 5429-2023</t>
        </is>
      </c>
      <c r="B640" s="1" t="n">
        <v>44959</v>
      </c>
      <c r="C640" s="1" t="n">
        <v>45630</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5430-2023</t>
        </is>
      </c>
      <c r="B641" s="1" t="n">
        <v>44959</v>
      </c>
      <c r="C641" s="1" t="n">
        <v>45630</v>
      </c>
      <c r="D641" t="inlineStr">
        <is>
          <t>UPPSALA LÄN</t>
        </is>
      </c>
      <c r="E641" t="inlineStr">
        <is>
          <t>ÖSTHAMMAR</t>
        </is>
      </c>
      <c r="F641" t="inlineStr">
        <is>
          <t>Bergvik skog öst AB</t>
        </is>
      </c>
      <c r="G641" t="n">
        <v>18.4</v>
      </c>
      <c r="H641" t="n">
        <v>0</v>
      </c>
      <c r="I641" t="n">
        <v>0</v>
      </c>
      <c r="J641" t="n">
        <v>0</v>
      </c>
      <c r="K641" t="n">
        <v>0</v>
      </c>
      <c r="L641" t="n">
        <v>0</v>
      </c>
      <c r="M641" t="n">
        <v>0</v>
      </c>
      <c r="N641" t="n">
        <v>0</v>
      </c>
      <c r="O641" t="n">
        <v>0</v>
      </c>
      <c r="P641" t="n">
        <v>0</v>
      </c>
      <c r="Q641" t="n">
        <v>0</v>
      </c>
      <c r="R641" s="2" t="inlineStr"/>
    </row>
    <row r="642" ht="15" customHeight="1">
      <c r="A642" t="inlineStr">
        <is>
          <t>A 5643-2023</t>
        </is>
      </c>
      <c r="B642" s="1" t="n">
        <v>44960</v>
      </c>
      <c r="C642" s="1" t="n">
        <v>45630</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6629-2023</t>
        </is>
      </c>
      <c r="B643" s="1" t="n">
        <v>44960</v>
      </c>
      <c r="C643" s="1" t="n">
        <v>45630</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6635-2023</t>
        </is>
      </c>
      <c r="B644" s="1" t="n">
        <v>44960</v>
      </c>
      <c r="C644" s="1" t="n">
        <v>45630</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5832-2023</t>
        </is>
      </c>
      <c r="B645" s="1" t="n">
        <v>44963</v>
      </c>
      <c r="C645" s="1" t="n">
        <v>45630</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5836-2023</t>
        </is>
      </c>
      <c r="B646" s="1" t="n">
        <v>44963</v>
      </c>
      <c r="C646" s="1" t="n">
        <v>45630</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5831-2023</t>
        </is>
      </c>
      <c r="B647" s="1" t="n">
        <v>44963</v>
      </c>
      <c r="C647" s="1" t="n">
        <v>45630</v>
      </c>
      <c r="D647" t="inlineStr">
        <is>
          <t>UPPSALA LÄN</t>
        </is>
      </c>
      <c r="E647" t="inlineStr">
        <is>
          <t>ÖSTHAMMAR</t>
        </is>
      </c>
      <c r="G647" t="n">
        <v>8.1</v>
      </c>
      <c r="H647" t="n">
        <v>0</v>
      </c>
      <c r="I647" t="n">
        <v>0</v>
      </c>
      <c r="J647" t="n">
        <v>0</v>
      </c>
      <c r="K647" t="n">
        <v>0</v>
      </c>
      <c r="L647" t="n">
        <v>0</v>
      </c>
      <c r="M647" t="n">
        <v>0</v>
      </c>
      <c r="N647" t="n">
        <v>0</v>
      </c>
      <c r="O647" t="n">
        <v>0</v>
      </c>
      <c r="P647" t="n">
        <v>0</v>
      </c>
      <c r="Q647" t="n">
        <v>0</v>
      </c>
      <c r="R647" s="2" t="inlineStr"/>
    </row>
    <row r="648" ht="15" customHeight="1">
      <c r="A648" t="inlineStr">
        <is>
          <t>A 5857-2023</t>
        </is>
      </c>
      <c r="B648" s="1" t="n">
        <v>44963</v>
      </c>
      <c r="C648" s="1" t="n">
        <v>45630</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5884-2023</t>
        </is>
      </c>
      <c r="B649" s="1" t="n">
        <v>44963</v>
      </c>
      <c r="C649" s="1" t="n">
        <v>45630</v>
      </c>
      <c r="D649" t="inlineStr">
        <is>
          <t>UPPSALA LÄN</t>
        </is>
      </c>
      <c r="E649" t="inlineStr">
        <is>
          <t>ÖSTHAMMAR</t>
        </is>
      </c>
      <c r="G649" t="n">
        <v>0.6</v>
      </c>
      <c r="H649" t="n">
        <v>0</v>
      </c>
      <c r="I649" t="n">
        <v>0</v>
      </c>
      <c r="J649" t="n">
        <v>0</v>
      </c>
      <c r="K649" t="n">
        <v>0</v>
      </c>
      <c r="L649" t="n">
        <v>0</v>
      </c>
      <c r="M649" t="n">
        <v>0</v>
      </c>
      <c r="N649" t="n">
        <v>0</v>
      </c>
      <c r="O649" t="n">
        <v>0</v>
      </c>
      <c r="P649" t="n">
        <v>0</v>
      </c>
      <c r="Q649" t="n">
        <v>0</v>
      </c>
      <c r="R649" s="2" t="inlineStr"/>
    </row>
    <row r="650" ht="15" customHeight="1">
      <c r="A650" t="inlineStr">
        <is>
          <t>A 5877-2023</t>
        </is>
      </c>
      <c r="B650" s="1" t="n">
        <v>44963</v>
      </c>
      <c r="C650" s="1" t="n">
        <v>45630</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7195-2023</t>
        </is>
      </c>
      <c r="B651" s="1" t="n">
        <v>44970</v>
      </c>
      <c r="C651" s="1" t="n">
        <v>45630</v>
      </c>
      <c r="D651" t="inlineStr">
        <is>
          <t>UPPSALA LÄN</t>
        </is>
      </c>
      <c r="E651" t="inlineStr">
        <is>
          <t>ÖSTHAMMAR</t>
        </is>
      </c>
      <c r="G651" t="n">
        <v>1.3</v>
      </c>
      <c r="H651" t="n">
        <v>0</v>
      </c>
      <c r="I651" t="n">
        <v>0</v>
      </c>
      <c r="J651" t="n">
        <v>0</v>
      </c>
      <c r="K651" t="n">
        <v>0</v>
      </c>
      <c r="L651" t="n">
        <v>0</v>
      </c>
      <c r="M651" t="n">
        <v>0</v>
      </c>
      <c r="N651" t="n">
        <v>0</v>
      </c>
      <c r="O651" t="n">
        <v>0</v>
      </c>
      <c r="P651" t="n">
        <v>0</v>
      </c>
      <c r="Q651" t="n">
        <v>0</v>
      </c>
      <c r="R651" s="2" t="inlineStr"/>
    </row>
    <row r="652" ht="15" customHeight="1">
      <c r="A652" t="inlineStr">
        <is>
          <t>A 7206-2023</t>
        </is>
      </c>
      <c r="B652" s="1" t="n">
        <v>44970</v>
      </c>
      <c r="C652" s="1" t="n">
        <v>45630</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7118-2023</t>
        </is>
      </c>
      <c r="B653" s="1" t="n">
        <v>44970</v>
      </c>
      <c r="C653" s="1" t="n">
        <v>45630</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7546-2023</t>
        </is>
      </c>
      <c r="B654" s="1" t="n">
        <v>44972</v>
      </c>
      <c r="C654" s="1" t="n">
        <v>45630</v>
      </c>
      <c r="D654" t="inlineStr">
        <is>
          <t>UPPSALA LÄN</t>
        </is>
      </c>
      <c r="E654" t="inlineStr">
        <is>
          <t>ÖSTHAMMAR</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7543-2023</t>
        </is>
      </c>
      <c r="B655" s="1" t="n">
        <v>44972</v>
      </c>
      <c r="C655" s="1" t="n">
        <v>45630</v>
      </c>
      <c r="D655" t="inlineStr">
        <is>
          <t>UPPSALA LÄN</t>
        </is>
      </c>
      <c r="E655" t="inlineStr">
        <is>
          <t>ÖSTHAMMAR</t>
        </is>
      </c>
      <c r="F655" t="inlineStr">
        <is>
          <t>Bergvik skog öst AB</t>
        </is>
      </c>
      <c r="G655" t="n">
        <v>13.3</v>
      </c>
      <c r="H655" t="n">
        <v>0</v>
      </c>
      <c r="I655" t="n">
        <v>0</v>
      </c>
      <c r="J655" t="n">
        <v>0</v>
      </c>
      <c r="K655" t="n">
        <v>0</v>
      </c>
      <c r="L655" t="n">
        <v>0</v>
      </c>
      <c r="M655" t="n">
        <v>0</v>
      </c>
      <c r="N655" t="n">
        <v>0</v>
      </c>
      <c r="O655" t="n">
        <v>0</v>
      </c>
      <c r="P655" t="n">
        <v>0</v>
      </c>
      <c r="Q655" t="n">
        <v>0</v>
      </c>
      <c r="R655" s="2" t="inlineStr"/>
    </row>
    <row r="656" ht="15" customHeight="1">
      <c r="A656" t="inlineStr">
        <is>
          <t>A 7560-2023</t>
        </is>
      </c>
      <c r="B656" s="1" t="n">
        <v>44972</v>
      </c>
      <c r="C656" s="1" t="n">
        <v>45630</v>
      </c>
      <c r="D656" t="inlineStr">
        <is>
          <t>UPPSALA LÄN</t>
        </is>
      </c>
      <c r="E656" t="inlineStr">
        <is>
          <t>ÖSTHAMMAR</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7876-2023</t>
        </is>
      </c>
      <c r="B657" s="1" t="n">
        <v>44973</v>
      </c>
      <c r="C657" s="1" t="n">
        <v>45630</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7944-2023</t>
        </is>
      </c>
      <c r="B658" s="1" t="n">
        <v>44973</v>
      </c>
      <c r="C658" s="1" t="n">
        <v>45630</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7975-2023</t>
        </is>
      </c>
      <c r="B659" s="1" t="n">
        <v>44973</v>
      </c>
      <c r="C659" s="1" t="n">
        <v>45630</v>
      </c>
      <c r="D659" t="inlineStr">
        <is>
          <t>UPPSALA LÄN</t>
        </is>
      </c>
      <c r="E659" t="inlineStr">
        <is>
          <t>ÖSTHAMMAR</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8006-2023</t>
        </is>
      </c>
      <c r="B660" s="1" t="n">
        <v>44973</v>
      </c>
      <c r="C660" s="1" t="n">
        <v>45630</v>
      </c>
      <c r="D660" t="inlineStr">
        <is>
          <t>UPPSALA LÄN</t>
        </is>
      </c>
      <c r="E660" t="inlineStr">
        <is>
          <t>ÖSTHAMMAR</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8616-2023</t>
        </is>
      </c>
      <c r="B661" s="1" t="n">
        <v>44977</v>
      </c>
      <c r="C661" s="1" t="n">
        <v>45630</v>
      </c>
      <c r="D661" t="inlineStr">
        <is>
          <t>UPPSALA LÄN</t>
        </is>
      </c>
      <c r="E661" t="inlineStr">
        <is>
          <t>ÖSTHAMMAR</t>
        </is>
      </c>
      <c r="F661" t="inlineStr">
        <is>
          <t>Bergvik skog öst AB</t>
        </is>
      </c>
      <c r="G661" t="n">
        <v>0.2</v>
      </c>
      <c r="H661" t="n">
        <v>0</v>
      </c>
      <c r="I661" t="n">
        <v>0</v>
      </c>
      <c r="J661" t="n">
        <v>0</v>
      </c>
      <c r="K661" t="n">
        <v>0</v>
      </c>
      <c r="L661" t="n">
        <v>0</v>
      </c>
      <c r="M661" t="n">
        <v>0</v>
      </c>
      <c r="N661" t="n">
        <v>0</v>
      </c>
      <c r="O661" t="n">
        <v>0</v>
      </c>
      <c r="P661" t="n">
        <v>0</v>
      </c>
      <c r="Q661" t="n">
        <v>0</v>
      </c>
      <c r="R661" s="2" t="inlineStr"/>
    </row>
    <row r="662" ht="15" customHeight="1">
      <c r="A662" t="inlineStr">
        <is>
          <t>A 8826-2023</t>
        </is>
      </c>
      <c r="B662" s="1" t="n">
        <v>44978</v>
      </c>
      <c r="C662" s="1" t="n">
        <v>45630</v>
      </c>
      <c r="D662" t="inlineStr">
        <is>
          <t>UPPSALA LÄN</t>
        </is>
      </c>
      <c r="E662" t="inlineStr">
        <is>
          <t>ÖSTHAMMAR</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8830-2023</t>
        </is>
      </c>
      <c r="B663" s="1" t="n">
        <v>44978</v>
      </c>
      <c r="C663" s="1" t="n">
        <v>45630</v>
      </c>
      <c r="D663" t="inlineStr">
        <is>
          <t>UPPSALA LÄN</t>
        </is>
      </c>
      <c r="E663" t="inlineStr">
        <is>
          <t>ÖSTHAMMAR</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9052-2023</t>
        </is>
      </c>
      <c r="B664" s="1" t="n">
        <v>44979</v>
      </c>
      <c r="C664" s="1" t="n">
        <v>45630</v>
      </c>
      <c r="D664" t="inlineStr">
        <is>
          <t>UPPSALA LÄN</t>
        </is>
      </c>
      <c r="E664" t="inlineStr">
        <is>
          <t>ÖSTHAMMAR</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9543-2023</t>
        </is>
      </c>
      <c r="B665" s="1" t="n">
        <v>44981</v>
      </c>
      <c r="C665" s="1" t="n">
        <v>45630</v>
      </c>
      <c r="D665" t="inlineStr">
        <is>
          <t>UPPSALA LÄN</t>
        </is>
      </c>
      <c r="E665" t="inlineStr">
        <is>
          <t>ÖSTHAMMAR</t>
        </is>
      </c>
      <c r="F665" t="inlineStr">
        <is>
          <t>Bergvik skog öst AB</t>
        </is>
      </c>
      <c r="G665" t="n">
        <v>5.9</v>
      </c>
      <c r="H665" t="n">
        <v>0</v>
      </c>
      <c r="I665" t="n">
        <v>0</v>
      </c>
      <c r="J665" t="n">
        <v>0</v>
      </c>
      <c r="K665" t="n">
        <v>0</v>
      </c>
      <c r="L665" t="n">
        <v>0</v>
      </c>
      <c r="M665" t="n">
        <v>0</v>
      </c>
      <c r="N665" t="n">
        <v>0</v>
      </c>
      <c r="O665" t="n">
        <v>0</v>
      </c>
      <c r="P665" t="n">
        <v>0</v>
      </c>
      <c r="Q665" t="n">
        <v>0</v>
      </c>
      <c r="R665" s="2" t="inlineStr"/>
    </row>
    <row r="666" ht="15" customHeight="1">
      <c r="A666" t="inlineStr">
        <is>
          <t>A 9542-2023</t>
        </is>
      </c>
      <c r="B666" s="1" t="n">
        <v>44981</v>
      </c>
      <c r="C666" s="1" t="n">
        <v>45630</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45630</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45630</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45630</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45630</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45630</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45630</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45630</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45630</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45630</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45630</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45630</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45630</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45630</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45630</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45630</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45630</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45630</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45630</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45630</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45630</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45630</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45630</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45630</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45630</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45630</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45630</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45630</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45630</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45630</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45630</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45630</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45630</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45630</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45630</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45630</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45630</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45630</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45630</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45630</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45630</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45630</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45630</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45630</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45630</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45630</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45630</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45630</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45630</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45630</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45630</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45630</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45630</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45630</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45630</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45630</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45630</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45630</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45630</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45630</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45630</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45630</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45630</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45630</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45630</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45630</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45630</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45630</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45630</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45630</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45630</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45630</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45630</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45630</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45630</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45630</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45630</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45630</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45630</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45630</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45630</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45630</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45630</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45630</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45630</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45630</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45630</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45630</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45630</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45630</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45630</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45630</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45630</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45630</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45630</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45630</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45630</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45630</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45630</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45630</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45630</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45630</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45630</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45630</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45630</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45630</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45630</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45630</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45630</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45630</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45630</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45630</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45630</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45630</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45630</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45630</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45630</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45630</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45630</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45630</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45630</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45630</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45630</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45630</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45630</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45630</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45630</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45630</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45630</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45630</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45630</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45630</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45630</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45630</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45630</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45630</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45630</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45630</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45630</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45630</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45630</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45630</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45630</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45630</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45630</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45630</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45630</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45630</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45630</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45630</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45630</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45630</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45630</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45630</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45630</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45630</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45630</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45630</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45630</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45630</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45630</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45630</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45630</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45630</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45630</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45630</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45630</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45630</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45630</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45630</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45630</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45630</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45630</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45630</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45630</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45630</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45630</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45630</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45630</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45630</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45630</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45630</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45630</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45630</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45630</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45630</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45630</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45630</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45630</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45630</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45630</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45630</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45630</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45630</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45630</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45630</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45630</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45630</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45630</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45630</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45630</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45630</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45630</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45630</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45630</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45630</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45630</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45630</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45630</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45630</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45630</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45630</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45630</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45630</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45630</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45630</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45630</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45630</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45630</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45630</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45630</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45630</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45630</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45630</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45630</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45630</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45630</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45630</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45630</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45630</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45630</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45630</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45630</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45630</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45630</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45630</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45630</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45630</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45630</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45630</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45630</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45630</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45630</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45630</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45630</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45630</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45630</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45630</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45630</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45630</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45630</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45630</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45630</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45630</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45630</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45630</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45630</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45630</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45630</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45630</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45630</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45630</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45630</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45630</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45630</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45630</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45630</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45630</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45630</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45630</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45630</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45630</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45630</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45630</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45630</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45630</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45630</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45630</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45630</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45630</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45630</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45630</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45630</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45630</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45630</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45630</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45630</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45630</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45630</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45630</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45630</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45630</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45630</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45630</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45630</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45630</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45630</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45630</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45630</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45630</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45630</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45630</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45630</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45630</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45630</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45630</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45630</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45630</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45630</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45630</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45630</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45630</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45630</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45630</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45630</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45630</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45630</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45630</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45630</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45630</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45630</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45630</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45630</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45630</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45630</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45630</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45630</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45630</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45630</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45630</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45630</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45630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45630</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45630</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45630</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45630</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45630</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45630</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45630</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45630</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45630</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45630</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45630</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45630</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45630</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45630</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45630</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45630</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45630</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45630</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45630</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45630</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45630</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45630</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45630</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45630</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45630</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45630</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45630</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45630</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45630</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45630</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45630</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45630</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45630</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45630</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45630</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45630</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45630</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45630</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45630</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45630</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45630</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45630</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45630</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45630</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45630</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45630</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45630</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45630</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45630</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45630</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45630</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45630</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45630</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45630</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45630</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45630</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45630</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45630</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45630</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45630</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45630</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45630</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45630</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45630</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45630</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45630</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45630</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45630</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45630</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45630</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45630</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45630</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45630</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45630</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45630</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45630</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45630</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45630</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45630</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45630</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45630</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45630</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45630</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45630</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45630</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45630</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45630</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45630</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45630</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45630</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45630</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45630</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45630</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45630</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45630</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45630</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45630</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45630</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45630</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45630</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45630</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45630</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45630</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45630</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45630</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45630</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45630</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45630</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45630</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45630</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45630</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45630</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45630</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45630</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45630</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45630</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45630</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45630</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45630</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45630</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45630</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45630</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45630</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45630</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45630</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45630</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45630</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45630</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45630</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45630</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45630</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45630</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45630</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45630</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45630</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45630</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45630</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45630</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45630</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45630</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45630</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45630</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45630</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45630</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45630</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45630</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45630</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45630</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45630</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45630</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45630</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45630</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45630</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45630</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45630</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45630</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45630</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45630</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45630</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45630</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45630</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45630</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45630</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45630</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45630</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45630</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45630</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45630</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45630</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45630</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45630</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45630</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45630</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45630</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45630</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45630</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45630</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45630</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45630</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45630</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45630</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45630</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45630</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45630</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45630</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45630</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45630</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45630</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45630</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45630</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45630</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45630</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45630</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45630</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45630</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45630</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45630</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45630</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45630</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45630</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45630</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45630</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45630</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45630</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45630</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45630</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45630</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45630</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45630</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45630</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45630</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45630</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45630</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45630</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45630</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45630</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45630</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45630</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45630</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45630</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45630</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45630</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45630</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45630</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45630</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45630</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45630</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45630</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45630</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45630</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45630</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45630</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45630</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45630</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45630</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45630</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45630</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45630</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45630</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45630</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45630</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45630</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45630</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45630</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45630</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45630</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45630</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45630</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45630</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45630</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45630</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45630</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45630</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45630</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45630</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45630</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45630</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45630</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45630</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45630</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45630</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45630</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45630</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45630</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45630</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45630</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45630</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45630</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45630</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45630</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45630</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45630</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45630</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45630</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45630</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50849-2024</t>
        </is>
      </c>
      <c r="B1273" s="1" t="n">
        <v>45602</v>
      </c>
      <c r="C1273" s="1" t="n">
        <v>45630</v>
      </c>
      <c r="D1273" t="inlineStr">
        <is>
          <t>UPPSALA LÄN</t>
        </is>
      </c>
      <c r="E1273" t="inlineStr">
        <is>
          <t>ÖSTHAMMAR</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50875-2024</t>
        </is>
      </c>
      <c r="B1274" s="1" t="n">
        <v>45602</v>
      </c>
      <c r="C1274" s="1" t="n">
        <v>45630</v>
      </c>
      <c r="D1274" t="inlineStr">
        <is>
          <t>UPPSALA LÄN</t>
        </is>
      </c>
      <c r="E1274" t="inlineStr">
        <is>
          <t>ÖSTHAMMAR</t>
        </is>
      </c>
      <c r="F1274" t="inlineStr">
        <is>
          <t>Övriga Aktiebolag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50844-2024</t>
        </is>
      </c>
      <c r="B1275" s="1" t="n">
        <v>45602</v>
      </c>
      <c r="C1275" s="1" t="n">
        <v>45630</v>
      </c>
      <c r="D1275" t="inlineStr">
        <is>
          <t>UPPSALA LÄN</t>
        </is>
      </c>
      <c r="E1275" t="inlineStr">
        <is>
          <t>ÖSTHAMMAR</t>
        </is>
      </c>
      <c r="F1275" t="inlineStr">
        <is>
          <t>Övriga Aktiebolag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50853-2024</t>
        </is>
      </c>
      <c r="B1276" s="1" t="n">
        <v>45602</v>
      </c>
      <c r="C1276" s="1" t="n">
        <v>45630</v>
      </c>
      <c r="D1276" t="inlineStr">
        <is>
          <t>UPPSALA LÄN</t>
        </is>
      </c>
      <c r="E1276" t="inlineStr">
        <is>
          <t>ÖSTHAMMAR</t>
        </is>
      </c>
      <c r="F1276" t="inlineStr">
        <is>
          <t>Övriga Aktiebolag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50927-2024</t>
        </is>
      </c>
      <c r="B1277" s="1" t="n">
        <v>45602</v>
      </c>
      <c r="C1277" s="1" t="n">
        <v>45630</v>
      </c>
      <c r="D1277" t="inlineStr">
        <is>
          <t>UPPSALA LÄN</t>
        </is>
      </c>
      <c r="E1277" t="inlineStr">
        <is>
          <t>ÖSTHAMMAR</t>
        </is>
      </c>
      <c r="F1277" t="inlineStr">
        <is>
          <t>Bergvik skog öst AB</t>
        </is>
      </c>
      <c r="G1277" t="n">
        <v>45.4</v>
      </c>
      <c r="H1277" t="n">
        <v>0</v>
      </c>
      <c r="I1277" t="n">
        <v>0</v>
      </c>
      <c r="J1277" t="n">
        <v>0</v>
      </c>
      <c r="K1277" t="n">
        <v>0</v>
      </c>
      <c r="L1277" t="n">
        <v>0</v>
      </c>
      <c r="M1277" t="n">
        <v>0</v>
      </c>
      <c r="N1277" t="n">
        <v>0</v>
      </c>
      <c r="O1277" t="n">
        <v>0</v>
      </c>
      <c r="P1277" t="n">
        <v>0</v>
      </c>
      <c r="Q1277" t="n">
        <v>0</v>
      </c>
      <c r="R1277" s="2" t="inlineStr"/>
    </row>
    <row r="1278" ht="15" customHeight="1">
      <c r="A1278" t="inlineStr">
        <is>
          <t>A 50924-2024</t>
        </is>
      </c>
      <c r="B1278" s="1" t="n">
        <v>45602</v>
      </c>
      <c r="C1278" s="1" t="n">
        <v>45630</v>
      </c>
      <c r="D1278" t="inlineStr">
        <is>
          <t>UPPSALA LÄN</t>
        </is>
      </c>
      <c r="E1278" t="inlineStr">
        <is>
          <t>ÖSTHAMMAR</t>
        </is>
      </c>
      <c r="F1278" t="inlineStr">
        <is>
          <t>Bergvik skog öst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45630</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52440-2024</t>
        </is>
      </c>
      <c r="B1280" s="1" t="n">
        <v>45609</v>
      </c>
      <c r="C1280" s="1" t="n">
        <v>45630</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52468-2024</t>
        </is>
      </c>
      <c r="B1281" s="1" t="n">
        <v>45609</v>
      </c>
      <c r="C1281" s="1" t="n">
        <v>45630</v>
      </c>
      <c r="D1281" t="inlineStr">
        <is>
          <t>UPPSALA LÄN</t>
        </is>
      </c>
      <c r="E1281" t="inlineStr">
        <is>
          <t>ÖSTHAMMAR</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52470-2024</t>
        </is>
      </c>
      <c r="B1282" s="1" t="n">
        <v>45609</v>
      </c>
      <c r="C1282" s="1" t="n">
        <v>45630</v>
      </c>
      <c r="D1282" t="inlineStr">
        <is>
          <t>UPPSALA LÄN</t>
        </is>
      </c>
      <c r="E1282" t="inlineStr">
        <is>
          <t>ÖSTHAMMAR</t>
        </is>
      </c>
      <c r="F1282" t="inlineStr">
        <is>
          <t>Bergvik skog väst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52478-2024</t>
        </is>
      </c>
      <c r="B1283" s="1" t="n">
        <v>45609</v>
      </c>
      <c r="C1283" s="1" t="n">
        <v>45630</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52469-2024</t>
        </is>
      </c>
      <c r="B1284" s="1" t="n">
        <v>45609</v>
      </c>
      <c r="C1284" s="1" t="n">
        <v>45630</v>
      </c>
      <c r="D1284" t="inlineStr">
        <is>
          <t>UPPSALA LÄN</t>
        </is>
      </c>
      <c r="E1284" t="inlineStr">
        <is>
          <t>ÖSTHAMMAR</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52485-2024</t>
        </is>
      </c>
      <c r="B1285" s="1" t="n">
        <v>45609</v>
      </c>
      <c r="C1285" s="1" t="n">
        <v>45630</v>
      </c>
      <c r="D1285" t="inlineStr">
        <is>
          <t>UPPSALA LÄN</t>
        </is>
      </c>
      <c r="E1285" t="inlineStr">
        <is>
          <t>ÖSTHAMMAR</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52534-2024</t>
        </is>
      </c>
      <c r="B1286" s="1" t="n">
        <v>45609</v>
      </c>
      <c r="C1286" s="1" t="n">
        <v>45630</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45630</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45630</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45630</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45630</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45630</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45630</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45630</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54759-2024</t>
        </is>
      </c>
      <c r="B1294" s="1" t="n">
        <v>45618</v>
      </c>
      <c r="C1294" s="1" t="n">
        <v>45630</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54935-2024</t>
        </is>
      </c>
      <c r="B1295" s="1" t="n">
        <v>45618</v>
      </c>
      <c r="C1295" s="1" t="n">
        <v>45630</v>
      </c>
      <c r="D1295" t="inlineStr">
        <is>
          <t>UPPSALA LÄN</t>
        </is>
      </c>
      <c r="E1295" t="inlineStr">
        <is>
          <t>ÖSTHAMMAR</t>
        </is>
      </c>
      <c r="F1295" t="inlineStr">
        <is>
          <t>Bergvik skog öst AB</t>
        </is>
      </c>
      <c r="G1295" t="n">
        <v>13.4</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45630</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54825-2024</t>
        </is>
      </c>
      <c r="B1297" s="1" t="n">
        <v>45618</v>
      </c>
      <c r="C1297" s="1" t="n">
        <v>45630</v>
      </c>
      <c r="D1297" t="inlineStr">
        <is>
          <t>UPPSALA LÄN</t>
        </is>
      </c>
      <c r="E1297" t="inlineStr">
        <is>
          <t>ÖSTHAMMAR</t>
        </is>
      </c>
      <c r="F1297" t="inlineStr">
        <is>
          <t>Bergvik skog öst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55093-2024</t>
        </is>
      </c>
      <c r="B1298" s="1" t="n">
        <v>45621</v>
      </c>
      <c r="C1298" s="1" t="n">
        <v>45630</v>
      </c>
      <c r="D1298" t="inlineStr">
        <is>
          <t>UPPSALA LÄN</t>
        </is>
      </c>
      <c r="E1298" t="inlineStr">
        <is>
          <t>ÖSTHAMMAR</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55097-2024</t>
        </is>
      </c>
      <c r="B1299" s="1" t="n">
        <v>45621</v>
      </c>
      <c r="C1299" s="1" t="n">
        <v>45630</v>
      </c>
      <c r="D1299" t="inlineStr">
        <is>
          <t>UPPSALA LÄN</t>
        </is>
      </c>
      <c r="E1299" t="inlineStr">
        <is>
          <t>ÖSTHAMMAR</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55086-2024</t>
        </is>
      </c>
      <c r="B1300" s="1" t="n">
        <v>45621</v>
      </c>
      <c r="C1300" s="1" t="n">
        <v>45630</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55090-2024</t>
        </is>
      </c>
      <c r="B1301" s="1" t="n">
        <v>45621</v>
      </c>
      <c r="C1301" s="1" t="n">
        <v>45630</v>
      </c>
      <c r="D1301" t="inlineStr">
        <is>
          <t>UPPSALA LÄN</t>
        </is>
      </c>
      <c r="E1301" t="inlineStr">
        <is>
          <t>ÖSTHAMMAR</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55079-2024</t>
        </is>
      </c>
      <c r="B1302" s="1" t="n">
        <v>45621</v>
      </c>
      <c r="C1302" s="1" t="n">
        <v>45630</v>
      </c>
      <c r="D1302" t="inlineStr">
        <is>
          <t>UPPSALA LÄN</t>
        </is>
      </c>
      <c r="E1302" t="inlineStr">
        <is>
          <t>ÖSTHAMMAR</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55100-2024</t>
        </is>
      </c>
      <c r="B1303" s="1" t="n">
        <v>45621</v>
      </c>
      <c r="C1303" s="1" t="n">
        <v>45630</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56759-2024</t>
        </is>
      </c>
      <c r="B1304" s="1" t="n">
        <v>45628</v>
      </c>
      <c r="C1304" s="1" t="n">
        <v>45630</v>
      </c>
      <c r="D1304" t="inlineStr">
        <is>
          <t>UPPSALA LÄN</t>
        </is>
      </c>
      <c r="E1304" t="inlineStr">
        <is>
          <t>ÖSTHAMMAR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57187-2024</t>
        </is>
      </c>
      <c r="B1305" s="1" t="n">
        <v>45629</v>
      </c>
      <c r="C1305" s="1" t="n">
        <v>45630</v>
      </c>
      <c r="D1305" t="inlineStr">
        <is>
          <t>UPPSALA LÄN</t>
        </is>
      </c>
      <c r="E1305" t="inlineStr">
        <is>
          <t>ÖSTHAMMAR</t>
        </is>
      </c>
      <c r="G1305" t="n">
        <v>3.1</v>
      </c>
      <c r="H1305" t="n">
        <v>0</v>
      </c>
      <c r="I1305" t="n">
        <v>0</v>
      </c>
      <c r="J1305" t="n">
        <v>0</v>
      </c>
      <c r="K1305" t="n">
        <v>0</v>
      </c>
      <c r="L1305" t="n">
        <v>0</v>
      </c>
      <c r="M1305" t="n">
        <v>0</v>
      </c>
      <c r="N1305" t="n">
        <v>0</v>
      </c>
      <c r="O1305" t="n">
        <v>0</v>
      </c>
      <c r="P1305" t="n">
        <v>0</v>
      </c>
      <c r="Q1305" t="n">
        <v>0</v>
      </c>
      <c r="R1305" s="2" t="inlineStr"/>
    </row>
    <row r="1306">
      <c r="A1306" t="inlineStr">
        <is>
          <t>A 57373-2024</t>
        </is>
      </c>
      <c r="B1306" s="1" t="n">
        <v>45629</v>
      </c>
      <c r="C1306" s="1" t="n">
        <v>45630</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2024-12-04T15:13:59Z</dcterms:created>
  <dcterms:modified xmlns:dcterms="http://purl.org/dc/terms/" xmlns:xsi="http://www.w3.org/2001/XMLSchema-instance" xsi:type="dcterms:W3CDTF">2024-12-04T15:14:00Z</dcterms:modified>
</cp:coreProperties>
</file>