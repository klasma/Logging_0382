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46144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46144</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46144</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46144</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45170-2024</t>
        </is>
      </c>
      <c r="B7" s="1" t="n">
        <v>45575</v>
      </c>
      <c r="C7" s="1" t="n">
        <v>46144</v>
      </c>
      <c r="D7" t="inlineStr">
        <is>
          <t>UPPSALA LÄN</t>
        </is>
      </c>
      <c r="E7" t="inlineStr">
        <is>
          <t>ÖSTHAMMAR</t>
        </is>
      </c>
      <c r="F7" t="inlineStr">
        <is>
          <t>Bergvik skog väst AB</t>
        </is>
      </c>
      <c r="G7" t="n">
        <v>19.7</v>
      </c>
      <c r="H7" t="n">
        <v>5</v>
      </c>
      <c r="I7" t="n">
        <v>11</v>
      </c>
      <c r="J7" t="n">
        <v>7</v>
      </c>
      <c r="K7" t="n">
        <v>1</v>
      </c>
      <c r="L7" t="n">
        <v>0</v>
      </c>
      <c r="M7" t="n">
        <v>0</v>
      </c>
      <c r="N7" t="n">
        <v>0</v>
      </c>
      <c r="O7" t="n">
        <v>8</v>
      </c>
      <c r="P7" t="n">
        <v>1</v>
      </c>
      <c r="Q7" t="n">
        <v>20</v>
      </c>
      <c r="R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7">
        <f>HYPERLINK("https://klasma.github.io/Logging_0382/artfynd/A 45170-2024 artfynd.xlsx", "A 45170-2024")</f>
        <v/>
      </c>
      <c r="T7">
        <f>HYPERLINK("https://klasma.github.io/Logging_0382/kartor/A 45170-2024 karta.png", "A 45170-2024")</f>
        <v/>
      </c>
      <c r="V7">
        <f>HYPERLINK("https://klasma.github.io/Logging_0382/klagomål/A 45170-2024 FSC-klagomål.docx", "A 45170-2024")</f>
        <v/>
      </c>
      <c r="W7">
        <f>HYPERLINK("https://klasma.github.io/Logging_0382/klagomålsmail/A 45170-2024 FSC-klagomål mail.docx", "A 45170-2024")</f>
        <v/>
      </c>
      <c r="X7">
        <f>HYPERLINK("https://klasma.github.io/Logging_0382/tillsyn/A 45170-2024 tillsynsbegäran.docx", "A 45170-2024")</f>
        <v/>
      </c>
      <c r="Y7">
        <f>HYPERLINK("https://klasma.github.io/Logging_0382/tillsynsmail/A 45170-2024 tillsynsbegäran mail.docx", "A 45170-2024")</f>
        <v/>
      </c>
      <c r="Z7">
        <f>HYPERLINK("https://klasma.github.io/Logging_0382/fåglar/A 45170-2024 prioriterade fågelarter.docx", "A 45170-2024")</f>
        <v/>
      </c>
    </row>
    <row r="8" ht="15" customHeight="1">
      <c r="A8" t="inlineStr">
        <is>
          <t>A 21006-2024</t>
        </is>
      </c>
      <c r="B8" s="1" t="n">
        <v>45439</v>
      </c>
      <c r="C8" s="1" t="n">
        <v>46144</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357-2025</t>
        </is>
      </c>
      <c r="B9" s="1" t="n">
        <v>45659</v>
      </c>
      <c r="C9" s="1" t="n">
        <v>46144</v>
      </c>
      <c r="D9" t="inlineStr">
        <is>
          <t>UPPSALA LÄN</t>
        </is>
      </c>
      <c r="E9" t="inlineStr">
        <is>
          <t>ÖSTHAMMAR</t>
        </is>
      </c>
      <c r="G9" t="n">
        <v>15.8</v>
      </c>
      <c r="H9" t="n">
        <v>6</v>
      </c>
      <c r="I9" t="n">
        <v>10</v>
      </c>
      <c r="J9" t="n">
        <v>4</v>
      </c>
      <c r="K9" t="n">
        <v>1</v>
      </c>
      <c r="L9" t="n">
        <v>0</v>
      </c>
      <c r="M9" t="n">
        <v>0</v>
      </c>
      <c r="N9" t="n">
        <v>0</v>
      </c>
      <c r="O9" t="n">
        <v>5</v>
      </c>
      <c r="P9" t="n">
        <v>1</v>
      </c>
      <c r="Q9" t="n">
        <v>18</v>
      </c>
      <c r="R9" s="2" t="inlineStr">
        <is>
          <t>Rynkskinn
Garnlav
Spillkråka
Talltita
Ullticka
Brandticka
Bronshjon
Dvärgtufs
Granbarkgnagare
Grön sköldmossa
Kamjordstjärna
Kattfotslav
Korallblylav
Skinnlav
Stubbspretmossa
Kungsfågel
Tjäder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46144</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46144</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4607-2026</t>
        </is>
      </c>
      <c r="B12" s="1" t="n">
        <v>46048.35861111111</v>
      </c>
      <c r="C12" s="1" t="n">
        <v>46144</v>
      </c>
      <c r="D12" t="inlineStr">
        <is>
          <t>UPPSALA LÄN</t>
        </is>
      </c>
      <c r="E12" t="inlineStr">
        <is>
          <t>ÖSTHAMMAR</t>
        </is>
      </c>
      <c r="G12" t="n">
        <v>1.6</v>
      </c>
      <c r="H12" t="n">
        <v>0</v>
      </c>
      <c r="I12" t="n">
        <v>6</v>
      </c>
      <c r="J12" t="n">
        <v>4</v>
      </c>
      <c r="K12" t="n">
        <v>3</v>
      </c>
      <c r="L12" t="n">
        <v>0</v>
      </c>
      <c r="M12" t="n">
        <v>0</v>
      </c>
      <c r="N12" t="n">
        <v>0</v>
      </c>
      <c r="O12" t="n">
        <v>7</v>
      </c>
      <c r="P12" t="n">
        <v>3</v>
      </c>
      <c r="Q12" t="n">
        <v>13</v>
      </c>
      <c r="R12" s="2" t="inlineStr">
        <is>
          <t>Gyllenspindling
Kopparspindling
Läderdoftande fingersvamp
Barrviolspindling
Flattoppad klubbsvamp
Gultoppig fingersvamp
Odörspindling
Anisspindling
Diskvaxskivling
Olivspindling
Rödgul trumpetsvamp
Skarp dropptaggsvamp
Svavelriska</t>
        </is>
      </c>
      <c r="S12">
        <f>HYPERLINK("https://klasma.github.io/Logging_0382/artfynd/A 4607-2026 artfynd.xlsx", "A 4607-2026")</f>
        <v/>
      </c>
      <c r="T12">
        <f>HYPERLINK("https://klasma.github.io/Logging_0382/kartor/A 4607-2026 karta.png", "A 4607-2026")</f>
        <v/>
      </c>
      <c r="V12">
        <f>HYPERLINK("https://klasma.github.io/Logging_0382/klagomål/A 4607-2026 FSC-klagomål.docx", "A 4607-2026")</f>
        <v/>
      </c>
      <c r="W12">
        <f>HYPERLINK("https://klasma.github.io/Logging_0382/klagomålsmail/A 4607-2026 FSC-klagomål mail.docx", "A 4607-2026")</f>
        <v/>
      </c>
      <c r="X12">
        <f>HYPERLINK("https://klasma.github.io/Logging_0382/tillsyn/A 4607-2026 tillsynsbegäran.docx", "A 4607-2026")</f>
        <v/>
      </c>
      <c r="Y12">
        <f>HYPERLINK("https://klasma.github.io/Logging_0382/tillsynsmail/A 4607-2026 tillsynsbegäran mail.docx", "A 4607-2026")</f>
        <v/>
      </c>
    </row>
    <row r="13" ht="15" customHeight="1">
      <c r="A13" t="inlineStr">
        <is>
          <t>A 60737-2025</t>
        </is>
      </c>
      <c r="B13" s="1" t="n">
        <v>45996.83012731482</v>
      </c>
      <c r="C13" s="1" t="n">
        <v>46144</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46144</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46144</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46144</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46144</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46144</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40395-2025</t>
        </is>
      </c>
      <c r="B19" s="1" t="n">
        <v>45895.55805555556</v>
      </c>
      <c r="C19" s="1" t="n">
        <v>46144</v>
      </c>
      <c r="D19" t="inlineStr">
        <is>
          <t>UPPSALA LÄN</t>
        </is>
      </c>
      <c r="E19" t="inlineStr">
        <is>
          <t>ÖSTHAMMAR</t>
        </is>
      </c>
      <c r="G19" t="n">
        <v>1.8</v>
      </c>
      <c r="H19" t="n">
        <v>5</v>
      </c>
      <c r="I19" t="n">
        <v>2</v>
      </c>
      <c r="J19" t="n">
        <v>5</v>
      </c>
      <c r="K19" t="n">
        <v>0</v>
      </c>
      <c r="L19" t="n">
        <v>0</v>
      </c>
      <c r="M19" t="n">
        <v>0</v>
      </c>
      <c r="N19" t="n">
        <v>0</v>
      </c>
      <c r="O19" t="n">
        <v>5</v>
      </c>
      <c r="P19" t="n">
        <v>0</v>
      </c>
      <c r="Q19" t="n">
        <v>9</v>
      </c>
      <c r="R19" s="2" t="inlineStr">
        <is>
          <t>Järpe
Kortskaftad ärgspik
Spillkråka
Svart taggsvamp agg.
Talltita
Brandticka
Stor aspticka
Gröngöling
Kungsfågel</t>
        </is>
      </c>
      <c r="S19">
        <f>HYPERLINK("https://klasma.github.io/Logging_0382/artfynd/A 40395-2025 artfynd.xlsx", "A 40395-2025")</f>
        <v/>
      </c>
      <c r="T19">
        <f>HYPERLINK("https://klasma.github.io/Logging_0382/kartor/A 40395-2025 karta.png", "A 40395-2025")</f>
        <v/>
      </c>
      <c r="V19">
        <f>HYPERLINK("https://klasma.github.io/Logging_0382/klagomål/A 40395-2025 FSC-klagomål.docx", "A 40395-2025")</f>
        <v/>
      </c>
      <c r="W19">
        <f>HYPERLINK("https://klasma.github.io/Logging_0382/klagomålsmail/A 40395-2025 FSC-klagomål mail.docx", "A 40395-2025")</f>
        <v/>
      </c>
      <c r="X19">
        <f>HYPERLINK("https://klasma.github.io/Logging_0382/tillsyn/A 40395-2025 tillsynsbegäran.docx", "A 40395-2025")</f>
        <v/>
      </c>
      <c r="Y19">
        <f>HYPERLINK("https://klasma.github.io/Logging_0382/tillsynsmail/A 40395-2025 tillsynsbegäran mail.docx", "A 40395-2025")</f>
        <v/>
      </c>
      <c r="Z19">
        <f>HYPERLINK("https://klasma.github.io/Logging_0382/fåglar/A 40395-2025 prioriterade fågelarter.docx", "A 40395-2025")</f>
        <v/>
      </c>
    </row>
    <row r="20" ht="15" customHeight="1">
      <c r="A20" t="inlineStr">
        <is>
          <t>A 40406-2025</t>
        </is>
      </c>
      <c r="B20" s="1" t="n">
        <v>45895.57082175926</v>
      </c>
      <c r="C20" s="1" t="n">
        <v>46144</v>
      </c>
      <c r="D20" t="inlineStr">
        <is>
          <t>UPPSALA LÄN</t>
        </is>
      </c>
      <c r="E20" t="inlineStr">
        <is>
          <t>ÖSTHAMMAR</t>
        </is>
      </c>
      <c r="G20" t="n">
        <v>2</v>
      </c>
      <c r="H20" t="n">
        <v>5</v>
      </c>
      <c r="I20" t="n">
        <v>2</v>
      </c>
      <c r="J20" t="n">
        <v>4</v>
      </c>
      <c r="K20" t="n">
        <v>1</v>
      </c>
      <c r="L20" t="n">
        <v>0</v>
      </c>
      <c r="M20" t="n">
        <v>0</v>
      </c>
      <c r="N20" t="n">
        <v>0</v>
      </c>
      <c r="O20" t="n">
        <v>5</v>
      </c>
      <c r="P20" t="n">
        <v>1</v>
      </c>
      <c r="Q20" t="n">
        <v>9</v>
      </c>
      <c r="R20" s="2" t="inlineStr">
        <is>
          <t>Vågticka
Mindre hackspett
Spillkråka
Såpfingersvamp
Talltita
Fjällig taggsvamp s.str.
Skarp dropptaggsvamp
Kungsfågel
Blåsippa</t>
        </is>
      </c>
      <c r="S20">
        <f>HYPERLINK("https://klasma.github.io/Logging_0382/artfynd/A 40406-2025 artfynd.xlsx", "A 40406-2025")</f>
        <v/>
      </c>
      <c r="T20">
        <f>HYPERLINK("https://klasma.github.io/Logging_0382/kartor/A 40406-2025 karta.png", "A 40406-2025")</f>
        <v/>
      </c>
      <c r="V20">
        <f>HYPERLINK("https://klasma.github.io/Logging_0382/klagomål/A 40406-2025 FSC-klagomål.docx", "A 40406-2025")</f>
        <v/>
      </c>
      <c r="W20">
        <f>HYPERLINK("https://klasma.github.io/Logging_0382/klagomålsmail/A 40406-2025 FSC-klagomål mail.docx", "A 40406-2025")</f>
        <v/>
      </c>
      <c r="X20">
        <f>HYPERLINK("https://klasma.github.io/Logging_0382/tillsyn/A 40406-2025 tillsynsbegäran.docx", "A 40406-2025")</f>
        <v/>
      </c>
      <c r="Y20">
        <f>HYPERLINK("https://klasma.github.io/Logging_0382/tillsynsmail/A 40406-2025 tillsynsbegäran mail.docx", "A 40406-2025")</f>
        <v/>
      </c>
      <c r="Z20">
        <f>HYPERLINK("https://klasma.github.io/Logging_0382/fåglar/A 40406-2025 prioriterade fågelarter.docx", "A 40406-2025")</f>
        <v/>
      </c>
    </row>
    <row r="21" ht="15" customHeight="1">
      <c r="A21" t="inlineStr">
        <is>
          <t>A 52808-2023</t>
        </is>
      </c>
      <c r="B21" s="1" t="n">
        <v>45226</v>
      </c>
      <c r="C21" s="1" t="n">
        <v>46144</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46144</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46144</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46144</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16239-2025</t>
        </is>
      </c>
      <c r="B25" s="1" t="n">
        <v>45746</v>
      </c>
      <c r="C25" s="1" t="n">
        <v>46144</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49910-2022</t>
        </is>
      </c>
      <c r="B26" s="1" t="n">
        <v>44865</v>
      </c>
      <c r="C26" s="1" t="n">
        <v>46144</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16242-2025</t>
        </is>
      </c>
      <c r="B27" s="1" t="n">
        <v>45746</v>
      </c>
      <c r="C27" s="1" t="n">
        <v>46144</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221-2025</t>
        </is>
      </c>
      <c r="B28" s="1" t="n">
        <v>45660</v>
      </c>
      <c r="C28" s="1" t="n">
        <v>46144</v>
      </c>
      <c r="D28" t="inlineStr">
        <is>
          <t>UPPSALA LÄN</t>
        </is>
      </c>
      <c r="E28" t="inlineStr">
        <is>
          <t>ÖSTHAMMAR</t>
        </is>
      </c>
      <c r="F28" t="inlineStr">
        <is>
          <t>Bergvik skog öst AB</t>
        </is>
      </c>
      <c r="G28" t="n">
        <v>1.3</v>
      </c>
      <c r="H28" t="n">
        <v>3</v>
      </c>
      <c r="I28" t="n">
        <v>4</v>
      </c>
      <c r="J28" t="n">
        <v>2</v>
      </c>
      <c r="K28" t="n">
        <v>0</v>
      </c>
      <c r="L28" t="n">
        <v>0</v>
      </c>
      <c r="M28" t="n">
        <v>0</v>
      </c>
      <c r="N28" t="n">
        <v>0</v>
      </c>
      <c r="O28" t="n">
        <v>2</v>
      </c>
      <c r="P28" t="n">
        <v>0</v>
      </c>
      <c r="Q28" t="n">
        <v>7</v>
      </c>
      <c r="R28" s="2" t="inlineStr">
        <is>
          <t>Gul taggsvamp
Talltita
Fjällig taggsvamp s.str.
Grön sköldmossa
Korallblylav
Rödgul trumpetsvamp
Blåsippa</t>
        </is>
      </c>
      <c r="S28">
        <f>HYPERLINK("https://klasma.github.io/Logging_0382/artfynd/A 221-2025 artfynd.xlsx", "A 221-2025")</f>
        <v/>
      </c>
      <c r="T28">
        <f>HYPERLINK("https://klasma.github.io/Logging_0382/kartor/A 221-2025 karta.png", "A 221-2025")</f>
        <v/>
      </c>
      <c r="V28">
        <f>HYPERLINK("https://klasma.github.io/Logging_0382/klagomål/A 221-2025 FSC-klagomål.docx", "A 221-2025")</f>
        <v/>
      </c>
      <c r="W28">
        <f>HYPERLINK("https://klasma.github.io/Logging_0382/klagomålsmail/A 221-2025 FSC-klagomål mail.docx", "A 221-2025")</f>
        <v/>
      </c>
      <c r="X28">
        <f>HYPERLINK("https://klasma.github.io/Logging_0382/tillsyn/A 221-2025 tillsynsbegäran.docx", "A 221-2025")</f>
        <v/>
      </c>
      <c r="Y28">
        <f>HYPERLINK("https://klasma.github.io/Logging_0382/tillsynsmail/A 221-2025 tillsynsbegäran mail.docx", "A 221-2025")</f>
        <v/>
      </c>
      <c r="Z28">
        <f>HYPERLINK("https://klasma.github.io/Logging_0382/fåglar/A 221-2025 prioriterade fågelarter.docx", "A 221-2025")</f>
        <v/>
      </c>
    </row>
    <row r="29" ht="15" customHeight="1">
      <c r="A29" t="inlineStr">
        <is>
          <t>A 9569-2026</t>
        </is>
      </c>
      <c r="B29" s="1" t="n">
        <v>46071.65847222223</v>
      </c>
      <c r="C29" s="1" t="n">
        <v>46144</v>
      </c>
      <c r="D29" t="inlineStr">
        <is>
          <t>UPPSALA LÄN</t>
        </is>
      </c>
      <c r="E29" t="inlineStr">
        <is>
          <t>ÖSTHAMMAR</t>
        </is>
      </c>
      <c r="G29" t="n">
        <v>1.4</v>
      </c>
      <c r="H29" t="n">
        <v>0</v>
      </c>
      <c r="I29" t="n">
        <v>4</v>
      </c>
      <c r="J29" t="n">
        <v>1</v>
      </c>
      <c r="K29" t="n">
        <v>2</v>
      </c>
      <c r="L29" t="n">
        <v>0</v>
      </c>
      <c r="M29" t="n">
        <v>0</v>
      </c>
      <c r="N29" t="n">
        <v>0</v>
      </c>
      <c r="O29" t="n">
        <v>3</v>
      </c>
      <c r="P29" t="n">
        <v>2</v>
      </c>
      <c r="Q29" t="n">
        <v>7</v>
      </c>
      <c r="R29" s="2" t="inlineStr">
        <is>
          <t>Gyllenfingersvamp
Koppartaggsvamp
Äggspindling
Anisspindling
Olivspindling
Skarp dropptaggsvamp
Trådticka</t>
        </is>
      </c>
      <c r="S29">
        <f>HYPERLINK("https://klasma.github.io/Logging_0382/artfynd/A 9569-2026 artfynd.xlsx", "A 9569-2026")</f>
        <v/>
      </c>
      <c r="T29">
        <f>HYPERLINK("https://klasma.github.io/Logging_0382/kartor/A 9569-2026 karta.png", "A 9569-2026")</f>
        <v/>
      </c>
      <c r="V29">
        <f>HYPERLINK("https://klasma.github.io/Logging_0382/klagomål/A 9569-2026 FSC-klagomål.docx", "A 9569-2026")</f>
        <v/>
      </c>
      <c r="W29">
        <f>HYPERLINK("https://klasma.github.io/Logging_0382/klagomålsmail/A 9569-2026 FSC-klagomål mail.docx", "A 9569-2026")</f>
        <v/>
      </c>
      <c r="X29">
        <f>HYPERLINK("https://klasma.github.io/Logging_0382/tillsyn/A 9569-2026 tillsynsbegäran.docx", "A 9569-2026")</f>
        <v/>
      </c>
      <c r="Y29">
        <f>HYPERLINK("https://klasma.github.io/Logging_0382/tillsynsmail/A 9569-2026 tillsynsbegäran mail.docx", "A 9569-2026")</f>
        <v/>
      </c>
    </row>
    <row r="30" ht="15" customHeight="1">
      <c r="A30" t="inlineStr">
        <is>
          <t>A 63054-2025</t>
        </is>
      </c>
      <c r="B30" s="1" t="n">
        <v>46009</v>
      </c>
      <c r="C30" s="1" t="n">
        <v>46144</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46144</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46144</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46785-2023</t>
        </is>
      </c>
      <c r="B33" s="1" t="n">
        <v>45198</v>
      </c>
      <c r="C33" s="1" t="n">
        <v>46144</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23496-2023</t>
        </is>
      </c>
      <c r="B34" s="1" t="n">
        <v>45076</v>
      </c>
      <c r="C34" s="1" t="n">
        <v>46144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39834-2025</t>
        </is>
      </c>
      <c r="B35" s="1" t="n">
        <v>45891.56333333333</v>
      </c>
      <c r="C35" s="1" t="n">
        <v>46144</v>
      </c>
      <c r="D35" t="inlineStr">
        <is>
          <t>UPPSALA LÄN</t>
        </is>
      </c>
      <c r="E35" t="inlineStr">
        <is>
          <t>ÖSTHAMMAR</t>
        </is>
      </c>
      <c r="F35" t="inlineStr">
        <is>
          <t>Bergvik skog öst AB</t>
        </is>
      </c>
      <c r="G35" t="n">
        <v>2.5</v>
      </c>
      <c r="H35" t="n">
        <v>4</v>
      </c>
      <c r="I35" t="n">
        <v>2</v>
      </c>
      <c r="J35" t="n">
        <v>1</v>
      </c>
      <c r="K35" t="n">
        <v>1</v>
      </c>
      <c r="L35" t="n">
        <v>0</v>
      </c>
      <c r="M35" t="n">
        <v>0</v>
      </c>
      <c r="N35" t="n">
        <v>0</v>
      </c>
      <c r="O35" t="n">
        <v>2</v>
      </c>
      <c r="P35" t="n">
        <v>1</v>
      </c>
      <c r="Q35" t="n">
        <v>6</v>
      </c>
      <c r="R35" s="2" t="inlineStr">
        <is>
          <t>Knärot
Spillkråka
Grönpyrola
Vågbandad barkbock
Tjäder
Blåsippa</t>
        </is>
      </c>
      <c r="S35">
        <f>HYPERLINK("https://klasma.github.io/Logging_0382/artfynd/A 39834-2025 artfynd.xlsx", "A 39834-2025")</f>
        <v/>
      </c>
      <c r="T35">
        <f>HYPERLINK("https://klasma.github.io/Logging_0382/kartor/A 39834-2025 karta.png", "A 39834-2025")</f>
        <v/>
      </c>
      <c r="U35">
        <f>HYPERLINK("https://klasma.github.io/Logging_0382/knärot/A 39834-2025 karta knärot.png", "A 39834-2025")</f>
        <v/>
      </c>
      <c r="V35">
        <f>HYPERLINK("https://klasma.github.io/Logging_0382/klagomål/A 39834-2025 FSC-klagomål.docx", "A 39834-2025")</f>
        <v/>
      </c>
      <c r="W35">
        <f>HYPERLINK("https://klasma.github.io/Logging_0382/klagomålsmail/A 39834-2025 FSC-klagomål mail.docx", "A 39834-2025")</f>
        <v/>
      </c>
      <c r="X35">
        <f>HYPERLINK("https://klasma.github.io/Logging_0382/tillsyn/A 39834-2025 tillsynsbegäran.docx", "A 39834-2025")</f>
        <v/>
      </c>
      <c r="Y35">
        <f>HYPERLINK("https://klasma.github.io/Logging_0382/tillsynsmail/A 39834-2025 tillsynsbegäran mail.docx", "A 39834-2025")</f>
        <v/>
      </c>
      <c r="Z35">
        <f>HYPERLINK("https://klasma.github.io/Logging_0382/fåglar/A 39834-2025 prioriterade fågelarter.docx", "A 39834-2025")</f>
        <v/>
      </c>
    </row>
    <row r="36" ht="15" customHeight="1">
      <c r="A36" t="inlineStr">
        <is>
          <t>A 48277-2023</t>
        </is>
      </c>
      <c r="B36" s="1" t="n">
        <v>45205</v>
      </c>
      <c r="C36" s="1" t="n">
        <v>46144</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46144</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46144</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46144</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23498-2023</t>
        </is>
      </c>
      <c r="B41" s="1" t="n">
        <v>45076</v>
      </c>
      <c r="C41" s="1" t="n">
        <v>46144</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51154-2025</t>
        </is>
      </c>
      <c r="B42" s="1" t="n">
        <v>45947.57583333334</v>
      </c>
      <c r="C42" s="1" t="n">
        <v>46144</v>
      </c>
      <c r="D42" t="inlineStr">
        <is>
          <t>UPPSALA LÄN</t>
        </is>
      </c>
      <c r="E42" t="inlineStr">
        <is>
          <t>ÖSTHAMMAR</t>
        </is>
      </c>
      <c r="F42" t="inlineStr">
        <is>
          <t>Allmännings- och besparingsskogar</t>
        </is>
      </c>
      <c r="G42" t="n">
        <v>4.5</v>
      </c>
      <c r="H42" t="n">
        <v>5</v>
      </c>
      <c r="I42" t="n">
        <v>2</v>
      </c>
      <c r="J42" t="n">
        <v>2</v>
      </c>
      <c r="K42" t="n">
        <v>0</v>
      </c>
      <c r="L42" t="n">
        <v>0</v>
      </c>
      <c r="M42" t="n">
        <v>0</v>
      </c>
      <c r="N42" t="n">
        <v>0</v>
      </c>
      <c r="O42" t="n">
        <v>2</v>
      </c>
      <c r="P42" t="n">
        <v>0</v>
      </c>
      <c r="Q42" t="n">
        <v>5</v>
      </c>
      <c r="R42" s="2" t="inlineStr">
        <is>
          <t>Rödvingetrast
Talltita
Nästrot
Tvåblad
Blåsippa</t>
        </is>
      </c>
      <c r="S42">
        <f>HYPERLINK("https://klasma.github.io/Logging_0382/artfynd/A 51154-2025 artfynd.xlsx", "A 51154-2025")</f>
        <v/>
      </c>
      <c r="T42">
        <f>HYPERLINK("https://klasma.github.io/Logging_0382/kartor/A 51154-2025 karta.png", "A 51154-2025")</f>
        <v/>
      </c>
      <c r="V42">
        <f>HYPERLINK("https://klasma.github.io/Logging_0382/klagomål/A 51154-2025 FSC-klagomål.docx", "A 51154-2025")</f>
        <v/>
      </c>
      <c r="W42">
        <f>HYPERLINK("https://klasma.github.io/Logging_0382/klagomålsmail/A 51154-2025 FSC-klagomål mail.docx", "A 51154-2025")</f>
        <v/>
      </c>
      <c r="X42">
        <f>HYPERLINK("https://klasma.github.io/Logging_0382/tillsyn/A 51154-2025 tillsynsbegäran.docx", "A 51154-2025")</f>
        <v/>
      </c>
      <c r="Y42">
        <f>HYPERLINK("https://klasma.github.io/Logging_0382/tillsynsmail/A 51154-2025 tillsynsbegäran mail.docx", "A 51154-2025")</f>
        <v/>
      </c>
      <c r="Z42">
        <f>HYPERLINK("https://klasma.github.io/Logging_0382/fåglar/A 51154-2025 prioriterade fågelarter.docx", "A 51154-2025")</f>
        <v/>
      </c>
    </row>
    <row r="43" ht="15" customHeight="1">
      <c r="A43" t="inlineStr">
        <is>
          <t>A 43992-2022</t>
        </is>
      </c>
      <c r="B43" s="1" t="n">
        <v>44837</v>
      </c>
      <c r="C43" s="1" t="n">
        <v>46144</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24563-2022</t>
        </is>
      </c>
      <c r="B44" s="1" t="n">
        <v>44727</v>
      </c>
      <c r="C44" s="1" t="n">
        <v>46144</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74364-2021</t>
        </is>
      </c>
      <c r="B45" s="1" t="n">
        <v>44559</v>
      </c>
      <c r="C45" s="1" t="n">
        <v>46144</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1101-2026</t>
        </is>
      </c>
      <c r="B46" s="1" t="n">
        <v>46030.66722222222</v>
      </c>
      <c r="C46" s="1" t="n">
        <v>46144</v>
      </c>
      <c r="D46" t="inlineStr">
        <is>
          <t>UPPSALA LÄN</t>
        </is>
      </c>
      <c r="E46" t="inlineStr">
        <is>
          <t>ÖSTHAMMAR</t>
        </is>
      </c>
      <c r="G46" t="n">
        <v>4.1</v>
      </c>
      <c r="H46" t="n">
        <v>2</v>
      </c>
      <c r="I46" t="n">
        <v>3</v>
      </c>
      <c r="J46" t="n">
        <v>1</v>
      </c>
      <c r="K46" t="n">
        <v>0</v>
      </c>
      <c r="L46" t="n">
        <v>1</v>
      </c>
      <c r="M46" t="n">
        <v>0</v>
      </c>
      <c r="N46" t="n">
        <v>0</v>
      </c>
      <c r="O46" t="n">
        <v>2</v>
      </c>
      <c r="P46" t="n">
        <v>1</v>
      </c>
      <c r="Q46" t="n">
        <v>5</v>
      </c>
      <c r="R46" s="2" t="inlineStr">
        <is>
          <t>Bredgentiana
Loppstarr
Fjällig taggsvamp s.str.
Nästrot
Tjockfotad fingersvamp</t>
        </is>
      </c>
      <c r="S46">
        <f>HYPERLINK("https://klasma.github.io/Logging_0382/artfynd/A 1101-2026 artfynd.xlsx", "A 1101-2026")</f>
        <v/>
      </c>
      <c r="T46">
        <f>HYPERLINK("https://klasma.github.io/Logging_0382/kartor/A 1101-2026 karta.png", "A 1101-2026")</f>
        <v/>
      </c>
      <c r="U46">
        <f>HYPERLINK("https://klasma.github.io/Logging_0382/knärot/A 1101-2026 karta knärot.png", "A 1101-2026")</f>
        <v/>
      </c>
      <c r="V46">
        <f>HYPERLINK("https://klasma.github.io/Logging_0382/klagomål/A 1101-2026 FSC-klagomål.docx", "A 1101-2026")</f>
        <v/>
      </c>
      <c r="W46">
        <f>HYPERLINK("https://klasma.github.io/Logging_0382/klagomålsmail/A 1101-2026 FSC-klagomål mail.docx", "A 1101-2026")</f>
        <v/>
      </c>
      <c r="X46">
        <f>HYPERLINK("https://klasma.github.io/Logging_0382/tillsyn/A 1101-2026 tillsynsbegäran.docx", "A 1101-2026")</f>
        <v/>
      </c>
      <c r="Y46">
        <f>HYPERLINK("https://klasma.github.io/Logging_0382/tillsynsmail/A 1101-2026 tillsynsbegäran mail.docx", "A 1101-2026")</f>
        <v/>
      </c>
    </row>
    <row r="47" ht="15" customHeight="1">
      <c r="A47" t="inlineStr">
        <is>
          <t>A 55492-2023</t>
        </is>
      </c>
      <c r="B47" s="1" t="n">
        <v>45238</v>
      </c>
      <c r="C47" s="1" t="n">
        <v>46144</v>
      </c>
      <c r="D47" t="inlineStr">
        <is>
          <t>UPPSALA LÄN</t>
        </is>
      </c>
      <c r="E47" t="inlineStr">
        <is>
          <t>ÖSTHAMMAR</t>
        </is>
      </c>
      <c r="G47" t="n">
        <v>3.1</v>
      </c>
      <c r="H47" t="n">
        <v>4</v>
      </c>
      <c r="I47" t="n">
        <v>2</v>
      </c>
      <c r="J47" t="n">
        <v>0</v>
      </c>
      <c r="K47" t="n">
        <v>2</v>
      </c>
      <c r="L47" t="n">
        <v>0</v>
      </c>
      <c r="M47" t="n">
        <v>0</v>
      </c>
      <c r="N47" t="n">
        <v>0</v>
      </c>
      <c r="O47" t="n">
        <v>2</v>
      </c>
      <c r="P47" t="n">
        <v>2</v>
      </c>
      <c r="Q47" t="n">
        <v>5</v>
      </c>
      <c r="R47" s="2" t="inlineStr">
        <is>
          <t>Knärot
Violgubbe
Skogsknipprot
Tvåblad
Fläcknycklar</t>
        </is>
      </c>
      <c r="S47">
        <f>HYPERLINK("https://klasma.github.io/Logging_0382/artfynd/A 55492-2023 artfynd.xlsx", "A 55492-2023")</f>
        <v/>
      </c>
      <c r="T47">
        <f>HYPERLINK("https://klasma.github.io/Logging_0382/kartor/A 55492-2023 karta.png", "A 55492-2023")</f>
        <v/>
      </c>
      <c r="U47">
        <f>HYPERLINK("https://klasma.github.io/Logging_0382/knärot/A 55492-2023 karta knärot.png", "A 55492-2023")</f>
        <v/>
      </c>
      <c r="V47">
        <f>HYPERLINK("https://klasma.github.io/Logging_0382/klagomål/A 55492-2023 FSC-klagomål.docx", "A 55492-2023")</f>
        <v/>
      </c>
      <c r="W47">
        <f>HYPERLINK("https://klasma.github.io/Logging_0382/klagomålsmail/A 55492-2023 FSC-klagomål mail.docx", "A 55492-2023")</f>
        <v/>
      </c>
      <c r="X47">
        <f>HYPERLINK("https://klasma.github.io/Logging_0382/tillsyn/A 55492-2023 tillsynsbegäran.docx", "A 55492-2023")</f>
        <v/>
      </c>
      <c r="Y47">
        <f>HYPERLINK("https://klasma.github.io/Logging_0382/tillsynsmail/A 55492-2023 tillsynsbegäran mail.docx", "A 55492-2023")</f>
        <v/>
      </c>
    </row>
    <row r="48" ht="15" customHeight="1">
      <c r="A48" t="inlineStr">
        <is>
          <t>A 26056-2025</t>
        </is>
      </c>
      <c r="B48" s="1" t="n">
        <v>45804.79280092593</v>
      </c>
      <c r="C48" s="1" t="n">
        <v>46144</v>
      </c>
      <c r="D48" t="inlineStr">
        <is>
          <t>UPPSALA LÄN</t>
        </is>
      </c>
      <c r="E48" t="inlineStr">
        <is>
          <t>ÖSTHAMMAR</t>
        </is>
      </c>
      <c r="F48" t="inlineStr">
        <is>
          <t>Bergvik skog väst AB</t>
        </is>
      </c>
      <c r="G48" t="n">
        <v>4.7</v>
      </c>
      <c r="H48" t="n">
        <v>0</v>
      </c>
      <c r="I48" t="n">
        <v>0</v>
      </c>
      <c r="J48" t="n">
        <v>4</v>
      </c>
      <c r="K48" t="n">
        <v>1</v>
      </c>
      <c r="L48" t="n">
        <v>0</v>
      </c>
      <c r="M48" t="n">
        <v>0</v>
      </c>
      <c r="N48" t="n">
        <v>0</v>
      </c>
      <c r="O48" t="n">
        <v>5</v>
      </c>
      <c r="P48" t="n">
        <v>1</v>
      </c>
      <c r="Q48" t="n">
        <v>5</v>
      </c>
      <c r="R48" s="2" t="inlineStr">
        <is>
          <t>Skägglavmätare
Jungfrulinspraktmal
Mindre träfjäril
Piltecknad fältmätare
Större borstspinnare</t>
        </is>
      </c>
      <c r="S48">
        <f>HYPERLINK("https://klasma.github.io/Logging_0382/artfynd/A 26056-2025 artfynd.xlsx", "A 26056-2025")</f>
        <v/>
      </c>
      <c r="T48">
        <f>HYPERLINK("https://klasma.github.io/Logging_0382/kartor/A 26056-2025 karta.png", "A 26056-2025")</f>
        <v/>
      </c>
      <c r="V48">
        <f>HYPERLINK("https://klasma.github.io/Logging_0382/klagomål/A 26056-2025 FSC-klagomål.docx", "A 26056-2025")</f>
        <v/>
      </c>
      <c r="W48">
        <f>HYPERLINK("https://klasma.github.io/Logging_0382/klagomålsmail/A 26056-2025 FSC-klagomål mail.docx", "A 26056-2025")</f>
        <v/>
      </c>
      <c r="X48">
        <f>HYPERLINK("https://klasma.github.io/Logging_0382/tillsyn/A 26056-2025 tillsynsbegäran.docx", "A 26056-2025")</f>
        <v/>
      </c>
      <c r="Y48">
        <f>HYPERLINK("https://klasma.github.io/Logging_0382/tillsynsmail/A 26056-2025 tillsynsbegäran mail.docx", "A 26056-2025")</f>
        <v/>
      </c>
    </row>
    <row r="49" ht="15" customHeight="1">
      <c r="A49" t="inlineStr">
        <is>
          <t>A 52808-2022</t>
        </is>
      </c>
      <c r="B49" s="1" t="n">
        <v>44875</v>
      </c>
      <c r="C49" s="1" t="n">
        <v>46144</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46144</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46144</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46144</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46144</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46144</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26279-2024</t>
        </is>
      </c>
      <c r="B55" s="1" t="n">
        <v>45468</v>
      </c>
      <c r="C55" s="1" t="n">
        <v>46144</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18158-2026</t>
        </is>
      </c>
      <c r="B56" s="1" t="n">
        <v>46125.64015046296</v>
      </c>
      <c r="C56" s="1" t="n">
        <v>46144</v>
      </c>
      <c r="D56" t="inlineStr">
        <is>
          <t>UPPSALA LÄN</t>
        </is>
      </c>
      <c r="E56" t="inlineStr">
        <is>
          <t>ÖSTHAMMAR</t>
        </is>
      </c>
      <c r="F56" t="inlineStr">
        <is>
          <t>Övriga Aktiebolag</t>
        </is>
      </c>
      <c r="G56" t="n">
        <v>3.7</v>
      </c>
      <c r="H56" t="n">
        <v>3</v>
      </c>
      <c r="I56" t="n">
        <v>2</v>
      </c>
      <c r="J56" t="n">
        <v>1</v>
      </c>
      <c r="K56" t="n">
        <v>0</v>
      </c>
      <c r="L56" t="n">
        <v>0</v>
      </c>
      <c r="M56" t="n">
        <v>0</v>
      </c>
      <c r="N56" t="n">
        <v>0</v>
      </c>
      <c r="O56" t="n">
        <v>1</v>
      </c>
      <c r="P56" t="n">
        <v>0</v>
      </c>
      <c r="Q56" t="n">
        <v>4</v>
      </c>
      <c r="R56" s="2" t="inlineStr">
        <is>
          <t>Gulsparv
Nästrot
Tibast
Blåsippa</t>
        </is>
      </c>
      <c r="S56">
        <f>HYPERLINK("https://klasma.github.io/Logging_0382/artfynd/A 18158-2026 artfynd.xlsx", "A 18158-2026")</f>
        <v/>
      </c>
      <c r="T56">
        <f>HYPERLINK("https://klasma.github.io/Logging_0382/kartor/A 18158-2026 karta.png", "A 18158-2026")</f>
        <v/>
      </c>
      <c r="V56">
        <f>HYPERLINK("https://klasma.github.io/Logging_0382/klagomål/A 18158-2026 FSC-klagomål.docx", "A 18158-2026")</f>
        <v/>
      </c>
      <c r="W56">
        <f>HYPERLINK("https://klasma.github.io/Logging_0382/klagomålsmail/A 18158-2026 FSC-klagomål mail.docx", "A 18158-2026")</f>
        <v/>
      </c>
      <c r="X56">
        <f>HYPERLINK("https://klasma.github.io/Logging_0382/tillsyn/A 18158-2026 tillsynsbegäran.docx", "A 18158-2026")</f>
        <v/>
      </c>
      <c r="Y56">
        <f>HYPERLINK("https://klasma.github.io/Logging_0382/tillsynsmail/A 18158-2026 tillsynsbegäran mail.docx", "A 18158-2026")</f>
        <v/>
      </c>
      <c r="Z56">
        <f>HYPERLINK("https://klasma.github.io/Logging_0382/fåglar/A 18158-2026 prioriterade fågelarter.docx", "A 18158-2026")</f>
        <v/>
      </c>
    </row>
    <row r="57" ht="15" customHeight="1">
      <c r="A57" t="inlineStr">
        <is>
          <t>A 46204-2023</t>
        </is>
      </c>
      <c r="B57" s="1" t="n">
        <v>45190</v>
      </c>
      <c r="C57" s="1" t="n">
        <v>46144</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9715-2024</t>
        </is>
      </c>
      <c r="B58" s="1" t="n">
        <v>45362.53928240741</v>
      </c>
      <c r="C58" s="1" t="n">
        <v>46144</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26552-2022</t>
        </is>
      </c>
      <c r="B59" s="1" t="n">
        <v>44739</v>
      </c>
      <c r="C59" s="1" t="n">
        <v>46144</v>
      </c>
      <c r="D59" t="inlineStr">
        <is>
          <t>UPPSALA LÄN</t>
        </is>
      </c>
      <c r="E59" t="inlineStr">
        <is>
          <t>ÖSTHAMMAR</t>
        </is>
      </c>
      <c r="G59" t="n">
        <v>2.2</v>
      </c>
      <c r="H59" t="n">
        <v>3</v>
      </c>
      <c r="I59" t="n">
        <v>0</v>
      </c>
      <c r="J59" t="n">
        <v>1</v>
      </c>
      <c r="K59" t="n">
        <v>0</v>
      </c>
      <c r="L59" t="n">
        <v>0</v>
      </c>
      <c r="M59" t="n">
        <v>0</v>
      </c>
      <c r="N59" t="n">
        <v>0</v>
      </c>
      <c r="O59" t="n">
        <v>1</v>
      </c>
      <c r="P59" t="n">
        <v>0</v>
      </c>
      <c r="Q59" t="n">
        <v>3</v>
      </c>
      <c r="R59" s="2" t="inlineStr">
        <is>
          <t>Nordfladdermus
Dvärgpipistrell
Vattenfladdermus</t>
        </is>
      </c>
      <c r="S59">
        <f>HYPERLINK("https://klasma.github.io/Logging_0382/artfynd/A 26552-2022 artfynd.xlsx", "A 26552-2022")</f>
        <v/>
      </c>
      <c r="T59">
        <f>HYPERLINK("https://klasma.github.io/Logging_0382/kartor/A 26552-2022 karta.png", "A 26552-2022")</f>
        <v/>
      </c>
      <c r="V59">
        <f>HYPERLINK("https://klasma.github.io/Logging_0382/klagomål/A 26552-2022 FSC-klagomål.docx", "A 26552-2022")</f>
        <v/>
      </c>
      <c r="W59">
        <f>HYPERLINK("https://klasma.github.io/Logging_0382/klagomålsmail/A 26552-2022 FSC-klagomål mail.docx", "A 26552-2022")</f>
        <v/>
      </c>
      <c r="X59">
        <f>HYPERLINK("https://klasma.github.io/Logging_0382/tillsyn/A 26552-2022 tillsynsbegäran.docx", "A 26552-2022")</f>
        <v/>
      </c>
      <c r="Y59">
        <f>HYPERLINK("https://klasma.github.io/Logging_0382/tillsynsmail/A 26552-2022 tillsynsbegäran mail.docx", "A 26552-2022")</f>
        <v/>
      </c>
    </row>
    <row r="60" ht="15" customHeight="1">
      <c r="A60" t="inlineStr">
        <is>
          <t>A 55051-2021</t>
        </is>
      </c>
      <c r="B60" s="1" t="n">
        <v>44474</v>
      </c>
      <c r="C60" s="1" t="n">
        <v>46144</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6567-2026</t>
        </is>
      </c>
      <c r="B61" s="1" t="n">
        <v>46056.44011574074</v>
      </c>
      <c r="C61" s="1" t="n">
        <v>46144</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33035-2021</t>
        </is>
      </c>
      <c r="B62" s="1" t="n">
        <v>44376</v>
      </c>
      <c r="C62" s="1" t="n">
        <v>46144</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26557-2022</t>
        </is>
      </c>
      <c r="B63" s="1" t="n">
        <v>44739</v>
      </c>
      <c r="C63" s="1" t="n">
        <v>46144</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9683-2023</t>
        </is>
      </c>
      <c r="B64" s="1" t="n">
        <v>44984.43856481482</v>
      </c>
      <c r="C64" s="1" t="n">
        <v>46144</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25044-2025</t>
        </is>
      </c>
      <c r="B65" s="1" t="n">
        <v>45799.66607638889</v>
      </c>
      <c r="C65" s="1" t="n">
        <v>46144</v>
      </c>
      <c r="D65" t="inlineStr">
        <is>
          <t>UPPSALA LÄN</t>
        </is>
      </c>
      <c r="E65" t="inlineStr">
        <is>
          <t>ÖSTHAMMAR</t>
        </is>
      </c>
      <c r="F65" t="inlineStr">
        <is>
          <t>Bergvik skog öst AB</t>
        </is>
      </c>
      <c r="G65" t="n">
        <v>8.199999999999999</v>
      </c>
      <c r="H65" t="n">
        <v>2</v>
      </c>
      <c r="I65" t="n">
        <v>2</v>
      </c>
      <c r="J65" t="n">
        <v>0</v>
      </c>
      <c r="K65" t="n">
        <v>0</v>
      </c>
      <c r="L65" t="n">
        <v>0</v>
      </c>
      <c r="M65" t="n">
        <v>0</v>
      </c>
      <c r="N65" t="n">
        <v>0</v>
      </c>
      <c r="O65" t="n">
        <v>0</v>
      </c>
      <c r="P65" t="n">
        <v>0</v>
      </c>
      <c r="Q65" t="n">
        <v>3</v>
      </c>
      <c r="R65" s="2" t="inlineStr">
        <is>
          <t>Tvåblad
Vårärt
Blåsippa</t>
        </is>
      </c>
      <c r="S65">
        <f>HYPERLINK("https://klasma.github.io/Logging_0382/artfynd/A 25044-2025 artfynd.xlsx", "A 25044-2025")</f>
        <v/>
      </c>
      <c r="T65">
        <f>HYPERLINK("https://klasma.github.io/Logging_0382/kartor/A 25044-2025 karta.png", "A 25044-2025")</f>
        <v/>
      </c>
      <c r="V65">
        <f>HYPERLINK("https://klasma.github.io/Logging_0382/klagomål/A 25044-2025 FSC-klagomål.docx", "A 25044-2025")</f>
        <v/>
      </c>
      <c r="W65">
        <f>HYPERLINK("https://klasma.github.io/Logging_0382/klagomålsmail/A 25044-2025 FSC-klagomål mail.docx", "A 25044-2025")</f>
        <v/>
      </c>
      <c r="X65">
        <f>HYPERLINK("https://klasma.github.io/Logging_0382/tillsyn/A 25044-2025 tillsynsbegäran.docx", "A 25044-2025")</f>
        <v/>
      </c>
      <c r="Y65">
        <f>HYPERLINK("https://klasma.github.io/Logging_0382/tillsynsmail/A 25044-2025 tillsynsbegäran mail.docx", "A 25044-2025")</f>
        <v/>
      </c>
    </row>
    <row r="66" ht="15" customHeight="1">
      <c r="A66" t="inlineStr">
        <is>
          <t>A 17004-2024</t>
        </is>
      </c>
      <c r="B66" s="1" t="n">
        <v>45412</v>
      </c>
      <c r="C66" s="1" t="n">
        <v>46144</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60078-2021</t>
        </is>
      </c>
      <c r="B67" s="1" t="n">
        <v>44495</v>
      </c>
      <c r="C67" s="1" t="n">
        <v>46144</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46144</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46144</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46144</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46144</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37768-2025</t>
        </is>
      </c>
      <c r="B72" s="1" t="n">
        <v>45880</v>
      </c>
      <c r="C72" s="1" t="n">
        <v>46144</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41303-2025</t>
        </is>
      </c>
      <c r="B73" s="1" t="n">
        <v>45898.69215277778</v>
      </c>
      <c r="C73" s="1" t="n">
        <v>46144</v>
      </c>
      <c r="D73" t="inlineStr">
        <is>
          <t>UPPSALA LÄN</t>
        </is>
      </c>
      <c r="E73" t="inlineStr">
        <is>
          <t>ÖSTHAMMAR</t>
        </is>
      </c>
      <c r="G73" t="n">
        <v>10.1</v>
      </c>
      <c r="H73" t="n">
        <v>1</v>
      </c>
      <c r="I73" t="n">
        <v>1</v>
      </c>
      <c r="J73" t="n">
        <v>0</v>
      </c>
      <c r="K73" t="n">
        <v>0</v>
      </c>
      <c r="L73" t="n">
        <v>0</v>
      </c>
      <c r="M73" t="n">
        <v>0</v>
      </c>
      <c r="N73" t="n">
        <v>0</v>
      </c>
      <c r="O73" t="n">
        <v>0</v>
      </c>
      <c r="P73" t="n">
        <v>0</v>
      </c>
      <c r="Q73" t="n">
        <v>2</v>
      </c>
      <c r="R73" s="2" t="inlineStr">
        <is>
          <t>Svavelriska
Revlummer</t>
        </is>
      </c>
      <c r="S73">
        <f>HYPERLINK("https://klasma.github.io/Logging_0382/artfynd/A 41303-2025 artfynd.xlsx", "A 41303-2025")</f>
        <v/>
      </c>
      <c r="T73">
        <f>HYPERLINK("https://klasma.github.io/Logging_0382/kartor/A 41303-2025 karta.png", "A 41303-2025")</f>
        <v/>
      </c>
      <c r="V73">
        <f>HYPERLINK("https://klasma.github.io/Logging_0382/klagomål/A 41303-2025 FSC-klagomål.docx", "A 41303-2025")</f>
        <v/>
      </c>
      <c r="W73">
        <f>HYPERLINK("https://klasma.github.io/Logging_0382/klagomålsmail/A 41303-2025 FSC-klagomål mail.docx", "A 41303-2025")</f>
        <v/>
      </c>
      <c r="X73">
        <f>HYPERLINK("https://klasma.github.io/Logging_0382/tillsyn/A 41303-2025 tillsynsbegäran.docx", "A 41303-2025")</f>
        <v/>
      </c>
      <c r="Y73">
        <f>HYPERLINK("https://klasma.github.io/Logging_0382/tillsynsmail/A 41303-2025 tillsynsbegäran mail.docx", "A 41303-2025")</f>
        <v/>
      </c>
    </row>
    <row r="74" ht="15" customHeight="1">
      <c r="A74" t="inlineStr">
        <is>
          <t>A 9646-2024</t>
        </is>
      </c>
      <c r="B74" s="1" t="n">
        <v>45362.37055555556</v>
      </c>
      <c r="C74" s="1" t="n">
        <v>46144</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56669-2025</t>
        </is>
      </c>
      <c r="B75" s="1" t="n">
        <v>45975.69306712963</v>
      </c>
      <c r="C75" s="1" t="n">
        <v>46144</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73981-2021</t>
        </is>
      </c>
      <c r="B76" s="1" t="n">
        <v>44555</v>
      </c>
      <c r="C76" s="1" t="n">
        <v>46144</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13287-2022</t>
        </is>
      </c>
      <c r="B77" s="1" t="n">
        <v>44644</v>
      </c>
      <c r="C77" s="1" t="n">
        <v>46144</v>
      </c>
      <c r="D77" t="inlineStr">
        <is>
          <t>UPPSALA LÄN</t>
        </is>
      </c>
      <c r="E77" t="inlineStr">
        <is>
          <t>ÖSTHAMMAR</t>
        </is>
      </c>
      <c r="G77" t="n">
        <v>14.6</v>
      </c>
      <c r="H77" t="n">
        <v>0</v>
      </c>
      <c r="I77" t="n">
        <v>1</v>
      </c>
      <c r="J77" t="n">
        <v>0</v>
      </c>
      <c r="K77" t="n">
        <v>1</v>
      </c>
      <c r="L77" t="n">
        <v>0</v>
      </c>
      <c r="M77" t="n">
        <v>0</v>
      </c>
      <c r="N77" t="n">
        <v>0</v>
      </c>
      <c r="O77" t="n">
        <v>1</v>
      </c>
      <c r="P77" t="n">
        <v>1</v>
      </c>
      <c r="Q77" t="n">
        <v>2</v>
      </c>
      <c r="R77" s="2" t="inlineStr">
        <is>
          <t>Bullspindling
Olivspindling</t>
        </is>
      </c>
      <c r="S77">
        <f>HYPERLINK("https://klasma.github.io/Logging_0382/artfynd/A 13287-2022 artfynd.xlsx", "A 13287-2022")</f>
        <v/>
      </c>
      <c r="T77">
        <f>HYPERLINK("https://klasma.github.io/Logging_0382/kartor/A 13287-2022 karta.png", "A 13287-2022")</f>
        <v/>
      </c>
      <c r="V77">
        <f>HYPERLINK("https://klasma.github.io/Logging_0382/klagomål/A 13287-2022 FSC-klagomål.docx", "A 13287-2022")</f>
        <v/>
      </c>
      <c r="W77">
        <f>HYPERLINK("https://klasma.github.io/Logging_0382/klagomålsmail/A 13287-2022 FSC-klagomål mail.docx", "A 13287-2022")</f>
        <v/>
      </c>
      <c r="X77">
        <f>HYPERLINK("https://klasma.github.io/Logging_0382/tillsyn/A 13287-2022 tillsynsbegäran.docx", "A 13287-2022")</f>
        <v/>
      </c>
      <c r="Y77">
        <f>HYPERLINK("https://klasma.github.io/Logging_0382/tillsynsmail/A 13287-2022 tillsynsbegäran mail.docx", "A 13287-2022")</f>
        <v/>
      </c>
    </row>
    <row r="78" ht="15" customHeight="1">
      <c r="A78" t="inlineStr">
        <is>
          <t>A 60898-2025</t>
        </is>
      </c>
      <c r="B78" s="1" t="n">
        <v>45999.58256944444</v>
      </c>
      <c r="C78" s="1" t="n">
        <v>46144</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46144</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25098-2022</t>
        </is>
      </c>
      <c r="B80" s="1" t="n">
        <v>44729.44149305556</v>
      </c>
      <c r="C80" s="1" t="n">
        <v>46144</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46144</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17694-2026</t>
        </is>
      </c>
      <c r="B82" s="1" t="n">
        <v>46121.65268518519</v>
      </c>
      <c r="C82" s="1" t="n">
        <v>46144</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67855-2021</t>
        </is>
      </c>
      <c r="B83" s="1" t="n">
        <v>44525</v>
      </c>
      <c r="C83" s="1" t="n">
        <v>46144</v>
      </c>
      <c r="D83" t="inlineStr">
        <is>
          <t>UPPSALA LÄN</t>
        </is>
      </c>
      <c r="E83" t="inlineStr">
        <is>
          <t>ÖSTHAMMAR</t>
        </is>
      </c>
      <c r="G83" t="n">
        <v>7.5</v>
      </c>
      <c r="H83" t="n">
        <v>0</v>
      </c>
      <c r="I83" t="n">
        <v>2</v>
      </c>
      <c r="J83" t="n">
        <v>0</v>
      </c>
      <c r="K83" t="n">
        <v>0</v>
      </c>
      <c r="L83" t="n">
        <v>0</v>
      </c>
      <c r="M83" t="n">
        <v>0</v>
      </c>
      <c r="N83" t="n">
        <v>0</v>
      </c>
      <c r="O83" t="n">
        <v>0</v>
      </c>
      <c r="P83" t="n">
        <v>0</v>
      </c>
      <c r="Q83" t="n">
        <v>2</v>
      </c>
      <c r="R83" s="2" t="inlineStr">
        <is>
          <t>Guldkremla
Kamjordstjärna</t>
        </is>
      </c>
      <c r="S83">
        <f>HYPERLINK("https://klasma.github.io/Logging_0382/artfynd/A 67855-2021 artfynd.xlsx", "A 67855-2021")</f>
        <v/>
      </c>
      <c r="T83">
        <f>HYPERLINK("https://klasma.github.io/Logging_0382/kartor/A 67855-2021 karta.png", "A 67855-2021")</f>
        <v/>
      </c>
      <c r="V83">
        <f>HYPERLINK("https://klasma.github.io/Logging_0382/klagomål/A 67855-2021 FSC-klagomål.docx", "A 67855-2021")</f>
        <v/>
      </c>
      <c r="W83">
        <f>HYPERLINK("https://klasma.github.io/Logging_0382/klagomålsmail/A 67855-2021 FSC-klagomål mail.docx", "A 67855-2021")</f>
        <v/>
      </c>
      <c r="X83">
        <f>HYPERLINK("https://klasma.github.io/Logging_0382/tillsyn/A 67855-2021 tillsynsbegäran.docx", "A 67855-2021")</f>
        <v/>
      </c>
      <c r="Y83">
        <f>HYPERLINK("https://klasma.github.io/Logging_0382/tillsynsmail/A 67855-2021 tillsynsbegäran mail.docx", "A 67855-2021")</f>
        <v/>
      </c>
    </row>
    <row r="84" ht="15" customHeight="1">
      <c r="A84" t="inlineStr">
        <is>
          <t>A 21453-2023</t>
        </is>
      </c>
      <c r="B84" s="1" t="n">
        <v>45063</v>
      </c>
      <c r="C84" s="1" t="n">
        <v>46144</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20553-2025</t>
        </is>
      </c>
      <c r="B85" s="1" t="n">
        <v>45775.63983796296</v>
      </c>
      <c r="C85" s="1" t="n">
        <v>46144</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30943-2024</t>
        </is>
      </c>
      <c r="B86" s="1" t="n">
        <v>45499</v>
      </c>
      <c r="C86" s="1" t="n">
        <v>46144</v>
      </c>
      <c r="D86" t="inlineStr">
        <is>
          <t>UPPSALA LÄN</t>
        </is>
      </c>
      <c r="E86" t="inlineStr">
        <is>
          <t>ÖSTHAMMAR</t>
        </is>
      </c>
      <c r="G86" t="n">
        <v>4.5</v>
      </c>
      <c r="H86" t="n">
        <v>0</v>
      </c>
      <c r="I86" t="n">
        <v>2</v>
      </c>
      <c r="J86" t="n">
        <v>0</v>
      </c>
      <c r="K86" t="n">
        <v>0</v>
      </c>
      <c r="L86" t="n">
        <v>0</v>
      </c>
      <c r="M86" t="n">
        <v>0</v>
      </c>
      <c r="N86" t="n">
        <v>0</v>
      </c>
      <c r="O86" t="n">
        <v>0</v>
      </c>
      <c r="P86" t="n">
        <v>0</v>
      </c>
      <c r="Q86" t="n">
        <v>2</v>
      </c>
      <c r="R86" s="2" t="inlineStr">
        <is>
          <t>Tibast
Underviol</t>
        </is>
      </c>
      <c r="S86">
        <f>HYPERLINK("https://klasma.github.io/Logging_0382/artfynd/A 30943-2024 artfynd.xlsx", "A 30943-2024")</f>
        <v/>
      </c>
      <c r="T86">
        <f>HYPERLINK("https://klasma.github.io/Logging_0382/kartor/A 30943-2024 karta.png", "A 30943-2024")</f>
        <v/>
      </c>
      <c r="V86">
        <f>HYPERLINK("https://klasma.github.io/Logging_0382/klagomål/A 30943-2024 FSC-klagomål.docx", "A 30943-2024")</f>
        <v/>
      </c>
      <c r="W86">
        <f>HYPERLINK("https://klasma.github.io/Logging_0382/klagomålsmail/A 30943-2024 FSC-klagomål mail.docx", "A 30943-2024")</f>
        <v/>
      </c>
      <c r="X86">
        <f>HYPERLINK("https://klasma.github.io/Logging_0382/tillsyn/A 30943-2024 tillsynsbegäran.docx", "A 30943-2024")</f>
        <v/>
      </c>
      <c r="Y86">
        <f>HYPERLINK("https://klasma.github.io/Logging_0382/tillsynsmail/A 30943-2024 tillsynsbegäran mail.docx", "A 30943-2024")</f>
        <v/>
      </c>
    </row>
    <row r="87" ht="15" customHeight="1">
      <c r="A87" t="inlineStr">
        <is>
          <t>A 2916-2025</t>
        </is>
      </c>
      <c r="B87" s="1" t="n">
        <v>45677</v>
      </c>
      <c r="C87" s="1" t="n">
        <v>46144</v>
      </c>
      <c r="D87" t="inlineStr">
        <is>
          <t>UPPSALA LÄN</t>
        </is>
      </c>
      <c r="E87" t="inlineStr">
        <is>
          <t>ÖSTHAMMAR</t>
        </is>
      </c>
      <c r="F87" t="inlineStr">
        <is>
          <t>Allmännings- och besparingsskogar</t>
        </is>
      </c>
      <c r="G87" t="n">
        <v>10.5</v>
      </c>
      <c r="H87" t="n">
        <v>2</v>
      </c>
      <c r="I87" t="n">
        <v>0</v>
      </c>
      <c r="J87" t="n">
        <v>0</v>
      </c>
      <c r="K87" t="n">
        <v>0</v>
      </c>
      <c r="L87" t="n">
        <v>0</v>
      </c>
      <c r="M87" t="n">
        <v>0</v>
      </c>
      <c r="N87" t="n">
        <v>0</v>
      </c>
      <c r="O87" t="n">
        <v>0</v>
      </c>
      <c r="P87" t="n">
        <v>0</v>
      </c>
      <c r="Q87" t="n">
        <v>2</v>
      </c>
      <c r="R87" s="2" t="inlineStr">
        <is>
          <t>Grönvit nattviol
Ängsnycklar × fläcknycklar</t>
        </is>
      </c>
      <c r="S87">
        <f>HYPERLINK("https://klasma.github.io/Logging_0382/artfynd/A 2916-2025 artfynd.xlsx", "A 2916-2025")</f>
        <v/>
      </c>
      <c r="T87">
        <f>HYPERLINK("https://klasma.github.io/Logging_0382/kartor/A 2916-2025 karta.png", "A 2916-2025")</f>
        <v/>
      </c>
      <c r="V87">
        <f>HYPERLINK("https://klasma.github.io/Logging_0382/klagomål/A 2916-2025 FSC-klagomål.docx", "A 2916-2025")</f>
        <v/>
      </c>
      <c r="W87">
        <f>HYPERLINK("https://klasma.github.io/Logging_0382/klagomålsmail/A 2916-2025 FSC-klagomål mail.docx", "A 2916-2025")</f>
        <v/>
      </c>
      <c r="X87">
        <f>HYPERLINK("https://klasma.github.io/Logging_0382/tillsyn/A 2916-2025 tillsynsbegäran.docx", "A 2916-2025")</f>
        <v/>
      </c>
      <c r="Y87">
        <f>HYPERLINK("https://klasma.github.io/Logging_0382/tillsynsmail/A 2916-2025 tillsynsbegäran mail.docx", "A 2916-2025")</f>
        <v/>
      </c>
    </row>
    <row r="88" ht="15" customHeight="1">
      <c r="A88" t="inlineStr">
        <is>
          <t>A 33269-2025</t>
        </is>
      </c>
      <c r="B88" s="1" t="n">
        <v>45840.68208333333</v>
      </c>
      <c r="C88" s="1" t="n">
        <v>46144</v>
      </c>
      <c r="D88" t="inlineStr">
        <is>
          <t>UPPSALA LÄN</t>
        </is>
      </c>
      <c r="E88" t="inlineStr">
        <is>
          <t>ÖSTHAMMAR</t>
        </is>
      </c>
      <c r="G88" t="n">
        <v>14.9</v>
      </c>
      <c r="H88" t="n">
        <v>0</v>
      </c>
      <c r="I88" t="n">
        <v>1</v>
      </c>
      <c r="J88" t="n">
        <v>0</v>
      </c>
      <c r="K88" t="n">
        <v>1</v>
      </c>
      <c r="L88" t="n">
        <v>0</v>
      </c>
      <c r="M88" t="n">
        <v>0</v>
      </c>
      <c r="N88" t="n">
        <v>0</v>
      </c>
      <c r="O88" t="n">
        <v>1</v>
      </c>
      <c r="P88" t="n">
        <v>1</v>
      </c>
      <c r="Q88" t="n">
        <v>2</v>
      </c>
      <c r="R88" s="2" t="inlineStr">
        <is>
          <t>Violgubbe
Kamjordstjärna</t>
        </is>
      </c>
      <c r="S88">
        <f>HYPERLINK("https://klasma.github.io/Logging_0382/artfynd/A 33269-2025 artfynd.xlsx", "A 33269-2025")</f>
        <v/>
      </c>
      <c r="T88">
        <f>HYPERLINK("https://klasma.github.io/Logging_0382/kartor/A 33269-2025 karta.png", "A 33269-2025")</f>
        <v/>
      </c>
      <c r="V88">
        <f>HYPERLINK("https://klasma.github.io/Logging_0382/klagomål/A 33269-2025 FSC-klagomål.docx", "A 33269-2025")</f>
        <v/>
      </c>
      <c r="W88">
        <f>HYPERLINK("https://klasma.github.io/Logging_0382/klagomålsmail/A 33269-2025 FSC-klagomål mail.docx", "A 33269-2025")</f>
        <v/>
      </c>
      <c r="X88">
        <f>HYPERLINK("https://klasma.github.io/Logging_0382/tillsyn/A 33269-2025 tillsynsbegäran.docx", "A 33269-2025")</f>
        <v/>
      </c>
      <c r="Y88">
        <f>HYPERLINK("https://klasma.github.io/Logging_0382/tillsynsmail/A 33269-2025 tillsynsbegäran mail.docx", "A 33269-2025")</f>
        <v/>
      </c>
    </row>
    <row r="89" ht="15" customHeight="1">
      <c r="A89" t="inlineStr">
        <is>
          <t>A 38442-2022</t>
        </is>
      </c>
      <c r="B89" s="1" t="n">
        <v>44813</v>
      </c>
      <c r="C89" s="1" t="n">
        <v>46144</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46144</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46144</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46144</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46144</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46144</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70495-2021</t>
        </is>
      </c>
      <c r="B95" s="1" t="n">
        <v>44536</v>
      </c>
      <c r="C95" s="1" t="n">
        <v>46144</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10034-2023</t>
        </is>
      </c>
      <c r="B96" s="1" t="n">
        <v>44985</v>
      </c>
      <c r="C96" s="1" t="n">
        <v>46144</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46629-2024</t>
        </is>
      </c>
      <c r="B97" s="1" t="n">
        <v>45583.33221064815</v>
      </c>
      <c r="C97" s="1" t="n">
        <v>46144</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25179-2023</t>
        </is>
      </c>
      <c r="B98" s="1" t="n">
        <v>45078</v>
      </c>
      <c r="C98" s="1" t="n">
        <v>46144</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22209-2022</t>
        </is>
      </c>
      <c r="B99" s="1" t="n">
        <v>44712</v>
      </c>
      <c r="C99" s="1" t="n">
        <v>46144</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41220-2025</t>
        </is>
      </c>
      <c r="B100" s="1" t="n">
        <v>45898.58630787037</v>
      </c>
      <c r="C100" s="1" t="n">
        <v>46144</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22287-2023</t>
        </is>
      </c>
      <c r="B101" s="1" t="n">
        <v>45070</v>
      </c>
      <c r="C101" s="1" t="n">
        <v>46144</v>
      </c>
      <c r="D101" t="inlineStr">
        <is>
          <t>UPPSALA LÄN</t>
        </is>
      </c>
      <c r="E101" t="inlineStr">
        <is>
          <t>ÖSTHAMMAR</t>
        </is>
      </c>
      <c r="G101" t="n">
        <v>6.3</v>
      </c>
      <c r="H101" t="n">
        <v>1</v>
      </c>
      <c r="I101" t="n">
        <v>1</v>
      </c>
      <c r="J101" t="n">
        <v>0</v>
      </c>
      <c r="K101" t="n">
        <v>0</v>
      </c>
      <c r="L101" t="n">
        <v>0</v>
      </c>
      <c r="M101" t="n">
        <v>0</v>
      </c>
      <c r="N101" t="n">
        <v>0</v>
      </c>
      <c r="O101" t="n">
        <v>0</v>
      </c>
      <c r="P101" t="n">
        <v>0</v>
      </c>
      <c r="Q101" t="n">
        <v>1</v>
      </c>
      <c r="R101" s="2" t="inlineStr">
        <is>
          <t>Guckusko</t>
        </is>
      </c>
      <c r="S101">
        <f>HYPERLINK("https://klasma.github.io/Logging_0382/artfynd/A 22287-2023 artfynd.xlsx", "A 22287-2023")</f>
        <v/>
      </c>
      <c r="T101">
        <f>HYPERLINK("https://klasma.github.io/Logging_0382/kartor/A 22287-2023 karta.png", "A 22287-2023")</f>
        <v/>
      </c>
      <c r="V101">
        <f>HYPERLINK("https://klasma.github.io/Logging_0382/klagomål/A 22287-2023 FSC-klagomål.docx", "A 22287-2023")</f>
        <v/>
      </c>
      <c r="W101">
        <f>HYPERLINK("https://klasma.github.io/Logging_0382/klagomålsmail/A 22287-2023 FSC-klagomål mail.docx", "A 22287-2023")</f>
        <v/>
      </c>
      <c r="X101">
        <f>HYPERLINK("https://klasma.github.io/Logging_0382/tillsyn/A 22287-2023 tillsynsbegäran.docx", "A 22287-2023")</f>
        <v/>
      </c>
      <c r="Y101">
        <f>HYPERLINK("https://klasma.github.io/Logging_0382/tillsynsmail/A 22287-2023 tillsynsbegäran mail.docx", "A 22287-2023")</f>
        <v/>
      </c>
    </row>
    <row r="102" ht="15" customHeight="1">
      <c r="A102" t="inlineStr">
        <is>
          <t>A 7470-2022</t>
        </is>
      </c>
      <c r="B102" s="1" t="n">
        <v>44607</v>
      </c>
      <c r="C102" s="1" t="n">
        <v>46144</v>
      </c>
      <c r="D102" t="inlineStr">
        <is>
          <t>UPPSALA LÄN</t>
        </is>
      </c>
      <c r="E102" t="inlineStr">
        <is>
          <t>ÖSTHAMMAR</t>
        </is>
      </c>
      <c r="G102" t="n">
        <v>2.6</v>
      </c>
      <c r="H102" t="n">
        <v>1</v>
      </c>
      <c r="I102" t="n">
        <v>1</v>
      </c>
      <c r="J102" t="n">
        <v>0</v>
      </c>
      <c r="K102" t="n">
        <v>0</v>
      </c>
      <c r="L102" t="n">
        <v>0</v>
      </c>
      <c r="M102" t="n">
        <v>0</v>
      </c>
      <c r="N102" t="n">
        <v>0</v>
      </c>
      <c r="O102" t="n">
        <v>0</v>
      </c>
      <c r="P102" t="n">
        <v>0</v>
      </c>
      <c r="Q102" t="n">
        <v>1</v>
      </c>
      <c r="R102" s="2" t="inlineStr">
        <is>
          <t>Grön sköldmossa</t>
        </is>
      </c>
      <c r="S102">
        <f>HYPERLINK("https://klasma.github.io/Logging_0382/artfynd/A 7470-2022 artfynd.xlsx", "A 7470-2022")</f>
        <v/>
      </c>
      <c r="T102">
        <f>HYPERLINK("https://klasma.github.io/Logging_0382/kartor/A 7470-2022 karta.png", "A 7470-2022")</f>
        <v/>
      </c>
      <c r="V102">
        <f>HYPERLINK("https://klasma.github.io/Logging_0382/klagomål/A 7470-2022 FSC-klagomål.docx", "A 7470-2022")</f>
        <v/>
      </c>
      <c r="W102">
        <f>HYPERLINK("https://klasma.github.io/Logging_0382/klagomålsmail/A 7470-2022 FSC-klagomål mail.docx", "A 7470-2022")</f>
        <v/>
      </c>
      <c r="X102">
        <f>HYPERLINK("https://klasma.github.io/Logging_0382/tillsyn/A 7470-2022 tillsynsbegäran.docx", "A 7470-2022")</f>
        <v/>
      </c>
      <c r="Y102">
        <f>HYPERLINK("https://klasma.github.io/Logging_0382/tillsynsmail/A 7470-2022 tillsynsbegäran mail.docx", "A 7470-2022")</f>
        <v/>
      </c>
    </row>
    <row r="103" ht="15" customHeight="1">
      <c r="A103" t="inlineStr">
        <is>
          <t>A 33800-2024</t>
        </is>
      </c>
      <c r="B103" s="1" t="n">
        <v>45520</v>
      </c>
      <c r="C103" s="1" t="n">
        <v>46144</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49839-2021</t>
        </is>
      </c>
      <c r="B104" s="1" t="n">
        <v>44455</v>
      </c>
      <c r="C104" s="1" t="n">
        <v>46144</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46144</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52879-2025</t>
        </is>
      </c>
      <c r="B106" s="1" t="n">
        <v>45957.544375</v>
      </c>
      <c r="C106" s="1" t="n">
        <v>46144</v>
      </c>
      <c r="D106" t="inlineStr">
        <is>
          <t>UPPSALA LÄN</t>
        </is>
      </c>
      <c r="E106" t="inlineStr">
        <is>
          <t>ÖSTHAMMAR</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HYPERLINK("https://klasma.github.io/Logging_0382/artfynd/A 52879-2025 artfynd.xlsx", "A 52879-2025")</f>
        <v/>
      </c>
      <c r="T106">
        <f>HYPERLINK("https://klasma.github.io/Logging_0382/kartor/A 52879-2025 karta.png", "A 52879-2025")</f>
        <v/>
      </c>
      <c r="V106">
        <f>HYPERLINK("https://klasma.github.io/Logging_0382/klagomål/A 52879-2025 FSC-klagomål.docx", "A 52879-2025")</f>
        <v/>
      </c>
      <c r="W106">
        <f>HYPERLINK("https://klasma.github.io/Logging_0382/klagomålsmail/A 52879-2025 FSC-klagomål mail.docx", "A 52879-2025")</f>
        <v/>
      </c>
      <c r="X106">
        <f>HYPERLINK("https://klasma.github.io/Logging_0382/tillsyn/A 52879-2025 tillsynsbegäran.docx", "A 52879-2025")</f>
        <v/>
      </c>
      <c r="Y106">
        <f>HYPERLINK("https://klasma.github.io/Logging_0382/tillsynsmail/A 52879-2025 tillsynsbegäran mail.docx", "A 52879-2025")</f>
        <v/>
      </c>
    </row>
    <row r="107" ht="15" customHeight="1">
      <c r="A107" t="inlineStr">
        <is>
          <t>A 37296-2023</t>
        </is>
      </c>
      <c r="B107" s="1" t="n">
        <v>45156</v>
      </c>
      <c r="C107" s="1" t="n">
        <v>46144</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46144</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7446-2022</t>
        </is>
      </c>
      <c r="B109" s="1" t="n">
        <v>44606</v>
      </c>
      <c r="C109" s="1" t="n">
        <v>46144</v>
      </c>
      <c r="D109" t="inlineStr">
        <is>
          <t>UPPSALA LÄN</t>
        </is>
      </c>
      <c r="E109" t="inlineStr">
        <is>
          <t>ÖSTHAMMAR</t>
        </is>
      </c>
      <c r="G109" t="n">
        <v>5</v>
      </c>
      <c r="H109" t="n">
        <v>1</v>
      </c>
      <c r="I109" t="n">
        <v>0</v>
      </c>
      <c r="J109" t="n">
        <v>0</v>
      </c>
      <c r="K109" t="n">
        <v>0</v>
      </c>
      <c r="L109" t="n">
        <v>0</v>
      </c>
      <c r="M109" t="n">
        <v>0</v>
      </c>
      <c r="N109" t="n">
        <v>0</v>
      </c>
      <c r="O109" t="n">
        <v>0</v>
      </c>
      <c r="P109" t="n">
        <v>0</v>
      </c>
      <c r="Q109" t="n">
        <v>1</v>
      </c>
      <c r="R109" s="2" t="inlineStr">
        <is>
          <t>Mattlummer</t>
        </is>
      </c>
      <c r="S109">
        <f>HYPERLINK("https://klasma.github.io/Logging_0382/artfynd/A 7446-2022 artfynd.xlsx", "A 7446-2022")</f>
        <v/>
      </c>
      <c r="T109">
        <f>HYPERLINK("https://klasma.github.io/Logging_0382/kartor/A 7446-2022 karta.png", "A 7446-2022")</f>
        <v/>
      </c>
      <c r="V109">
        <f>HYPERLINK("https://klasma.github.io/Logging_0382/klagomål/A 7446-2022 FSC-klagomål.docx", "A 7446-2022")</f>
        <v/>
      </c>
      <c r="W109">
        <f>HYPERLINK("https://klasma.github.io/Logging_0382/klagomålsmail/A 7446-2022 FSC-klagomål mail.docx", "A 7446-2022")</f>
        <v/>
      </c>
      <c r="X109">
        <f>HYPERLINK("https://klasma.github.io/Logging_0382/tillsyn/A 7446-2022 tillsynsbegäran.docx", "A 7446-2022")</f>
        <v/>
      </c>
      <c r="Y109">
        <f>HYPERLINK("https://klasma.github.io/Logging_0382/tillsynsmail/A 7446-2022 tillsynsbegäran mail.docx", "A 7446-2022")</f>
        <v/>
      </c>
    </row>
    <row r="110" ht="15" customHeight="1">
      <c r="A110" t="inlineStr">
        <is>
          <t>A 1227-2022</t>
        </is>
      </c>
      <c r="B110" s="1" t="n">
        <v>44572.57641203704</v>
      </c>
      <c r="C110" s="1" t="n">
        <v>46144</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61410-2025</t>
        </is>
      </c>
      <c r="B111" s="1" t="n">
        <v>46001.51974537037</v>
      </c>
      <c r="C111" s="1" t="n">
        <v>46144</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29679-2023</t>
        </is>
      </c>
      <c r="B112" s="1" t="n">
        <v>45107</v>
      </c>
      <c r="C112" s="1" t="n">
        <v>46144</v>
      </c>
      <c r="D112" t="inlineStr">
        <is>
          <t>UPPSALA LÄN</t>
        </is>
      </c>
      <c r="E112" t="inlineStr">
        <is>
          <t>ÖSTHAMMAR</t>
        </is>
      </c>
      <c r="F112" t="inlineStr">
        <is>
          <t>Övriga Aktiebolag</t>
        </is>
      </c>
      <c r="G112" t="n">
        <v>7.3</v>
      </c>
      <c r="H112" t="n">
        <v>0</v>
      </c>
      <c r="I112" t="n">
        <v>0</v>
      </c>
      <c r="J112" t="n">
        <v>1</v>
      </c>
      <c r="K112" t="n">
        <v>0</v>
      </c>
      <c r="L112" t="n">
        <v>0</v>
      </c>
      <c r="M112" t="n">
        <v>0</v>
      </c>
      <c r="N112" t="n">
        <v>0</v>
      </c>
      <c r="O112" t="n">
        <v>1</v>
      </c>
      <c r="P112" t="n">
        <v>0</v>
      </c>
      <c r="Q112" t="n">
        <v>1</v>
      </c>
      <c r="R112" s="2" t="inlineStr">
        <is>
          <t>Vintertagging</t>
        </is>
      </c>
      <c r="S112">
        <f>HYPERLINK("https://klasma.github.io/Logging_0382/artfynd/A 29679-2023 artfynd.xlsx", "A 29679-2023")</f>
        <v/>
      </c>
      <c r="T112">
        <f>HYPERLINK("https://klasma.github.io/Logging_0382/kartor/A 29679-2023 karta.png", "A 29679-2023")</f>
        <v/>
      </c>
      <c r="V112">
        <f>HYPERLINK("https://klasma.github.io/Logging_0382/klagomål/A 29679-2023 FSC-klagomål.docx", "A 29679-2023")</f>
        <v/>
      </c>
      <c r="W112">
        <f>HYPERLINK("https://klasma.github.io/Logging_0382/klagomålsmail/A 29679-2023 FSC-klagomål mail.docx", "A 29679-2023")</f>
        <v/>
      </c>
      <c r="X112">
        <f>HYPERLINK("https://klasma.github.io/Logging_0382/tillsyn/A 29679-2023 tillsynsbegäran.docx", "A 29679-2023")</f>
        <v/>
      </c>
      <c r="Y112">
        <f>HYPERLINK("https://klasma.github.io/Logging_0382/tillsynsmail/A 29679-2023 tillsynsbegäran mail.docx", "A 29679-2023")</f>
        <v/>
      </c>
    </row>
    <row r="113" ht="15" customHeight="1">
      <c r="A113" t="inlineStr">
        <is>
          <t>A 24797-2022</t>
        </is>
      </c>
      <c r="B113" s="1" t="n">
        <v>44728</v>
      </c>
      <c r="C113" s="1" t="n">
        <v>46144</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34090-2023</t>
        </is>
      </c>
      <c r="B114" s="1" t="n">
        <v>45135</v>
      </c>
      <c r="C114" s="1" t="n">
        <v>46144</v>
      </c>
      <c r="D114" t="inlineStr">
        <is>
          <t>UPPSALA LÄN</t>
        </is>
      </c>
      <c r="E114" t="inlineStr">
        <is>
          <t>ÖSTHAMMAR</t>
        </is>
      </c>
      <c r="F114" t="inlineStr">
        <is>
          <t>Bergvik skog öst AB</t>
        </is>
      </c>
      <c r="G114" t="n">
        <v>5.7</v>
      </c>
      <c r="H114" t="n">
        <v>1</v>
      </c>
      <c r="I114" t="n">
        <v>0</v>
      </c>
      <c r="J114" t="n">
        <v>1</v>
      </c>
      <c r="K114" t="n">
        <v>0</v>
      </c>
      <c r="L114" t="n">
        <v>0</v>
      </c>
      <c r="M114" t="n">
        <v>0</v>
      </c>
      <c r="N114" t="n">
        <v>0</v>
      </c>
      <c r="O114" t="n">
        <v>1</v>
      </c>
      <c r="P114" t="n">
        <v>0</v>
      </c>
      <c r="Q114" t="n">
        <v>1</v>
      </c>
      <c r="R114" s="2" t="inlineStr">
        <is>
          <t>Spillkråka</t>
        </is>
      </c>
      <c r="S114">
        <f>HYPERLINK("https://klasma.github.io/Logging_0382/artfynd/A 34090-2023 artfynd.xlsx", "A 34090-2023")</f>
        <v/>
      </c>
      <c r="T114">
        <f>HYPERLINK("https://klasma.github.io/Logging_0382/kartor/A 34090-2023 karta.png", "A 34090-2023")</f>
        <v/>
      </c>
      <c r="V114">
        <f>HYPERLINK("https://klasma.github.io/Logging_0382/klagomål/A 34090-2023 FSC-klagomål.docx", "A 34090-2023")</f>
        <v/>
      </c>
      <c r="W114">
        <f>HYPERLINK("https://klasma.github.io/Logging_0382/klagomålsmail/A 34090-2023 FSC-klagomål mail.docx", "A 34090-2023")</f>
        <v/>
      </c>
      <c r="X114">
        <f>HYPERLINK("https://klasma.github.io/Logging_0382/tillsyn/A 34090-2023 tillsynsbegäran.docx", "A 34090-2023")</f>
        <v/>
      </c>
      <c r="Y114">
        <f>HYPERLINK("https://klasma.github.io/Logging_0382/tillsynsmail/A 34090-2023 tillsynsbegäran mail.docx", "A 34090-2023")</f>
        <v/>
      </c>
      <c r="Z114">
        <f>HYPERLINK("https://klasma.github.io/Logging_0382/fåglar/A 34090-2023 prioriterade fågelarter.docx", "A 34090-2023")</f>
        <v/>
      </c>
    </row>
    <row r="115" ht="15" customHeight="1">
      <c r="A115" t="inlineStr">
        <is>
          <t>A 4714-2026</t>
        </is>
      </c>
      <c r="B115" s="1" t="n">
        <v>46048.46175925926</v>
      </c>
      <c r="C115" s="1" t="n">
        <v>46144</v>
      </c>
      <c r="D115" t="inlineStr">
        <is>
          <t>UPPSALA LÄN</t>
        </is>
      </c>
      <c r="E115" t="inlineStr">
        <is>
          <t>ÖSTHAMMAR</t>
        </is>
      </c>
      <c r="G115" t="n">
        <v>6.3</v>
      </c>
      <c r="H115" t="n">
        <v>1</v>
      </c>
      <c r="I115" t="n">
        <v>0</v>
      </c>
      <c r="J115" t="n">
        <v>1</v>
      </c>
      <c r="K115" t="n">
        <v>0</v>
      </c>
      <c r="L115" t="n">
        <v>0</v>
      </c>
      <c r="M115" t="n">
        <v>0</v>
      </c>
      <c r="N115" t="n">
        <v>0</v>
      </c>
      <c r="O115" t="n">
        <v>1</v>
      </c>
      <c r="P115" t="n">
        <v>0</v>
      </c>
      <c r="Q115" t="n">
        <v>1</v>
      </c>
      <c r="R115" s="2" t="inlineStr">
        <is>
          <t>Nordfladdermus</t>
        </is>
      </c>
      <c r="S115">
        <f>HYPERLINK("https://klasma.github.io/Logging_0382/artfynd/A 4714-2026 artfynd.xlsx", "A 4714-2026")</f>
        <v/>
      </c>
      <c r="T115">
        <f>HYPERLINK("https://klasma.github.io/Logging_0382/kartor/A 4714-2026 karta.png", "A 4714-2026")</f>
        <v/>
      </c>
      <c r="V115">
        <f>HYPERLINK("https://klasma.github.io/Logging_0382/klagomål/A 4714-2026 FSC-klagomål.docx", "A 4714-2026")</f>
        <v/>
      </c>
      <c r="W115">
        <f>HYPERLINK("https://klasma.github.io/Logging_0382/klagomålsmail/A 4714-2026 FSC-klagomål mail.docx", "A 4714-2026")</f>
        <v/>
      </c>
      <c r="X115">
        <f>HYPERLINK("https://klasma.github.io/Logging_0382/tillsyn/A 4714-2026 tillsynsbegäran.docx", "A 4714-2026")</f>
        <v/>
      </c>
      <c r="Y115">
        <f>HYPERLINK("https://klasma.github.io/Logging_0382/tillsynsmail/A 4714-2026 tillsynsbegäran mail.docx", "A 4714-2026")</f>
        <v/>
      </c>
    </row>
    <row r="116" ht="15" customHeight="1">
      <c r="A116" t="inlineStr">
        <is>
          <t>A 6507-2026</t>
        </is>
      </c>
      <c r="B116" s="1" t="n">
        <v>46056.38474537037</v>
      </c>
      <c r="C116" s="1" t="n">
        <v>46144</v>
      </c>
      <c r="D116" t="inlineStr">
        <is>
          <t>UPPSALA LÄN</t>
        </is>
      </c>
      <c r="E116" t="inlineStr">
        <is>
          <t>ÖSTHAMMAR</t>
        </is>
      </c>
      <c r="F116" t="inlineStr">
        <is>
          <t>Bergvik skog öst AB</t>
        </is>
      </c>
      <c r="G116" t="n">
        <v>1.5</v>
      </c>
      <c r="H116" t="n">
        <v>0</v>
      </c>
      <c r="I116" t="n">
        <v>1</v>
      </c>
      <c r="J116" t="n">
        <v>0</v>
      </c>
      <c r="K116" t="n">
        <v>0</v>
      </c>
      <c r="L116" t="n">
        <v>0</v>
      </c>
      <c r="M116" t="n">
        <v>0</v>
      </c>
      <c r="N116" t="n">
        <v>0</v>
      </c>
      <c r="O116" t="n">
        <v>0</v>
      </c>
      <c r="P116" t="n">
        <v>0</v>
      </c>
      <c r="Q116" t="n">
        <v>1</v>
      </c>
      <c r="R116" s="2" t="inlineStr">
        <is>
          <t>Tibast</t>
        </is>
      </c>
      <c r="S116">
        <f>HYPERLINK("https://klasma.github.io/Logging_0382/artfynd/A 6507-2026 artfynd.xlsx", "A 6507-2026")</f>
        <v/>
      </c>
      <c r="T116">
        <f>HYPERLINK("https://klasma.github.io/Logging_0382/kartor/A 6507-2026 karta.png", "A 6507-2026")</f>
        <v/>
      </c>
      <c r="V116">
        <f>HYPERLINK("https://klasma.github.io/Logging_0382/klagomål/A 6507-2026 FSC-klagomål.docx", "A 6507-2026")</f>
        <v/>
      </c>
      <c r="W116">
        <f>HYPERLINK("https://klasma.github.io/Logging_0382/klagomålsmail/A 6507-2026 FSC-klagomål mail.docx", "A 6507-2026")</f>
        <v/>
      </c>
      <c r="X116">
        <f>HYPERLINK("https://klasma.github.io/Logging_0382/tillsyn/A 6507-2026 tillsynsbegäran.docx", "A 6507-2026")</f>
        <v/>
      </c>
      <c r="Y116">
        <f>HYPERLINK("https://klasma.github.io/Logging_0382/tillsynsmail/A 6507-2026 tillsynsbegäran mail.docx", "A 6507-2026")</f>
        <v/>
      </c>
    </row>
    <row r="117" ht="15" customHeight="1">
      <c r="A117" t="inlineStr">
        <is>
          <t>A 15248-2026</t>
        </is>
      </c>
      <c r="B117" s="1" t="n">
        <v>46105.57002314815</v>
      </c>
      <c r="C117" s="1" t="n">
        <v>46144</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46144</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61574-2025</t>
        </is>
      </c>
      <c r="B119" s="1" t="n">
        <v>46002</v>
      </c>
      <c r="C119" s="1" t="n">
        <v>46144</v>
      </c>
      <c r="D119" t="inlineStr">
        <is>
          <t>UPPSALA LÄN</t>
        </is>
      </c>
      <c r="E119" t="inlineStr">
        <is>
          <t>ÖSTHAMMAR</t>
        </is>
      </c>
      <c r="F119" t="inlineStr">
        <is>
          <t>Övriga Aktiebolag</t>
        </is>
      </c>
      <c r="G119" t="n">
        <v>16.6</v>
      </c>
      <c r="H119" t="n">
        <v>1</v>
      </c>
      <c r="I119" t="n">
        <v>0</v>
      </c>
      <c r="J119" t="n">
        <v>0</v>
      </c>
      <c r="K119" t="n">
        <v>1</v>
      </c>
      <c r="L119" t="n">
        <v>0</v>
      </c>
      <c r="M119" t="n">
        <v>0</v>
      </c>
      <c r="N119" t="n">
        <v>0</v>
      </c>
      <c r="O119" t="n">
        <v>1</v>
      </c>
      <c r="P119" t="n">
        <v>1</v>
      </c>
      <c r="Q119" t="n">
        <v>1</v>
      </c>
      <c r="R119" s="2" t="inlineStr">
        <is>
          <t>Hällebräcka</t>
        </is>
      </c>
      <c r="S119">
        <f>HYPERLINK("https://klasma.github.io/Logging_0382/artfynd/A 61574-2025 artfynd.xlsx", "A 61574-2025")</f>
        <v/>
      </c>
      <c r="T119">
        <f>HYPERLINK("https://klasma.github.io/Logging_0382/kartor/A 61574-2025 karta.png", "A 61574-2025")</f>
        <v/>
      </c>
      <c r="V119">
        <f>HYPERLINK("https://klasma.github.io/Logging_0382/klagomål/A 61574-2025 FSC-klagomål.docx", "A 61574-2025")</f>
        <v/>
      </c>
      <c r="W119">
        <f>HYPERLINK("https://klasma.github.io/Logging_0382/klagomålsmail/A 61574-2025 FSC-klagomål mail.docx", "A 61574-2025")</f>
        <v/>
      </c>
      <c r="X119">
        <f>HYPERLINK("https://klasma.github.io/Logging_0382/tillsyn/A 61574-2025 tillsynsbegäran.docx", "A 61574-2025")</f>
        <v/>
      </c>
      <c r="Y119">
        <f>HYPERLINK("https://klasma.github.io/Logging_0382/tillsynsmail/A 61574-2025 tillsynsbegäran mail.docx", "A 61574-2025")</f>
        <v/>
      </c>
    </row>
    <row r="120" ht="15" customHeight="1">
      <c r="A120" t="inlineStr">
        <is>
          <t>A 20396-2026</t>
        </is>
      </c>
      <c r="B120" s="1" t="n">
        <v>46139.75104166667</v>
      </c>
      <c r="C120" s="1" t="n">
        <v>46144</v>
      </c>
      <c r="D120" t="inlineStr">
        <is>
          <t>UPPSALA LÄN</t>
        </is>
      </c>
      <c r="E120" t="inlineStr">
        <is>
          <t>ÖSTHAMMAR</t>
        </is>
      </c>
      <c r="G120" t="n">
        <v>1.4</v>
      </c>
      <c r="H120" t="n">
        <v>1</v>
      </c>
      <c r="I120" t="n">
        <v>0</v>
      </c>
      <c r="J120" t="n">
        <v>0</v>
      </c>
      <c r="K120" t="n">
        <v>0</v>
      </c>
      <c r="L120" t="n">
        <v>0</v>
      </c>
      <c r="M120" t="n">
        <v>0</v>
      </c>
      <c r="N120" t="n">
        <v>0</v>
      </c>
      <c r="O120" t="n">
        <v>0</v>
      </c>
      <c r="P120" t="n">
        <v>0</v>
      </c>
      <c r="Q120" t="n">
        <v>1</v>
      </c>
      <c r="R120" s="2" t="inlineStr">
        <is>
          <t>Bivråk</t>
        </is>
      </c>
      <c r="S120">
        <f>HYPERLINK("https://klasma.github.io/Logging_0382/artfynd/A 20396-2026 artfynd.xlsx", "A 20396-2026")</f>
        <v/>
      </c>
      <c r="T120">
        <f>HYPERLINK("https://klasma.github.io/Logging_0382/kartor/A 20396-2026 karta.png", "A 20396-2026")</f>
        <v/>
      </c>
      <c r="V120">
        <f>HYPERLINK("https://klasma.github.io/Logging_0382/klagomål/A 20396-2026 FSC-klagomål.docx", "A 20396-2026")</f>
        <v/>
      </c>
      <c r="W120">
        <f>HYPERLINK("https://klasma.github.io/Logging_0382/klagomålsmail/A 20396-2026 FSC-klagomål mail.docx", "A 20396-2026")</f>
        <v/>
      </c>
      <c r="X120">
        <f>HYPERLINK("https://klasma.github.io/Logging_0382/tillsyn/A 20396-2026 tillsynsbegäran.docx", "A 20396-2026")</f>
        <v/>
      </c>
      <c r="Y120">
        <f>HYPERLINK("https://klasma.github.io/Logging_0382/tillsynsmail/A 20396-2026 tillsynsbegäran mail.docx", "A 20396-2026")</f>
        <v/>
      </c>
      <c r="Z120">
        <f>HYPERLINK("https://klasma.github.io/Logging_0382/fåglar/A 20396-2026 prioriterade fågelarter.docx", "A 20396-2026")</f>
        <v/>
      </c>
    </row>
    <row r="121" ht="15" customHeight="1">
      <c r="A121" t="inlineStr">
        <is>
          <t>A 14706-2023</t>
        </is>
      </c>
      <c r="B121" s="1" t="n">
        <v>45013</v>
      </c>
      <c r="C121" s="1" t="n">
        <v>46144</v>
      </c>
      <c r="D121" t="inlineStr">
        <is>
          <t>UPPSALA LÄN</t>
        </is>
      </c>
      <c r="E121" t="inlineStr">
        <is>
          <t>ÖSTHAMMAR</t>
        </is>
      </c>
      <c r="G121" t="n">
        <v>0.9</v>
      </c>
      <c r="H121" t="n">
        <v>0</v>
      </c>
      <c r="I121" t="n">
        <v>1</v>
      </c>
      <c r="J121" t="n">
        <v>0</v>
      </c>
      <c r="K121" t="n">
        <v>0</v>
      </c>
      <c r="L121" t="n">
        <v>0</v>
      </c>
      <c r="M121" t="n">
        <v>0</v>
      </c>
      <c r="N121" t="n">
        <v>0</v>
      </c>
      <c r="O121" t="n">
        <v>0</v>
      </c>
      <c r="P121" t="n">
        <v>0</v>
      </c>
      <c r="Q121" t="n">
        <v>1</v>
      </c>
      <c r="R121" s="2" t="inlineStr">
        <is>
          <t>Olivspindling</t>
        </is>
      </c>
      <c r="S121">
        <f>HYPERLINK("https://klasma.github.io/Logging_0382/artfynd/A 14706-2023 artfynd.xlsx", "A 14706-2023")</f>
        <v/>
      </c>
      <c r="T121">
        <f>HYPERLINK("https://klasma.github.io/Logging_0382/kartor/A 14706-2023 karta.png", "A 14706-2023")</f>
        <v/>
      </c>
      <c r="V121">
        <f>HYPERLINK("https://klasma.github.io/Logging_0382/klagomål/A 14706-2023 FSC-klagomål.docx", "A 14706-2023")</f>
        <v/>
      </c>
      <c r="W121">
        <f>HYPERLINK("https://klasma.github.io/Logging_0382/klagomålsmail/A 14706-2023 FSC-klagomål mail.docx", "A 14706-2023")</f>
        <v/>
      </c>
      <c r="X121">
        <f>HYPERLINK("https://klasma.github.io/Logging_0382/tillsyn/A 14706-2023 tillsynsbegäran.docx", "A 14706-2023")</f>
        <v/>
      </c>
      <c r="Y121">
        <f>HYPERLINK("https://klasma.github.io/Logging_0382/tillsynsmail/A 14706-2023 tillsynsbegäran mail.docx", "A 14706-2023")</f>
        <v/>
      </c>
    </row>
    <row r="122" ht="15" customHeight="1">
      <c r="A122" t="inlineStr">
        <is>
          <t>A 12753-2024</t>
        </is>
      </c>
      <c r="B122" s="1" t="n">
        <v>45384</v>
      </c>
      <c r="C122" s="1" t="n">
        <v>46144</v>
      </c>
      <c r="D122" t="inlineStr">
        <is>
          <t>UPPSALA LÄN</t>
        </is>
      </c>
      <c r="E122" t="inlineStr">
        <is>
          <t>ÖSTHAMMAR</t>
        </is>
      </c>
      <c r="G122" t="n">
        <v>1.7</v>
      </c>
      <c r="H122" t="n">
        <v>0</v>
      </c>
      <c r="I122" t="n">
        <v>0</v>
      </c>
      <c r="J122" t="n">
        <v>1</v>
      </c>
      <c r="K122" t="n">
        <v>0</v>
      </c>
      <c r="L122" t="n">
        <v>0</v>
      </c>
      <c r="M122" t="n">
        <v>0</v>
      </c>
      <c r="N122" t="n">
        <v>0</v>
      </c>
      <c r="O122" t="n">
        <v>1</v>
      </c>
      <c r="P122" t="n">
        <v>0</v>
      </c>
      <c r="Q122" t="n">
        <v>1</v>
      </c>
      <c r="R122" s="2" t="inlineStr">
        <is>
          <t>Flattoppad klubbsvamp</t>
        </is>
      </c>
      <c r="S122">
        <f>HYPERLINK("https://klasma.github.io/Logging_0382/artfynd/A 12753-2024 artfynd.xlsx", "A 12753-2024")</f>
        <v/>
      </c>
      <c r="T122">
        <f>HYPERLINK("https://klasma.github.io/Logging_0382/kartor/A 12753-2024 karta.png", "A 12753-2024")</f>
        <v/>
      </c>
      <c r="V122">
        <f>HYPERLINK("https://klasma.github.io/Logging_0382/klagomål/A 12753-2024 FSC-klagomål.docx", "A 12753-2024")</f>
        <v/>
      </c>
      <c r="W122">
        <f>HYPERLINK("https://klasma.github.io/Logging_0382/klagomålsmail/A 12753-2024 FSC-klagomål mail.docx", "A 12753-2024")</f>
        <v/>
      </c>
      <c r="X122">
        <f>HYPERLINK("https://klasma.github.io/Logging_0382/tillsyn/A 12753-2024 tillsynsbegäran.docx", "A 12753-2024")</f>
        <v/>
      </c>
      <c r="Y122">
        <f>HYPERLINK("https://klasma.github.io/Logging_0382/tillsynsmail/A 12753-2024 tillsynsbegäran mail.docx", "A 12753-2024")</f>
        <v/>
      </c>
    </row>
    <row r="123" ht="15" customHeight="1">
      <c r="A123" t="inlineStr">
        <is>
          <t>A 14203-2024</t>
        </is>
      </c>
      <c r="B123" s="1" t="n">
        <v>45393</v>
      </c>
      <c r="C123" s="1" t="n">
        <v>46144</v>
      </c>
      <c r="D123" t="inlineStr">
        <is>
          <t>UPPSALA LÄN</t>
        </is>
      </c>
      <c r="E123" t="inlineStr">
        <is>
          <t>ÖSTHAMMAR</t>
        </is>
      </c>
      <c r="G123" t="n">
        <v>1.4</v>
      </c>
      <c r="H123" t="n">
        <v>0</v>
      </c>
      <c r="I123" t="n">
        <v>0</v>
      </c>
      <c r="J123" t="n">
        <v>1</v>
      </c>
      <c r="K123" t="n">
        <v>0</v>
      </c>
      <c r="L123" t="n">
        <v>0</v>
      </c>
      <c r="M123" t="n">
        <v>0</v>
      </c>
      <c r="N123" t="n">
        <v>0</v>
      </c>
      <c r="O123" t="n">
        <v>1</v>
      </c>
      <c r="P123" t="n">
        <v>0</v>
      </c>
      <c r="Q123" t="n">
        <v>1</v>
      </c>
      <c r="R123" s="2" t="inlineStr">
        <is>
          <t>Scharlakansvaxing</t>
        </is>
      </c>
      <c r="S123">
        <f>HYPERLINK("https://klasma.github.io/Logging_0382/artfynd/A 14203-2024 artfynd.xlsx", "A 14203-2024")</f>
        <v/>
      </c>
      <c r="T123">
        <f>HYPERLINK("https://klasma.github.io/Logging_0382/kartor/A 14203-2024 karta.png", "A 14203-2024")</f>
        <v/>
      </c>
      <c r="V123">
        <f>HYPERLINK("https://klasma.github.io/Logging_0382/klagomål/A 14203-2024 FSC-klagomål.docx", "A 14203-2024")</f>
        <v/>
      </c>
      <c r="W123">
        <f>HYPERLINK("https://klasma.github.io/Logging_0382/klagomålsmail/A 14203-2024 FSC-klagomål mail.docx", "A 14203-2024")</f>
        <v/>
      </c>
      <c r="X123">
        <f>HYPERLINK("https://klasma.github.io/Logging_0382/tillsyn/A 14203-2024 tillsynsbegäran.docx", "A 14203-2024")</f>
        <v/>
      </c>
      <c r="Y123">
        <f>HYPERLINK("https://klasma.github.io/Logging_0382/tillsynsmail/A 14203-2024 tillsynsbegäran mail.docx", "A 14203-2024")</f>
        <v/>
      </c>
    </row>
    <row r="124" ht="15" customHeight="1">
      <c r="A124" t="inlineStr">
        <is>
          <t>A 63615-2021</t>
        </is>
      </c>
      <c r="B124" s="1" t="n">
        <v>44509</v>
      </c>
      <c r="C124" s="1" t="n">
        <v>46144</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30605-2025</t>
        </is>
      </c>
      <c r="B125" s="1" t="n">
        <v>45831.45510416666</v>
      </c>
      <c r="C125" s="1" t="n">
        <v>46144</v>
      </c>
      <c r="D125" t="inlineStr">
        <is>
          <t>UPPSALA LÄN</t>
        </is>
      </c>
      <c r="E125" t="inlineStr">
        <is>
          <t>ÖSTHAMMAR</t>
        </is>
      </c>
      <c r="G125" t="n">
        <v>1.7</v>
      </c>
      <c r="H125" t="n">
        <v>0</v>
      </c>
      <c r="I125" t="n">
        <v>0</v>
      </c>
      <c r="J125" t="n">
        <v>0</v>
      </c>
      <c r="K125" t="n">
        <v>1</v>
      </c>
      <c r="L125" t="n">
        <v>0</v>
      </c>
      <c r="M125" t="n">
        <v>0</v>
      </c>
      <c r="N125" t="n">
        <v>0</v>
      </c>
      <c r="O125" t="n">
        <v>1</v>
      </c>
      <c r="P125" t="n">
        <v>1</v>
      </c>
      <c r="Q125" t="n">
        <v>1</v>
      </c>
      <c r="R125" s="2" t="inlineStr">
        <is>
          <t>Plattsäv</t>
        </is>
      </c>
      <c r="S125">
        <f>HYPERLINK("https://klasma.github.io/Logging_0382/artfynd/A 30605-2025 artfynd.xlsx", "A 30605-2025")</f>
        <v/>
      </c>
      <c r="T125">
        <f>HYPERLINK("https://klasma.github.io/Logging_0382/kartor/A 30605-2025 karta.png", "A 30605-2025")</f>
        <v/>
      </c>
      <c r="V125">
        <f>HYPERLINK("https://klasma.github.io/Logging_0382/klagomål/A 30605-2025 FSC-klagomål.docx", "A 30605-2025")</f>
        <v/>
      </c>
      <c r="W125">
        <f>HYPERLINK("https://klasma.github.io/Logging_0382/klagomålsmail/A 30605-2025 FSC-klagomål mail.docx", "A 30605-2025")</f>
        <v/>
      </c>
      <c r="X125">
        <f>HYPERLINK("https://klasma.github.io/Logging_0382/tillsyn/A 30605-2025 tillsynsbegäran.docx", "A 30605-2025")</f>
        <v/>
      </c>
      <c r="Y125">
        <f>HYPERLINK("https://klasma.github.io/Logging_0382/tillsynsmail/A 30605-2025 tillsynsbegäran mail.docx", "A 30605-2025")</f>
        <v/>
      </c>
    </row>
    <row r="126" ht="15" customHeight="1">
      <c r="A126" t="inlineStr">
        <is>
          <t>A 73983-2021</t>
        </is>
      </c>
      <c r="B126" s="1" t="n">
        <v>44555.80506944445</v>
      </c>
      <c r="C126" s="1" t="n">
        <v>46144</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70408-2021</t>
        </is>
      </c>
      <c r="B127" s="1" t="n">
        <v>44536</v>
      </c>
      <c r="C127" s="1" t="n">
        <v>46144</v>
      </c>
      <c r="D127" t="inlineStr">
        <is>
          <t>UPPSALA LÄN</t>
        </is>
      </c>
      <c r="E127" t="inlineStr">
        <is>
          <t>ÖSTHAMMAR</t>
        </is>
      </c>
      <c r="G127" t="n">
        <v>1</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46144</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46144</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25076-2022</t>
        </is>
      </c>
      <c r="B130" s="1" t="n">
        <v>44729</v>
      </c>
      <c r="C130" s="1" t="n">
        <v>46144</v>
      </c>
      <c r="D130" t="inlineStr">
        <is>
          <t>UPPSALA LÄN</t>
        </is>
      </c>
      <c r="E130" t="inlineStr">
        <is>
          <t>ÖSTHAMMAR</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46144</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46144</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46144</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46144</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10288-2022</t>
        </is>
      </c>
      <c r="B135" s="1" t="n">
        <v>44622</v>
      </c>
      <c r="C135" s="1" t="n">
        <v>46144</v>
      </c>
      <c r="D135" t="inlineStr">
        <is>
          <t>UPPSALA LÄN</t>
        </is>
      </c>
      <c r="E135" t="inlineStr">
        <is>
          <t>ÖSTHAMMAR</t>
        </is>
      </c>
      <c r="F135" t="inlineStr">
        <is>
          <t>Bergvik skog öst AB</t>
        </is>
      </c>
      <c r="G135" t="n">
        <v>0.3</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46144</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46144</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46144</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46144</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59498-2021</t>
        </is>
      </c>
      <c r="B140" s="1" t="n">
        <v>44491.53787037037</v>
      </c>
      <c r="C140" s="1" t="n">
        <v>46144</v>
      </c>
      <c r="D140" t="inlineStr">
        <is>
          <t>UPPSALA LÄN</t>
        </is>
      </c>
      <c r="E140" t="inlineStr">
        <is>
          <t>ÖSTHAMMAR</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46144</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46144</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46144</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46144</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46144</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24062-2021</t>
        </is>
      </c>
      <c r="B146" s="1" t="n">
        <v>44336</v>
      </c>
      <c r="C146" s="1" t="n">
        <v>46144</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46144</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46144</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67859-2021</t>
        </is>
      </c>
      <c r="B149" s="1" t="n">
        <v>44525.48695601852</v>
      </c>
      <c r="C149" s="1" t="n">
        <v>46144</v>
      </c>
      <c r="D149" t="inlineStr">
        <is>
          <t>UPPSALA LÄN</t>
        </is>
      </c>
      <c r="E149" t="inlineStr">
        <is>
          <t>ÖSTHAMMAR</t>
        </is>
      </c>
      <c r="G149" t="n">
        <v>1.9</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46144</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46144</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46144</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46144</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46144</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46144</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46144</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46144</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46144</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46144</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24138-2022</t>
        </is>
      </c>
      <c r="B160" s="1" t="n">
        <v>44725.45895833334</v>
      </c>
      <c r="C160" s="1" t="n">
        <v>46144</v>
      </c>
      <c r="D160" t="inlineStr">
        <is>
          <t>UPPSALA LÄN</t>
        </is>
      </c>
      <c r="E160" t="inlineStr">
        <is>
          <t>ÖSTHAMMAR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46144</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66549-2021</t>
        </is>
      </c>
      <c r="B162" s="1" t="n">
        <v>44519.3990162037</v>
      </c>
      <c r="C162" s="1" t="n">
        <v>46144</v>
      </c>
      <c r="D162" t="inlineStr">
        <is>
          <t>UPPSALA LÄN</t>
        </is>
      </c>
      <c r="E162" t="inlineStr">
        <is>
          <t>ÖSTHAMMAR</t>
        </is>
      </c>
      <c r="F162" t="inlineStr">
        <is>
          <t>Bergvik skog öst AB</t>
        </is>
      </c>
      <c r="G162" t="n">
        <v>2.8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46144</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46144</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46144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51612-2021</t>
        </is>
      </c>
      <c r="B166" s="1" t="n">
        <v>44462</v>
      </c>
      <c r="C166" s="1" t="n">
        <v>46144</v>
      </c>
      <c r="D166" t="inlineStr">
        <is>
          <t>UPPSALA LÄN</t>
        </is>
      </c>
      <c r="E166" t="inlineStr">
        <is>
          <t>ÖSTHAMMAR</t>
        </is>
      </c>
      <c r="G166" t="n">
        <v>2.7</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46144</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46144</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15334-2022</t>
        </is>
      </c>
      <c r="B169" s="1" t="n">
        <v>44659</v>
      </c>
      <c r="C169" s="1" t="n">
        <v>46144</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64872-2021</t>
        </is>
      </c>
      <c r="B170" s="1" t="n">
        <v>44512.6108912037</v>
      </c>
      <c r="C170" s="1" t="n">
        <v>46144</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43469-2021</t>
        </is>
      </c>
      <c r="B171" s="1" t="n">
        <v>44432</v>
      </c>
      <c r="C171" s="1" t="n">
        <v>46144</v>
      </c>
      <c r="D171" t="inlineStr">
        <is>
          <t>UPPSALA LÄN</t>
        </is>
      </c>
      <c r="E171" t="inlineStr">
        <is>
          <t>ÖSTHAMMAR</t>
        </is>
      </c>
      <c r="G171" t="n">
        <v>3.9</v>
      </c>
      <c r="H171" t="n">
        <v>0</v>
      </c>
      <c r="I171" t="n">
        <v>0</v>
      </c>
      <c r="J171" t="n">
        <v>0</v>
      </c>
      <c r="K171" t="n">
        <v>0</v>
      </c>
      <c r="L171" t="n">
        <v>0</v>
      </c>
      <c r="M171" t="n">
        <v>0</v>
      </c>
      <c r="N171" t="n">
        <v>0</v>
      </c>
      <c r="O171" t="n">
        <v>0</v>
      </c>
      <c r="P171" t="n">
        <v>0</v>
      </c>
      <c r="Q171" t="n">
        <v>0</v>
      </c>
      <c r="R171" s="2" t="inlineStr"/>
    </row>
    <row r="172" ht="15" customHeight="1">
      <c r="A172" t="inlineStr">
        <is>
          <t>A 49914-2022</t>
        </is>
      </c>
      <c r="B172" s="1" t="n">
        <v>44865</v>
      </c>
      <c r="C172" s="1" t="n">
        <v>46144</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46144</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46144</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46144</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46144</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46144</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46144</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46144</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46144</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46144</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46144</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46144</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46144</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46144</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46144</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46144</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46144</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46144</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46144</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46144</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46144</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46144</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46144</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46144</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46144</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46144</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46144</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46144</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46144</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46144</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46144</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46144</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46144</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46144</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46144</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46144</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33062-2021</t>
        </is>
      </c>
      <c r="B208" s="1" t="n">
        <v>44376</v>
      </c>
      <c r="C208" s="1" t="n">
        <v>46144</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19040-2023</t>
        </is>
      </c>
      <c r="B209" s="1" t="n">
        <v>45047</v>
      </c>
      <c r="C209" s="1" t="n">
        <v>46144</v>
      </c>
      <c r="D209" t="inlineStr">
        <is>
          <t>UPPSALA LÄN</t>
        </is>
      </c>
      <c r="E209" t="inlineStr">
        <is>
          <t>ÖSTHAMMAR</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18838-2023</t>
        </is>
      </c>
      <c r="B210" s="1" t="n">
        <v>45044</v>
      </c>
      <c r="C210" s="1" t="n">
        <v>46144</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1436-2025</t>
        </is>
      </c>
      <c r="B211" s="1" t="n">
        <v>45669.67625</v>
      </c>
      <c r="C211" s="1" t="n">
        <v>46144</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46144</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28421-2023</t>
        </is>
      </c>
      <c r="B213" s="1" t="n">
        <v>45102</v>
      </c>
      <c r="C213" s="1" t="n">
        <v>46144</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46144</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12756-2024</t>
        </is>
      </c>
      <c r="B215" s="1" t="n">
        <v>45384</v>
      </c>
      <c r="C215" s="1" t="n">
        <v>46144</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38702-2022</t>
        </is>
      </c>
      <c r="B216" s="1" t="n">
        <v>44814.5991087963</v>
      </c>
      <c r="C216" s="1" t="n">
        <v>46144</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46144</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46144</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25252-2024</t>
        </is>
      </c>
      <c r="B219" s="1" t="n">
        <v>45462</v>
      </c>
      <c r="C219" s="1" t="n">
        <v>46144</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19947-2024</t>
        </is>
      </c>
      <c r="B220" s="1" t="n">
        <v>45433</v>
      </c>
      <c r="C220" s="1" t="n">
        <v>46144</v>
      </c>
      <c r="D220" t="inlineStr">
        <is>
          <t>UPPSALA LÄN</t>
        </is>
      </c>
      <c r="E220" t="inlineStr">
        <is>
          <t>ÖSTHAMMAR</t>
        </is>
      </c>
      <c r="G220" t="n">
        <v>0.3</v>
      </c>
      <c r="H220" t="n">
        <v>0</v>
      </c>
      <c r="I220" t="n">
        <v>0</v>
      </c>
      <c r="J220" t="n">
        <v>0</v>
      </c>
      <c r="K220" t="n">
        <v>0</v>
      </c>
      <c r="L220" t="n">
        <v>0</v>
      </c>
      <c r="M220" t="n">
        <v>0</v>
      </c>
      <c r="N220" t="n">
        <v>0</v>
      </c>
      <c r="O220" t="n">
        <v>0</v>
      </c>
      <c r="P220" t="n">
        <v>0</v>
      </c>
      <c r="Q220" t="n">
        <v>0</v>
      </c>
      <c r="R220" s="2" t="inlineStr"/>
    </row>
    <row r="221" ht="15" customHeight="1">
      <c r="A221" t="inlineStr">
        <is>
          <t>A 11385-2024</t>
        </is>
      </c>
      <c r="B221" s="1" t="n">
        <v>45372</v>
      </c>
      <c r="C221" s="1" t="n">
        <v>46144</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46144</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14433-2024</t>
        </is>
      </c>
      <c r="B223" s="1" t="n">
        <v>45394.46115740741</v>
      </c>
      <c r="C223" s="1" t="n">
        <v>46144</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25938-2024</t>
        </is>
      </c>
      <c r="B224" s="1" t="n">
        <v>45467.63127314814</v>
      </c>
      <c r="C224" s="1" t="n">
        <v>46144</v>
      </c>
      <c r="D224" t="inlineStr">
        <is>
          <t>UPPSALA LÄN</t>
        </is>
      </c>
      <c r="E224" t="inlineStr">
        <is>
          <t>ÖSTHAMMAR</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46144</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33552-2024</t>
        </is>
      </c>
      <c r="B226" s="1" t="n">
        <v>45519</v>
      </c>
      <c r="C226" s="1" t="n">
        <v>46144</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33553-2024</t>
        </is>
      </c>
      <c r="B227" s="1" t="n">
        <v>45519</v>
      </c>
      <c r="C227" s="1" t="n">
        <v>46144</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54666-2022</t>
        </is>
      </c>
      <c r="B228" s="1" t="n">
        <v>44883</v>
      </c>
      <c r="C228" s="1" t="n">
        <v>46144</v>
      </c>
      <c r="D228" t="inlineStr">
        <is>
          <t>UPPSALA LÄN</t>
        </is>
      </c>
      <c r="E228" t="inlineStr">
        <is>
          <t>ÖSTHAMMAR</t>
        </is>
      </c>
      <c r="G228" t="n">
        <v>14.3</v>
      </c>
      <c r="H228" t="n">
        <v>0</v>
      </c>
      <c r="I228" t="n">
        <v>0</v>
      </c>
      <c r="J228" t="n">
        <v>0</v>
      </c>
      <c r="K228" t="n">
        <v>0</v>
      </c>
      <c r="L228" t="n">
        <v>0</v>
      </c>
      <c r="M228" t="n">
        <v>0</v>
      </c>
      <c r="N228" t="n">
        <v>0</v>
      </c>
      <c r="O228" t="n">
        <v>0</v>
      </c>
      <c r="P228" t="n">
        <v>0</v>
      </c>
      <c r="Q228" t="n">
        <v>0</v>
      </c>
      <c r="R228" s="2" t="inlineStr"/>
    </row>
    <row r="229" ht="15" customHeight="1">
      <c r="A229" t="inlineStr">
        <is>
          <t>A 59731-2023</t>
        </is>
      </c>
      <c r="B229" s="1" t="n">
        <v>45257</v>
      </c>
      <c r="C229" s="1" t="n">
        <v>46144</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52659-2021</t>
        </is>
      </c>
      <c r="B230" s="1" t="n">
        <v>44466</v>
      </c>
      <c r="C230" s="1" t="n">
        <v>46144</v>
      </c>
      <c r="D230" t="inlineStr">
        <is>
          <t>UPPSALA LÄN</t>
        </is>
      </c>
      <c r="E230" t="inlineStr">
        <is>
          <t>ÖSTHAMMAR</t>
        </is>
      </c>
      <c r="G230" t="n">
        <v>13</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46144</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5429-2023</t>
        </is>
      </c>
      <c r="B232" s="1" t="n">
        <v>44959.83037037037</v>
      </c>
      <c r="C232" s="1" t="n">
        <v>46144</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56969-2022</t>
        </is>
      </c>
      <c r="B233" s="1" t="n">
        <v>44894.68043981482</v>
      </c>
      <c r="C233" s="1" t="n">
        <v>46144</v>
      </c>
      <c r="D233" t="inlineStr">
        <is>
          <t>UPPSALA LÄN</t>
        </is>
      </c>
      <c r="E233" t="inlineStr">
        <is>
          <t>ÖSTHAMMAR</t>
        </is>
      </c>
      <c r="G233" t="n">
        <v>5.5</v>
      </c>
      <c r="H233" t="n">
        <v>0</v>
      </c>
      <c r="I233" t="n">
        <v>0</v>
      </c>
      <c r="J233" t="n">
        <v>0</v>
      </c>
      <c r="K233" t="n">
        <v>0</v>
      </c>
      <c r="L233" t="n">
        <v>0</v>
      </c>
      <c r="M233" t="n">
        <v>0</v>
      </c>
      <c r="N233" t="n">
        <v>0</v>
      </c>
      <c r="O233" t="n">
        <v>0</v>
      </c>
      <c r="P233" t="n">
        <v>0</v>
      </c>
      <c r="Q233" t="n">
        <v>0</v>
      </c>
      <c r="R233" s="2" t="inlineStr"/>
    </row>
    <row r="234" ht="15" customHeight="1">
      <c r="A234" t="inlineStr">
        <is>
          <t>A 7876-2023</t>
        </is>
      </c>
      <c r="B234" s="1" t="n">
        <v>44973.57263888889</v>
      </c>
      <c r="C234" s="1" t="n">
        <v>46144</v>
      </c>
      <c r="D234" t="inlineStr">
        <is>
          <t>UPPSALA LÄN</t>
        </is>
      </c>
      <c r="E234" t="inlineStr">
        <is>
          <t>ÖSTHAMMAR</t>
        </is>
      </c>
      <c r="G234" t="n">
        <v>0.9</v>
      </c>
      <c r="H234" t="n">
        <v>0</v>
      </c>
      <c r="I234" t="n">
        <v>0</v>
      </c>
      <c r="J234" t="n">
        <v>0</v>
      </c>
      <c r="K234" t="n">
        <v>0</v>
      </c>
      <c r="L234" t="n">
        <v>0</v>
      </c>
      <c r="M234" t="n">
        <v>0</v>
      </c>
      <c r="N234" t="n">
        <v>0</v>
      </c>
      <c r="O234" t="n">
        <v>0</v>
      </c>
      <c r="P234" t="n">
        <v>0</v>
      </c>
      <c r="Q234" t="n">
        <v>0</v>
      </c>
      <c r="R234" s="2" t="inlineStr"/>
    </row>
    <row r="235" ht="15" customHeight="1">
      <c r="A235" t="inlineStr">
        <is>
          <t>A 56260-2022</t>
        </is>
      </c>
      <c r="B235" s="1" t="n">
        <v>44890</v>
      </c>
      <c r="C235" s="1" t="n">
        <v>46144</v>
      </c>
      <c r="D235" t="inlineStr">
        <is>
          <t>UPPSALA LÄN</t>
        </is>
      </c>
      <c r="E235" t="inlineStr">
        <is>
          <t>ÖSTHAMMAR</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36904-2023</t>
        </is>
      </c>
      <c r="B236" s="1" t="n">
        <v>45154</v>
      </c>
      <c r="C236" s="1" t="n">
        <v>46144</v>
      </c>
      <c r="D236" t="inlineStr">
        <is>
          <t>UPPSALA LÄN</t>
        </is>
      </c>
      <c r="E236" t="inlineStr">
        <is>
          <t>ÖSTHAMMAR</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35539-2023</t>
        </is>
      </c>
      <c r="B237" s="1" t="n">
        <v>45147.37006944444</v>
      </c>
      <c r="C237" s="1" t="n">
        <v>46144</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38233-2024</t>
        </is>
      </c>
      <c r="B238" s="1" t="n">
        <v>45545</v>
      </c>
      <c r="C238" s="1" t="n">
        <v>46144</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29231-2024</t>
        </is>
      </c>
      <c r="B239" s="1" t="n">
        <v>45482</v>
      </c>
      <c r="C239" s="1" t="n">
        <v>46144</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64811-2021</t>
        </is>
      </c>
      <c r="B240" s="1" t="n">
        <v>44512</v>
      </c>
      <c r="C240" s="1" t="n">
        <v>46144</v>
      </c>
      <c r="D240" t="inlineStr">
        <is>
          <t>UPPSALA LÄN</t>
        </is>
      </c>
      <c r="E240" t="inlineStr">
        <is>
          <t>ÖSTHAMMAR</t>
        </is>
      </c>
      <c r="G240" t="n">
        <v>4.2</v>
      </c>
      <c r="H240" t="n">
        <v>0</v>
      </c>
      <c r="I240" t="n">
        <v>0</v>
      </c>
      <c r="J240" t="n">
        <v>0</v>
      </c>
      <c r="K240" t="n">
        <v>0</v>
      </c>
      <c r="L240" t="n">
        <v>0</v>
      </c>
      <c r="M240" t="n">
        <v>0</v>
      </c>
      <c r="N240" t="n">
        <v>0</v>
      </c>
      <c r="O240" t="n">
        <v>0</v>
      </c>
      <c r="P240" t="n">
        <v>0</v>
      </c>
      <c r="Q240" t="n">
        <v>0</v>
      </c>
      <c r="R240" s="2" t="inlineStr"/>
    </row>
    <row r="241" ht="15" customHeight="1">
      <c r="A241" t="inlineStr">
        <is>
          <t>A 30931-2021</t>
        </is>
      </c>
      <c r="B241" s="1" t="n">
        <v>44365</v>
      </c>
      <c r="C241" s="1" t="n">
        <v>46144</v>
      </c>
      <c r="D241" t="inlineStr">
        <is>
          <t>UPPSALA LÄN</t>
        </is>
      </c>
      <c r="E241" t="inlineStr">
        <is>
          <t>ÖSTHAMMAR</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8830-2023</t>
        </is>
      </c>
      <c r="B242" s="1" t="n">
        <v>44978</v>
      </c>
      <c r="C242" s="1" t="n">
        <v>46144</v>
      </c>
      <c r="D242" t="inlineStr">
        <is>
          <t>UPPSALA LÄN</t>
        </is>
      </c>
      <c r="E242" t="inlineStr">
        <is>
          <t>ÖSTHAMMAR</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6106-2024</t>
        </is>
      </c>
      <c r="B243" s="1" t="n">
        <v>45337.36831018519</v>
      </c>
      <c r="C243" s="1" t="n">
        <v>46144</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62295-2022</t>
        </is>
      </c>
      <c r="B244" s="1" t="n">
        <v>44916</v>
      </c>
      <c r="C244" s="1" t="n">
        <v>46144</v>
      </c>
      <c r="D244" t="inlineStr">
        <is>
          <t>UPPSALA LÄN</t>
        </is>
      </c>
      <c r="E244" t="inlineStr">
        <is>
          <t>ÖSTHAMMAR</t>
        </is>
      </c>
      <c r="G244" t="n">
        <v>3.3</v>
      </c>
      <c r="H244" t="n">
        <v>0</v>
      </c>
      <c r="I244" t="n">
        <v>0</v>
      </c>
      <c r="J244" t="n">
        <v>0</v>
      </c>
      <c r="K244" t="n">
        <v>0</v>
      </c>
      <c r="L244" t="n">
        <v>0</v>
      </c>
      <c r="M244" t="n">
        <v>0</v>
      </c>
      <c r="N244" t="n">
        <v>0</v>
      </c>
      <c r="O244" t="n">
        <v>0</v>
      </c>
      <c r="P244" t="n">
        <v>0</v>
      </c>
      <c r="Q244" t="n">
        <v>0</v>
      </c>
      <c r="R244" s="2" t="inlineStr"/>
    </row>
    <row r="245" ht="15" customHeight="1">
      <c r="A245" t="inlineStr">
        <is>
          <t>A 22709-2021</t>
        </is>
      </c>
      <c r="B245" s="1" t="n">
        <v>44327.61518518518</v>
      </c>
      <c r="C245" s="1" t="n">
        <v>46144</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46144</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32815-2024</t>
        </is>
      </c>
      <c r="B247" s="1" t="n">
        <v>45516.57682870371</v>
      </c>
      <c r="C247" s="1" t="n">
        <v>46144</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32884-2024</t>
        </is>
      </c>
      <c r="B248" s="1" t="n">
        <v>45516.72097222223</v>
      </c>
      <c r="C248" s="1" t="n">
        <v>46144</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7543-2023</t>
        </is>
      </c>
      <c r="B249" s="1" t="n">
        <v>44972</v>
      </c>
      <c r="C249" s="1" t="n">
        <v>46144</v>
      </c>
      <c r="D249" t="inlineStr">
        <is>
          <t>UPPSALA LÄN</t>
        </is>
      </c>
      <c r="E249" t="inlineStr">
        <is>
          <t>ÖSTHAMMAR</t>
        </is>
      </c>
      <c r="F249" t="inlineStr">
        <is>
          <t>Bergvik skog öst AB</t>
        </is>
      </c>
      <c r="G249" t="n">
        <v>13.3</v>
      </c>
      <c r="H249" t="n">
        <v>0</v>
      </c>
      <c r="I249" t="n">
        <v>0</v>
      </c>
      <c r="J249" t="n">
        <v>0</v>
      </c>
      <c r="K249" t="n">
        <v>0</v>
      </c>
      <c r="L249" t="n">
        <v>0</v>
      </c>
      <c r="M249" t="n">
        <v>0</v>
      </c>
      <c r="N249" t="n">
        <v>0</v>
      </c>
      <c r="O249" t="n">
        <v>0</v>
      </c>
      <c r="P249" t="n">
        <v>0</v>
      </c>
      <c r="Q249" t="n">
        <v>0</v>
      </c>
      <c r="R249" s="2" t="inlineStr"/>
    </row>
    <row r="250" ht="15" customHeight="1">
      <c r="A250" t="inlineStr">
        <is>
          <t>A 61261-2022</t>
        </is>
      </c>
      <c r="B250" s="1" t="n">
        <v>44915.59645833333</v>
      </c>
      <c r="C250" s="1" t="n">
        <v>46144</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4984-2024</t>
        </is>
      </c>
      <c r="B251" s="1" t="n">
        <v>45329</v>
      </c>
      <c r="C251" s="1" t="n">
        <v>46144</v>
      </c>
      <c r="D251" t="inlineStr">
        <is>
          <t>UPPSALA LÄN</t>
        </is>
      </c>
      <c r="E251" t="inlineStr">
        <is>
          <t>ÖSTHAMMAR</t>
        </is>
      </c>
      <c r="G251" t="n">
        <v>2.2</v>
      </c>
      <c r="H251" t="n">
        <v>0</v>
      </c>
      <c r="I251" t="n">
        <v>0</v>
      </c>
      <c r="J251" t="n">
        <v>0</v>
      </c>
      <c r="K251" t="n">
        <v>0</v>
      </c>
      <c r="L251" t="n">
        <v>0</v>
      </c>
      <c r="M251" t="n">
        <v>0</v>
      </c>
      <c r="N251" t="n">
        <v>0</v>
      </c>
      <c r="O251" t="n">
        <v>0</v>
      </c>
      <c r="P251" t="n">
        <v>0</v>
      </c>
      <c r="Q251" t="n">
        <v>0</v>
      </c>
      <c r="R251" s="2" t="inlineStr"/>
    </row>
    <row r="252" ht="15" customHeight="1">
      <c r="A252" t="inlineStr">
        <is>
          <t>A 20634-2024</t>
        </is>
      </c>
      <c r="B252" s="1" t="n">
        <v>45436</v>
      </c>
      <c r="C252" s="1" t="n">
        <v>46144</v>
      </c>
      <c r="D252" t="inlineStr">
        <is>
          <t>UPPSALA LÄN</t>
        </is>
      </c>
      <c r="E252" t="inlineStr">
        <is>
          <t>ÖSTHAMMAR</t>
        </is>
      </c>
      <c r="G252" t="n">
        <v>6.5</v>
      </c>
      <c r="H252" t="n">
        <v>0</v>
      </c>
      <c r="I252" t="n">
        <v>0</v>
      </c>
      <c r="J252" t="n">
        <v>0</v>
      </c>
      <c r="K252" t="n">
        <v>0</v>
      </c>
      <c r="L252" t="n">
        <v>0</v>
      </c>
      <c r="M252" t="n">
        <v>0</v>
      </c>
      <c r="N252" t="n">
        <v>0</v>
      </c>
      <c r="O252" t="n">
        <v>0</v>
      </c>
      <c r="P252" t="n">
        <v>0</v>
      </c>
      <c r="Q252" t="n">
        <v>0</v>
      </c>
      <c r="R252" s="2" t="inlineStr"/>
    </row>
    <row r="253" ht="15" customHeight="1">
      <c r="A253" t="inlineStr">
        <is>
          <t>A 74429-2021</t>
        </is>
      </c>
      <c r="B253" s="1" t="n">
        <v>44560.43136574074</v>
      </c>
      <c r="C253" s="1" t="n">
        <v>46144</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38003-2024</t>
        </is>
      </c>
      <c r="B254" s="1" t="n">
        <v>45544</v>
      </c>
      <c r="C254" s="1" t="n">
        <v>46144</v>
      </c>
      <c r="D254" t="inlineStr">
        <is>
          <t>UPPSALA LÄN</t>
        </is>
      </c>
      <c r="E254" t="inlineStr">
        <is>
          <t>ÖSTHAMMAR</t>
        </is>
      </c>
      <c r="F254" t="inlineStr">
        <is>
          <t>Naturvårdsverket</t>
        </is>
      </c>
      <c r="G254" t="n">
        <v>4.2</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46144</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52661-2022</t>
        </is>
      </c>
      <c r="B256" s="1" t="n">
        <v>44874</v>
      </c>
      <c r="C256" s="1" t="n">
        <v>46144</v>
      </c>
      <c r="D256" t="inlineStr">
        <is>
          <t>UPPSALA LÄN</t>
        </is>
      </c>
      <c r="E256" t="inlineStr">
        <is>
          <t>ÖSTHAMMAR</t>
        </is>
      </c>
      <c r="F256" t="inlineStr">
        <is>
          <t>Bergvik skog öst AB</t>
        </is>
      </c>
      <c r="G256" t="n">
        <v>0.2</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46144</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16141-2022</t>
        </is>
      </c>
      <c r="B258" s="1" t="n">
        <v>44665</v>
      </c>
      <c r="C258" s="1" t="n">
        <v>46144</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3732-2022</t>
        </is>
      </c>
      <c r="B259" s="1" t="n">
        <v>44586.64851851852</v>
      </c>
      <c r="C259" s="1" t="n">
        <v>46144</v>
      </c>
      <c r="D259" t="inlineStr">
        <is>
          <t>UPPSALA LÄN</t>
        </is>
      </c>
      <c r="E259" t="inlineStr">
        <is>
          <t>ÖSTHAMMAR</t>
        </is>
      </c>
      <c r="F259" t="inlineStr">
        <is>
          <t>Bergvik skog öst AB</t>
        </is>
      </c>
      <c r="G259" t="n">
        <v>3.6</v>
      </c>
      <c r="H259" t="n">
        <v>0</v>
      </c>
      <c r="I259" t="n">
        <v>0</v>
      </c>
      <c r="J259" t="n">
        <v>0</v>
      </c>
      <c r="K259" t="n">
        <v>0</v>
      </c>
      <c r="L259" t="n">
        <v>0</v>
      </c>
      <c r="M259" t="n">
        <v>0</v>
      </c>
      <c r="N259" t="n">
        <v>0</v>
      </c>
      <c r="O259" t="n">
        <v>0</v>
      </c>
      <c r="P259" t="n">
        <v>0</v>
      </c>
      <c r="Q259" t="n">
        <v>0</v>
      </c>
      <c r="R259" s="2" t="inlineStr"/>
    </row>
    <row r="260" ht="15" customHeight="1">
      <c r="A260" t="inlineStr">
        <is>
          <t>A 28152-2024</t>
        </is>
      </c>
      <c r="B260" s="1" t="n">
        <v>45476.77056712963</v>
      </c>
      <c r="C260" s="1" t="n">
        <v>46144</v>
      </c>
      <c r="D260" t="inlineStr">
        <is>
          <t>UPPSALA LÄN</t>
        </is>
      </c>
      <c r="E260" t="inlineStr">
        <is>
          <t>ÖSTHAMMAR</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2839-2025</t>
        </is>
      </c>
      <c r="B261" s="1" t="n">
        <v>45677</v>
      </c>
      <c r="C261" s="1" t="n">
        <v>46144</v>
      </c>
      <c r="D261" t="inlineStr">
        <is>
          <t>UPPSALA LÄN</t>
        </is>
      </c>
      <c r="E261" t="inlineStr">
        <is>
          <t>ÖSTHAMMAR</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2947-2025</t>
        </is>
      </c>
      <c r="B262" s="1" t="n">
        <v>45678</v>
      </c>
      <c r="C262" s="1" t="n">
        <v>46144</v>
      </c>
      <c r="D262" t="inlineStr">
        <is>
          <t>UPPSALA LÄN</t>
        </is>
      </c>
      <c r="E262" t="inlineStr">
        <is>
          <t>ÖSTHAMMAR</t>
        </is>
      </c>
      <c r="G262" t="n">
        <v>3.6</v>
      </c>
      <c r="H262" t="n">
        <v>0</v>
      </c>
      <c r="I262" t="n">
        <v>0</v>
      </c>
      <c r="J262" t="n">
        <v>0</v>
      </c>
      <c r="K262" t="n">
        <v>0</v>
      </c>
      <c r="L262" t="n">
        <v>0</v>
      </c>
      <c r="M262" t="n">
        <v>0</v>
      </c>
      <c r="N262" t="n">
        <v>0</v>
      </c>
      <c r="O262" t="n">
        <v>0</v>
      </c>
      <c r="P262" t="n">
        <v>0</v>
      </c>
      <c r="Q262" t="n">
        <v>0</v>
      </c>
      <c r="R262" s="2" t="inlineStr"/>
    </row>
    <row r="263" ht="15" customHeight="1">
      <c r="A263" t="inlineStr">
        <is>
          <t>A 57453-2022</t>
        </is>
      </c>
      <c r="B263" s="1" t="n">
        <v>44896.56266203704</v>
      </c>
      <c r="C263" s="1" t="n">
        <v>46144</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57462-2022</t>
        </is>
      </c>
      <c r="B264" s="1" t="n">
        <v>44896.57527777777</v>
      </c>
      <c r="C264" s="1" t="n">
        <v>46144</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61817-2021</t>
        </is>
      </c>
      <c r="B265" s="1" t="n">
        <v>44501.76855324074</v>
      </c>
      <c r="C265" s="1" t="n">
        <v>46144</v>
      </c>
      <c r="D265" t="inlineStr">
        <is>
          <t>UPPSALA LÄN</t>
        </is>
      </c>
      <c r="E265" t="inlineStr">
        <is>
          <t>ÖSTHAMMAR</t>
        </is>
      </c>
      <c r="F265" t="inlineStr">
        <is>
          <t>Bergvik skog öst AB</t>
        </is>
      </c>
      <c r="G265" t="n">
        <v>2.3</v>
      </c>
      <c r="H265" t="n">
        <v>0</v>
      </c>
      <c r="I265" t="n">
        <v>0</v>
      </c>
      <c r="J265" t="n">
        <v>0</v>
      </c>
      <c r="K265" t="n">
        <v>0</v>
      </c>
      <c r="L265" t="n">
        <v>0</v>
      </c>
      <c r="M265" t="n">
        <v>0</v>
      </c>
      <c r="N265" t="n">
        <v>0</v>
      </c>
      <c r="O265" t="n">
        <v>0</v>
      </c>
      <c r="P265" t="n">
        <v>0</v>
      </c>
      <c r="Q265" t="n">
        <v>0</v>
      </c>
      <c r="R265" s="2" t="inlineStr"/>
    </row>
    <row r="266" ht="15" customHeight="1">
      <c r="A266" t="inlineStr">
        <is>
          <t>A 73982-2021</t>
        </is>
      </c>
      <c r="B266" s="1" t="n">
        <v>44555.80339120371</v>
      </c>
      <c r="C266" s="1" t="n">
        <v>46144</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14859-2025</t>
        </is>
      </c>
      <c r="B267" s="1" t="n">
        <v>45743.42427083333</v>
      </c>
      <c r="C267" s="1" t="n">
        <v>46144</v>
      </c>
      <c r="D267" t="inlineStr">
        <is>
          <t>UPPSALA LÄN</t>
        </is>
      </c>
      <c r="E267" t="inlineStr">
        <is>
          <t>ÖSTHAMMAR</t>
        </is>
      </c>
      <c r="G267" t="n">
        <v>1.1</v>
      </c>
      <c r="H267" t="n">
        <v>0</v>
      </c>
      <c r="I267" t="n">
        <v>0</v>
      </c>
      <c r="J267" t="n">
        <v>0</v>
      </c>
      <c r="K267" t="n">
        <v>0</v>
      </c>
      <c r="L267" t="n">
        <v>0</v>
      </c>
      <c r="M267" t="n">
        <v>0</v>
      </c>
      <c r="N267" t="n">
        <v>0</v>
      </c>
      <c r="O267" t="n">
        <v>0</v>
      </c>
      <c r="P267" t="n">
        <v>0</v>
      </c>
      <c r="Q267" t="n">
        <v>0</v>
      </c>
      <c r="R267" s="2" t="inlineStr"/>
    </row>
    <row r="268" ht="15" customHeight="1">
      <c r="A268" t="inlineStr">
        <is>
          <t>A 27660-2023</t>
        </is>
      </c>
      <c r="B268" s="1" t="n">
        <v>45097</v>
      </c>
      <c r="C268" s="1" t="n">
        <v>46144</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14272-2025</t>
        </is>
      </c>
      <c r="B269" s="1" t="n">
        <v>45740.64327546296</v>
      </c>
      <c r="C269" s="1" t="n">
        <v>46144</v>
      </c>
      <c r="D269" t="inlineStr">
        <is>
          <t>UPPSALA LÄN</t>
        </is>
      </c>
      <c r="E269" t="inlineStr">
        <is>
          <t>ÖSTHAMMAR</t>
        </is>
      </c>
      <c r="G269" t="n">
        <v>5.7</v>
      </c>
      <c r="H269" t="n">
        <v>0</v>
      </c>
      <c r="I269" t="n">
        <v>0</v>
      </c>
      <c r="J269" t="n">
        <v>0</v>
      </c>
      <c r="K269" t="n">
        <v>0</v>
      </c>
      <c r="L269" t="n">
        <v>0</v>
      </c>
      <c r="M269" t="n">
        <v>0</v>
      </c>
      <c r="N269" t="n">
        <v>0</v>
      </c>
      <c r="O269" t="n">
        <v>0</v>
      </c>
      <c r="P269" t="n">
        <v>0</v>
      </c>
      <c r="Q269" t="n">
        <v>0</v>
      </c>
      <c r="R269" s="2" t="inlineStr"/>
    </row>
    <row r="270" ht="15" customHeight="1">
      <c r="A270" t="inlineStr">
        <is>
          <t>A 6153-2022</t>
        </is>
      </c>
      <c r="B270" s="1" t="n">
        <v>44599</v>
      </c>
      <c r="C270" s="1" t="n">
        <v>46144</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47341-2023</t>
        </is>
      </c>
      <c r="B271" s="1" t="n">
        <v>45202.55721064815</v>
      </c>
      <c r="C271" s="1" t="n">
        <v>46144</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1800-2023</t>
        </is>
      </c>
      <c r="B272" s="1" t="n">
        <v>44938</v>
      </c>
      <c r="C272" s="1" t="n">
        <v>46144</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61216-2022</t>
        </is>
      </c>
      <c r="B273" s="1" t="n">
        <v>44915.55423611111</v>
      </c>
      <c r="C273" s="1" t="n">
        <v>46144</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70008-2021</t>
        </is>
      </c>
      <c r="B274" s="1" t="n">
        <v>44533.44887731481</v>
      </c>
      <c r="C274" s="1" t="n">
        <v>46144</v>
      </c>
      <c r="D274" t="inlineStr">
        <is>
          <t>UPPSALA LÄN</t>
        </is>
      </c>
      <c r="E274" t="inlineStr">
        <is>
          <t>ÖSTHAMMAR</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2733-2023</t>
        </is>
      </c>
      <c r="B275" s="1" t="n">
        <v>44943</v>
      </c>
      <c r="C275" s="1" t="n">
        <v>46144</v>
      </c>
      <c r="D275" t="inlineStr">
        <is>
          <t>UPPSALA LÄN</t>
        </is>
      </c>
      <c r="E275" t="inlineStr">
        <is>
          <t>ÖSTHAMMAR</t>
        </is>
      </c>
      <c r="G275" t="n">
        <v>2.6</v>
      </c>
      <c r="H275" t="n">
        <v>0</v>
      </c>
      <c r="I275" t="n">
        <v>0</v>
      </c>
      <c r="J275" t="n">
        <v>0</v>
      </c>
      <c r="K275" t="n">
        <v>0</v>
      </c>
      <c r="L275" t="n">
        <v>0</v>
      </c>
      <c r="M275" t="n">
        <v>0</v>
      </c>
      <c r="N275" t="n">
        <v>0</v>
      </c>
      <c r="O275" t="n">
        <v>0</v>
      </c>
      <c r="P275" t="n">
        <v>0</v>
      </c>
      <c r="Q275" t="n">
        <v>0</v>
      </c>
      <c r="R275" s="2" t="inlineStr"/>
    </row>
    <row r="276" ht="15" customHeight="1">
      <c r="A276" t="inlineStr">
        <is>
          <t>A 12812-2024</t>
        </is>
      </c>
      <c r="B276" s="1" t="n">
        <v>45384.65465277778</v>
      </c>
      <c r="C276" s="1" t="n">
        <v>46144</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62394-2022</t>
        </is>
      </c>
      <c r="B277" s="1" t="n">
        <v>44923.82017361111</v>
      </c>
      <c r="C277" s="1" t="n">
        <v>46144</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31574-2022</t>
        </is>
      </c>
      <c r="B278" s="1" t="n">
        <v>44775</v>
      </c>
      <c r="C278" s="1" t="n">
        <v>46144</v>
      </c>
      <c r="D278" t="inlineStr">
        <is>
          <t>UPPSALA LÄN</t>
        </is>
      </c>
      <c r="E278" t="inlineStr">
        <is>
          <t>ÖSTHAMMAR</t>
        </is>
      </c>
      <c r="G278" t="n">
        <v>29.7</v>
      </c>
      <c r="H278" t="n">
        <v>0</v>
      </c>
      <c r="I278" t="n">
        <v>0</v>
      </c>
      <c r="J278" t="n">
        <v>0</v>
      </c>
      <c r="K278" t="n">
        <v>0</v>
      </c>
      <c r="L278" t="n">
        <v>0</v>
      </c>
      <c r="M278" t="n">
        <v>0</v>
      </c>
      <c r="N278" t="n">
        <v>0</v>
      </c>
      <c r="O278" t="n">
        <v>0</v>
      </c>
      <c r="P278" t="n">
        <v>0</v>
      </c>
      <c r="Q278" t="n">
        <v>0</v>
      </c>
      <c r="R278" s="2" t="inlineStr"/>
    </row>
    <row r="279" ht="15" customHeight="1">
      <c r="A279" t="inlineStr">
        <is>
          <t>A 24181-2022</t>
        </is>
      </c>
      <c r="B279" s="1" t="n">
        <v>44725</v>
      </c>
      <c r="C279" s="1" t="n">
        <v>46144</v>
      </c>
      <c r="D279" t="inlineStr">
        <is>
          <t>UPPSALA LÄN</t>
        </is>
      </c>
      <c r="E279" t="inlineStr">
        <is>
          <t>ÖSTHAMMAR</t>
        </is>
      </c>
      <c r="G279" t="n">
        <v>1.4</v>
      </c>
      <c r="H279" t="n">
        <v>0</v>
      </c>
      <c r="I279" t="n">
        <v>0</v>
      </c>
      <c r="J279" t="n">
        <v>0</v>
      </c>
      <c r="K279" t="n">
        <v>0</v>
      </c>
      <c r="L279" t="n">
        <v>0</v>
      </c>
      <c r="M279" t="n">
        <v>0</v>
      </c>
      <c r="N279" t="n">
        <v>0</v>
      </c>
      <c r="O279" t="n">
        <v>0</v>
      </c>
      <c r="P279" t="n">
        <v>0</v>
      </c>
      <c r="Q279" t="n">
        <v>0</v>
      </c>
      <c r="R279" s="2" t="inlineStr"/>
    </row>
    <row r="280" ht="15" customHeight="1">
      <c r="A280" t="inlineStr">
        <is>
          <t>A 4096-2025</t>
        </is>
      </c>
      <c r="B280" s="1" t="n">
        <v>45684</v>
      </c>
      <c r="C280" s="1" t="n">
        <v>46144</v>
      </c>
      <c r="D280" t="inlineStr">
        <is>
          <t>UPPSALA LÄN</t>
        </is>
      </c>
      <c r="E280" t="inlineStr">
        <is>
          <t>ÖSTHAMMAR</t>
        </is>
      </c>
      <c r="G280" t="n">
        <v>2</v>
      </c>
      <c r="H280" t="n">
        <v>0</v>
      </c>
      <c r="I280" t="n">
        <v>0</v>
      </c>
      <c r="J280" t="n">
        <v>0</v>
      </c>
      <c r="K280" t="n">
        <v>0</v>
      </c>
      <c r="L280" t="n">
        <v>0</v>
      </c>
      <c r="M280" t="n">
        <v>0</v>
      </c>
      <c r="N280" t="n">
        <v>0</v>
      </c>
      <c r="O280" t="n">
        <v>0</v>
      </c>
      <c r="P280" t="n">
        <v>0</v>
      </c>
      <c r="Q280" t="n">
        <v>0</v>
      </c>
      <c r="R280" s="2" t="inlineStr"/>
    </row>
    <row r="281" ht="15" customHeight="1">
      <c r="A281" t="inlineStr">
        <is>
          <t>A 22884-2024</t>
        </is>
      </c>
      <c r="B281" s="1" t="n">
        <v>45448</v>
      </c>
      <c r="C281" s="1" t="n">
        <v>46144</v>
      </c>
      <c r="D281" t="inlineStr">
        <is>
          <t>UPPSALA LÄN</t>
        </is>
      </c>
      <c r="E281" t="inlineStr">
        <is>
          <t>ÖSTHAMMAR</t>
        </is>
      </c>
      <c r="G281" t="n">
        <v>3.3</v>
      </c>
      <c r="H281" t="n">
        <v>0</v>
      </c>
      <c r="I281" t="n">
        <v>0</v>
      </c>
      <c r="J281" t="n">
        <v>0</v>
      </c>
      <c r="K281" t="n">
        <v>0</v>
      </c>
      <c r="L281" t="n">
        <v>0</v>
      </c>
      <c r="M281" t="n">
        <v>0</v>
      </c>
      <c r="N281" t="n">
        <v>0</v>
      </c>
      <c r="O281" t="n">
        <v>0</v>
      </c>
      <c r="P281" t="n">
        <v>0</v>
      </c>
      <c r="Q281" t="n">
        <v>0</v>
      </c>
      <c r="R281" s="2" t="inlineStr"/>
    </row>
    <row r="282" ht="15" customHeight="1">
      <c r="A282" t="inlineStr">
        <is>
          <t>A 36645-2025</t>
        </is>
      </c>
      <c r="B282" s="1" t="n">
        <v>45872</v>
      </c>
      <c r="C282" s="1" t="n">
        <v>46144</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36644-2025</t>
        </is>
      </c>
      <c r="B283" s="1" t="n">
        <v>45872.48738425926</v>
      </c>
      <c r="C283" s="1" t="n">
        <v>46144</v>
      </c>
      <c r="D283" t="inlineStr">
        <is>
          <t>UPPSALA LÄN</t>
        </is>
      </c>
      <c r="E283" t="inlineStr">
        <is>
          <t>ÖSTHAMMAR</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8874-2025</t>
        </is>
      </c>
      <c r="B284" s="1" t="n">
        <v>45713</v>
      </c>
      <c r="C284" s="1" t="n">
        <v>46144</v>
      </c>
      <c r="D284" t="inlineStr">
        <is>
          <t>UPPSALA LÄN</t>
        </is>
      </c>
      <c r="E284" t="inlineStr">
        <is>
          <t>ÖSTHAMMAR</t>
        </is>
      </c>
      <c r="G284" t="n">
        <v>6.3</v>
      </c>
      <c r="H284" t="n">
        <v>0</v>
      </c>
      <c r="I284" t="n">
        <v>0</v>
      </c>
      <c r="J284" t="n">
        <v>0</v>
      </c>
      <c r="K284" t="n">
        <v>0</v>
      </c>
      <c r="L284" t="n">
        <v>0</v>
      </c>
      <c r="M284" t="n">
        <v>0</v>
      </c>
      <c r="N284" t="n">
        <v>0</v>
      </c>
      <c r="O284" t="n">
        <v>0</v>
      </c>
      <c r="P284" t="n">
        <v>0</v>
      </c>
      <c r="Q284" t="n">
        <v>0</v>
      </c>
      <c r="R284" s="2" t="inlineStr"/>
    </row>
    <row r="285" ht="15" customHeight="1">
      <c r="A285" t="inlineStr">
        <is>
          <t>A 25418-2022</t>
        </is>
      </c>
      <c r="B285" s="1" t="n">
        <v>44732.464375</v>
      </c>
      <c r="C285" s="1" t="n">
        <v>46144</v>
      </c>
      <c r="D285" t="inlineStr">
        <is>
          <t>UPPSALA LÄN</t>
        </is>
      </c>
      <c r="E285" t="inlineStr">
        <is>
          <t>ÖSTHAMMAR</t>
        </is>
      </c>
      <c r="G285" t="n">
        <v>2.8</v>
      </c>
      <c r="H285" t="n">
        <v>0</v>
      </c>
      <c r="I285" t="n">
        <v>0</v>
      </c>
      <c r="J285" t="n">
        <v>0</v>
      </c>
      <c r="K285" t="n">
        <v>0</v>
      </c>
      <c r="L285" t="n">
        <v>0</v>
      </c>
      <c r="M285" t="n">
        <v>0</v>
      </c>
      <c r="N285" t="n">
        <v>0</v>
      </c>
      <c r="O285" t="n">
        <v>0</v>
      </c>
      <c r="P285" t="n">
        <v>0</v>
      </c>
      <c r="Q285" t="n">
        <v>0</v>
      </c>
      <c r="R285" s="2" t="inlineStr"/>
    </row>
    <row r="286" ht="15" customHeight="1">
      <c r="A286" t="inlineStr">
        <is>
          <t>A 62391-2022</t>
        </is>
      </c>
      <c r="B286" s="1" t="n">
        <v>44923.7849537037</v>
      </c>
      <c r="C286" s="1" t="n">
        <v>46144</v>
      </c>
      <c r="D286" t="inlineStr">
        <is>
          <t>UPPSALA LÄN</t>
        </is>
      </c>
      <c r="E286" t="inlineStr">
        <is>
          <t>ÖSTHAMMAR</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31485-2023</t>
        </is>
      </c>
      <c r="B287" s="1" t="n">
        <v>45114</v>
      </c>
      <c r="C287" s="1" t="n">
        <v>46144</v>
      </c>
      <c r="D287" t="inlineStr">
        <is>
          <t>UPPSALA LÄN</t>
        </is>
      </c>
      <c r="E287" t="inlineStr">
        <is>
          <t>ÖSTHAMMAR</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56759-2024</t>
        </is>
      </c>
      <c r="B288" s="1" t="n">
        <v>45628.39877314815</v>
      </c>
      <c r="C288" s="1" t="n">
        <v>46144</v>
      </c>
      <c r="D288" t="inlineStr">
        <is>
          <t>UPPSALA LÄN</t>
        </is>
      </c>
      <c r="E288" t="inlineStr">
        <is>
          <t>ÖSTHAMMAR</t>
        </is>
      </c>
      <c r="G288" t="n">
        <v>4.7</v>
      </c>
      <c r="H288" t="n">
        <v>0</v>
      </c>
      <c r="I288" t="n">
        <v>0</v>
      </c>
      <c r="J288" t="n">
        <v>0</v>
      </c>
      <c r="K288" t="n">
        <v>0</v>
      </c>
      <c r="L288" t="n">
        <v>0</v>
      </c>
      <c r="M288" t="n">
        <v>0</v>
      </c>
      <c r="N288" t="n">
        <v>0</v>
      </c>
      <c r="O288" t="n">
        <v>0</v>
      </c>
      <c r="P288" t="n">
        <v>0</v>
      </c>
      <c r="Q288" t="n">
        <v>0</v>
      </c>
      <c r="R288" s="2" t="inlineStr"/>
    </row>
    <row r="289" ht="15" customHeight="1">
      <c r="A289" t="inlineStr">
        <is>
          <t>A 32744-2022</t>
        </is>
      </c>
      <c r="B289" s="1" t="n">
        <v>44783.70378472222</v>
      </c>
      <c r="C289" s="1" t="n">
        <v>46144</v>
      </c>
      <c r="D289" t="inlineStr">
        <is>
          <t>UPPSALA LÄN</t>
        </is>
      </c>
      <c r="E289" t="inlineStr">
        <is>
          <t>ÖSTHAMMAR</t>
        </is>
      </c>
      <c r="F289" t="inlineStr">
        <is>
          <t>Bergvik skog öst AB</t>
        </is>
      </c>
      <c r="G289" t="n">
        <v>3</v>
      </c>
      <c r="H289" t="n">
        <v>0</v>
      </c>
      <c r="I289" t="n">
        <v>0</v>
      </c>
      <c r="J289" t="n">
        <v>0</v>
      </c>
      <c r="K289" t="n">
        <v>0</v>
      </c>
      <c r="L289" t="n">
        <v>0</v>
      </c>
      <c r="M289" t="n">
        <v>0</v>
      </c>
      <c r="N289" t="n">
        <v>0</v>
      </c>
      <c r="O289" t="n">
        <v>0</v>
      </c>
      <c r="P289" t="n">
        <v>0</v>
      </c>
      <c r="Q289" t="n">
        <v>0</v>
      </c>
      <c r="R289" s="2" t="inlineStr"/>
    </row>
    <row r="290" ht="15" customHeight="1">
      <c r="A290" t="inlineStr">
        <is>
          <t>A 37656-2025</t>
        </is>
      </c>
      <c r="B290" s="1" t="n">
        <v>45880</v>
      </c>
      <c r="C290" s="1" t="n">
        <v>46144</v>
      </c>
      <c r="D290" t="inlineStr">
        <is>
          <t>UPPSALA LÄN</t>
        </is>
      </c>
      <c r="E290" t="inlineStr">
        <is>
          <t>ÖSTHAMMAR</t>
        </is>
      </c>
      <c r="G290" t="n">
        <v>4.3</v>
      </c>
      <c r="H290" t="n">
        <v>0</v>
      </c>
      <c r="I290" t="n">
        <v>0</v>
      </c>
      <c r="J290" t="n">
        <v>0</v>
      </c>
      <c r="K290" t="n">
        <v>0</v>
      </c>
      <c r="L290" t="n">
        <v>0</v>
      </c>
      <c r="M290" t="n">
        <v>0</v>
      </c>
      <c r="N290" t="n">
        <v>0</v>
      </c>
      <c r="O290" t="n">
        <v>0</v>
      </c>
      <c r="P290" t="n">
        <v>0</v>
      </c>
      <c r="Q290" t="n">
        <v>0</v>
      </c>
      <c r="R290" s="2" t="inlineStr"/>
    </row>
    <row r="291" ht="15" customHeight="1">
      <c r="A291" t="inlineStr">
        <is>
          <t>A 37764-2025</t>
        </is>
      </c>
      <c r="B291" s="1" t="n">
        <v>45880.70917824074</v>
      </c>
      <c r="C291" s="1" t="n">
        <v>46144</v>
      </c>
      <c r="D291" t="inlineStr">
        <is>
          <t>UPPSALA LÄN</t>
        </is>
      </c>
      <c r="E291" t="inlineStr">
        <is>
          <t>ÖSTHAMMAR</t>
        </is>
      </c>
      <c r="G291" t="n">
        <v>4.6</v>
      </c>
      <c r="H291" t="n">
        <v>0</v>
      </c>
      <c r="I291" t="n">
        <v>0</v>
      </c>
      <c r="J291" t="n">
        <v>0</v>
      </c>
      <c r="K291" t="n">
        <v>0</v>
      </c>
      <c r="L291" t="n">
        <v>0</v>
      </c>
      <c r="M291" t="n">
        <v>0</v>
      </c>
      <c r="N291" t="n">
        <v>0</v>
      </c>
      <c r="O291" t="n">
        <v>0</v>
      </c>
      <c r="P291" t="n">
        <v>0</v>
      </c>
      <c r="Q291" t="n">
        <v>0</v>
      </c>
      <c r="R291" s="2" t="inlineStr"/>
    </row>
    <row r="292" ht="15" customHeight="1">
      <c r="A292" t="inlineStr">
        <is>
          <t>A 5189-2025</t>
        </is>
      </c>
      <c r="B292" s="1" t="n">
        <v>45691</v>
      </c>
      <c r="C292" s="1" t="n">
        <v>46144</v>
      </c>
      <c r="D292" t="inlineStr">
        <is>
          <t>UPPSALA LÄN</t>
        </is>
      </c>
      <c r="E292" t="inlineStr">
        <is>
          <t>ÖSTHAMMAR</t>
        </is>
      </c>
      <c r="F292" t="inlineStr">
        <is>
          <t>Bergvik skog öst AB</t>
        </is>
      </c>
      <c r="G292" t="n">
        <v>24.4</v>
      </c>
      <c r="H292" t="n">
        <v>0</v>
      </c>
      <c r="I292" t="n">
        <v>0</v>
      </c>
      <c r="J292" t="n">
        <v>0</v>
      </c>
      <c r="K292" t="n">
        <v>0</v>
      </c>
      <c r="L292" t="n">
        <v>0</v>
      </c>
      <c r="M292" t="n">
        <v>0</v>
      </c>
      <c r="N292" t="n">
        <v>0</v>
      </c>
      <c r="O292" t="n">
        <v>0</v>
      </c>
      <c r="P292" t="n">
        <v>0</v>
      </c>
      <c r="Q292" t="n">
        <v>0</v>
      </c>
      <c r="R292" s="2" t="inlineStr"/>
    </row>
    <row r="293" ht="15" customHeight="1">
      <c r="A293" t="inlineStr">
        <is>
          <t>A 7118-2023</t>
        </is>
      </c>
      <c r="B293" s="1" t="n">
        <v>44970.39591435185</v>
      </c>
      <c r="C293" s="1" t="n">
        <v>46144</v>
      </c>
      <c r="D293" t="inlineStr">
        <is>
          <t>UPPSALA LÄN</t>
        </is>
      </c>
      <c r="E293" t="inlineStr">
        <is>
          <t>ÖSTHAMMAR</t>
        </is>
      </c>
      <c r="G293" t="n">
        <v>2.1</v>
      </c>
      <c r="H293" t="n">
        <v>0</v>
      </c>
      <c r="I293" t="n">
        <v>0</v>
      </c>
      <c r="J293" t="n">
        <v>0</v>
      </c>
      <c r="K293" t="n">
        <v>0</v>
      </c>
      <c r="L293" t="n">
        <v>0</v>
      </c>
      <c r="M293" t="n">
        <v>0</v>
      </c>
      <c r="N293" t="n">
        <v>0</v>
      </c>
      <c r="O293" t="n">
        <v>0</v>
      </c>
      <c r="P293" t="n">
        <v>0</v>
      </c>
      <c r="Q293" t="n">
        <v>0</v>
      </c>
      <c r="R293" s="2" t="inlineStr"/>
    </row>
    <row r="294" ht="15" customHeight="1">
      <c r="A294" t="inlineStr">
        <is>
          <t>A 37770-2025</t>
        </is>
      </c>
      <c r="B294" s="1" t="n">
        <v>45880.7505787037</v>
      </c>
      <c r="C294" s="1" t="n">
        <v>46144</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4559-2022</t>
        </is>
      </c>
      <c r="B295" s="1" t="n">
        <v>44591.51854166666</v>
      </c>
      <c r="C295" s="1" t="n">
        <v>46144</v>
      </c>
      <c r="D295" t="inlineStr">
        <is>
          <t>UPPSALA LÄN</t>
        </is>
      </c>
      <c r="E295" t="inlineStr">
        <is>
          <t>ÖSTHAMMAR</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11643-2022</t>
        </is>
      </c>
      <c r="B296" s="1" t="n">
        <v>44631.92662037037</v>
      </c>
      <c r="C296" s="1" t="n">
        <v>46144</v>
      </c>
      <c r="D296" t="inlineStr">
        <is>
          <t>UPPSALA LÄN</t>
        </is>
      </c>
      <c r="E296" t="inlineStr">
        <is>
          <t>ÖSTHAMMAR</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11036-2023</t>
        </is>
      </c>
      <c r="B297" s="1" t="n">
        <v>44991.9321412037</v>
      </c>
      <c r="C297" s="1" t="n">
        <v>46144</v>
      </c>
      <c r="D297" t="inlineStr">
        <is>
          <t>UPPSALA LÄN</t>
        </is>
      </c>
      <c r="E297" t="inlineStr">
        <is>
          <t>ÖSTHAMMAR</t>
        </is>
      </c>
      <c r="F297" t="inlineStr">
        <is>
          <t>Bergvik skog öst AB</t>
        </is>
      </c>
      <c r="G297" t="n">
        <v>3</v>
      </c>
      <c r="H297" t="n">
        <v>0</v>
      </c>
      <c r="I297" t="n">
        <v>0</v>
      </c>
      <c r="J297" t="n">
        <v>0</v>
      </c>
      <c r="K297" t="n">
        <v>0</v>
      </c>
      <c r="L297" t="n">
        <v>0</v>
      </c>
      <c r="M297" t="n">
        <v>0</v>
      </c>
      <c r="N297" t="n">
        <v>0</v>
      </c>
      <c r="O297" t="n">
        <v>0</v>
      </c>
      <c r="P297" t="n">
        <v>0</v>
      </c>
      <c r="Q297" t="n">
        <v>0</v>
      </c>
      <c r="R297" s="2" t="inlineStr"/>
    </row>
    <row r="298" ht="15" customHeight="1">
      <c r="A298" t="inlineStr">
        <is>
          <t>A 23363-2023</t>
        </is>
      </c>
      <c r="B298" s="1" t="n">
        <v>45076</v>
      </c>
      <c r="C298" s="1" t="n">
        <v>46144</v>
      </c>
      <c r="D298" t="inlineStr">
        <is>
          <t>UPPSALA LÄN</t>
        </is>
      </c>
      <c r="E298" t="inlineStr">
        <is>
          <t>ÖSTHAMMAR</t>
        </is>
      </c>
      <c r="G298" t="n">
        <v>3</v>
      </c>
      <c r="H298" t="n">
        <v>0</v>
      </c>
      <c r="I298" t="n">
        <v>0</v>
      </c>
      <c r="J298" t="n">
        <v>0</v>
      </c>
      <c r="K298" t="n">
        <v>0</v>
      </c>
      <c r="L298" t="n">
        <v>0</v>
      </c>
      <c r="M298" t="n">
        <v>0</v>
      </c>
      <c r="N298" t="n">
        <v>0</v>
      </c>
      <c r="O298" t="n">
        <v>0</v>
      </c>
      <c r="P298" t="n">
        <v>0</v>
      </c>
      <c r="Q298" t="n">
        <v>0</v>
      </c>
      <c r="R298" s="2" t="inlineStr"/>
    </row>
    <row r="299" ht="15" customHeight="1">
      <c r="A299" t="inlineStr">
        <is>
          <t>A 3418-2025</t>
        </is>
      </c>
      <c r="B299" s="1" t="n">
        <v>45680</v>
      </c>
      <c r="C299" s="1" t="n">
        <v>46144</v>
      </c>
      <c r="D299" t="inlineStr">
        <is>
          <t>UPPSALA LÄN</t>
        </is>
      </c>
      <c r="E299" t="inlineStr">
        <is>
          <t>ÖSTHAMMAR</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3420-2025</t>
        </is>
      </c>
      <c r="B300" s="1" t="n">
        <v>45680</v>
      </c>
      <c r="C300" s="1" t="n">
        <v>46144</v>
      </c>
      <c r="D300" t="inlineStr">
        <is>
          <t>UPPSALA LÄN</t>
        </is>
      </c>
      <c r="E300" t="inlineStr">
        <is>
          <t>ÖSTHAMMAR</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14505-2023</t>
        </is>
      </c>
      <c r="B301" s="1" t="n">
        <v>45012.7975</v>
      </c>
      <c r="C301" s="1" t="n">
        <v>46144</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60577-2021</t>
        </is>
      </c>
      <c r="B302" s="1" t="n">
        <v>44496.57019675926</v>
      </c>
      <c r="C302" s="1" t="n">
        <v>46144</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38886-2025</t>
        </is>
      </c>
      <c r="B303" s="1" t="n">
        <v>45887.58370370371</v>
      </c>
      <c r="C303" s="1" t="n">
        <v>46144</v>
      </c>
      <c r="D303" t="inlineStr">
        <is>
          <t>UPPSALA LÄN</t>
        </is>
      </c>
      <c r="E303" t="inlineStr">
        <is>
          <t>ÖSTHAMMAR</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5344-2025</t>
        </is>
      </c>
      <c r="B304" s="1" t="n">
        <v>45692</v>
      </c>
      <c r="C304" s="1" t="n">
        <v>46144</v>
      </c>
      <c r="D304" t="inlineStr">
        <is>
          <t>UPPSALA LÄN</t>
        </is>
      </c>
      <c r="E304" t="inlineStr">
        <is>
          <t>ÖSTHAMMAR</t>
        </is>
      </c>
      <c r="F304" t="inlineStr">
        <is>
          <t>Bergvik skog öst AB</t>
        </is>
      </c>
      <c r="G304" t="n">
        <v>3.2</v>
      </c>
      <c r="H304" t="n">
        <v>0</v>
      </c>
      <c r="I304" t="n">
        <v>0</v>
      </c>
      <c r="J304" t="n">
        <v>0</v>
      </c>
      <c r="K304" t="n">
        <v>0</v>
      </c>
      <c r="L304" t="n">
        <v>0</v>
      </c>
      <c r="M304" t="n">
        <v>0</v>
      </c>
      <c r="N304" t="n">
        <v>0</v>
      </c>
      <c r="O304" t="n">
        <v>0</v>
      </c>
      <c r="P304" t="n">
        <v>0</v>
      </c>
      <c r="Q304" t="n">
        <v>0</v>
      </c>
      <c r="R304" s="2" t="inlineStr"/>
    </row>
    <row r="305" ht="15" customHeight="1">
      <c r="A305" t="inlineStr">
        <is>
          <t>A 62695-2023</t>
        </is>
      </c>
      <c r="B305" s="1" t="n">
        <v>45271</v>
      </c>
      <c r="C305" s="1" t="n">
        <v>46144</v>
      </c>
      <c r="D305" t="inlineStr">
        <is>
          <t>UPPSALA LÄN</t>
        </is>
      </c>
      <c r="E305" t="inlineStr">
        <is>
          <t>ÖSTHAMMAR</t>
        </is>
      </c>
      <c r="G305" t="n">
        <v>5.3</v>
      </c>
      <c r="H305" t="n">
        <v>0</v>
      </c>
      <c r="I305" t="n">
        <v>0</v>
      </c>
      <c r="J305" t="n">
        <v>0</v>
      </c>
      <c r="K305" t="n">
        <v>0</v>
      </c>
      <c r="L305" t="n">
        <v>0</v>
      </c>
      <c r="M305" t="n">
        <v>0</v>
      </c>
      <c r="N305" t="n">
        <v>0</v>
      </c>
      <c r="O305" t="n">
        <v>0</v>
      </c>
      <c r="P305" t="n">
        <v>0</v>
      </c>
      <c r="Q305" t="n">
        <v>0</v>
      </c>
      <c r="R305" s="2" t="inlineStr"/>
    </row>
    <row r="306" ht="15" customHeight="1">
      <c r="A306" t="inlineStr">
        <is>
          <t>A 54437-2024</t>
        </is>
      </c>
      <c r="B306" s="1" t="n">
        <v>45617</v>
      </c>
      <c r="C306" s="1" t="n">
        <v>46144</v>
      </c>
      <c r="D306" t="inlineStr">
        <is>
          <t>UPPSALA LÄN</t>
        </is>
      </c>
      <c r="E306" t="inlineStr">
        <is>
          <t>ÖSTHAMMAR</t>
        </is>
      </c>
      <c r="G306" t="n">
        <v>2.1</v>
      </c>
      <c r="H306" t="n">
        <v>0</v>
      </c>
      <c r="I306" t="n">
        <v>0</v>
      </c>
      <c r="J306" t="n">
        <v>0</v>
      </c>
      <c r="K306" t="n">
        <v>0</v>
      </c>
      <c r="L306" t="n">
        <v>0</v>
      </c>
      <c r="M306" t="n">
        <v>0</v>
      </c>
      <c r="N306" t="n">
        <v>0</v>
      </c>
      <c r="O306" t="n">
        <v>0</v>
      </c>
      <c r="P306" t="n">
        <v>0</v>
      </c>
      <c r="Q306" t="n">
        <v>0</v>
      </c>
      <c r="R306" s="2" t="inlineStr"/>
    </row>
    <row r="307" ht="15" customHeight="1">
      <c r="A307" t="inlineStr">
        <is>
          <t>A 23742-2024</t>
        </is>
      </c>
      <c r="B307" s="1" t="n">
        <v>45455</v>
      </c>
      <c r="C307" s="1" t="n">
        <v>46144</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40044-2025</t>
        </is>
      </c>
      <c r="B308" s="1" t="n">
        <v>45894.40133101852</v>
      </c>
      <c r="C308" s="1" t="n">
        <v>46144</v>
      </c>
      <c r="D308" t="inlineStr">
        <is>
          <t>UPPSALA LÄN</t>
        </is>
      </c>
      <c r="E308" t="inlineStr">
        <is>
          <t>ÖSTHAMMAR</t>
        </is>
      </c>
      <c r="F308" t="inlineStr">
        <is>
          <t>Kyrkan</t>
        </is>
      </c>
      <c r="G308" t="n">
        <v>8.9</v>
      </c>
      <c r="H308" t="n">
        <v>0</v>
      </c>
      <c r="I308" t="n">
        <v>0</v>
      </c>
      <c r="J308" t="n">
        <v>0</v>
      </c>
      <c r="K308" t="n">
        <v>0</v>
      </c>
      <c r="L308" t="n">
        <v>0</v>
      </c>
      <c r="M308" t="n">
        <v>0</v>
      </c>
      <c r="N308" t="n">
        <v>0</v>
      </c>
      <c r="O308" t="n">
        <v>0</v>
      </c>
      <c r="P308" t="n">
        <v>0</v>
      </c>
      <c r="Q308" t="n">
        <v>0</v>
      </c>
      <c r="R308" s="2" t="inlineStr"/>
    </row>
    <row r="309" ht="15" customHeight="1">
      <c r="A309" t="inlineStr">
        <is>
          <t>A 40016-2025</t>
        </is>
      </c>
      <c r="B309" s="1" t="n">
        <v>45894.34747685185</v>
      </c>
      <c r="C309" s="1" t="n">
        <v>46144</v>
      </c>
      <c r="D309" t="inlineStr">
        <is>
          <t>UPPSALA LÄN</t>
        </is>
      </c>
      <c r="E309" t="inlineStr">
        <is>
          <t>ÖSTHAMMAR</t>
        </is>
      </c>
      <c r="F309" t="inlineStr">
        <is>
          <t>Kyrkan</t>
        </is>
      </c>
      <c r="G309" t="n">
        <v>6.6</v>
      </c>
      <c r="H309" t="n">
        <v>0</v>
      </c>
      <c r="I309" t="n">
        <v>0</v>
      </c>
      <c r="J309" t="n">
        <v>0</v>
      </c>
      <c r="K309" t="n">
        <v>0</v>
      </c>
      <c r="L309" t="n">
        <v>0</v>
      </c>
      <c r="M309" t="n">
        <v>0</v>
      </c>
      <c r="N309" t="n">
        <v>0</v>
      </c>
      <c r="O309" t="n">
        <v>0</v>
      </c>
      <c r="P309" t="n">
        <v>0</v>
      </c>
      <c r="Q309" t="n">
        <v>0</v>
      </c>
      <c r="R309" s="2" t="inlineStr"/>
    </row>
    <row r="310" ht="15" customHeight="1">
      <c r="A310" t="inlineStr">
        <is>
          <t>A 29282-2021</t>
        </is>
      </c>
      <c r="B310" s="1" t="n">
        <v>44361</v>
      </c>
      <c r="C310" s="1" t="n">
        <v>46144</v>
      </c>
      <c r="D310" t="inlineStr">
        <is>
          <t>UPPSALA LÄN</t>
        </is>
      </c>
      <c r="E310" t="inlineStr">
        <is>
          <t>ÖSTHAMMAR</t>
        </is>
      </c>
      <c r="G310" t="n">
        <v>2.4</v>
      </c>
      <c r="H310" t="n">
        <v>0</v>
      </c>
      <c r="I310" t="n">
        <v>0</v>
      </c>
      <c r="J310" t="n">
        <v>0</v>
      </c>
      <c r="K310" t="n">
        <v>0</v>
      </c>
      <c r="L310" t="n">
        <v>0</v>
      </c>
      <c r="M310" t="n">
        <v>0</v>
      </c>
      <c r="N310" t="n">
        <v>0</v>
      </c>
      <c r="O310" t="n">
        <v>0</v>
      </c>
      <c r="P310" t="n">
        <v>0</v>
      </c>
      <c r="Q310" t="n">
        <v>0</v>
      </c>
      <c r="R310" s="2" t="inlineStr"/>
    </row>
    <row r="311" ht="15" customHeight="1">
      <c r="A311" t="inlineStr">
        <is>
          <t>A 6039-2025</t>
        </is>
      </c>
      <c r="B311" s="1" t="n">
        <v>45695</v>
      </c>
      <c r="C311" s="1" t="n">
        <v>46144</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8769-2025</t>
        </is>
      </c>
      <c r="B312" s="1" t="n">
        <v>45712.59412037037</v>
      </c>
      <c r="C312" s="1" t="n">
        <v>46144</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40416-2025</t>
        </is>
      </c>
      <c r="B313" s="1" t="n">
        <v>45895.57736111111</v>
      </c>
      <c r="C313" s="1" t="n">
        <v>46144</v>
      </c>
      <c r="D313" t="inlineStr">
        <is>
          <t>UPPSALA LÄN</t>
        </is>
      </c>
      <c r="E313" t="inlineStr">
        <is>
          <t>ÖSTHAMMAR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46144</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40462-2025</t>
        </is>
      </c>
      <c r="B315" s="1" t="n">
        <v>45895.65179398148</v>
      </c>
      <c r="C315" s="1" t="n">
        <v>46144</v>
      </c>
      <c r="D315" t="inlineStr">
        <is>
          <t>UPPSALA LÄN</t>
        </is>
      </c>
      <c r="E315" t="inlineStr">
        <is>
          <t>ÖSTHAMMAR</t>
        </is>
      </c>
      <c r="G315" t="n">
        <v>4.5</v>
      </c>
      <c r="H315" t="n">
        <v>0</v>
      </c>
      <c r="I315" t="n">
        <v>0</v>
      </c>
      <c r="J315" t="n">
        <v>0</v>
      </c>
      <c r="K315" t="n">
        <v>0</v>
      </c>
      <c r="L315" t="n">
        <v>0</v>
      </c>
      <c r="M315" t="n">
        <v>0</v>
      </c>
      <c r="N315" t="n">
        <v>0</v>
      </c>
      <c r="O315" t="n">
        <v>0</v>
      </c>
      <c r="P315" t="n">
        <v>0</v>
      </c>
      <c r="Q315" t="n">
        <v>0</v>
      </c>
      <c r="R315" s="2" t="inlineStr"/>
    </row>
    <row r="316" ht="15" customHeight="1">
      <c r="A316" t="inlineStr">
        <is>
          <t>A 40570-2025</t>
        </is>
      </c>
      <c r="B316" s="1" t="n">
        <v>45896.47878472223</v>
      </c>
      <c r="C316" s="1" t="n">
        <v>46144</v>
      </c>
      <c r="D316" t="inlineStr">
        <is>
          <t>UPPSALA LÄN</t>
        </is>
      </c>
      <c r="E316" t="inlineStr">
        <is>
          <t>ÖSTHAMMAR</t>
        </is>
      </c>
      <c r="F316" t="inlineStr">
        <is>
          <t>Övriga Aktiebolag</t>
        </is>
      </c>
      <c r="G316" t="n">
        <v>4.8</v>
      </c>
      <c r="H316" t="n">
        <v>0</v>
      </c>
      <c r="I316" t="n">
        <v>0</v>
      </c>
      <c r="J316" t="n">
        <v>0</v>
      </c>
      <c r="K316" t="n">
        <v>0</v>
      </c>
      <c r="L316" t="n">
        <v>0</v>
      </c>
      <c r="M316" t="n">
        <v>0</v>
      </c>
      <c r="N316" t="n">
        <v>0</v>
      </c>
      <c r="O316" t="n">
        <v>0</v>
      </c>
      <c r="P316" t="n">
        <v>0</v>
      </c>
      <c r="Q316" t="n">
        <v>0</v>
      </c>
      <c r="R316" s="2" t="inlineStr"/>
    </row>
    <row r="317" ht="15" customHeight="1">
      <c r="A317" t="inlineStr">
        <is>
          <t>A 40382-2025</t>
        </is>
      </c>
      <c r="B317" s="1" t="n">
        <v>45895.53689814815</v>
      </c>
      <c r="C317" s="1" t="n">
        <v>46144</v>
      </c>
      <c r="D317" t="inlineStr">
        <is>
          <t>UPPSALA LÄN</t>
        </is>
      </c>
      <c r="E317" t="inlineStr">
        <is>
          <t>ÖSTHAMMAR</t>
        </is>
      </c>
      <c r="G317" t="n">
        <v>2.2</v>
      </c>
      <c r="H317" t="n">
        <v>0</v>
      </c>
      <c r="I317" t="n">
        <v>0</v>
      </c>
      <c r="J317" t="n">
        <v>0</v>
      </c>
      <c r="K317" t="n">
        <v>0</v>
      </c>
      <c r="L317" t="n">
        <v>0</v>
      </c>
      <c r="M317" t="n">
        <v>0</v>
      </c>
      <c r="N317" t="n">
        <v>0</v>
      </c>
      <c r="O317" t="n">
        <v>0</v>
      </c>
      <c r="P317" t="n">
        <v>0</v>
      </c>
      <c r="Q317" t="n">
        <v>0</v>
      </c>
      <c r="R317" s="2" t="inlineStr"/>
    </row>
    <row r="318" ht="15" customHeight="1">
      <c r="A318" t="inlineStr">
        <is>
          <t>A 40384-2025</t>
        </is>
      </c>
      <c r="B318" s="1" t="n">
        <v>45895.54085648148</v>
      </c>
      <c r="C318" s="1" t="n">
        <v>46144</v>
      </c>
      <c r="D318" t="inlineStr">
        <is>
          <t>UPPSALA LÄN</t>
        </is>
      </c>
      <c r="E318" t="inlineStr">
        <is>
          <t>ÖSTHAMMAR</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40460-2025</t>
        </is>
      </c>
      <c r="B319" s="1" t="n">
        <v>45895.65013888889</v>
      </c>
      <c r="C319" s="1" t="n">
        <v>46144</v>
      </c>
      <c r="D319" t="inlineStr">
        <is>
          <t>UPPSALA LÄN</t>
        </is>
      </c>
      <c r="E319" t="inlineStr">
        <is>
          <t>ÖSTHAMMAR</t>
        </is>
      </c>
      <c r="G319" t="n">
        <v>2.7</v>
      </c>
      <c r="H319" t="n">
        <v>0</v>
      </c>
      <c r="I319" t="n">
        <v>0</v>
      </c>
      <c r="J319" t="n">
        <v>0</v>
      </c>
      <c r="K319" t="n">
        <v>0</v>
      </c>
      <c r="L319" t="n">
        <v>0</v>
      </c>
      <c r="M319" t="n">
        <v>0</v>
      </c>
      <c r="N319" t="n">
        <v>0</v>
      </c>
      <c r="O319" t="n">
        <v>0</v>
      </c>
      <c r="P319" t="n">
        <v>0</v>
      </c>
      <c r="Q319" t="n">
        <v>0</v>
      </c>
      <c r="R319" s="2" t="inlineStr"/>
    </row>
    <row r="320" ht="15" customHeight="1">
      <c r="A320" t="inlineStr">
        <is>
          <t>A 55086-2024</t>
        </is>
      </c>
      <c r="B320" s="1" t="n">
        <v>45621.43098379629</v>
      </c>
      <c r="C320" s="1" t="n">
        <v>46144</v>
      </c>
      <c r="D320" t="inlineStr">
        <is>
          <t>UPPSALA LÄN</t>
        </is>
      </c>
      <c r="E320" t="inlineStr">
        <is>
          <t>ÖSTHAMMAR</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55090-2024</t>
        </is>
      </c>
      <c r="B321" s="1" t="n">
        <v>45621.4350462963</v>
      </c>
      <c r="C321" s="1" t="n">
        <v>46144</v>
      </c>
      <c r="D321" t="inlineStr">
        <is>
          <t>UPPSALA LÄN</t>
        </is>
      </c>
      <c r="E321" t="inlineStr">
        <is>
          <t>ÖSTHAMMAR</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55093-2024</t>
        </is>
      </c>
      <c r="B322" s="1" t="n">
        <v>45621.43712962963</v>
      </c>
      <c r="C322" s="1" t="n">
        <v>46144</v>
      </c>
      <c r="D322" t="inlineStr">
        <is>
          <t>UPPSALA LÄN</t>
        </is>
      </c>
      <c r="E322" t="inlineStr">
        <is>
          <t>ÖSTHAMMAR</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28432-2023</t>
        </is>
      </c>
      <c r="B323" s="1" t="n">
        <v>45102.59896990741</v>
      </c>
      <c r="C323" s="1" t="n">
        <v>46144</v>
      </c>
      <c r="D323" t="inlineStr">
        <is>
          <t>UPPSALA LÄN</t>
        </is>
      </c>
      <c r="E323" t="inlineStr">
        <is>
          <t>ÖSTHAMMAR</t>
        </is>
      </c>
      <c r="F323" t="inlineStr">
        <is>
          <t>Bergvik skog öst AB</t>
        </is>
      </c>
      <c r="G323" t="n">
        <v>3.9</v>
      </c>
      <c r="H323" t="n">
        <v>0</v>
      </c>
      <c r="I323" t="n">
        <v>0</v>
      </c>
      <c r="J323" t="n">
        <v>0</v>
      </c>
      <c r="K323" t="n">
        <v>0</v>
      </c>
      <c r="L323" t="n">
        <v>0</v>
      </c>
      <c r="M323" t="n">
        <v>0</v>
      </c>
      <c r="N323" t="n">
        <v>0</v>
      </c>
      <c r="O323" t="n">
        <v>0</v>
      </c>
      <c r="P323" t="n">
        <v>0</v>
      </c>
      <c r="Q323" t="n">
        <v>0</v>
      </c>
      <c r="R323" s="2" t="inlineStr"/>
    </row>
    <row r="324" ht="15" customHeight="1">
      <c r="A324" t="inlineStr">
        <is>
          <t>A 43915-2023</t>
        </is>
      </c>
      <c r="B324" s="1" t="n">
        <v>45187.71274305556</v>
      </c>
      <c r="C324" s="1" t="n">
        <v>46144</v>
      </c>
      <c r="D324" t="inlineStr">
        <is>
          <t>UPPSALA LÄN</t>
        </is>
      </c>
      <c r="E324" t="inlineStr">
        <is>
          <t>ÖSTHAMMAR</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13352-2023</t>
        </is>
      </c>
      <c r="B325" s="1" t="n">
        <v>45005</v>
      </c>
      <c r="C325" s="1" t="n">
        <v>46144</v>
      </c>
      <c r="D325" t="inlineStr">
        <is>
          <t>UPPSALA LÄN</t>
        </is>
      </c>
      <c r="E325" t="inlineStr">
        <is>
          <t>ÖSTHAMMAR</t>
        </is>
      </c>
      <c r="G325" t="n">
        <v>1.8</v>
      </c>
      <c r="H325" t="n">
        <v>0</v>
      </c>
      <c r="I325" t="n">
        <v>0</v>
      </c>
      <c r="J325" t="n">
        <v>0</v>
      </c>
      <c r="K325" t="n">
        <v>0</v>
      </c>
      <c r="L325" t="n">
        <v>0</v>
      </c>
      <c r="M325" t="n">
        <v>0</v>
      </c>
      <c r="N325" t="n">
        <v>0</v>
      </c>
      <c r="O325" t="n">
        <v>0</v>
      </c>
      <c r="P325" t="n">
        <v>0</v>
      </c>
      <c r="Q325" t="n">
        <v>0</v>
      </c>
      <c r="R325" s="2" t="inlineStr"/>
    </row>
    <row r="326" ht="15" customHeight="1">
      <c r="A326" t="inlineStr">
        <is>
          <t>A 24401-2025</t>
        </is>
      </c>
      <c r="B326" s="1" t="n">
        <v>45797.64908564815</v>
      </c>
      <c r="C326" s="1" t="n">
        <v>46144</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8908-2025</t>
        </is>
      </c>
      <c r="B327" s="1" t="n">
        <v>45713.4196875</v>
      </c>
      <c r="C327" s="1" t="n">
        <v>46144</v>
      </c>
      <c r="D327" t="inlineStr">
        <is>
          <t>UPPSALA LÄN</t>
        </is>
      </c>
      <c r="E327" t="inlineStr">
        <is>
          <t>ÖSTHAMMAR</t>
        </is>
      </c>
      <c r="F327" t="inlineStr">
        <is>
          <t>Bergvik skog öst AB</t>
        </is>
      </c>
      <c r="G327" t="n">
        <v>3.3</v>
      </c>
      <c r="H327" t="n">
        <v>0</v>
      </c>
      <c r="I327" t="n">
        <v>0</v>
      </c>
      <c r="J327" t="n">
        <v>0</v>
      </c>
      <c r="K327" t="n">
        <v>0</v>
      </c>
      <c r="L327" t="n">
        <v>0</v>
      </c>
      <c r="M327" t="n">
        <v>0</v>
      </c>
      <c r="N327" t="n">
        <v>0</v>
      </c>
      <c r="O327" t="n">
        <v>0</v>
      </c>
      <c r="P327" t="n">
        <v>0</v>
      </c>
      <c r="Q327" t="n">
        <v>0</v>
      </c>
      <c r="R327" s="2" t="inlineStr"/>
    </row>
    <row r="328" ht="15" customHeight="1">
      <c r="A328" t="inlineStr">
        <is>
          <t>A 36343-2022</t>
        </is>
      </c>
      <c r="B328" s="1" t="n">
        <v>44803.78524305556</v>
      </c>
      <c r="C328" s="1" t="n">
        <v>46144</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41519-2025</t>
        </is>
      </c>
      <c r="B329" s="1" t="n">
        <v>45901.54751157408</v>
      </c>
      <c r="C329" s="1" t="n">
        <v>46144</v>
      </c>
      <c r="D329" t="inlineStr">
        <is>
          <t>UPPSALA LÄN</t>
        </is>
      </c>
      <c r="E329" t="inlineStr">
        <is>
          <t>ÖSTHAMMAR</t>
        </is>
      </c>
      <c r="F329" t="inlineStr">
        <is>
          <t>Övriga Aktiebolag</t>
        </is>
      </c>
      <c r="G329" t="n">
        <v>17.1</v>
      </c>
      <c r="H329" t="n">
        <v>0</v>
      </c>
      <c r="I329" t="n">
        <v>0</v>
      </c>
      <c r="J329" t="n">
        <v>0</v>
      </c>
      <c r="K329" t="n">
        <v>0</v>
      </c>
      <c r="L329" t="n">
        <v>0</v>
      </c>
      <c r="M329" t="n">
        <v>0</v>
      </c>
      <c r="N329" t="n">
        <v>0</v>
      </c>
      <c r="O329" t="n">
        <v>0</v>
      </c>
      <c r="P329" t="n">
        <v>0</v>
      </c>
      <c r="Q329" t="n">
        <v>0</v>
      </c>
      <c r="R329" s="2" t="inlineStr"/>
    </row>
    <row r="330" ht="15" customHeight="1">
      <c r="A330" t="inlineStr">
        <is>
          <t>A 18731-2022</t>
        </is>
      </c>
      <c r="B330" s="1" t="n">
        <v>44687.78673611111</v>
      </c>
      <c r="C330" s="1" t="n">
        <v>46144</v>
      </c>
      <c r="D330" t="inlineStr">
        <is>
          <t>UPPSALA LÄN</t>
        </is>
      </c>
      <c r="E330" t="inlineStr">
        <is>
          <t>ÖSTHAMMAR</t>
        </is>
      </c>
      <c r="G330" t="n">
        <v>4.9</v>
      </c>
      <c r="H330" t="n">
        <v>0</v>
      </c>
      <c r="I330" t="n">
        <v>0</v>
      </c>
      <c r="J330" t="n">
        <v>0</v>
      </c>
      <c r="K330" t="n">
        <v>0</v>
      </c>
      <c r="L330" t="n">
        <v>0</v>
      </c>
      <c r="M330" t="n">
        <v>0</v>
      </c>
      <c r="N330" t="n">
        <v>0</v>
      </c>
      <c r="O330" t="n">
        <v>0</v>
      </c>
      <c r="P330" t="n">
        <v>0</v>
      </c>
      <c r="Q330" t="n">
        <v>0</v>
      </c>
      <c r="R330" s="2" t="inlineStr"/>
    </row>
    <row r="331" ht="15" customHeight="1">
      <c r="A331" t="inlineStr">
        <is>
          <t>A 24408-2025</t>
        </is>
      </c>
      <c r="B331" s="1" t="n">
        <v>45797.65774305556</v>
      </c>
      <c r="C331" s="1" t="n">
        <v>46144</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23495-2023</t>
        </is>
      </c>
      <c r="B332" s="1" t="n">
        <v>45076.71652777777</v>
      </c>
      <c r="C332" s="1" t="n">
        <v>46144</v>
      </c>
      <c r="D332" t="inlineStr">
        <is>
          <t>UPPSALA LÄN</t>
        </is>
      </c>
      <c r="E332" t="inlineStr">
        <is>
          <t>ÖSTHAMMAR</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1063-2025</t>
        </is>
      </c>
      <c r="B333" s="1" t="n">
        <v>45666</v>
      </c>
      <c r="C333" s="1" t="n">
        <v>46144</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10495-2025</t>
        </is>
      </c>
      <c r="B334" s="1" t="n">
        <v>45721</v>
      </c>
      <c r="C334" s="1" t="n">
        <v>46144</v>
      </c>
      <c r="D334" t="inlineStr">
        <is>
          <t>UPPSALA LÄN</t>
        </is>
      </c>
      <c r="E334" t="inlineStr">
        <is>
          <t>ÖSTHAMMAR</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4356-2025</t>
        </is>
      </c>
      <c r="B335" s="1" t="n">
        <v>45686</v>
      </c>
      <c r="C335" s="1" t="n">
        <v>46144</v>
      </c>
      <c r="D335" t="inlineStr">
        <is>
          <t>UPPSALA LÄN</t>
        </is>
      </c>
      <c r="E335" t="inlineStr">
        <is>
          <t>ÖSTHAMMAR</t>
        </is>
      </c>
      <c r="F335" t="inlineStr">
        <is>
          <t>Övriga Aktiebolag</t>
        </is>
      </c>
      <c r="G335" t="n">
        <v>24.6</v>
      </c>
      <c r="H335" t="n">
        <v>0</v>
      </c>
      <c r="I335" t="n">
        <v>0</v>
      </c>
      <c r="J335" t="n">
        <v>0</v>
      </c>
      <c r="K335" t="n">
        <v>0</v>
      </c>
      <c r="L335" t="n">
        <v>0</v>
      </c>
      <c r="M335" t="n">
        <v>0</v>
      </c>
      <c r="N335" t="n">
        <v>0</v>
      </c>
      <c r="O335" t="n">
        <v>0</v>
      </c>
      <c r="P335" t="n">
        <v>0</v>
      </c>
      <c r="Q335" t="n">
        <v>0</v>
      </c>
      <c r="R335" s="2" t="inlineStr"/>
    </row>
    <row r="336" ht="15" customHeight="1">
      <c r="A336" t="inlineStr">
        <is>
          <t>A 17085-2025</t>
        </is>
      </c>
      <c r="B336" s="1" t="n">
        <v>45755.64612268518</v>
      </c>
      <c r="C336" s="1" t="n">
        <v>46144</v>
      </c>
      <c r="D336" t="inlineStr">
        <is>
          <t>UPPSALA LÄN</t>
        </is>
      </c>
      <c r="E336" t="inlineStr">
        <is>
          <t>ÖSTHAMMAR</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24389-2025</t>
        </is>
      </c>
      <c r="B337" s="1" t="n">
        <v>45797.63553240741</v>
      </c>
      <c r="C337" s="1" t="n">
        <v>46144</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27384-2025</t>
        </is>
      </c>
      <c r="B338" s="1" t="n">
        <v>45812.6672337963</v>
      </c>
      <c r="C338" s="1" t="n">
        <v>46144</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28099-2025</t>
        </is>
      </c>
      <c r="B339" s="1" t="n">
        <v>45817.82967592592</v>
      </c>
      <c r="C339" s="1" t="n">
        <v>46144</v>
      </c>
      <c r="D339" t="inlineStr">
        <is>
          <t>UPPSALA LÄN</t>
        </is>
      </c>
      <c r="E339" t="inlineStr">
        <is>
          <t>ÖSTHAMMAR</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5076-2025</t>
        </is>
      </c>
      <c r="B340" s="1" t="n">
        <v>45691</v>
      </c>
      <c r="C340" s="1" t="n">
        <v>46144</v>
      </c>
      <c r="D340" t="inlineStr">
        <is>
          <t>UPPSALA LÄN</t>
        </is>
      </c>
      <c r="E340" t="inlineStr">
        <is>
          <t>ÖSTHAMMAR</t>
        </is>
      </c>
      <c r="G340" t="n">
        <v>5.8</v>
      </c>
      <c r="H340" t="n">
        <v>0</v>
      </c>
      <c r="I340" t="n">
        <v>0</v>
      </c>
      <c r="J340" t="n">
        <v>0</v>
      </c>
      <c r="K340" t="n">
        <v>0</v>
      </c>
      <c r="L340" t="n">
        <v>0</v>
      </c>
      <c r="M340" t="n">
        <v>0</v>
      </c>
      <c r="N340" t="n">
        <v>0</v>
      </c>
      <c r="O340" t="n">
        <v>0</v>
      </c>
      <c r="P340" t="n">
        <v>0</v>
      </c>
      <c r="Q340" t="n">
        <v>0</v>
      </c>
      <c r="R340" s="2" t="inlineStr"/>
    </row>
    <row r="341" ht="15" customHeight="1">
      <c r="A341" t="inlineStr">
        <is>
          <t>A 32244-2021</t>
        </is>
      </c>
      <c r="B341" s="1" t="n">
        <v>44371.45335648148</v>
      </c>
      <c r="C341" s="1" t="n">
        <v>46144</v>
      </c>
      <c r="D341" t="inlineStr">
        <is>
          <t>UPPSALA LÄN</t>
        </is>
      </c>
      <c r="E341" t="inlineStr">
        <is>
          <t>ÖSTHAMMAR</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46144</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46144</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44376.52438657408</v>
      </c>
      <c r="C344" s="1" t="n">
        <v>46144</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46144</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46144</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4292-2025</t>
        </is>
      </c>
      <c r="B347" s="1" t="n">
        <v>45685.66459490741</v>
      </c>
      <c r="C347" s="1" t="n">
        <v>46144</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8592-2022</t>
        </is>
      </c>
      <c r="B348" s="1" t="n">
        <v>44613</v>
      </c>
      <c r="C348" s="1" t="n">
        <v>46144</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43604-2025</t>
        </is>
      </c>
      <c r="B349" s="1" t="n">
        <v>45911.66671296296</v>
      </c>
      <c r="C349" s="1" t="n">
        <v>46144</v>
      </c>
      <c r="D349" t="inlineStr">
        <is>
          <t>UPPSALA LÄN</t>
        </is>
      </c>
      <c r="E349" t="inlineStr">
        <is>
          <t>ÖSTHAMMAR</t>
        </is>
      </c>
      <c r="G349" t="n">
        <v>8.5</v>
      </c>
      <c r="H349" t="n">
        <v>0</v>
      </c>
      <c r="I349" t="n">
        <v>0</v>
      </c>
      <c r="J349" t="n">
        <v>0</v>
      </c>
      <c r="K349" t="n">
        <v>0</v>
      </c>
      <c r="L349" t="n">
        <v>0</v>
      </c>
      <c r="M349" t="n">
        <v>0</v>
      </c>
      <c r="N349" t="n">
        <v>0</v>
      </c>
      <c r="O349" t="n">
        <v>0</v>
      </c>
      <c r="P349" t="n">
        <v>0</v>
      </c>
      <c r="Q349" t="n">
        <v>0</v>
      </c>
      <c r="R349" s="2" t="inlineStr"/>
    </row>
    <row r="350" ht="15" customHeight="1">
      <c r="A350" t="inlineStr">
        <is>
          <t>A 21478-2023</t>
        </is>
      </c>
      <c r="B350" s="1" t="n">
        <v>45063.47773148148</v>
      </c>
      <c r="C350" s="1" t="n">
        <v>46144</v>
      </c>
      <c r="D350" t="inlineStr">
        <is>
          <t>UPPSALA LÄN</t>
        </is>
      </c>
      <c r="E350" t="inlineStr">
        <is>
          <t>ÖSTHAMMAR</t>
        </is>
      </c>
      <c r="G350" t="n">
        <v>0.4</v>
      </c>
      <c r="H350" t="n">
        <v>0</v>
      </c>
      <c r="I350" t="n">
        <v>0</v>
      </c>
      <c r="J350" t="n">
        <v>0</v>
      </c>
      <c r="K350" t="n">
        <v>0</v>
      </c>
      <c r="L350" t="n">
        <v>0</v>
      </c>
      <c r="M350" t="n">
        <v>0</v>
      </c>
      <c r="N350" t="n">
        <v>0</v>
      </c>
      <c r="O350" t="n">
        <v>0</v>
      </c>
      <c r="P350" t="n">
        <v>0</v>
      </c>
      <c r="Q350" t="n">
        <v>0</v>
      </c>
      <c r="R350" s="2" t="inlineStr"/>
    </row>
    <row r="351" ht="15" customHeight="1">
      <c r="A351" t="inlineStr">
        <is>
          <t>A 3119-2025</t>
        </is>
      </c>
      <c r="B351" s="1" t="n">
        <v>45678</v>
      </c>
      <c r="C351" s="1" t="n">
        <v>46144</v>
      </c>
      <c r="D351" t="inlineStr">
        <is>
          <t>UPPSALA LÄN</t>
        </is>
      </c>
      <c r="E351" t="inlineStr">
        <is>
          <t>ÖSTHAMMAR</t>
        </is>
      </c>
      <c r="G351" t="n">
        <v>1.1</v>
      </c>
      <c r="H351" t="n">
        <v>0</v>
      </c>
      <c r="I351" t="n">
        <v>0</v>
      </c>
      <c r="J351" t="n">
        <v>0</v>
      </c>
      <c r="K351" t="n">
        <v>0</v>
      </c>
      <c r="L351" t="n">
        <v>0</v>
      </c>
      <c r="M351" t="n">
        <v>0</v>
      </c>
      <c r="N351" t="n">
        <v>0</v>
      </c>
      <c r="O351" t="n">
        <v>0</v>
      </c>
      <c r="P351" t="n">
        <v>0</v>
      </c>
      <c r="Q351" t="n">
        <v>0</v>
      </c>
      <c r="R351" s="2" t="inlineStr"/>
    </row>
    <row r="352" ht="15" customHeight="1">
      <c r="A352" t="inlineStr">
        <is>
          <t>A 17646-2025</t>
        </is>
      </c>
      <c r="B352" s="1" t="n">
        <v>45758.32872685185</v>
      </c>
      <c r="C352" s="1" t="n">
        <v>46144</v>
      </c>
      <c r="D352" t="inlineStr">
        <is>
          <t>UPPSALA LÄN</t>
        </is>
      </c>
      <c r="E352" t="inlineStr">
        <is>
          <t>ÖSTHAMMAR</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46144</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17648-2025</t>
        </is>
      </c>
      <c r="B354" s="1" t="n">
        <v>45758.33064814815</v>
      </c>
      <c r="C354" s="1" t="n">
        <v>46144</v>
      </c>
      <c r="D354" t="inlineStr">
        <is>
          <t>UPPSALA LÄN</t>
        </is>
      </c>
      <c r="E354" t="inlineStr">
        <is>
          <t>ÖSTHAMMAR</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44917-2025</t>
        </is>
      </c>
      <c r="B355" s="1" t="n">
        <v>45918.54903935185</v>
      </c>
      <c r="C355" s="1" t="n">
        <v>46144</v>
      </c>
      <c r="D355" t="inlineStr">
        <is>
          <t>UPPSALA LÄN</t>
        </is>
      </c>
      <c r="E355" t="inlineStr">
        <is>
          <t>ÖSTHAMMAR</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60047-2021</t>
        </is>
      </c>
      <c r="B356" s="1" t="n">
        <v>44495</v>
      </c>
      <c r="C356" s="1" t="n">
        <v>46144</v>
      </c>
      <c r="D356" t="inlineStr">
        <is>
          <t>UPPSALA LÄN</t>
        </is>
      </c>
      <c r="E356" t="inlineStr">
        <is>
          <t>ÖSTHAMMAR</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18401-2025</t>
        </is>
      </c>
      <c r="B357" s="1" t="n">
        <v>45762.5966087963</v>
      </c>
      <c r="C357" s="1" t="n">
        <v>46144</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46144</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30086-2023</t>
        </is>
      </c>
      <c r="B359" s="1" t="n">
        <v>45110.43907407407</v>
      </c>
      <c r="C359" s="1" t="n">
        <v>46144</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45102-2025</t>
        </is>
      </c>
      <c r="B360" s="1" t="n">
        <v>45919.39731481481</v>
      </c>
      <c r="C360" s="1" t="n">
        <v>46144</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11008-2023</t>
        </is>
      </c>
      <c r="B361" s="1" t="n">
        <v>44991</v>
      </c>
      <c r="C361" s="1" t="n">
        <v>46144</v>
      </c>
      <c r="D361" t="inlineStr">
        <is>
          <t>UPPSALA LÄN</t>
        </is>
      </c>
      <c r="E361" t="inlineStr">
        <is>
          <t>ÖSTHAMMAR</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45720-2025</t>
        </is>
      </c>
      <c r="B362" s="1" t="n">
        <v>45923.44583333333</v>
      </c>
      <c r="C362" s="1" t="n">
        <v>46144</v>
      </c>
      <c r="D362" t="inlineStr">
        <is>
          <t>UPPSALA LÄN</t>
        </is>
      </c>
      <c r="E362" t="inlineStr">
        <is>
          <t>ÖSTHAMMAR</t>
        </is>
      </c>
      <c r="F362" t="inlineStr">
        <is>
          <t>Övriga Aktiebolag</t>
        </is>
      </c>
      <c r="G362" t="n">
        <v>2.8</v>
      </c>
      <c r="H362" t="n">
        <v>0</v>
      </c>
      <c r="I362" t="n">
        <v>0</v>
      </c>
      <c r="J362" t="n">
        <v>0</v>
      </c>
      <c r="K362" t="n">
        <v>0</v>
      </c>
      <c r="L362" t="n">
        <v>0</v>
      </c>
      <c r="M362" t="n">
        <v>0</v>
      </c>
      <c r="N362" t="n">
        <v>0</v>
      </c>
      <c r="O362" t="n">
        <v>0</v>
      </c>
      <c r="P362" t="n">
        <v>0</v>
      </c>
      <c r="Q362" t="n">
        <v>0</v>
      </c>
      <c r="R362" s="2" t="inlineStr"/>
    </row>
    <row r="363" ht="15" customHeight="1">
      <c r="A363" t="inlineStr">
        <is>
          <t>A 45721-2025</t>
        </is>
      </c>
      <c r="B363" s="1" t="n">
        <v>45923.44844907407</v>
      </c>
      <c r="C363" s="1" t="n">
        <v>46144</v>
      </c>
      <c r="D363" t="inlineStr">
        <is>
          <t>UPPSALA LÄN</t>
        </is>
      </c>
      <c r="E363" t="inlineStr">
        <is>
          <t>ÖSTHAMMAR</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45993-2025</t>
        </is>
      </c>
      <c r="B364" s="1" t="n">
        <v>45924.39706018518</v>
      </c>
      <c r="C364" s="1" t="n">
        <v>46144</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13771-2023</t>
        </is>
      </c>
      <c r="B365" s="1" t="n">
        <v>45007</v>
      </c>
      <c r="C365" s="1" t="n">
        <v>46144</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46144</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46089-2025</t>
        </is>
      </c>
      <c r="B367" s="1" t="n">
        <v>45924.52100694444</v>
      </c>
      <c r="C367" s="1" t="n">
        <v>46144</v>
      </c>
      <c r="D367" t="inlineStr">
        <is>
          <t>UPPSALA LÄN</t>
        </is>
      </c>
      <c r="E367" t="inlineStr">
        <is>
          <t>ÖSTHAMMAR</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45715-2025</t>
        </is>
      </c>
      <c r="B368" s="1" t="n">
        <v>45923.44094907407</v>
      </c>
      <c r="C368" s="1" t="n">
        <v>46144</v>
      </c>
      <c r="D368" t="inlineStr">
        <is>
          <t>UPPSALA LÄN</t>
        </is>
      </c>
      <c r="E368" t="inlineStr">
        <is>
          <t>ÖSTHAMMAR</t>
        </is>
      </c>
      <c r="F368" t="inlineStr">
        <is>
          <t>Övriga Aktiebolag</t>
        </is>
      </c>
      <c r="G368" t="n">
        <v>3.4</v>
      </c>
      <c r="H368" t="n">
        <v>0</v>
      </c>
      <c r="I368" t="n">
        <v>0</v>
      </c>
      <c r="J368" t="n">
        <v>0</v>
      </c>
      <c r="K368" t="n">
        <v>0</v>
      </c>
      <c r="L368" t="n">
        <v>0</v>
      </c>
      <c r="M368" t="n">
        <v>0</v>
      </c>
      <c r="N368" t="n">
        <v>0</v>
      </c>
      <c r="O368" t="n">
        <v>0</v>
      </c>
      <c r="P368" t="n">
        <v>0</v>
      </c>
      <c r="Q368" t="n">
        <v>0</v>
      </c>
      <c r="R368" s="2" t="inlineStr"/>
    </row>
    <row r="369" ht="15" customHeight="1">
      <c r="A369" t="inlineStr">
        <is>
          <t>A 58324-2023</t>
        </is>
      </c>
      <c r="B369" s="1" t="n">
        <v>45250.58635416667</v>
      </c>
      <c r="C369" s="1" t="n">
        <v>46144</v>
      </c>
      <c r="D369" t="inlineStr">
        <is>
          <t>UPPSALA LÄN</t>
        </is>
      </c>
      <c r="E369" t="inlineStr">
        <is>
          <t>ÖSTHAMMAR</t>
        </is>
      </c>
      <c r="G369" t="n">
        <v>5.1</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44531.61038194445</v>
      </c>
      <c r="C370" s="1" t="n">
        <v>46144</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47336-2025</t>
        </is>
      </c>
      <c r="B371" s="1" t="n">
        <v>45930.56592592593</v>
      </c>
      <c r="C371" s="1" t="n">
        <v>46144</v>
      </c>
      <c r="D371" t="inlineStr">
        <is>
          <t>UPPSALA LÄN</t>
        </is>
      </c>
      <c r="E371" t="inlineStr">
        <is>
          <t>ÖSTHAMMAR</t>
        </is>
      </c>
      <c r="G371" t="n">
        <v>0.9</v>
      </c>
      <c r="H371" t="n">
        <v>0</v>
      </c>
      <c r="I371" t="n">
        <v>0</v>
      </c>
      <c r="J371" t="n">
        <v>0</v>
      </c>
      <c r="K371" t="n">
        <v>0</v>
      </c>
      <c r="L371" t="n">
        <v>0</v>
      </c>
      <c r="M371" t="n">
        <v>0</v>
      </c>
      <c r="N371" t="n">
        <v>0</v>
      </c>
      <c r="O371" t="n">
        <v>0</v>
      </c>
      <c r="P371" t="n">
        <v>0</v>
      </c>
      <c r="Q371" t="n">
        <v>0</v>
      </c>
      <c r="R371" s="2" t="inlineStr"/>
    </row>
    <row r="372" ht="15" customHeight="1">
      <c r="A372" t="inlineStr">
        <is>
          <t>A 47337-2025</t>
        </is>
      </c>
      <c r="B372" s="1" t="n">
        <v>45930.56607638889</v>
      </c>
      <c r="C372" s="1" t="n">
        <v>46144</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47338-2025</t>
        </is>
      </c>
      <c r="B373" s="1" t="n">
        <v>45930.56626157407</v>
      </c>
      <c r="C373" s="1" t="n">
        <v>46144</v>
      </c>
      <c r="D373" t="inlineStr">
        <is>
          <t>UPPSALA LÄN</t>
        </is>
      </c>
      <c r="E373" t="inlineStr">
        <is>
          <t>ÖSTHAMMAR</t>
        </is>
      </c>
      <c r="G373" t="n">
        <v>2.4</v>
      </c>
      <c r="H373" t="n">
        <v>0</v>
      </c>
      <c r="I373" t="n">
        <v>0</v>
      </c>
      <c r="J373" t="n">
        <v>0</v>
      </c>
      <c r="K373" t="n">
        <v>0</v>
      </c>
      <c r="L373" t="n">
        <v>0</v>
      </c>
      <c r="M373" t="n">
        <v>0</v>
      </c>
      <c r="N373" t="n">
        <v>0</v>
      </c>
      <c r="O373" t="n">
        <v>0</v>
      </c>
      <c r="P373" t="n">
        <v>0</v>
      </c>
      <c r="Q373" t="n">
        <v>0</v>
      </c>
      <c r="R373" s="2" t="inlineStr"/>
    </row>
    <row r="374" ht="15" customHeight="1">
      <c r="A374" t="inlineStr">
        <is>
          <t>A 46826-2025</t>
        </is>
      </c>
      <c r="B374" s="1" t="n">
        <v>45927.00606481481</v>
      </c>
      <c r="C374" s="1" t="n">
        <v>46144</v>
      </c>
      <c r="D374" t="inlineStr">
        <is>
          <t>UPPSALA LÄN</t>
        </is>
      </c>
      <c r="E374" t="inlineStr">
        <is>
          <t>ÖSTHAMMAR</t>
        </is>
      </c>
      <c r="G374" t="n">
        <v>9</v>
      </c>
      <c r="H374" t="n">
        <v>0</v>
      </c>
      <c r="I374" t="n">
        <v>0</v>
      </c>
      <c r="J374" t="n">
        <v>0</v>
      </c>
      <c r="K374" t="n">
        <v>0</v>
      </c>
      <c r="L374" t="n">
        <v>0</v>
      </c>
      <c r="M374" t="n">
        <v>0</v>
      </c>
      <c r="N374" t="n">
        <v>0</v>
      </c>
      <c r="O374" t="n">
        <v>0</v>
      </c>
      <c r="P374" t="n">
        <v>0</v>
      </c>
      <c r="Q374" t="n">
        <v>0</v>
      </c>
      <c r="R374" s="2" t="inlineStr"/>
    </row>
    <row r="375" ht="15" customHeight="1">
      <c r="A375" t="inlineStr">
        <is>
          <t>A 49831-2023</t>
        </is>
      </c>
      <c r="B375" s="1" t="n">
        <v>45212.71241898148</v>
      </c>
      <c r="C375" s="1" t="n">
        <v>46144</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49899-2023</t>
        </is>
      </c>
      <c r="B376" s="1" t="n">
        <v>45213</v>
      </c>
      <c r="C376" s="1" t="n">
        <v>46144</v>
      </c>
      <c r="D376" t="inlineStr">
        <is>
          <t>UPPSALA LÄN</t>
        </is>
      </c>
      <c r="E376" t="inlineStr">
        <is>
          <t>ÖSTHAMMAR</t>
        </is>
      </c>
      <c r="G376" t="n">
        <v>6.2</v>
      </c>
      <c r="H376" t="n">
        <v>0</v>
      </c>
      <c r="I376" t="n">
        <v>0</v>
      </c>
      <c r="J376" t="n">
        <v>0</v>
      </c>
      <c r="K376" t="n">
        <v>0</v>
      </c>
      <c r="L376" t="n">
        <v>0</v>
      </c>
      <c r="M376" t="n">
        <v>0</v>
      </c>
      <c r="N376" t="n">
        <v>0</v>
      </c>
      <c r="O376" t="n">
        <v>0</v>
      </c>
      <c r="P376" t="n">
        <v>0</v>
      </c>
      <c r="Q376" t="n">
        <v>0</v>
      </c>
      <c r="R376" s="2" t="inlineStr"/>
    </row>
    <row r="377" ht="15" customHeight="1">
      <c r="A377" t="inlineStr">
        <is>
          <t>A 17939-2025</t>
        </is>
      </c>
      <c r="B377" s="1" t="n">
        <v>45760.55671296296</v>
      </c>
      <c r="C377" s="1" t="n">
        <v>46144</v>
      </c>
      <c r="D377" t="inlineStr">
        <is>
          <t>UPPSALA LÄN</t>
        </is>
      </c>
      <c r="E377" t="inlineStr">
        <is>
          <t>ÖSTHAMMAR</t>
        </is>
      </c>
      <c r="F377" t="inlineStr">
        <is>
          <t>Bergvik skog öst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17940-2025</t>
        </is>
      </c>
      <c r="B378" s="1" t="n">
        <v>45760.55842592593</v>
      </c>
      <c r="C378" s="1" t="n">
        <v>46144</v>
      </c>
      <c r="D378" t="inlineStr">
        <is>
          <t>UPPSALA LÄN</t>
        </is>
      </c>
      <c r="E378" t="inlineStr">
        <is>
          <t>ÖSTHAMMAR</t>
        </is>
      </c>
      <c r="F378" t="inlineStr">
        <is>
          <t>Bergvik skog öst AB</t>
        </is>
      </c>
      <c r="G378" t="n">
        <v>5.6</v>
      </c>
      <c r="H378" t="n">
        <v>0</v>
      </c>
      <c r="I378" t="n">
        <v>0</v>
      </c>
      <c r="J378" t="n">
        <v>0</v>
      </c>
      <c r="K378" t="n">
        <v>0</v>
      </c>
      <c r="L378" t="n">
        <v>0</v>
      </c>
      <c r="M378" t="n">
        <v>0</v>
      </c>
      <c r="N378" t="n">
        <v>0</v>
      </c>
      <c r="O378" t="n">
        <v>0</v>
      </c>
      <c r="P378" t="n">
        <v>0</v>
      </c>
      <c r="Q378" t="n">
        <v>0</v>
      </c>
      <c r="R378" s="2" t="inlineStr"/>
    </row>
    <row r="379" ht="15" customHeight="1">
      <c r="A379" t="inlineStr">
        <is>
          <t>A 47614-2025</t>
        </is>
      </c>
      <c r="B379" s="1" t="n">
        <v>45931.47211805556</v>
      </c>
      <c r="C379" s="1" t="n">
        <v>46144</v>
      </c>
      <c r="D379" t="inlineStr">
        <is>
          <t>UPPSALA LÄN</t>
        </is>
      </c>
      <c r="E379" t="inlineStr">
        <is>
          <t>ÖSTHAMMAR</t>
        </is>
      </c>
      <c r="G379" t="n">
        <v>22.8</v>
      </c>
      <c r="H379" t="n">
        <v>0</v>
      </c>
      <c r="I379" t="n">
        <v>0</v>
      </c>
      <c r="J379" t="n">
        <v>0</v>
      </c>
      <c r="K379" t="n">
        <v>0</v>
      </c>
      <c r="L379" t="n">
        <v>0</v>
      </c>
      <c r="M379" t="n">
        <v>0</v>
      </c>
      <c r="N379" t="n">
        <v>0</v>
      </c>
      <c r="O379" t="n">
        <v>0</v>
      </c>
      <c r="P379" t="n">
        <v>0</v>
      </c>
      <c r="Q379" t="n">
        <v>0</v>
      </c>
      <c r="R379" s="2" t="inlineStr"/>
    </row>
    <row r="380" ht="15" customHeight="1">
      <c r="A380" t="inlineStr">
        <is>
          <t>A 47615-2025</t>
        </is>
      </c>
      <c r="B380" s="1" t="n">
        <v>45931.47542824074</v>
      </c>
      <c r="C380" s="1" t="n">
        <v>46144</v>
      </c>
      <c r="D380" t="inlineStr">
        <is>
          <t>UPPSALA LÄN</t>
        </is>
      </c>
      <c r="E380" t="inlineStr">
        <is>
          <t>ÖSTHAMMAR</t>
        </is>
      </c>
      <c r="G380" t="n">
        <v>7</v>
      </c>
      <c r="H380" t="n">
        <v>0</v>
      </c>
      <c r="I380" t="n">
        <v>0</v>
      </c>
      <c r="J380" t="n">
        <v>0</v>
      </c>
      <c r="K380" t="n">
        <v>0</v>
      </c>
      <c r="L380" t="n">
        <v>0</v>
      </c>
      <c r="M380" t="n">
        <v>0</v>
      </c>
      <c r="N380" t="n">
        <v>0</v>
      </c>
      <c r="O380" t="n">
        <v>0</v>
      </c>
      <c r="P380" t="n">
        <v>0</v>
      </c>
      <c r="Q380" t="n">
        <v>0</v>
      </c>
      <c r="R380" s="2" t="inlineStr"/>
    </row>
    <row r="381" ht="15" customHeight="1">
      <c r="A381" t="inlineStr">
        <is>
          <t>A 5855-2022</t>
        </is>
      </c>
      <c r="B381" s="1" t="n">
        <v>44596.63290509259</v>
      </c>
      <c r="C381" s="1" t="n">
        <v>46144</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48977-2025</t>
        </is>
      </c>
      <c r="B382" s="1" t="n">
        <v>45936</v>
      </c>
      <c r="C382" s="1" t="n">
        <v>46144</v>
      </c>
      <c r="D382" t="inlineStr">
        <is>
          <t>UPPSALA LÄN</t>
        </is>
      </c>
      <c r="E382" t="inlineStr">
        <is>
          <t>ÖSTHAMMAR</t>
        </is>
      </c>
      <c r="G382" t="n">
        <v>21.1</v>
      </c>
      <c r="H382" t="n">
        <v>0</v>
      </c>
      <c r="I382" t="n">
        <v>0</v>
      </c>
      <c r="J382" t="n">
        <v>0</v>
      </c>
      <c r="K382" t="n">
        <v>0</v>
      </c>
      <c r="L382" t="n">
        <v>0</v>
      </c>
      <c r="M382" t="n">
        <v>0</v>
      </c>
      <c r="N382" t="n">
        <v>0</v>
      </c>
      <c r="O382" t="n">
        <v>0</v>
      </c>
      <c r="P382" t="n">
        <v>0</v>
      </c>
      <c r="Q382" t="n">
        <v>0</v>
      </c>
      <c r="R382" s="2" t="inlineStr"/>
    </row>
    <row r="383" ht="15" customHeight="1">
      <c r="A383" t="inlineStr">
        <is>
          <t>A 54366-2023</t>
        </is>
      </c>
      <c r="B383" s="1" t="n">
        <v>45233</v>
      </c>
      <c r="C383" s="1" t="n">
        <v>46144</v>
      </c>
      <c r="D383" t="inlineStr">
        <is>
          <t>UPPSALA LÄN</t>
        </is>
      </c>
      <c r="E383" t="inlineStr">
        <is>
          <t>ÖSTHAMMAR</t>
        </is>
      </c>
      <c r="F383" t="inlineStr">
        <is>
          <t>Bergvik skog öst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17643-2025</t>
        </is>
      </c>
      <c r="B384" s="1" t="n">
        <v>45758.32454861111</v>
      </c>
      <c r="C384" s="1" t="n">
        <v>46144</v>
      </c>
      <c r="D384" t="inlineStr">
        <is>
          <t>UPPSALA LÄN</t>
        </is>
      </c>
      <c r="E384" t="inlineStr">
        <is>
          <t>ÖSTHAMMAR</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13248-2025</t>
        </is>
      </c>
      <c r="B385" s="1" t="n">
        <v>45735</v>
      </c>
      <c r="C385" s="1" t="n">
        <v>46144</v>
      </c>
      <c r="D385" t="inlineStr">
        <is>
          <t>UPPSALA LÄN</t>
        </is>
      </c>
      <c r="E385" t="inlineStr">
        <is>
          <t>ÖSTHAMMAR</t>
        </is>
      </c>
      <c r="F385" t="inlineStr">
        <is>
          <t>Kyrkan</t>
        </is>
      </c>
      <c r="G385" t="n">
        <v>12.2</v>
      </c>
      <c r="H385" t="n">
        <v>0</v>
      </c>
      <c r="I385" t="n">
        <v>0</v>
      </c>
      <c r="J385" t="n">
        <v>0</v>
      </c>
      <c r="K385" t="n">
        <v>0</v>
      </c>
      <c r="L385" t="n">
        <v>0</v>
      </c>
      <c r="M385" t="n">
        <v>0</v>
      </c>
      <c r="N385" t="n">
        <v>0</v>
      </c>
      <c r="O385" t="n">
        <v>0</v>
      </c>
      <c r="P385" t="n">
        <v>0</v>
      </c>
      <c r="Q385" t="n">
        <v>0</v>
      </c>
      <c r="R385" s="2" t="inlineStr"/>
    </row>
    <row r="386" ht="15" customHeight="1">
      <c r="A386" t="inlineStr">
        <is>
          <t>A 48654-2025</t>
        </is>
      </c>
      <c r="B386" s="1" t="n">
        <v>45936.55887731481</v>
      </c>
      <c r="C386" s="1" t="n">
        <v>46144</v>
      </c>
      <c r="D386" t="inlineStr">
        <is>
          <t>UPPSALA LÄN</t>
        </is>
      </c>
      <c r="E386" t="inlineStr">
        <is>
          <t>ÖSTHAMMAR</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51364-2021</t>
        </is>
      </c>
      <c r="B387" s="1" t="n">
        <v>44461</v>
      </c>
      <c r="C387" s="1" t="n">
        <v>46144</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48854-2025</t>
        </is>
      </c>
      <c r="B388" s="1" t="n">
        <v>45937.43274305556</v>
      </c>
      <c r="C388" s="1" t="n">
        <v>46144</v>
      </c>
      <c r="D388" t="inlineStr">
        <is>
          <t>UPPSALA LÄN</t>
        </is>
      </c>
      <c r="E388" t="inlineStr">
        <is>
          <t>ÖSTHAMMAR</t>
        </is>
      </c>
      <c r="F388" t="inlineStr">
        <is>
          <t>Övriga Aktiebolag</t>
        </is>
      </c>
      <c r="G388" t="n">
        <v>18.9</v>
      </c>
      <c r="H388" t="n">
        <v>0</v>
      </c>
      <c r="I388" t="n">
        <v>0</v>
      </c>
      <c r="J388" t="n">
        <v>0</v>
      </c>
      <c r="K388" t="n">
        <v>0</v>
      </c>
      <c r="L388" t="n">
        <v>0</v>
      </c>
      <c r="M388" t="n">
        <v>0</v>
      </c>
      <c r="N388" t="n">
        <v>0</v>
      </c>
      <c r="O388" t="n">
        <v>0</v>
      </c>
      <c r="P388" t="n">
        <v>0</v>
      </c>
      <c r="Q388" t="n">
        <v>0</v>
      </c>
      <c r="R388" s="2" t="inlineStr"/>
    </row>
    <row r="389" ht="15" customHeight="1">
      <c r="A389" t="inlineStr">
        <is>
          <t>A 48857-2025</t>
        </is>
      </c>
      <c r="B389" s="1" t="n">
        <v>45937.43621527778</v>
      </c>
      <c r="C389" s="1" t="n">
        <v>46144</v>
      </c>
      <c r="D389" t="inlineStr">
        <is>
          <t>UPPSALA LÄN</t>
        </is>
      </c>
      <c r="E389" t="inlineStr">
        <is>
          <t>ÖSTHAMMAR</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61062-2023</t>
        </is>
      </c>
      <c r="B390" s="1" t="n">
        <v>45259</v>
      </c>
      <c r="C390" s="1" t="n">
        <v>46144</v>
      </c>
      <c r="D390" t="inlineStr">
        <is>
          <t>UPPSALA LÄN</t>
        </is>
      </c>
      <c r="E390" t="inlineStr">
        <is>
          <t>ÖSTHAMMAR</t>
        </is>
      </c>
      <c r="G390" t="n">
        <v>5.3</v>
      </c>
      <c r="H390" t="n">
        <v>0</v>
      </c>
      <c r="I390" t="n">
        <v>0</v>
      </c>
      <c r="J390" t="n">
        <v>0</v>
      </c>
      <c r="K390" t="n">
        <v>0</v>
      </c>
      <c r="L390" t="n">
        <v>0</v>
      </c>
      <c r="M390" t="n">
        <v>0</v>
      </c>
      <c r="N390" t="n">
        <v>0</v>
      </c>
      <c r="O390" t="n">
        <v>0</v>
      </c>
      <c r="P390" t="n">
        <v>0</v>
      </c>
      <c r="Q390" t="n">
        <v>0</v>
      </c>
      <c r="R390" s="2" t="inlineStr"/>
    </row>
    <row r="391" ht="15" customHeight="1">
      <c r="A391" t="inlineStr">
        <is>
          <t>A 26328-2025</t>
        </is>
      </c>
      <c r="B391" s="1" t="n">
        <v>45805.67305555556</v>
      </c>
      <c r="C391" s="1" t="n">
        <v>46144</v>
      </c>
      <c r="D391" t="inlineStr">
        <is>
          <t>UPPSALA LÄN</t>
        </is>
      </c>
      <c r="E391" t="inlineStr">
        <is>
          <t>ÖSTHAMMAR</t>
        </is>
      </c>
      <c r="G391" t="n">
        <v>1.6</v>
      </c>
      <c r="H391" t="n">
        <v>0</v>
      </c>
      <c r="I391" t="n">
        <v>0</v>
      </c>
      <c r="J391" t="n">
        <v>0</v>
      </c>
      <c r="K391" t="n">
        <v>0</v>
      </c>
      <c r="L391" t="n">
        <v>0</v>
      </c>
      <c r="M391" t="n">
        <v>0</v>
      </c>
      <c r="N391" t="n">
        <v>0</v>
      </c>
      <c r="O391" t="n">
        <v>0</v>
      </c>
      <c r="P391" t="n">
        <v>0</v>
      </c>
      <c r="Q391" t="n">
        <v>0</v>
      </c>
      <c r="R391" s="2" t="inlineStr"/>
    </row>
    <row r="392" ht="15" customHeight="1">
      <c r="A392" t="inlineStr">
        <is>
          <t>A 61443-2024</t>
        </is>
      </c>
      <c r="B392" s="1" t="n">
        <v>45646.47936342593</v>
      </c>
      <c r="C392" s="1" t="n">
        <v>46144</v>
      </c>
      <c r="D392" t="inlineStr">
        <is>
          <t>UPPSALA LÄN</t>
        </is>
      </c>
      <c r="E392" t="inlineStr">
        <is>
          <t>ÖSTHAMMAR</t>
        </is>
      </c>
      <c r="G392" t="n">
        <v>0.4</v>
      </c>
      <c r="H392" t="n">
        <v>0</v>
      </c>
      <c r="I392" t="n">
        <v>0</v>
      </c>
      <c r="J392" t="n">
        <v>0</v>
      </c>
      <c r="K392" t="n">
        <v>0</v>
      </c>
      <c r="L392" t="n">
        <v>0</v>
      </c>
      <c r="M392" t="n">
        <v>0</v>
      </c>
      <c r="N392" t="n">
        <v>0</v>
      </c>
      <c r="O392" t="n">
        <v>0</v>
      </c>
      <c r="P392" t="n">
        <v>0</v>
      </c>
      <c r="Q392" t="n">
        <v>0</v>
      </c>
      <c r="R392" s="2" t="inlineStr"/>
    </row>
    <row r="393" ht="15" customHeight="1">
      <c r="A393" t="inlineStr">
        <is>
          <t>A 49773-2025</t>
        </is>
      </c>
      <c r="B393" s="1" t="n">
        <v>45940.37303240741</v>
      </c>
      <c r="C393" s="1" t="n">
        <v>46144</v>
      </c>
      <c r="D393" t="inlineStr">
        <is>
          <t>UPPSALA LÄN</t>
        </is>
      </c>
      <c r="E393" t="inlineStr">
        <is>
          <t>ÖSTHAMMAR</t>
        </is>
      </c>
      <c r="G393" t="n">
        <v>3.5</v>
      </c>
      <c r="H393" t="n">
        <v>0</v>
      </c>
      <c r="I393" t="n">
        <v>0</v>
      </c>
      <c r="J393" t="n">
        <v>0</v>
      </c>
      <c r="K393" t="n">
        <v>0</v>
      </c>
      <c r="L393" t="n">
        <v>0</v>
      </c>
      <c r="M393" t="n">
        <v>0</v>
      </c>
      <c r="N393" t="n">
        <v>0</v>
      </c>
      <c r="O393" t="n">
        <v>0</v>
      </c>
      <c r="P393" t="n">
        <v>0</v>
      </c>
      <c r="Q393" t="n">
        <v>0</v>
      </c>
      <c r="R393" s="2" t="inlineStr"/>
    </row>
    <row r="394" ht="15" customHeight="1">
      <c r="A394" t="inlineStr">
        <is>
          <t>A 47020-2025</t>
        </is>
      </c>
      <c r="B394" s="1" t="n">
        <v>45929.5775</v>
      </c>
      <c r="C394" s="1" t="n">
        <v>46144</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49620-2025</t>
        </is>
      </c>
      <c r="B395" s="1" t="n">
        <v>45939.58928240741</v>
      </c>
      <c r="C395" s="1" t="n">
        <v>46144</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26612-2023</t>
        </is>
      </c>
      <c r="B396" s="1" t="n">
        <v>45089</v>
      </c>
      <c r="C396" s="1" t="n">
        <v>46144</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14269-2025</t>
        </is>
      </c>
      <c r="B397" s="1" t="n">
        <v>45740.64078703704</v>
      </c>
      <c r="C397" s="1" t="n">
        <v>46144</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18088-2025</t>
        </is>
      </c>
      <c r="B398" s="1" t="n">
        <v>45761.53104166667</v>
      </c>
      <c r="C398" s="1" t="n">
        <v>46144</v>
      </c>
      <c r="D398" t="inlineStr">
        <is>
          <t>UPPSALA LÄN</t>
        </is>
      </c>
      <c r="E398" t="inlineStr">
        <is>
          <t>ÖSTHAMMAR</t>
        </is>
      </c>
      <c r="F398" t="inlineStr">
        <is>
          <t>Bergvik skog öst AB</t>
        </is>
      </c>
      <c r="G398" t="n">
        <v>1.9</v>
      </c>
      <c r="H398" t="n">
        <v>0</v>
      </c>
      <c r="I398" t="n">
        <v>0</v>
      </c>
      <c r="J398" t="n">
        <v>0</v>
      </c>
      <c r="K398" t="n">
        <v>0</v>
      </c>
      <c r="L398" t="n">
        <v>0</v>
      </c>
      <c r="M398" t="n">
        <v>0</v>
      </c>
      <c r="N398" t="n">
        <v>0</v>
      </c>
      <c r="O398" t="n">
        <v>0</v>
      </c>
      <c r="P398" t="n">
        <v>0</v>
      </c>
      <c r="Q398" t="n">
        <v>0</v>
      </c>
      <c r="R398" s="2" t="inlineStr"/>
    </row>
    <row r="399" ht="15" customHeight="1">
      <c r="A399" t="inlineStr">
        <is>
          <t>A 18095-2025</t>
        </is>
      </c>
      <c r="B399" s="1" t="n">
        <v>45761.54925925926</v>
      </c>
      <c r="C399" s="1" t="n">
        <v>46144</v>
      </c>
      <c r="D399" t="inlineStr">
        <is>
          <t>UPPSALA LÄN</t>
        </is>
      </c>
      <c r="E399" t="inlineStr">
        <is>
          <t>ÖSTHAMMAR</t>
        </is>
      </c>
      <c r="F399" t="inlineStr">
        <is>
          <t>Bergvik skog öst AB</t>
        </is>
      </c>
      <c r="G399" t="n">
        <v>1.4</v>
      </c>
      <c r="H399" t="n">
        <v>0</v>
      </c>
      <c r="I399" t="n">
        <v>0</v>
      </c>
      <c r="J399" t="n">
        <v>0</v>
      </c>
      <c r="K399" t="n">
        <v>0</v>
      </c>
      <c r="L399" t="n">
        <v>0</v>
      </c>
      <c r="M399" t="n">
        <v>0</v>
      </c>
      <c r="N399" t="n">
        <v>0</v>
      </c>
      <c r="O399" t="n">
        <v>0</v>
      </c>
      <c r="P399" t="n">
        <v>0</v>
      </c>
      <c r="Q399" t="n">
        <v>0</v>
      </c>
      <c r="R399" s="2" t="inlineStr"/>
    </row>
    <row r="400" ht="15" customHeight="1">
      <c r="A400" t="inlineStr">
        <is>
          <t>A 16531-2025</t>
        </is>
      </c>
      <c r="B400" s="1" t="n">
        <v>45751</v>
      </c>
      <c r="C400" s="1" t="n">
        <v>46144</v>
      </c>
      <c r="D400" t="inlineStr">
        <is>
          <t>UPPSALA LÄN</t>
        </is>
      </c>
      <c r="E400" t="inlineStr">
        <is>
          <t>ÖSTHAMMAR</t>
        </is>
      </c>
      <c r="G400" t="n">
        <v>3.3</v>
      </c>
      <c r="H400" t="n">
        <v>0</v>
      </c>
      <c r="I400" t="n">
        <v>0</v>
      </c>
      <c r="J400" t="n">
        <v>0</v>
      </c>
      <c r="K400" t="n">
        <v>0</v>
      </c>
      <c r="L400" t="n">
        <v>0</v>
      </c>
      <c r="M400" t="n">
        <v>0</v>
      </c>
      <c r="N400" t="n">
        <v>0</v>
      </c>
      <c r="O400" t="n">
        <v>0</v>
      </c>
      <c r="P400" t="n">
        <v>0</v>
      </c>
      <c r="Q400" t="n">
        <v>0</v>
      </c>
      <c r="R400" s="2" t="inlineStr"/>
    </row>
    <row r="401" ht="15" customHeight="1">
      <c r="A401" t="inlineStr">
        <is>
          <t>A 25897-2023</t>
        </is>
      </c>
      <c r="B401" s="1" t="n">
        <v>45090.63300925926</v>
      </c>
      <c r="C401" s="1" t="n">
        <v>46144</v>
      </c>
      <c r="D401" t="inlineStr">
        <is>
          <t>UPPSALA LÄN</t>
        </is>
      </c>
      <c r="E401" t="inlineStr">
        <is>
          <t>ÖSTHAMMAR</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20046-2023</t>
        </is>
      </c>
      <c r="B402" s="1" t="n">
        <v>45054</v>
      </c>
      <c r="C402" s="1" t="n">
        <v>46144</v>
      </c>
      <c r="D402" t="inlineStr">
        <is>
          <t>UPPSALA LÄN</t>
        </is>
      </c>
      <c r="E402" t="inlineStr">
        <is>
          <t>ÖSTHAMMAR</t>
        </is>
      </c>
      <c r="G402" t="n">
        <v>0.4</v>
      </c>
      <c r="H402" t="n">
        <v>0</v>
      </c>
      <c r="I402" t="n">
        <v>0</v>
      </c>
      <c r="J402" t="n">
        <v>0</v>
      </c>
      <c r="K402" t="n">
        <v>0</v>
      </c>
      <c r="L402" t="n">
        <v>0</v>
      </c>
      <c r="M402" t="n">
        <v>0</v>
      </c>
      <c r="N402" t="n">
        <v>0</v>
      </c>
      <c r="O402" t="n">
        <v>0</v>
      </c>
      <c r="P402" t="n">
        <v>0</v>
      </c>
      <c r="Q402" t="n">
        <v>0</v>
      </c>
      <c r="R402" s="2" t="inlineStr"/>
    </row>
    <row r="403" ht="15" customHeight="1">
      <c r="A403" t="inlineStr">
        <is>
          <t>A 41478-2024</t>
        </is>
      </c>
      <c r="B403" s="1" t="n">
        <v>45560.44158564815</v>
      </c>
      <c r="C403" s="1" t="n">
        <v>46144</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51379-2025</t>
        </is>
      </c>
      <c r="B404" s="1" t="n">
        <v>45950.45677083333</v>
      </c>
      <c r="C404" s="1" t="n">
        <v>46144</v>
      </c>
      <c r="D404" t="inlineStr">
        <is>
          <t>UPPSALA LÄN</t>
        </is>
      </c>
      <c r="E404" t="inlineStr">
        <is>
          <t>ÖSTHAMMAR</t>
        </is>
      </c>
      <c r="G404" t="n">
        <v>2.1</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46144</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51266-2025</t>
        </is>
      </c>
      <c r="B406" s="1" t="n">
        <v>45949.71568287037</v>
      </c>
      <c r="C406" s="1" t="n">
        <v>46144</v>
      </c>
      <c r="D406" t="inlineStr">
        <is>
          <t>UPPSALA LÄN</t>
        </is>
      </c>
      <c r="E406" t="inlineStr">
        <is>
          <t>ÖSTHAMMAR</t>
        </is>
      </c>
      <c r="F406" t="inlineStr">
        <is>
          <t>Bergvik skog öst AB</t>
        </is>
      </c>
      <c r="G406" t="n">
        <v>4.7</v>
      </c>
      <c r="H406" t="n">
        <v>0</v>
      </c>
      <c r="I406" t="n">
        <v>0</v>
      </c>
      <c r="J406" t="n">
        <v>0</v>
      </c>
      <c r="K406" t="n">
        <v>0</v>
      </c>
      <c r="L406" t="n">
        <v>0</v>
      </c>
      <c r="M406" t="n">
        <v>0</v>
      </c>
      <c r="N406" t="n">
        <v>0</v>
      </c>
      <c r="O406" t="n">
        <v>0</v>
      </c>
      <c r="P406" t="n">
        <v>0</v>
      </c>
      <c r="Q406" t="n">
        <v>0</v>
      </c>
      <c r="R406" s="2" t="inlineStr"/>
    </row>
    <row r="407" ht="15" customHeight="1">
      <c r="A407" t="inlineStr">
        <is>
          <t>A 51156-2025</t>
        </is>
      </c>
      <c r="B407" s="1" t="n">
        <v>45947.57833333333</v>
      </c>
      <c r="C407" s="1" t="n">
        <v>46144</v>
      </c>
      <c r="D407" t="inlineStr">
        <is>
          <t>UPPSALA LÄN</t>
        </is>
      </c>
      <c r="E407" t="inlineStr">
        <is>
          <t>ÖSTHAMMAR</t>
        </is>
      </c>
      <c r="F407" t="inlineStr">
        <is>
          <t>Allmännings- och besparingsskogar</t>
        </is>
      </c>
      <c r="G407" t="n">
        <v>2.8</v>
      </c>
      <c r="H407" t="n">
        <v>0</v>
      </c>
      <c r="I407" t="n">
        <v>0</v>
      </c>
      <c r="J407" t="n">
        <v>0</v>
      </c>
      <c r="K407" t="n">
        <v>0</v>
      </c>
      <c r="L407" t="n">
        <v>0</v>
      </c>
      <c r="M407" t="n">
        <v>0</v>
      </c>
      <c r="N407" t="n">
        <v>0</v>
      </c>
      <c r="O407" t="n">
        <v>0</v>
      </c>
      <c r="P407" t="n">
        <v>0</v>
      </c>
      <c r="Q407" t="n">
        <v>0</v>
      </c>
      <c r="R407" s="2" t="inlineStr"/>
    </row>
    <row r="408" ht="15" customHeight="1">
      <c r="A408" t="inlineStr">
        <is>
          <t>A 51255-2025</t>
        </is>
      </c>
      <c r="B408" s="1" t="n">
        <v>45949.00917824074</v>
      </c>
      <c r="C408" s="1" t="n">
        <v>46144</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51265-2025</t>
        </is>
      </c>
      <c r="B409" s="1" t="n">
        <v>45949.70971064815</v>
      </c>
      <c r="C409" s="1" t="n">
        <v>46144</v>
      </c>
      <c r="D409" t="inlineStr">
        <is>
          <t>UPPSALA LÄN</t>
        </is>
      </c>
      <c r="E409" t="inlineStr">
        <is>
          <t>ÖSTHAMMAR</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17969-2023</t>
        </is>
      </c>
      <c r="B410" s="1" t="n">
        <v>45040.47081018519</v>
      </c>
      <c r="C410" s="1" t="n">
        <v>46144</v>
      </c>
      <c r="D410" t="inlineStr">
        <is>
          <t>UPPSALA LÄN</t>
        </is>
      </c>
      <c r="E410" t="inlineStr">
        <is>
          <t>ÖSTHAMMAR</t>
        </is>
      </c>
      <c r="G410" t="n">
        <v>5.4</v>
      </c>
      <c r="H410" t="n">
        <v>0</v>
      </c>
      <c r="I410" t="n">
        <v>0</v>
      </c>
      <c r="J410" t="n">
        <v>0</v>
      </c>
      <c r="K410" t="n">
        <v>0</v>
      </c>
      <c r="L410" t="n">
        <v>0</v>
      </c>
      <c r="M410" t="n">
        <v>0</v>
      </c>
      <c r="N410" t="n">
        <v>0</v>
      </c>
      <c r="O410" t="n">
        <v>0</v>
      </c>
      <c r="P410" t="n">
        <v>0</v>
      </c>
      <c r="Q410" t="n">
        <v>0</v>
      </c>
      <c r="R410" s="2" t="inlineStr"/>
    </row>
    <row r="411" ht="15" customHeight="1">
      <c r="A411" t="inlineStr">
        <is>
          <t>A 51254-2025</t>
        </is>
      </c>
      <c r="B411" s="1" t="n">
        <v>45948.99313657408</v>
      </c>
      <c r="C411" s="1" t="n">
        <v>46144</v>
      </c>
      <c r="D411" t="inlineStr">
        <is>
          <t>UPPSALA LÄN</t>
        </is>
      </c>
      <c r="E411" t="inlineStr">
        <is>
          <t>ÖSTHAMMAR</t>
        </is>
      </c>
      <c r="G411" t="n">
        <v>8.9</v>
      </c>
      <c r="H411" t="n">
        <v>0</v>
      </c>
      <c r="I411" t="n">
        <v>0</v>
      </c>
      <c r="J411" t="n">
        <v>0</v>
      </c>
      <c r="K411" t="n">
        <v>0</v>
      </c>
      <c r="L411" t="n">
        <v>0</v>
      </c>
      <c r="M411" t="n">
        <v>0</v>
      </c>
      <c r="N411" t="n">
        <v>0</v>
      </c>
      <c r="O411" t="n">
        <v>0</v>
      </c>
      <c r="P411" t="n">
        <v>0</v>
      </c>
      <c r="Q411" t="n">
        <v>0</v>
      </c>
      <c r="R411" s="2" t="inlineStr"/>
    </row>
    <row r="412" ht="15" customHeight="1">
      <c r="A412" t="inlineStr">
        <is>
          <t>A 51708-2025</t>
        </is>
      </c>
      <c r="B412" s="1" t="n">
        <v>45951.56679398148</v>
      </c>
      <c r="C412" s="1" t="n">
        <v>46144</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58878-2022</t>
        </is>
      </c>
      <c r="B413" s="1" t="n">
        <v>44903</v>
      </c>
      <c r="C413" s="1" t="n">
        <v>46144</v>
      </c>
      <c r="D413" t="inlineStr">
        <is>
          <t>UPPSALA LÄN</t>
        </is>
      </c>
      <c r="E413" t="inlineStr">
        <is>
          <t>ÖSTHAMMAR</t>
        </is>
      </c>
      <c r="G413" t="n">
        <v>0.8</v>
      </c>
      <c r="H413" t="n">
        <v>0</v>
      </c>
      <c r="I413" t="n">
        <v>0</v>
      </c>
      <c r="J413" t="n">
        <v>0</v>
      </c>
      <c r="K413" t="n">
        <v>0</v>
      </c>
      <c r="L413" t="n">
        <v>0</v>
      </c>
      <c r="M413" t="n">
        <v>0</v>
      </c>
      <c r="N413" t="n">
        <v>0</v>
      </c>
      <c r="O413" t="n">
        <v>0</v>
      </c>
      <c r="P413" t="n">
        <v>0</v>
      </c>
      <c r="Q413" t="n">
        <v>0</v>
      </c>
      <c r="R413" s="2" t="inlineStr"/>
    </row>
    <row r="414" ht="15" customHeight="1">
      <c r="A414" t="inlineStr">
        <is>
          <t>A 12528-2024</t>
        </is>
      </c>
      <c r="B414" s="1" t="n">
        <v>45379.61878472222</v>
      </c>
      <c r="C414" s="1" t="n">
        <v>46144</v>
      </c>
      <c r="D414" t="inlineStr">
        <is>
          <t>UPPSALA LÄN</t>
        </is>
      </c>
      <c r="E414" t="inlineStr">
        <is>
          <t>ÖSTHAMMAR</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42213-2025</t>
        </is>
      </c>
      <c r="B415" s="1" t="n">
        <v>45904.50652777778</v>
      </c>
      <c r="C415" s="1" t="n">
        <v>46144</v>
      </c>
      <c r="D415" t="inlineStr">
        <is>
          <t>UPPSALA LÄN</t>
        </is>
      </c>
      <c r="E415" t="inlineStr">
        <is>
          <t>ÖSTHAMMAR</t>
        </is>
      </c>
      <c r="G415" t="n">
        <v>0.8</v>
      </c>
      <c r="H415" t="n">
        <v>0</v>
      </c>
      <c r="I415" t="n">
        <v>0</v>
      </c>
      <c r="J415" t="n">
        <v>0</v>
      </c>
      <c r="K415" t="n">
        <v>0</v>
      </c>
      <c r="L415" t="n">
        <v>0</v>
      </c>
      <c r="M415" t="n">
        <v>0</v>
      </c>
      <c r="N415" t="n">
        <v>0</v>
      </c>
      <c r="O415" t="n">
        <v>0</v>
      </c>
      <c r="P415" t="n">
        <v>0</v>
      </c>
      <c r="Q415" t="n">
        <v>0</v>
      </c>
      <c r="R415" s="2" t="inlineStr"/>
    </row>
    <row r="416" ht="15" customHeight="1">
      <c r="A416" t="inlineStr">
        <is>
          <t>A 52332-2025</t>
        </is>
      </c>
      <c r="B416" s="1" t="n">
        <v>45953.67853009259</v>
      </c>
      <c r="C416" s="1" t="n">
        <v>46144</v>
      </c>
      <c r="D416" t="inlineStr">
        <is>
          <t>UPPSALA LÄN</t>
        </is>
      </c>
      <c r="E416" t="inlineStr">
        <is>
          <t>ÖSTHAMMAR</t>
        </is>
      </c>
      <c r="F416" t="inlineStr">
        <is>
          <t>Bergvik skog öst AB</t>
        </is>
      </c>
      <c r="G416" t="n">
        <v>3.8</v>
      </c>
      <c r="H416" t="n">
        <v>0</v>
      </c>
      <c r="I416" t="n">
        <v>0</v>
      </c>
      <c r="J416" t="n">
        <v>0</v>
      </c>
      <c r="K416" t="n">
        <v>0</v>
      </c>
      <c r="L416" t="n">
        <v>0</v>
      </c>
      <c r="M416" t="n">
        <v>0</v>
      </c>
      <c r="N416" t="n">
        <v>0</v>
      </c>
      <c r="O416" t="n">
        <v>0</v>
      </c>
      <c r="P416" t="n">
        <v>0</v>
      </c>
      <c r="Q416" t="n">
        <v>0</v>
      </c>
      <c r="R416" s="2" t="inlineStr"/>
    </row>
    <row r="417" ht="15" customHeight="1">
      <c r="A417" t="inlineStr">
        <is>
          <t>A 4228-2023</t>
        </is>
      </c>
      <c r="B417" s="1" t="n">
        <v>44953.48179398148</v>
      </c>
      <c r="C417" s="1" t="n">
        <v>46144</v>
      </c>
      <c r="D417" t="inlineStr">
        <is>
          <t>UPPSALA LÄN</t>
        </is>
      </c>
      <c r="E417" t="inlineStr">
        <is>
          <t>ÖSTHAMMAR</t>
        </is>
      </c>
      <c r="G417" t="n">
        <v>1</v>
      </c>
      <c r="H417" t="n">
        <v>0</v>
      </c>
      <c r="I417" t="n">
        <v>0</v>
      </c>
      <c r="J417" t="n">
        <v>0</v>
      </c>
      <c r="K417" t="n">
        <v>0</v>
      </c>
      <c r="L417" t="n">
        <v>0</v>
      </c>
      <c r="M417" t="n">
        <v>0</v>
      </c>
      <c r="N417" t="n">
        <v>0</v>
      </c>
      <c r="O417" t="n">
        <v>0</v>
      </c>
      <c r="P417" t="n">
        <v>0</v>
      </c>
      <c r="Q417" t="n">
        <v>0</v>
      </c>
      <c r="R417" s="2" t="inlineStr"/>
    </row>
    <row r="418" ht="15" customHeight="1">
      <c r="A418" t="inlineStr">
        <is>
          <t>A 18091-2023</t>
        </is>
      </c>
      <c r="B418" s="1" t="n">
        <v>45040</v>
      </c>
      <c r="C418" s="1" t="n">
        <v>46144</v>
      </c>
      <c r="D418" t="inlineStr">
        <is>
          <t>UPPSALA LÄN</t>
        </is>
      </c>
      <c r="E418" t="inlineStr">
        <is>
          <t>ÖSTHAMMAR</t>
        </is>
      </c>
      <c r="G418" t="n">
        <v>2.4</v>
      </c>
      <c r="H418" t="n">
        <v>0</v>
      </c>
      <c r="I418" t="n">
        <v>0</v>
      </c>
      <c r="J418" t="n">
        <v>0</v>
      </c>
      <c r="K418" t="n">
        <v>0</v>
      </c>
      <c r="L418" t="n">
        <v>0</v>
      </c>
      <c r="M418" t="n">
        <v>0</v>
      </c>
      <c r="N418" t="n">
        <v>0</v>
      </c>
      <c r="O418" t="n">
        <v>0</v>
      </c>
      <c r="P418" t="n">
        <v>0</v>
      </c>
      <c r="Q418" t="n">
        <v>0</v>
      </c>
      <c r="R418" s="2" t="inlineStr"/>
    </row>
    <row r="419" ht="15" customHeight="1">
      <c r="A419" t="inlineStr">
        <is>
          <t>A 66779-2021</t>
        </is>
      </c>
      <c r="B419" s="1" t="n">
        <v>44522.31700231481</v>
      </c>
      <c r="C419" s="1" t="n">
        <v>46144</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23197-2023</t>
        </is>
      </c>
      <c r="B420" s="1" t="n">
        <v>45075</v>
      </c>
      <c r="C420" s="1" t="n">
        <v>46144</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60079-2022</t>
        </is>
      </c>
      <c r="B421" s="1" t="n">
        <v>44909</v>
      </c>
      <c r="C421" s="1" t="n">
        <v>46144</v>
      </c>
      <c r="D421" t="inlineStr">
        <is>
          <t>UPPSALA LÄN</t>
        </is>
      </c>
      <c r="E421" t="inlineStr">
        <is>
          <t>ÖSTHAMMAR</t>
        </is>
      </c>
      <c r="G421" t="n">
        <v>9.6</v>
      </c>
      <c r="H421" t="n">
        <v>0</v>
      </c>
      <c r="I421" t="n">
        <v>0</v>
      </c>
      <c r="J421" t="n">
        <v>0</v>
      </c>
      <c r="K421" t="n">
        <v>0</v>
      </c>
      <c r="L421" t="n">
        <v>0</v>
      </c>
      <c r="M421" t="n">
        <v>0</v>
      </c>
      <c r="N421" t="n">
        <v>0</v>
      </c>
      <c r="O421" t="n">
        <v>0</v>
      </c>
      <c r="P421" t="n">
        <v>0</v>
      </c>
      <c r="Q421" t="n">
        <v>0</v>
      </c>
      <c r="R421" s="2" t="inlineStr"/>
    </row>
    <row r="422" ht="15" customHeight="1">
      <c r="A422" t="inlineStr">
        <is>
          <t>A 9267-2024</t>
        </is>
      </c>
      <c r="B422" s="1" t="n">
        <v>45358</v>
      </c>
      <c r="C422" s="1" t="n">
        <v>46144</v>
      </c>
      <c r="D422" t="inlineStr">
        <is>
          <t>UPPSALA LÄN</t>
        </is>
      </c>
      <c r="E422" t="inlineStr">
        <is>
          <t>ÖSTHAMMAR</t>
        </is>
      </c>
      <c r="F422" t="inlineStr">
        <is>
          <t>Bergvik skog öst AB</t>
        </is>
      </c>
      <c r="G422" t="n">
        <v>1.3</v>
      </c>
      <c r="H422" t="n">
        <v>0</v>
      </c>
      <c r="I422" t="n">
        <v>0</v>
      </c>
      <c r="J422" t="n">
        <v>0</v>
      </c>
      <c r="K422" t="n">
        <v>0</v>
      </c>
      <c r="L422" t="n">
        <v>0</v>
      </c>
      <c r="M422" t="n">
        <v>0</v>
      </c>
      <c r="N422" t="n">
        <v>0</v>
      </c>
      <c r="O422" t="n">
        <v>0</v>
      </c>
      <c r="P422" t="n">
        <v>0</v>
      </c>
      <c r="Q422" t="n">
        <v>0</v>
      </c>
      <c r="R422" s="2" t="inlineStr"/>
    </row>
    <row r="423" ht="15" customHeight="1">
      <c r="A423" t="inlineStr">
        <is>
          <t>A 33758-2024</t>
        </is>
      </c>
      <c r="B423" s="1" t="n">
        <v>45520.56896990741</v>
      </c>
      <c r="C423" s="1" t="n">
        <v>46144</v>
      </c>
      <c r="D423" t="inlineStr">
        <is>
          <t>UPPSALA LÄN</t>
        </is>
      </c>
      <c r="E423" t="inlineStr">
        <is>
          <t>ÖSTHAMMAR</t>
        </is>
      </c>
      <c r="G423" t="n">
        <v>6.5</v>
      </c>
      <c r="H423" t="n">
        <v>0</v>
      </c>
      <c r="I423" t="n">
        <v>0</v>
      </c>
      <c r="J423" t="n">
        <v>0</v>
      </c>
      <c r="K423" t="n">
        <v>0</v>
      </c>
      <c r="L423" t="n">
        <v>0</v>
      </c>
      <c r="M423" t="n">
        <v>0</v>
      </c>
      <c r="N423" t="n">
        <v>0</v>
      </c>
      <c r="O423" t="n">
        <v>0</v>
      </c>
      <c r="P423" t="n">
        <v>0</v>
      </c>
      <c r="Q423" t="n">
        <v>0</v>
      </c>
      <c r="R423" s="2" t="inlineStr"/>
    </row>
    <row r="424" ht="15" customHeight="1">
      <c r="A424" t="inlineStr">
        <is>
          <t>A 35316-2024</t>
        </is>
      </c>
      <c r="B424" s="1" t="n">
        <v>45530.68873842592</v>
      </c>
      <c r="C424" s="1" t="n">
        <v>46144</v>
      </c>
      <c r="D424" t="inlineStr">
        <is>
          <t>UPPSALA LÄN</t>
        </is>
      </c>
      <c r="E424" t="inlineStr">
        <is>
          <t>ÖSTHAMMAR</t>
        </is>
      </c>
      <c r="F424" t="inlineStr">
        <is>
          <t>Bergvik skog öst AB</t>
        </is>
      </c>
      <c r="G424" t="n">
        <v>2.1</v>
      </c>
      <c r="H424" t="n">
        <v>0</v>
      </c>
      <c r="I424" t="n">
        <v>0</v>
      </c>
      <c r="J424" t="n">
        <v>0</v>
      </c>
      <c r="K424" t="n">
        <v>0</v>
      </c>
      <c r="L424" t="n">
        <v>0</v>
      </c>
      <c r="M424" t="n">
        <v>0</v>
      </c>
      <c r="N424" t="n">
        <v>0</v>
      </c>
      <c r="O424" t="n">
        <v>0</v>
      </c>
      <c r="P424" t="n">
        <v>0</v>
      </c>
      <c r="Q424" t="n">
        <v>0</v>
      </c>
      <c r="R424" s="2" t="inlineStr"/>
    </row>
    <row r="425" ht="15" customHeight="1">
      <c r="A425" t="inlineStr">
        <is>
          <t>A 38571-2023</t>
        </is>
      </c>
      <c r="B425" s="1" t="n">
        <v>45162.6177662037</v>
      </c>
      <c r="C425" s="1" t="n">
        <v>46144</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53735-2025</t>
        </is>
      </c>
      <c r="B426" s="1" t="n">
        <v>45960.64431712963</v>
      </c>
      <c r="C426" s="1" t="n">
        <v>46144</v>
      </c>
      <c r="D426" t="inlineStr">
        <is>
          <t>UPPSALA LÄN</t>
        </is>
      </c>
      <c r="E426" t="inlineStr">
        <is>
          <t>ÖSTHAMMAR</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53737-2025</t>
        </is>
      </c>
      <c r="B427" s="1" t="n">
        <v>45960.64520833334</v>
      </c>
      <c r="C427" s="1" t="n">
        <v>46144</v>
      </c>
      <c r="D427" t="inlineStr">
        <is>
          <t>UPPSALA LÄN</t>
        </is>
      </c>
      <c r="E427" t="inlineStr">
        <is>
          <t>ÖSTHAMMAR</t>
        </is>
      </c>
      <c r="F427" t="inlineStr">
        <is>
          <t>Bergvik skog öst AB</t>
        </is>
      </c>
      <c r="G427" t="n">
        <v>3</v>
      </c>
      <c r="H427" t="n">
        <v>0</v>
      </c>
      <c r="I427" t="n">
        <v>0</v>
      </c>
      <c r="J427" t="n">
        <v>0</v>
      </c>
      <c r="K427" t="n">
        <v>0</v>
      </c>
      <c r="L427" t="n">
        <v>0</v>
      </c>
      <c r="M427" t="n">
        <v>0</v>
      </c>
      <c r="N427" t="n">
        <v>0</v>
      </c>
      <c r="O427" t="n">
        <v>0</v>
      </c>
      <c r="P427" t="n">
        <v>0</v>
      </c>
      <c r="Q427" t="n">
        <v>0</v>
      </c>
      <c r="R427" s="2" t="inlineStr"/>
    </row>
    <row r="428" ht="15" customHeight="1">
      <c r="A428" t="inlineStr">
        <is>
          <t>A 53567-2025</t>
        </is>
      </c>
      <c r="B428" s="1" t="n">
        <v>45960</v>
      </c>
      <c r="C428" s="1" t="n">
        <v>46144</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7560-2023</t>
        </is>
      </c>
      <c r="B429" s="1" t="n">
        <v>44972.34811342593</v>
      </c>
      <c r="C429" s="1" t="n">
        <v>46144</v>
      </c>
      <c r="D429" t="inlineStr">
        <is>
          <t>UPPSALA LÄN</t>
        </is>
      </c>
      <c r="E429" t="inlineStr">
        <is>
          <t>ÖSTHAMMAR</t>
        </is>
      </c>
      <c r="F429" t="inlineStr">
        <is>
          <t>Bergvik skog öst AB</t>
        </is>
      </c>
      <c r="G429" t="n">
        <v>1.3</v>
      </c>
      <c r="H429" t="n">
        <v>0</v>
      </c>
      <c r="I429" t="n">
        <v>0</v>
      </c>
      <c r="J429" t="n">
        <v>0</v>
      </c>
      <c r="K429" t="n">
        <v>0</v>
      </c>
      <c r="L429" t="n">
        <v>0</v>
      </c>
      <c r="M429" t="n">
        <v>0</v>
      </c>
      <c r="N429" t="n">
        <v>0</v>
      </c>
      <c r="O429" t="n">
        <v>0</v>
      </c>
      <c r="P429" t="n">
        <v>0</v>
      </c>
      <c r="Q429" t="n">
        <v>0</v>
      </c>
      <c r="R429" s="2" t="inlineStr"/>
    </row>
    <row r="430" ht="15" customHeight="1">
      <c r="A430" t="inlineStr">
        <is>
          <t>A 44184-2024</t>
        </is>
      </c>
      <c r="B430" s="1" t="n">
        <v>45572</v>
      </c>
      <c r="C430" s="1" t="n">
        <v>46144</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53961-2025</t>
        </is>
      </c>
      <c r="B431" s="1" t="n">
        <v>45961</v>
      </c>
      <c r="C431" s="1" t="n">
        <v>46144</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53557-2025</t>
        </is>
      </c>
      <c r="B432" s="1" t="n">
        <v>45960</v>
      </c>
      <c r="C432" s="1" t="n">
        <v>46144</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48083-2024</t>
        </is>
      </c>
      <c r="B433" s="1" t="n">
        <v>45589.58766203704</v>
      </c>
      <c r="C433" s="1" t="n">
        <v>46144</v>
      </c>
      <c r="D433" t="inlineStr">
        <is>
          <t>UPPSALA LÄN</t>
        </is>
      </c>
      <c r="E433" t="inlineStr">
        <is>
          <t>ÖSTHAMMAR</t>
        </is>
      </c>
      <c r="G433" t="n">
        <v>3</v>
      </c>
      <c r="H433" t="n">
        <v>0</v>
      </c>
      <c r="I433" t="n">
        <v>0</v>
      </c>
      <c r="J433" t="n">
        <v>0</v>
      </c>
      <c r="K433" t="n">
        <v>0</v>
      </c>
      <c r="L433" t="n">
        <v>0</v>
      </c>
      <c r="M433" t="n">
        <v>0</v>
      </c>
      <c r="N433" t="n">
        <v>0</v>
      </c>
      <c r="O433" t="n">
        <v>0</v>
      </c>
      <c r="P433" t="n">
        <v>0</v>
      </c>
      <c r="Q433" t="n">
        <v>0</v>
      </c>
      <c r="R433" s="2" t="inlineStr"/>
    </row>
    <row r="434" ht="15" customHeight="1">
      <c r="A434" t="inlineStr">
        <is>
          <t>A 53656-2025</t>
        </is>
      </c>
      <c r="B434" s="1" t="n">
        <v>45960</v>
      </c>
      <c r="C434" s="1" t="n">
        <v>46144</v>
      </c>
      <c r="D434" t="inlineStr">
        <is>
          <t>UPPSALA LÄN</t>
        </is>
      </c>
      <c r="E434" t="inlineStr">
        <is>
          <t>ÖSTHAMMAR</t>
        </is>
      </c>
      <c r="G434" t="n">
        <v>3.1</v>
      </c>
      <c r="H434" t="n">
        <v>0</v>
      </c>
      <c r="I434" t="n">
        <v>0</v>
      </c>
      <c r="J434" t="n">
        <v>0</v>
      </c>
      <c r="K434" t="n">
        <v>0</v>
      </c>
      <c r="L434" t="n">
        <v>0</v>
      </c>
      <c r="M434" t="n">
        <v>0</v>
      </c>
      <c r="N434" t="n">
        <v>0</v>
      </c>
      <c r="O434" t="n">
        <v>0</v>
      </c>
      <c r="P434" t="n">
        <v>0</v>
      </c>
      <c r="Q434" t="n">
        <v>0</v>
      </c>
      <c r="R434" s="2" t="inlineStr"/>
    </row>
    <row r="435" ht="15" customHeight="1">
      <c r="A435" t="inlineStr">
        <is>
          <t>A 74436-2021</t>
        </is>
      </c>
      <c r="B435" s="1" t="n">
        <v>44560.4502199074</v>
      </c>
      <c r="C435" s="1" t="n">
        <v>46144</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54592-2025</t>
        </is>
      </c>
      <c r="B436" s="1" t="n">
        <v>45965.74545138889</v>
      </c>
      <c r="C436" s="1" t="n">
        <v>46144</v>
      </c>
      <c r="D436" t="inlineStr">
        <is>
          <t>UPPSALA LÄN</t>
        </is>
      </c>
      <c r="E436" t="inlineStr">
        <is>
          <t>ÖSTHAMMAR</t>
        </is>
      </c>
      <c r="F436" t="inlineStr">
        <is>
          <t>Bergvik skog öst AB</t>
        </is>
      </c>
      <c r="G436" t="n">
        <v>5</v>
      </c>
      <c r="H436" t="n">
        <v>0</v>
      </c>
      <c r="I436" t="n">
        <v>0</v>
      </c>
      <c r="J436" t="n">
        <v>0</v>
      </c>
      <c r="K436" t="n">
        <v>0</v>
      </c>
      <c r="L436" t="n">
        <v>0</v>
      </c>
      <c r="M436" t="n">
        <v>0</v>
      </c>
      <c r="N436" t="n">
        <v>0</v>
      </c>
      <c r="O436" t="n">
        <v>0</v>
      </c>
      <c r="P436" t="n">
        <v>0</v>
      </c>
      <c r="Q436" t="n">
        <v>0</v>
      </c>
      <c r="R436" s="2" t="inlineStr"/>
    </row>
    <row r="437" ht="15" customHeight="1">
      <c r="A437" t="inlineStr">
        <is>
          <t>A 32778-2023</t>
        </is>
      </c>
      <c r="B437" s="1" t="n">
        <v>45123.88789351852</v>
      </c>
      <c r="C437" s="1" t="n">
        <v>46144</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33680-2024</t>
        </is>
      </c>
      <c r="B438" s="1" t="n">
        <v>45520.50712962963</v>
      </c>
      <c r="C438" s="1" t="n">
        <v>46144</v>
      </c>
      <c r="D438" t="inlineStr">
        <is>
          <t>UPPSALA LÄN</t>
        </is>
      </c>
      <c r="E438" t="inlineStr">
        <is>
          <t>ÖSTHAMMAR</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54242-2025</t>
        </is>
      </c>
      <c r="B439" s="1" t="n">
        <v>45964.63251157408</v>
      </c>
      <c r="C439" s="1" t="n">
        <v>46144</v>
      </c>
      <c r="D439" t="inlineStr">
        <is>
          <t>UPPSALA LÄN</t>
        </is>
      </c>
      <c r="E439" t="inlineStr">
        <is>
          <t>ÖSTHAMMAR</t>
        </is>
      </c>
      <c r="G439" t="n">
        <v>4.7</v>
      </c>
      <c r="H439" t="n">
        <v>0</v>
      </c>
      <c r="I439" t="n">
        <v>0</v>
      </c>
      <c r="J439" t="n">
        <v>0</v>
      </c>
      <c r="K439" t="n">
        <v>0</v>
      </c>
      <c r="L439" t="n">
        <v>0</v>
      </c>
      <c r="M439" t="n">
        <v>0</v>
      </c>
      <c r="N439" t="n">
        <v>0</v>
      </c>
      <c r="O439" t="n">
        <v>0</v>
      </c>
      <c r="P439" t="n">
        <v>0</v>
      </c>
      <c r="Q439" t="n">
        <v>0</v>
      </c>
      <c r="R439" s="2" t="inlineStr"/>
    </row>
    <row r="440" ht="15" customHeight="1">
      <c r="A440" t="inlineStr">
        <is>
          <t>A 54647-2025</t>
        </is>
      </c>
      <c r="B440" s="1" t="n">
        <v>45966.37258101852</v>
      </c>
      <c r="C440" s="1" t="n">
        <v>46144</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54649-2025</t>
        </is>
      </c>
      <c r="B441" s="1" t="n">
        <v>45966.37548611111</v>
      </c>
      <c r="C441" s="1" t="n">
        <v>46144</v>
      </c>
      <c r="D441" t="inlineStr">
        <is>
          <t>UPPSALA LÄN</t>
        </is>
      </c>
      <c r="E441" t="inlineStr">
        <is>
          <t>ÖSTHAMMAR</t>
        </is>
      </c>
      <c r="G441" t="n">
        <v>0.5</v>
      </c>
      <c r="H441" t="n">
        <v>0</v>
      </c>
      <c r="I441" t="n">
        <v>0</v>
      </c>
      <c r="J441" t="n">
        <v>0</v>
      </c>
      <c r="K441" t="n">
        <v>0</v>
      </c>
      <c r="L441" t="n">
        <v>0</v>
      </c>
      <c r="M441" t="n">
        <v>0</v>
      </c>
      <c r="N441" t="n">
        <v>0</v>
      </c>
      <c r="O441" t="n">
        <v>0</v>
      </c>
      <c r="P441" t="n">
        <v>0</v>
      </c>
      <c r="Q441" t="n">
        <v>0</v>
      </c>
      <c r="R441" s="2" t="inlineStr"/>
    </row>
    <row r="442" ht="15" customHeight="1">
      <c r="A442" t="inlineStr">
        <is>
          <t>A 7944-2023</t>
        </is>
      </c>
      <c r="B442" s="1" t="n">
        <v>44973.66458333333</v>
      </c>
      <c r="C442" s="1" t="n">
        <v>46144</v>
      </c>
      <c r="D442" t="inlineStr">
        <is>
          <t>UPPSALA LÄN</t>
        </is>
      </c>
      <c r="E442" t="inlineStr">
        <is>
          <t>ÖSTHAMMAR</t>
        </is>
      </c>
      <c r="G442" t="n">
        <v>4.6</v>
      </c>
      <c r="H442" t="n">
        <v>0</v>
      </c>
      <c r="I442" t="n">
        <v>0</v>
      </c>
      <c r="J442" t="n">
        <v>0</v>
      </c>
      <c r="K442" t="n">
        <v>0</v>
      </c>
      <c r="L442" t="n">
        <v>0</v>
      </c>
      <c r="M442" t="n">
        <v>0</v>
      </c>
      <c r="N442" t="n">
        <v>0</v>
      </c>
      <c r="O442" t="n">
        <v>0</v>
      </c>
      <c r="P442" t="n">
        <v>0</v>
      </c>
      <c r="Q442" t="n">
        <v>0</v>
      </c>
      <c r="R442" s="2" t="inlineStr"/>
    </row>
    <row r="443" ht="15" customHeight="1">
      <c r="A443" t="inlineStr">
        <is>
          <t>A 55163-2025</t>
        </is>
      </c>
      <c r="B443" s="1" t="n">
        <v>45968.48032407407</v>
      </c>
      <c r="C443" s="1" t="n">
        <v>46144</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8616-2023</t>
        </is>
      </c>
      <c r="B444" s="1" t="n">
        <v>44977</v>
      </c>
      <c r="C444" s="1" t="n">
        <v>46144</v>
      </c>
      <c r="D444" t="inlineStr">
        <is>
          <t>UPPSALA LÄN</t>
        </is>
      </c>
      <c r="E444" t="inlineStr">
        <is>
          <t>ÖSTHAMMAR</t>
        </is>
      </c>
      <c r="F444" t="inlineStr">
        <is>
          <t>Bergvik skog öst AB</t>
        </is>
      </c>
      <c r="G444" t="n">
        <v>0.2</v>
      </c>
      <c r="H444" t="n">
        <v>0</v>
      </c>
      <c r="I444" t="n">
        <v>0</v>
      </c>
      <c r="J444" t="n">
        <v>0</v>
      </c>
      <c r="K444" t="n">
        <v>0</v>
      </c>
      <c r="L444" t="n">
        <v>0</v>
      </c>
      <c r="M444" t="n">
        <v>0</v>
      </c>
      <c r="N444" t="n">
        <v>0</v>
      </c>
      <c r="O444" t="n">
        <v>0</v>
      </c>
      <c r="P444" t="n">
        <v>0</v>
      </c>
      <c r="Q444" t="n">
        <v>0</v>
      </c>
      <c r="R444" s="2" t="inlineStr"/>
    </row>
    <row r="445" ht="15" customHeight="1">
      <c r="A445" t="inlineStr">
        <is>
          <t>A 1567-2025</t>
        </is>
      </c>
      <c r="B445" s="1" t="n">
        <v>45670</v>
      </c>
      <c r="C445" s="1" t="n">
        <v>46144</v>
      </c>
      <c r="D445" t="inlineStr">
        <is>
          <t>UPPSALA LÄN</t>
        </is>
      </c>
      <c r="E445" t="inlineStr">
        <is>
          <t>ÖSTHAMMAR</t>
        </is>
      </c>
      <c r="G445" t="n">
        <v>2.8</v>
      </c>
      <c r="H445" t="n">
        <v>0</v>
      </c>
      <c r="I445" t="n">
        <v>0</v>
      </c>
      <c r="J445" t="n">
        <v>0</v>
      </c>
      <c r="K445" t="n">
        <v>0</v>
      </c>
      <c r="L445" t="n">
        <v>0</v>
      </c>
      <c r="M445" t="n">
        <v>0</v>
      </c>
      <c r="N445" t="n">
        <v>0</v>
      </c>
      <c r="O445" t="n">
        <v>0</v>
      </c>
      <c r="P445" t="n">
        <v>0</v>
      </c>
      <c r="Q445" t="n">
        <v>0</v>
      </c>
      <c r="R445" s="2" t="inlineStr"/>
    </row>
    <row r="446" ht="15" customHeight="1">
      <c r="A446" t="inlineStr">
        <is>
          <t>A 55298-2025</t>
        </is>
      </c>
      <c r="B446" s="1" t="n">
        <v>45969.76908564815</v>
      </c>
      <c r="C446" s="1" t="n">
        <v>46144</v>
      </c>
      <c r="D446" t="inlineStr">
        <is>
          <t>UPPSALA LÄN</t>
        </is>
      </c>
      <c r="E446" t="inlineStr">
        <is>
          <t>ÖSTHAMMAR</t>
        </is>
      </c>
      <c r="F446" t="inlineStr">
        <is>
          <t>Bergvik skog öst AB</t>
        </is>
      </c>
      <c r="G446" t="n">
        <v>3.6</v>
      </c>
      <c r="H446" t="n">
        <v>0</v>
      </c>
      <c r="I446" t="n">
        <v>0</v>
      </c>
      <c r="J446" t="n">
        <v>0</v>
      </c>
      <c r="K446" t="n">
        <v>0</v>
      </c>
      <c r="L446" t="n">
        <v>0</v>
      </c>
      <c r="M446" t="n">
        <v>0</v>
      </c>
      <c r="N446" t="n">
        <v>0</v>
      </c>
      <c r="O446" t="n">
        <v>0</v>
      </c>
      <c r="P446" t="n">
        <v>0</v>
      </c>
      <c r="Q446" t="n">
        <v>0</v>
      </c>
      <c r="R446" s="2" t="inlineStr"/>
    </row>
    <row r="447" ht="15" customHeight="1">
      <c r="A447" t="inlineStr">
        <is>
          <t>A 73965-2021</t>
        </is>
      </c>
      <c r="B447" s="1" t="n">
        <v>44553.80824074074</v>
      </c>
      <c r="C447" s="1" t="n">
        <v>46144</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55798-2025</t>
        </is>
      </c>
      <c r="B448" s="1" t="n">
        <v>45972.66209490741</v>
      </c>
      <c r="C448" s="1" t="n">
        <v>46144</v>
      </c>
      <c r="D448" t="inlineStr">
        <is>
          <t>UPPSALA LÄN</t>
        </is>
      </c>
      <c r="E448" t="inlineStr">
        <is>
          <t>ÖSTHAMMAR</t>
        </is>
      </c>
      <c r="F448" t="inlineStr">
        <is>
          <t>Bergvik skog öst AB</t>
        </is>
      </c>
      <c r="G448" t="n">
        <v>3.9</v>
      </c>
      <c r="H448" t="n">
        <v>0</v>
      </c>
      <c r="I448" t="n">
        <v>0</v>
      </c>
      <c r="J448" t="n">
        <v>0</v>
      </c>
      <c r="K448" t="n">
        <v>0</v>
      </c>
      <c r="L448" t="n">
        <v>0</v>
      </c>
      <c r="M448" t="n">
        <v>0</v>
      </c>
      <c r="N448" t="n">
        <v>0</v>
      </c>
      <c r="O448" t="n">
        <v>0</v>
      </c>
      <c r="P448" t="n">
        <v>0</v>
      </c>
      <c r="Q448" t="n">
        <v>0</v>
      </c>
      <c r="R448" s="2" t="inlineStr"/>
    </row>
    <row r="449" ht="15" customHeight="1">
      <c r="A449" t="inlineStr">
        <is>
          <t>A 73592-2021</t>
        </is>
      </c>
      <c r="B449" s="1" t="n">
        <v>44552.36974537037</v>
      </c>
      <c r="C449" s="1" t="n">
        <v>46144</v>
      </c>
      <c r="D449" t="inlineStr">
        <is>
          <t>UPPSALA LÄN</t>
        </is>
      </c>
      <c r="E449" t="inlineStr">
        <is>
          <t>ÖSTHAMMAR</t>
        </is>
      </c>
      <c r="G449" t="n">
        <v>1.7</v>
      </c>
      <c r="H449" t="n">
        <v>0</v>
      </c>
      <c r="I449" t="n">
        <v>0</v>
      </c>
      <c r="J449" t="n">
        <v>0</v>
      </c>
      <c r="K449" t="n">
        <v>0</v>
      </c>
      <c r="L449" t="n">
        <v>0</v>
      </c>
      <c r="M449" t="n">
        <v>0</v>
      </c>
      <c r="N449" t="n">
        <v>0</v>
      </c>
      <c r="O449" t="n">
        <v>0</v>
      </c>
      <c r="P449" t="n">
        <v>0</v>
      </c>
      <c r="Q449" t="n">
        <v>0</v>
      </c>
      <c r="R449" s="2" t="inlineStr"/>
    </row>
    <row r="450" ht="15" customHeight="1">
      <c r="A450" t="inlineStr">
        <is>
          <t>A 31479-2023</t>
        </is>
      </c>
      <c r="B450" s="1" t="n">
        <v>45114.79793981482</v>
      </c>
      <c r="C450" s="1" t="n">
        <v>46144</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45079.50289351852</v>
      </c>
      <c r="C451" s="1" t="n">
        <v>46144</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35918-2023</t>
        </is>
      </c>
      <c r="B452" s="1" t="n">
        <v>45148.64976851852</v>
      </c>
      <c r="C452" s="1" t="n">
        <v>46144</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56582-2025</t>
        </is>
      </c>
      <c r="B453" s="1" t="n">
        <v>45975.54730324074</v>
      </c>
      <c r="C453" s="1" t="n">
        <v>46144</v>
      </c>
      <c r="D453" t="inlineStr">
        <is>
          <t>UPPSALA LÄN</t>
        </is>
      </c>
      <c r="E453" t="inlineStr">
        <is>
          <t>ÖSTHAMMAR</t>
        </is>
      </c>
      <c r="G453" t="n">
        <v>4.1</v>
      </c>
      <c r="H453" t="n">
        <v>0</v>
      </c>
      <c r="I453" t="n">
        <v>0</v>
      </c>
      <c r="J453" t="n">
        <v>0</v>
      </c>
      <c r="K453" t="n">
        <v>0</v>
      </c>
      <c r="L453" t="n">
        <v>0</v>
      </c>
      <c r="M453" t="n">
        <v>0</v>
      </c>
      <c r="N453" t="n">
        <v>0</v>
      </c>
      <c r="O453" t="n">
        <v>0</v>
      </c>
      <c r="P453" t="n">
        <v>0</v>
      </c>
      <c r="Q453" t="n">
        <v>0</v>
      </c>
      <c r="R453" s="2" t="inlineStr"/>
    </row>
    <row r="454" ht="15" customHeight="1">
      <c r="A454" t="inlineStr">
        <is>
          <t>A 56682-2025</t>
        </is>
      </c>
      <c r="B454" s="1" t="n">
        <v>45975</v>
      </c>
      <c r="C454" s="1" t="n">
        <v>46144</v>
      </c>
      <c r="D454" t="inlineStr">
        <is>
          <t>UPPSALA LÄN</t>
        </is>
      </c>
      <c r="E454" t="inlineStr">
        <is>
          <t>ÖSTHAMMAR</t>
        </is>
      </c>
      <c r="G454" t="n">
        <v>3.9</v>
      </c>
      <c r="H454" t="n">
        <v>0</v>
      </c>
      <c r="I454" t="n">
        <v>0</v>
      </c>
      <c r="J454" t="n">
        <v>0</v>
      </c>
      <c r="K454" t="n">
        <v>0</v>
      </c>
      <c r="L454" t="n">
        <v>0</v>
      </c>
      <c r="M454" t="n">
        <v>0</v>
      </c>
      <c r="N454" t="n">
        <v>0</v>
      </c>
      <c r="O454" t="n">
        <v>0</v>
      </c>
      <c r="P454" t="n">
        <v>0</v>
      </c>
      <c r="Q454" t="n">
        <v>0</v>
      </c>
      <c r="R454" s="2" t="inlineStr"/>
    </row>
    <row r="455" ht="15" customHeight="1">
      <c r="A455" t="inlineStr">
        <is>
          <t>A 56518-2025</t>
        </is>
      </c>
      <c r="B455" s="1" t="n">
        <v>45975.4581712963</v>
      </c>
      <c r="C455" s="1" t="n">
        <v>46144</v>
      </c>
      <c r="D455" t="inlineStr">
        <is>
          <t>UPPSALA LÄN</t>
        </is>
      </c>
      <c r="E455" t="inlineStr">
        <is>
          <t>ÖSTHAMMAR</t>
        </is>
      </c>
      <c r="G455" t="n">
        <v>2.7</v>
      </c>
      <c r="H455" t="n">
        <v>0</v>
      </c>
      <c r="I455" t="n">
        <v>0</v>
      </c>
      <c r="J455" t="n">
        <v>0</v>
      </c>
      <c r="K455" t="n">
        <v>0</v>
      </c>
      <c r="L455" t="n">
        <v>0</v>
      </c>
      <c r="M455" t="n">
        <v>0</v>
      </c>
      <c r="N455" t="n">
        <v>0</v>
      </c>
      <c r="O455" t="n">
        <v>0</v>
      </c>
      <c r="P455" t="n">
        <v>0</v>
      </c>
      <c r="Q455" t="n">
        <v>0</v>
      </c>
      <c r="R455" s="2" t="inlineStr"/>
    </row>
    <row r="456" ht="15" customHeight="1">
      <c r="A456" t="inlineStr">
        <is>
          <t>A 56658-2025</t>
        </is>
      </c>
      <c r="B456" s="1" t="n">
        <v>45975.65431712963</v>
      </c>
      <c r="C456" s="1" t="n">
        <v>46144</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56745-2025</t>
        </is>
      </c>
      <c r="B457" s="1" t="n">
        <v>45978.36157407407</v>
      </c>
      <c r="C457" s="1" t="n">
        <v>46144</v>
      </c>
      <c r="D457" t="inlineStr">
        <is>
          <t>UPPSALA LÄN</t>
        </is>
      </c>
      <c r="E457" t="inlineStr">
        <is>
          <t>ÖSTHAMMAR</t>
        </is>
      </c>
      <c r="G457" t="n">
        <v>2.6</v>
      </c>
      <c r="H457" t="n">
        <v>0</v>
      </c>
      <c r="I457" t="n">
        <v>0</v>
      </c>
      <c r="J457" t="n">
        <v>0</v>
      </c>
      <c r="K457" t="n">
        <v>0</v>
      </c>
      <c r="L457" t="n">
        <v>0</v>
      </c>
      <c r="M457" t="n">
        <v>0</v>
      </c>
      <c r="N457" t="n">
        <v>0</v>
      </c>
      <c r="O457" t="n">
        <v>0</v>
      </c>
      <c r="P457" t="n">
        <v>0</v>
      </c>
      <c r="Q457" t="n">
        <v>0</v>
      </c>
      <c r="R457" s="2" t="inlineStr"/>
    </row>
    <row r="458" ht="15" customHeight="1">
      <c r="A458" t="inlineStr">
        <is>
          <t>A 56942-2025</t>
        </is>
      </c>
      <c r="B458" s="1" t="n">
        <v>45978.62611111111</v>
      </c>
      <c r="C458" s="1" t="n">
        <v>46144</v>
      </c>
      <c r="D458" t="inlineStr">
        <is>
          <t>UPPSALA LÄN</t>
        </is>
      </c>
      <c r="E458" t="inlineStr">
        <is>
          <t>ÖSTHAMMAR</t>
        </is>
      </c>
      <c r="G458" t="n">
        <v>3.2</v>
      </c>
      <c r="H458" t="n">
        <v>0</v>
      </c>
      <c r="I458" t="n">
        <v>0</v>
      </c>
      <c r="J458" t="n">
        <v>0</v>
      </c>
      <c r="K458" t="n">
        <v>0</v>
      </c>
      <c r="L458" t="n">
        <v>0</v>
      </c>
      <c r="M458" t="n">
        <v>0</v>
      </c>
      <c r="N458" t="n">
        <v>0</v>
      </c>
      <c r="O458" t="n">
        <v>0</v>
      </c>
      <c r="P458" t="n">
        <v>0</v>
      </c>
      <c r="Q458" t="n">
        <v>0</v>
      </c>
      <c r="R458" s="2" t="inlineStr"/>
    </row>
    <row r="459" ht="15" customHeight="1">
      <c r="A459" t="inlineStr">
        <is>
          <t>A 56757-2025</t>
        </is>
      </c>
      <c r="B459" s="1" t="n">
        <v>45978.37162037037</v>
      </c>
      <c r="C459" s="1" t="n">
        <v>46144</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56823-2025</t>
        </is>
      </c>
      <c r="B460" s="1" t="n">
        <v>45978.46484953703</v>
      </c>
      <c r="C460" s="1" t="n">
        <v>46144</v>
      </c>
      <c r="D460" t="inlineStr">
        <is>
          <t>UPPSALA LÄN</t>
        </is>
      </c>
      <c r="E460" t="inlineStr">
        <is>
          <t>ÖSTHAMMAR</t>
        </is>
      </c>
      <c r="G460" t="n">
        <v>0.1</v>
      </c>
      <c r="H460" t="n">
        <v>0</v>
      </c>
      <c r="I460" t="n">
        <v>0</v>
      </c>
      <c r="J460" t="n">
        <v>0</v>
      </c>
      <c r="K460" t="n">
        <v>0</v>
      </c>
      <c r="L460" t="n">
        <v>0</v>
      </c>
      <c r="M460" t="n">
        <v>0</v>
      </c>
      <c r="N460" t="n">
        <v>0</v>
      </c>
      <c r="O460" t="n">
        <v>0</v>
      </c>
      <c r="P460" t="n">
        <v>0</v>
      </c>
      <c r="Q460" t="n">
        <v>0</v>
      </c>
      <c r="R460" s="2" t="inlineStr"/>
    </row>
    <row r="461" ht="15" customHeight="1">
      <c r="A461" t="inlineStr">
        <is>
          <t>A 56754-2025</t>
        </is>
      </c>
      <c r="B461" s="1" t="n">
        <v>45978.36700231482</v>
      </c>
      <c r="C461" s="1" t="n">
        <v>46144</v>
      </c>
      <c r="D461" t="inlineStr">
        <is>
          <t>UPPSALA LÄN</t>
        </is>
      </c>
      <c r="E461" t="inlineStr">
        <is>
          <t>ÖSTHAMMAR</t>
        </is>
      </c>
      <c r="G461" t="n">
        <v>0.9</v>
      </c>
      <c r="H461" t="n">
        <v>0</v>
      </c>
      <c r="I461" t="n">
        <v>0</v>
      </c>
      <c r="J461" t="n">
        <v>0</v>
      </c>
      <c r="K461" t="n">
        <v>0</v>
      </c>
      <c r="L461" t="n">
        <v>0</v>
      </c>
      <c r="M461" t="n">
        <v>0</v>
      </c>
      <c r="N461" t="n">
        <v>0</v>
      </c>
      <c r="O461" t="n">
        <v>0</v>
      </c>
      <c r="P461" t="n">
        <v>0</v>
      </c>
      <c r="Q461" t="n">
        <v>0</v>
      </c>
      <c r="R461" s="2" t="inlineStr"/>
    </row>
    <row r="462" ht="15" customHeight="1">
      <c r="A462" t="inlineStr">
        <is>
          <t>A 56748-2025</t>
        </is>
      </c>
      <c r="B462" s="1" t="n">
        <v>45978.36412037037</v>
      </c>
      <c r="C462" s="1" t="n">
        <v>46144</v>
      </c>
      <c r="D462" t="inlineStr">
        <is>
          <t>UPPSALA LÄN</t>
        </is>
      </c>
      <c r="E462" t="inlineStr">
        <is>
          <t>ÖSTHAMMAR</t>
        </is>
      </c>
      <c r="F462" t="inlineStr">
        <is>
          <t>Sveaskog</t>
        </is>
      </c>
      <c r="G462" t="n">
        <v>3.4</v>
      </c>
      <c r="H462" t="n">
        <v>0</v>
      </c>
      <c r="I462" t="n">
        <v>0</v>
      </c>
      <c r="J462" t="n">
        <v>0</v>
      </c>
      <c r="K462" t="n">
        <v>0</v>
      </c>
      <c r="L462" t="n">
        <v>0</v>
      </c>
      <c r="M462" t="n">
        <v>0</v>
      </c>
      <c r="N462" t="n">
        <v>0</v>
      </c>
      <c r="O462" t="n">
        <v>0</v>
      </c>
      <c r="P462" t="n">
        <v>0</v>
      </c>
      <c r="Q462" t="n">
        <v>0</v>
      </c>
      <c r="R462" s="2" t="inlineStr"/>
    </row>
    <row r="463" ht="15" customHeight="1">
      <c r="A463" t="inlineStr">
        <is>
          <t>A 56653-2025</t>
        </is>
      </c>
      <c r="B463" s="1" t="n">
        <v>45975.64628472222</v>
      </c>
      <c r="C463" s="1" t="n">
        <v>46144</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56753-2025</t>
        </is>
      </c>
      <c r="B464" s="1" t="n">
        <v>45978.36677083333</v>
      </c>
      <c r="C464" s="1" t="n">
        <v>46144</v>
      </c>
      <c r="D464" t="inlineStr">
        <is>
          <t>UPPSALA LÄN</t>
        </is>
      </c>
      <c r="E464" t="inlineStr">
        <is>
          <t>ÖSTHAMMAR</t>
        </is>
      </c>
      <c r="F464" t="inlineStr">
        <is>
          <t>Sveaskog</t>
        </is>
      </c>
      <c r="G464" t="n">
        <v>8.6</v>
      </c>
      <c r="H464" t="n">
        <v>0</v>
      </c>
      <c r="I464" t="n">
        <v>0</v>
      </c>
      <c r="J464" t="n">
        <v>0</v>
      </c>
      <c r="K464" t="n">
        <v>0</v>
      </c>
      <c r="L464" t="n">
        <v>0</v>
      </c>
      <c r="M464" t="n">
        <v>0</v>
      </c>
      <c r="N464" t="n">
        <v>0</v>
      </c>
      <c r="O464" t="n">
        <v>0</v>
      </c>
      <c r="P464" t="n">
        <v>0</v>
      </c>
      <c r="Q464" t="n">
        <v>0</v>
      </c>
      <c r="R464" s="2" t="inlineStr"/>
    </row>
    <row r="465" ht="15" customHeight="1">
      <c r="A465" t="inlineStr">
        <is>
          <t>A 57248-2025</t>
        </is>
      </c>
      <c r="B465" s="1" t="n">
        <v>45979.635625</v>
      </c>
      <c r="C465" s="1" t="n">
        <v>46144</v>
      </c>
      <c r="D465" t="inlineStr">
        <is>
          <t>UPPSALA LÄN</t>
        </is>
      </c>
      <c r="E465" t="inlineStr">
        <is>
          <t>ÖSTHAMMAR</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4004-2023</t>
        </is>
      </c>
      <c r="B466" s="1" t="n">
        <v>44952</v>
      </c>
      <c r="C466" s="1" t="n">
        <v>46144</v>
      </c>
      <c r="D466" t="inlineStr">
        <is>
          <t>UPPSALA LÄN</t>
        </is>
      </c>
      <c r="E466" t="inlineStr">
        <is>
          <t>ÖSTHAMMAR</t>
        </is>
      </c>
      <c r="G466" t="n">
        <v>4.1</v>
      </c>
      <c r="H466" t="n">
        <v>0</v>
      </c>
      <c r="I466" t="n">
        <v>0</v>
      </c>
      <c r="J466" t="n">
        <v>0</v>
      </c>
      <c r="K466" t="n">
        <v>0</v>
      </c>
      <c r="L466" t="n">
        <v>0</v>
      </c>
      <c r="M466" t="n">
        <v>0</v>
      </c>
      <c r="N466" t="n">
        <v>0</v>
      </c>
      <c r="O466" t="n">
        <v>0</v>
      </c>
      <c r="P466" t="n">
        <v>0</v>
      </c>
      <c r="Q466" t="n">
        <v>0</v>
      </c>
      <c r="R466" s="2" t="inlineStr"/>
    </row>
    <row r="467" ht="15" customHeight="1">
      <c r="A467" t="inlineStr">
        <is>
          <t>A 57257-2025</t>
        </is>
      </c>
      <c r="B467" s="1" t="n">
        <v>45979.65149305556</v>
      </c>
      <c r="C467" s="1" t="n">
        <v>46144</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1527-2025</t>
        </is>
      </c>
      <c r="B468" s="1" t="n">
        <v>45670</v>
      </c>
      <c r="C468" s="1" t="n">
        <v>46144</v>
      </c>
      <c r="D468" t="inlineStr">
        <is>
          <t>UPPSALA LÄN</t>
        </is>
      </c>
      <c r="E468" t="inlineStr">
        <is>
          <t>ÖSTHAMMAR</t>
        </is>
      </c>
      <c r="F468" t="inlineStr">
        <is>
          <t>Bergvik skog öst AB</t>
        </is>
      </c>
      <c r="G468" t="n">
        <v>7.7</v>
      </c>
      <c r="H468" t="n">
        <v>0</v>
      </c>
      <c r="I468" t="n">
        <v>0</v>
      </c>
      <c r="J468" t="n">
        <v>0</v>
      </c>
      <c r="K468" t="n">
        <v>0</v>
      </c>
      <c r="L468" t="n">
        <v>0</v>
      </c>
      <c r="M468" t="n">
        <v>0</v>
      </c>
      <c r="N468" t="n">
        <v>0</v>
      </c>
      <c r="O468" t="n">
        <v>0</v>
      </c>
      <c r="P468" t="n">
        <v>0</v>
      </c>
      <c r="Q468" t="n">
        <v>0</v>
      </c>
      <c r="R468" s="2" t="inlineStr"/>
    </row>
    <row r="469" ht="15" customHeight="1">
      <c r="A469" t="inlineStr">
        <is>
          <t>A 35474-2023</t>
        </is>
      </c>
      <c r="B469" s="1" t="n">
        <v>45146.68921296296</v>
      </c>
      <c r="C469" s="1" t="n">
        <v>46144</v>
      </c>
      <c r="D469" t="inlineStr">
        <is>
          <t>UPPSALA LÄN</t>
        </is>
      </c>
      <c r="E469" t="inlineStr">
        <is>
          <t>ÖSTHAMMAR</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26303-2024</t>
        </is>
      </c>
      <c r="B470" s="1" t="n">
        <v>45468</v>
      </c>
      <c r="C470" s="1" t="n">
        <v>46144</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57154-2025</t>
        </is>
      </c>
      <c r="B471" s="1" t="n">
        <v>45979.51086805556</v>
      </c>
      <c r="C471" s="1" t="n">
        <v>46144</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44152-2024</t>
        </is>
      </c>
      <c r="B472" s="1" t="n">
        <v>45572</v>
      </c>
      <c r="C472" s="1" t="n">
        <v>46144</v>
      </c>
      <c r="D472" t="inlineStr">
        <is>
          <t>UPPSALA LÄN</t>
        </is>
      </c>
      <c r="E472" t="inlineStr">
        <is>
          <t>ÖSTHAMMAR</t>
        </is>
      </c>
      <c r="G472" t="n">
        <v>1.6</v>
      </c>
      <c r="H472" t="n">
        <v>0</v>
      </c>
      <c r="I472" t="n">
        <v>0</v>
      </c>
      <c r="J472" t="n">
        <v>0</v>
      </c>
      <c r="K472" t="n">
        <v>0</v>
      </c>
      <c r="L472" t="n">
        <v>0</v>
      </c>
      <c r="M472" t="n">
        <v>0</v>
      </c>
      <c r="N472" t="n">
        <v>0</v>
      </c>
      <c r="O472" t="n">
        <v>0</v>
      </c>
      <c r="P472" t="n">
        <v>0</v>
      </c>
      <c r="Q472" t="n">
        <v>0</v>
      </c>
      <c r="R472" s="2" t="inlineStr"/>
    </row>
    <row r="473" ht="15" customHeight="1">
      <c r="A473" t="inlineStr">
        <is>
          <t>A 4561-2022</t>
        </is>
      </c>
      <c r="B473" s="1" t="n">
        <v>44591.59170138889</v>
      </c>
      <c r="C473" s="1" t="n">
        <v>46144</v>
      </c>
      <c r="D473" t="inlineStr">
        <is>
          <t>UPPSALA LÄN</t>
        </is>
      </c>
      <c r="E473" t="inlineStr">
        <is>
          <t>ÖSTHAMMAR</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57908-2025</t>
        </is>
      </c>
      <c r="B474" s="1" t="n">
        <v>45981.78886574074</v>
      </c>
      <c r="C474" s="1" t="n">
        <v>46144</v>
      </c>
      <c r="D474" t="inlineStr">
        <is>
          <t>UPPSALA LÄN</t>
        </is>
      </c>
      <c r="E474" t="inlineStr">
        <is>
          <t>ÖSTHAMMAR</t>
        </is>
      </c>
      <c r="F474" t="inlineStr">
        <is>
          <t>Bergvik skog öst AB</t>
        </is>
      </c>
      <c r="G474" t="n">
        <v>2</v>
      </c>
      <c r="H474" t="n">
        <v>0</v>
      </c>
      <c r="I474" t="n">
        <v>0</v>
      </c>
      <c r="J474" t="n">
        <v>0</v>
      </c>
      <c r="K474" t="n">
        <v>0</v>
      </c>
      <c r="L474" t="n">
        <v>0</v>
      </c>
      <c r="M474" t="n">
        <v>0</v>
      </c>
      <c r="N474" t="n">
        <v>0</v>
      </c>
      <c r="O474" t="n">
        <v>0</v>
      </c>
      <c r="P474" t="n">
        <v>0</v>
      </c>
      <c r="Q474" t="n">
        <v>0</v>
      </c>
      <c r="R474" s="2" t="inlineStr"/>
    </row>
    <row r="475" ht="15" customHeight="1">
      <c r="A475" t="inlineStr">
        <is>
          <t>A 17651-2025</t>
        </is>
      </c>
      <c r="B475" s="1" t="n">
        <v>45758.33304398148</v>
      </c>
      <c r="C475" s="1" t="n">
        <v>46144</v>
      </c>
      <c r="D475" t="inlineStr">
        <is>
          <t>UPPSALA LÄN</t>
        </is>
      </c>
      <c r="E475" t="inlineStr">
        <is>
          <t>ÖSTHAMMAR</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57907-2025</t>
        </is>
      </c>
      <c r="B476" s="1" t="n">
        <v>45981.78840277778</v>
      </c>
      <c r="C476" s="1" t="n">
        <v>46144</v>
      </c>
      <c r="D476" t="inlineStr">
        <is>
          <t>UPPSALA LÄN</t>
        </is>
      </c>
      <c r="E476" t="inlineStr">
        <is>
          <t>ÖSTHAMMAR</t>
        </is>
      </c>
      <c r="F476" t="inlineStr">
        <is>
          <t>Bergvik skog öst AB</t>
        </is>
      </c>
      <c r="G476" t="n">
        <v>2.9</v>
      </c>
      <c r="H476" t="n">
        <v>0</v>
      </c>
      <c r="I476" t="n">
        <v>0</v>
      </c>
      <c r="J476" t="n">
        <v>0</v>
      </c>
      <c r="K476" t="n">
        <v>0</v>
      </c>
      <c r="L476" t="n">
        <v>0</v>
      </c>
      <c r="M476" t="n">
        <v>0</v>
      </c>
      <c r="N476" t="n">
        <v>0</v>
      </c>
      <c r="O476" t="n">
        <v>0</v>
      </c>
      <c r="P476" t="n">
        <v>0</v>
      </c>
      <c r="Q476" t="n">
        <v>0</v>
      </c>
      <c r="R476" s="2" t="inlineStr"/>
    </row>
    <row r="477" ht="15" customHeight="1">
      <c r="A477" t="inlineStr">
        <is>
          <t>A 10290-2025</t>
        </is>
      </c>
      <c r="B477" s="1" t="n">
        <v>45720.41847222222</v>
      </c>
      <c r="C477" s="1" t="n">
        <v>46144</v>
      </c>
      <c r="D477" t="inlineStr">
        <is>
          <t>UPPSALA LÄN</t>
        </is>
      </c>
      <c r="E477" t="inlineStr">
        <is>
          <t>ÖSTHAMMAR</t>
        </is>
      </c>
      <c r="G477" t="n">
        <v>8.6</v>
      </c>
      <c r="H477" t="n">
        <v>0</v>
      </c>
      <c r="I477" t="n">
        <v>0</v>
      </c>
      <c r="J477" t="n">
        <v>0</v>
      </c>
      <c r="K477" t="n">
        <v>0</v>
      </c>
      <c r="L477" t="n">
        <v>0</v>
      </c>
      <c r="M477" t="n">
        <v>0</v>
      </c>
      <c r="N477" t="n">
        <v>0</v>
      </c>
      <c r="O477" t="n">
        <v>0</v>
      </c>
      <c r="P477" t="n">
        <v>0</v>
      </c>
      <c r="Q477" t="n">
        <v>0</v>
      </c>
      <c r="R477" s="2" t="inlineStr"/>
    </row>
    <row r="478" ht="15" customHeight="1">
      <c r="A478" t="inlineStr">
        <is>
          <t>A 58399-2025</t>
        </is>
      </c>
      <c r="B478" s="1" t="n">
        <v>45985.56244212963</v>
      </c>
      <c r="C478" s="1" t="n">
        <v>46144</v>
      </c>
      <c r="D478" t="inlineStr">
        <is>
          <t>UPPSALA LÄN</t>
        </is>
      </c>
      <c r="E478" t="inlineStr">
        <is>
          <t>ÖSTHAMMAR</t>
        </is>
      </c>
      <c r="G478" t="n">
        <v>2.6</v>
      </c>
      <c r="H478" t="n">
        <v>0</v>
      </c>
      <c r="I478" t="n">
        <v>0</v>
      </c>
      <c r="J478" t="n">
        <v>0</v>
      </c>
      <c r="K478" t="n">
        <v>0</v>
      </c>
      <c r="L478" t="n">
        <v>0</v>
      </c>
      <c r="M478" t="n">
        <v>0</v>
      </c>
      <c r="N478" t="n">
        <v>0</v>
      </c>
      <c r="O478" t="n">
        <v>0</v>
      </c>
      <c r="P478" t="n">
        <v>0</v>
      </c>
      <c r="Q478" t="n">
        <v>0</v>
      </c>
      <c r="R478" s="2" t="inlineStr"/>
    </row>
    <row r="479" ht="15" customHeight="1">
      <c r="A479" t="inlineStr">
        <is>
          <t>A 45102-2024</t>
        </is>
      </c>
      <c r="B479" s="1" t="n">
        <v>45575.58836805556</v>
      </c>
      <c r="C479" s="1" t="n">
        <v>46144</v>
      </c>
      <c r="D479" t="inlineStr">
        <is>
          <t>UPPSALA LÄN</t>
        </is>
      </c>
      <c r="E479" t="inlineStr">
        <is>
          <t>ÖSTHAMMAR</t>
        </is>
      </c>
      <c r="G479" t="n">
        <v>8.6</v>
      </c>
      <c r="H479" t="n">
        <v>0</v>
      </c>
      <c r="I479" t="n">
        <v>0</v>
      </c>
      <c r="J479" t="n">
        <v>0</v>
      </c>
      <c r="K479" t="n">
        <v>0</v>
      </c>
      <c r="L479" t="n">
        <v>0</v>
      </c>
      <c r="M479" t="n">
        <v>0</v>
      </c>
      <c r="N479" t="n">
        <v>0</v>
      </c>
      <c r="O479" t="n">
        <v>0</v>
      </c>
      <c r="P479" t="n">
        <v>0</v>
      </c>
      <c r="Q479" t="n">
        <v>0</v>
      </c>
      <c r="R479" s="2" t="inlineStr"/>
    </row>
    <row r="480" ht="15" customHeight="1">
      <c r="A480" t="inlineStr">
        <is>
          <t>A 45307-2023</t>
        </is>
      </c>
      <c r="B480" s="1" t="n">
        <v>45191</v>
      </c>
      <c r="C480" s="1" t="n">
        <v>46144</v>
      </c>
      <c r="D480" t="inlineStr">
        <is>
          <t>UPPSALA LÄN</t>
        </is>
      </c>
      <c r="E480" t="inlineStr">
        <is>
          <t>ÖSTHAMMAR</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6661-2024</t>
        </is>
      </c>
      <c r="B481" s="1" t="n">
        <v>45341.70582175926</v>
      </c>
      <c r="C481" s="1" t="n">
        <v>46144</v>
      </c>
      <c r="D481" t="inlineStr">
        <is>
          <t>UPPSALA LÄN</t>
        </is>
      </c>
      <c r="E481" t="inlineStr">
        <is>
          <t>ÖSTHAMMAR</t>
        </is>
      </c>
      <c r="G481" t="n">
        <v>0.2</v>
      </c>
      <c r="H481" t="n">
        <v>0</v>
      </c>
      <c r="I481" t="n">
        <v>0</v>
      </c>
      <c r="J481" t="n">
        <v>0</v>
      </c>
      <c r="K481" t="n">
        <v>0</v>
      </c>
      <c r="L481" t="n">
        <v>0</v>
      </c>
      <c r="M481" t="n">
        <v>0</v>
      </c>
      <c r="N481" t="n">
        <v>0</v>
      </c>
      <c r="O481" t="n">
        <v>0</v>
      </c>
      <c r="P481" t="n">
        <v>0</v>
      </c>
      <c r="Q481" t="n">
        <v>0</v>
      </c>
      <c r="R481" s="2" t="inlineStr"/>
    </row>
    <row r="482" ht="15" customHeight="1">
      <c r="A482" t="inlineStr">
        <is>
          <t>A 4101-2022</t>
        </is>
      </c>
      <c r="B482" s="1" t="n">
        <v>44588</v>
      </c>
      <c r="C482" s="1" t="n">
        <v>46144</v>
      </c>
      <c r="D482" t="inlineStr">
        <is>
          <t>UPPSALA LÄN</t>
        </is>
      </c>
      <c r="E482" t="inlineStr">
        <is>
          <t>ÖSTHAMMAR</t>
        </is>
      </c>
      <c r="G482" t="n">
        <v>4.4</v>
      </c>
      <c r="H482" t="n">
        <v>0</v>
      </c>
      <c r="I482" t="n">
        <v>0</v>
      </c>
      <c r="J482" t="n">
        <v>0</v>
      </c>
      <c r="K482" t="n">
        <v>0</v>
      </c>
      <c r="L482" t="n">
        <v>0</v>
      </c>
      <c r="M482" t="n">
        <v>0</v>
      </c>
      <c r="N482" t="n">
        <v>0</v>
      </c>
      <c r="O482" t="n">
        <v>0</v>
      </c>
      <c r="P482" t="n">
        <v>0</v>
      </c>
      <c r="Q482" t="n">
        <v>0</v>
      </c>
      <c r="R482" s="2" t="inlineStr"/>
    </row>
    <row r="483" ht="15" customHeight="1">
      <c r="A483" t="inlineStr">
        <is>
          <t>A 52478-2024</t>
        </is>
      </c>
      <c r="B483" s="1" t="n">
        <v>45609.55065972222</v>
      </c>
      <c r="C483" s="1" t="n">
        <v>46144</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5933-2022</t>
        </is>
      </c>
      <c r="B484" s="1" t="n">
        <v>44598.82957175926</v>
      </c>
      <c r="C484" s="1" t="n">
        <v>46144</v>
      </c>
      <c r="D484" t="inlineStr">
        <is>
          <t>UPPSALA LÄN</t>
        </is>
      </c>
      <c r="E484" t="inlineStr">
        <is>
          <t>ÖSTHAMMAR</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29873-2023</t>
        </is>
      </c>
      <c r="B485" s="1" t="n">
        <v>45107</v>
      </c>
      <c r="C485" s="1" t="n">
        <v>46144</v>
      </c>
      <c r="D485" t="inlineStr">
        <is>
          <t>UPPSALA LÄN</t>
        </is>
      </c>
      <c r="E485" t="inlineStr">
        <is>
          <t>ÖSTHAMMAR</t>
        </is>
      </c>
      <c r="F485" t="inlineStr">
        <is>
          <t>Naturvårdsverket</t>
        </is>
      </c>
      <c r="G485" t="n">
        <v>7.8</v>
      </c>
      <c r="H485" t="n">
        <v>0</v>
      </c>
      <c r="I485" t="n">
        <v>0</v>
      </c>
      <c r="J485" t="n">
        <v>0</v>
      </c>
      <c r="K485" t="n">
        <v>0</v>
      </c>
      <c r="L485" t="n">
        <v>0</v>
      </c>
      <c r="M485" t="n">
        <v>0</v>
      </c>
      <c r="N485" t="n">
        <v>0</v>
      </c>
      <c r="O485" t="n">
        <v>0</v>
      </c>
      <c r="P485" t="n">
        <v>0</v>
      </c>
      <c r="Q485" t="n">
        <v>0</v>
      </c>
      <c r="R485" s="2" t="inlineStr"/>
    </row>
    <row r="486" ht="15" customHeight="1">
      <c r="A486" t="inlineStr">
        <is>
          <t>A 13279-2022</t>
        </is>
      </c>
      <c r="B486" s="1" t="n">
        <v>44644</v>
      </c>
      <c r="C486" s="1" t="n">
        <v>46144</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6892-2022</t>
        </is>
      </c>
      <c r="B487" s="1" t="n">
        <v>44602</v>
      </c>
      <c r="C487" s="1" t="n">
        <v>46144</v>
      </c>
      <c r="D487" t="inlineStr">
        <is>
          <t>UPPSALA LÄN</t>
        </is>
      </c>
      <c r="E487" t="inlineStr">
        <is>
          <t>ÖSTHAMMAR</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59743-2025</t>
        </is>
      </c>
      <c r="B488" s="1" t="n">
        <v>45992.57668981481</v>
      </c>
      <c r="C488" s="1" t="n">
        <v>46144</v>
      </c>
      <c r="D488" t="inlineStr">
        <is>
          <t>UPPSALA LÄN</t>
        </is>
      </c>
      <c r="E488" t="inlineStr">
        <is>
          <t>ÖSTHAMMAR</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59745-2025</t>
        </is>
      </c>
      <c r="B489" s="1" t="n">
        <v>45992.57708333333</v>
      </c>
      <c r="C489" s="1" t="n">
        <v>46144</v>
      </c>
      <c r="D489" t="inlineStr">
        <is>
          <t>UPPSALA LÄN</t>
        </is>
      </c>
      <c r="E489" t="inlineStr">
        <is>
          <t>ÖSTHAMMAR</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13044-2022</t>
        </is>
      </c>
      <c r="B490" s="1" t="n">
        <v>44643</v>
      </c>
      <c r="C490" s="1" t="n">
        <v>46144</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59706-2025</t>
        </is>
      </c>
      <c r="B491" s="1" t="n">
        <v>45992.50333333333</v>
      </c>
      <c r="C491" s="1" t="n">
        <v>46144</v>
      </c>
      <c r="D491" t="inlineStr">
        <is>
          <t>UPPSALA LÄN</t>
        </is>
      </c>
      <c r="E491" t="inlineStr">
        <is>
          <t>ÖSTHAMMAR</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8763-2025</t>
        </is>
      </c>
      <c r="B492" s="1" t="n">
        <v>45712.57872685185</v>
      </c>
      <c r="C492" s="1" t="n">
        <v>46144</v>
      </c>
      <c r="D492" t="inlineStr">
        <is>
          <t>UPPSALA LÄN</t>
        </is>
      </c>
      <c r="E492" t="inlineStr">
        <is>
          <t>ÖSTHAMMAR</t>
        </is>
      </c>
      <c r="G492" t="n">
        <v>0.6</v>
      </c>
      <c r="H492" t="n">
        <v>0</v>
      </c>
      <c r="I492" t="n">
        <v>0</v>
      </c>
      <c r="J492" t="n">
        <v>0</v>
      </c>
      <c r="K492" t="n">
        <v>0</v>
      </c>
      <c r="L492" t="n">
        <v>0</v>
      </c>
      <c r="M492" t="n">
        <v>0</v>
      </c>
      <c r="N492" t="n">
        <v>0</v>
      </c>
      <c r="O492" t="n">
        <v>0</v>
      </c>
      <c r="P492" t="n">
        <v>0</v>
      </c>
      <c r="Q492" t="n">
        <v>0</v>
      </c>
      <c r="R492" s="2" t="inlineStr"/>
    </row>
    <row r="493" ht="15" customHeight="1">
      <c r="A493" t="inlineStr">
        <is>
          <t>A 59708-2025</t>
        </is>
      </c>
      <c r="B493" s="1" t="n">
        <v>45992.50802083333</v>
      </c>
      <c r="C493" s="1" t="n">
        <v>46144</v>
      </c>
      <c r="D493" t="inlineStr">
        <is>
          <t>UPPSALA LÄN</t>
        </is>
      </c>
      <c r="E493" t="inlineStr">
        <is>
          <t>ÖSTHAMMAR</t>
        </is>
      </c>
      <c r="F493" t="inlineStr">
        <is>
          <t>Bergvik skog öst AB</t>
        </is>
      </c>
      <c r="G493" t="n">
        <v>3.2</v>
      </c>
      <c r="H493" t="n">
        <v>0</v>
      </c>
      <c r="I493" t="n">
        <v>0</v>
      </c>
      <c r="J493" t="n">
        <v>0</v>
      </c>
      <c r="K493" t="n">
        <v>0</v>
      </c>
      <c r="L493" t="n">
        <v>0</v>
      </c>
      <c r="M493" t="n">
        <v>0</v>
      </c>
      <c r="N493" t="n">
        <v>0</v>
      </c>
      <c r="O493" t="n">
        <v>0</v>
      </c>
      <c r="P493" t="n">
        <v>0</v>
      </c>
      <c r="Q493" t="n">
        <v>0</v>
      </c>
      <c r="R493" s="2" t="inlineStr"/>
    </row>
    <row r="494" ht="15" customHeight="1">
      <c r="A494" t="inlineStr">
        <is>
          <t>A 8623-2025</t>
        </is>
      </c>
      <c r="B494" s="1" t="n">
        <v>45711.51902777778</v>
      </c>
      <c r="C494" s="1" t="n">
        <v>46144</v>
      </c>
      <c r="D494" t="inlineStr">
        <is>
          <t>UPPSALA LÄN</t>
        </is>
      </c>
      <c r="E494" t="inlineStr">
        <is>
          <t>ÖSTHAMMAR</t>
        </is>
      </c>
      <c r="F494" t="inlineStr">
        <is>
          <t>Bergvik skog väst AB</t>
        </is>
      </c>
      <c r="G494" t="n">
        <v>3.5</v>
      </c>
      <c r="H494" t="n">
        <v>0</v>
      </c>
      <c r="I494" t="n">
        <v>0</v>
      </c>
      <c r="J494" t="n">
        <v>0</v>
      </c>
      <c r="K494" t="n">
        <v>0</v>
      </c>
      <c r="L494" t="n">
        <v>0</v>
      </c>
      <c r="M494" t="n">
        <v>0</v>
      </c>
      <c r="N494" t="n">
        <v>0</v>
      </c>
      <c r="O494" t="n">
        <v>0</v>
      </c>
      <c r="P494" t="n">
        <v>0</v>
      </c>
      <c r="Q494" t="n">
        <v>0</v>
      </c>
      <c r="R494" s="2" t="inlineStr"/>
    </row>
    <row r="495" ht="15" customHeight="1">
      <c r="A495" t="inlineStr">
        <is>
          <t>A 8626-2025</t>
        </is>
      </c>
      <c r="B495" s="1" t="n">
        <v>45711.53565972222</v>
      </c>
      <c r="C495" s="1" t="n">
        <v>46144</v>
      </c>
      <c r="D495" t="inlineStr">
        <is>
          <t>UPPSALA LÄN</t>
        </is>
      </c>
      <c r="E495" t="inlineStr">
        <is>
          <t>ÖSTHAMMAR</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60603-2025</t>
        </is>
      </c>
      <c r="B496" s="1" t="n">
        <v>45996.3543287037</v>
      </c>
      <c r="C496" s="1" t="n">
        <v>46144</v>
      </c>
      <c r="D496" t="inlineStr">
        <is>
          <t>UPPSALA LÄN</t>
        </is>
      </c>
      <c r="E496" t="inlineStr">
        <is>
          <t>ÖSTHAMMAR</t>
        </is>
      </c>
      <c r="G496" t="n">
        <v>4.7</v>
      </c>
      <c r="H496" t="n">
        <v>0</v>
      </c>
      <c r="I496" t="n">
        <v>0</v>
      </c>
      <c r="J496" t="n">
        <v>0</v>
      </c>
      <c r="K496" t="n">
        <v>0</v>
      </c>
      <c r="L496" t="n">
        <v>0</v>
      </c>
      <c r="M496" t="n">
        <v>0</v>
      </c>
      <c r="N496" t="n">
        <v>0</v>
      </c>
      <c r="O496" t="n">
        <v>0</v>
      </c>
      <c r="P496" t="n">
        <v>0</v>
      </c>
      <c r="Q496" t="n">
        <v>0</v>
      </c>
      <c r="R496" s="2" t="inlineStr"/>
    </row>
    <row r="497" ht="15" customHeight="1">
      <c r="A497" t="inlineStr">
        <is>
          <t>A 57156-2025</t>
        </is>
      </c>
      <c r="B497" s="1" t="n">
        <v>45979.51591435185</v>
      </c>
      <c r="C497" s="1" t="n">
        <v>46144</v>
      </c>
      <c r="D497" t="inlineStr">
        <is>
          <t>UPPSALA LÄN</t>
        </is>
      </c>
      <c r="E497" t="inlineStr">
        <is>
          <t>ÖSTHAMMAR</t>
        </is>
      </c>
      <c r="G497" t="n">
        <v>1.8</v>
      </c>
      <c r="H497" t="n">
        <v>0</v>
      </c>
      <c r="I497" t="n">
        <v>0</v>
      </c>
      <c r="J497" t="n">
        <v>0</v>
      </c>
      <c r="K497" t="n">
        <v>0</v>
      </c>
      <c r="L497" t="n">
        <v>0</v>
      </c>
      <c r="M497" t="n">
        <v>0</v>
      </c>
      <c r="N497" t="n">
        <v>0</v>
      </c>
      <c r="O497" t="n">
        <v>0</v>
      </c>
      <c r="P497" t="n">
        <v>0</v>
      </c>
      <c r="Q497" t="n">
        <v>0</v>
      </c>
      <c r="R497" s="2" t="inlineStr"/>
    </row>
    <row r="498" ht="15" customHeight="1">
      <c r="A498" t="inlineStr">
        <is>
          <t>A 60910-2025</t>
        </is>
      </c>
      <c r="B498" s="1" t="n">
        <v>45999.59837962963</v>
      </c>
      <c r="C498" s="1" t="n">
        <v>46144</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52694-2023</t>
        </is>
      </c>
      <c r="B499" s="1" t="n">
        <v>45225.76836805556</v>
      </c>
      <c r="C499" s="1" t="n">
        <v>46144</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60738-2025</t>
        </is>
      </c>
      <c r="B500" s="1" t="n">
        <v>45996.83506944445</v>
      </c>
      <c r="C500" s="1" t="n">
        <v>46144</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61250-2025</t>
        </is>
      </c>
      <c r="B501" s="1" t="n">
        <v>46000.66645833333</v>
      </c>
      <c r="C501" s="1" t="n">
        <v>46144</v>
      </c>
      <c r="D501" t="inlineStr">
        <is>
          <t>UPPSALA LÄN</t>
        </is>
      </c>
      <c r="E501" t="inlineStr">
        <is>
          <t>ÖSTHAMMAR</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5303-2025</t>
        </is>
      </c>
      <c r="B502" s="1" t="n">
        <v>45692</v>
      </c>
      <c r="C502" s="1" t="n">
        <v>46144</v>
      </c>
      <c r="D502" t="inlineStr">
        <is>
          <t>UPPSALA LÄN</t>
        </is>
      </c>
      <c r="E502" t="inlineStr">
        <is>
          <t>ÖSTHAMMAR</t>
        </is>
      </c>
      <c r="G502" t="n">
        <v>5</v>
      </c>
      <c r="H502" t="n">
        <v>0</v>
      </c>
      <c r="I502" t="n">
        <v>0</v>
      </c>
      <c r="J502" t="n">
        <v>0</v>
      </c>
      <c r="K502" t="n">
        <v>0</v>
      </c>
      <c r="L502" t="n">
        <v>0</v>
      </c>
      <c r="M502" t="n">
        <v>0</v>
      </c>
      <c r="N502" t="n">
        <v>0</v>
      </c>
      <c r="O502" t="n">
        <v>0</v>
      </c>
      <c r="P502" t="n">
        <v>0</v>
      </c>
      <c r="Q502" t="n">
        <v>0</v>
      </c>
      <c r="R502" s="2" t="inlineStr"/>
    </row>
    <row r="503" ht="15" customHeight="1">
      <c r="A503" t="inlineStr">
        <is>
          <t>A 24493-2023</t>
        </is>
      </c>
      <c r="B503" s="1" t="n">
        <v>45082.62603009259</v>
      </c>
      <c r="C503" s="1" t="n">
        <v>46144</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61143-2025</t>
        </is>
      </c>
      <c r="B504" s="1" t="n">
        <v>46000.53084490741</v>
      </c>
      <c r="C504" s="1" t="n">
        <v>46144</v>
      </c>
      <c r="D504" t="inlineStr">
        <is>
          <t>UPPSALA LÄN</t>
        </is>
      </c>
      <c r="E504" t="inlineStr">
        <is>
          <t>ÖSTHAMMAR</t>
        </is>
      </c>
      <c r="F504" t="inlineStr">
        <is>
          <t>Bergvik skog öst AB</t>
        </is>
      </c>
      <c r="G504" t="n">
        <v>3.3</v>
      </c>
      <c r="H504" t="n">
        <v>0</v>
      </c>
      <c r="I504" t="n">
        <v>0</v>
      </c>
      <c r="J504" t="n">
        <v>0</v>
      </c>
      <c r="K504" t="n">
        <v>0</v>
      </c>
      <c r="L504" t="n">
        <v>0</v>
      </c>
      <c r="M504" t="n">
        <v>0</v>
      </c>
      <c r="N504" t="n">
        <v>0</v>
      </c>
      <c r="O504" t="n">
        <v>0</v>
      </c>
      <c r="P504" t="n">
        <v>0</v>
      </c>
      <c r="Q504" t="n">
        <v>0</v>
      </c>
      <c r="R504" s="2" t="inlineStr"/>
    </row>
    <row r="505" ht="15" customHeight="1">
      <c r="A505" t="inlineStr">
        <is>
          <t>A 61147-2025</t>
        </is>
      </c>
      <c r="B505" s="1" t="n">
        <v>46000.53493055556</v>
      </c>
      <c r="C505" s="1" t="n">
        <v>46144</v>
      </c>
      <c r="D505" t="inlineStr">
        <is>
          <t>UPPSALA LÄN</t>
        </is>
      </c>
      <c r="E505" t="inlineStr">
        <is>
          <t>ÖSTHAMMAR</t>
        </is>
      </c>
      <c r="F505" t="inlineStr">
        <is>
          <t>Bergvik skog öst AB</t>
        </is>
      </c>
      <c r="G505" t="n">
        <v>10.4</v>
      </c>
      <c r="H505" t="n">
        <v>0</v>
      </c>
      <c r="I505" t="n">
        <v>0</v>
      </c>
      <c r="J505" t="n">
        <v>0</v>
      </c>
      <c r="K505" t="n">
        <v>0</v>
      </c>
      <c r="L505" t="n">
        <v>0</v>
      </c>
      <c r="M505" t="n">
        <v>0</v>
      </c>
      <c r="N505" t="n">
        <v>0</v>
      </c>
      <c r="O505" t="n">
        <v>0</v>
      </c>
      <c r="P505" t="n">
        <v>0</v>
      </c>
      <c r="Q505" t="n">
        <v>0</v>
      </c>
      <c r="R505" s="2" t="inlineStr"/>
    </row>
    <row r="506" ht="15" customHeight="1">
      <c r="A506" t="inlineStr">
        <is>
          <t>A 61251-2025</t>
        </is>
      </c>
      <c r="B506" s="1" t="n">
        <v>46000.6669675926</v>
      </c>
      <c r="C506" s="1" t="n">
        <v>46144</v>
      </c>
      <c r="D506" t="inlineStr">
        <is>
          <t>UPPSALA LÄN</t>
        </is>
      </c>
      <c r="E506" t="inlineStr">
        <is>
          <t>ÖSTHAMMAR</t>
        </is>
      </c>
      <c r="F506" t="inlineStr">
        <is>
          <t>Bergvik skog öst AB</t>
        </is>
      </c>
      <c r="G506" t="n">
        <v>22.2</v>
      </c>
      <c r="H506" t="n">
        <v>0</v>
      </c>
      <c r="I506" t="n">
        <v>0</v>
      </c>
      <c r="J506" t="n">
        <v>0</v>
      </c>
      <c r="K506" t="n">
        <v>0</v>
      </c>
      <c r="L506" t="n">
        <v>0</v>
      </c>
      <c r="M506" t="n">
        <v>0</v>
      </c>
      <c r="N506" t="n">
        <v>0</v>
      </c>
      <c r="O506" t="n">
        <v>0</v>
      </c>
      <c r="P506" t="n">
        <v>0</v>
      </c>
      <c r="Q506" t="n">
        <v>0</v>
      </c>
      <c r="R506" s="2" t="inlineStr"/>
    </row>
    <row r="507" ht="15" customHeight="1">
      <c r="A507" t="inlineStr">
        <is>
          <t>A 34742-2022</t>
        </is>
      </c>
      <c r="B507" s="1" t="n">
        <v>44795.61990740741</v>
      </c>
      <c r="C507" s="1" t="n">
        <v>46144</v>
      </c>
      <c r="D507" t="inlineStr">
        <is>
          <t>UPPSALA LÄN</t>
        </is>
      </c>
      <c r="E507" t="inlineStr">
        <is>
          <t>ÖSTHAMMAR</t>
        </is>
      </c>
      <c r="F507" t="inlineStr">
        <is>
          <t>Bergvik skog öst AB</t>
        </is>
      </c>
      <c r="G507" t="n">
        <v>1.1</v>
      </c>
      <c r="H507" t="n">
        <v>0</v>
      </c>
      <c r="I507" t="n">
        <v>0</v>
      </c>
      <c r="J507" t="n">
        <v>0</v>
      </c>
      <c r="K507" t="n">
        <v>0</v>
      </c>
      <c r="L507" t="n">
        <v>0</v>
      </c>
      <c r="M507" t="n">
        <v>0</v>
      </c>
      <c r="N507" t="n">
        <v>0</v>
      </c>
      <c r="O507" t="n">
        <v>0</v>
      </c>
      <c r="P507" t="n">
        <v>0</v>
      </c>
      <c r="Q507" t="n">
        <v>0</v>
      </c>
      <c r="R507" s="2" t="inlineStr"/>
    </row>
    <row r="508" ht="15" customHeight="1">
      <c r="A508" t="inlineStr">
        <is>
          <t>A 13622-2025</t>
        </is>
      </c>
      <c r="B508" s="1" t="n">
        <v>45736</v>
      </c>
      <c r="C508" s="1" t="n">
        <v>46144</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46399-2023</t>
        </is>
      </c>
      <c r="B509" s="1" t="n">
        <v>45197.49262731482</v>
      </c>
      <c r="C509" s="1" t="n">
        <v>46144</v>
      </c>
      <c r="D509" t="inlineStr">
        <is>
          <t>UPPSALA LÄN</t>
        </is>
      </c>
      <c r="E509" t="inlineStr">
        <is>
          <t>ÖSTHAMMAR</t>
        </is>
      </c>
      <c r="G509" t="n">
        <v>5.8</v>
      </c>
      <c r="H509" t="n">
        <v>0</v>
      </c>
      <c r="I509" t="n">
        <v>0</v>
      </c>
      <c r="J509" t="n">
        <v>0</v>
      </c>
      <c r="K509" t="n">
        <v>0</v>
      </c>
      <c r="L509" t="n">
        <v>0</v>
      </c>
      <c r="M509" t="n">
        <v>0</v>
      </c>
      <c r="N509" t="n">
        <v>0</v>
      </c>
      <c r="O509" t="n">
        <v>0</v>
      </c>
      <c r="P509" t="n">
        <v>0</v>
      </c>
      <c r="Q509" t="n">
        <v>0</v>
      </c>
      <c r="R509" s="2" t="inlineStr"/>
    </row>
    <row r="510" ht="15" customHeight="1">
      <c r="A510" t="inlineStr">
        <is>
          <t>A 13358-2024</t>
        </is>
      </c>
      <c r="B510" s="1" t="n">
        <v>45387.3503125</v>
      </c>
      <c r="C510" s="1" t="n">
        <v>46144</v>
      </c>
      <c r="D510" t="inlineStr">
        <is>
          <t>UPPSALA LÄN</t>
        </is>
      </c>
      <c r="E510" t="inlineStr">
        <is>
          <t>ÖSTHAMMAR</t>
        </is>
      </c>
      <c r="G510" t="n">
        <v>2.2</v>
      </c>
      <c r="H510" t="n">
        <v>0</v>
      </c>
      <c r="I510" t="n">
        <v>0</v>
      </c>
      <c r="J510" t="n">
        <v>0</v>
      </c>
      <c r="K510" t="n">
        <v>0</v>
      </c>
      <c r="L510" t="n">
        <v>0</v>
      </c>
      <c r="M510" t="n">
        <v>0</v>
      </c>
      <c r="N510" t="n">
        <v>0</v>
      </c>
      <c r="O510" t="n">
        <v>0</v>
      </c>
      <c r="P510" t="n">
        <v>0</v>
      </c>
      <c r="Q510" t="n">
        <v>0</v>
      </c>
      <c r="R510" s="2" t="inlineStr"/>
    </row>
    <row r="511" ht="15" customHeight="1">
      <c r="A511" t="inlineStr">
        <is>
          <t>A 55079-2024</t>
        </is>
      </c>
      <c r="B511" s="1" t="n">
        <v>45621.42747685185</v>
      </c>
      <c r="C511" s="1" t="n">
        <v>46144</v>
      </c>
      <c r="D511" t="inlineStr">
        <is>
          <t>UPPSALA LÄN</t>
        </is>
      </c>
      <c r="E511" t="inlineStr">
        <is>
          <t>ÖSTHAMMAR</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36873-2022</t>
        </is>
      </c>
      <c r="B512" s="1" t="n">
        <v>44805.63708333333</v>
      </c>
      <c r="C512" s="1" t="n">
        <v>46144</v>
      </c>
      <c r="D512" t="inlineStr">
        <is>
          <t>UPPSALA LÄN</t>
        </is>
      </c>
      <c r="E512" t="inlineStr">
        <is>
          <t>ÖSTHAMMAR</t>
        </is>
      </c>
      <c r="G512" t="n">
        <v>2.5</v>
      </c>
      <c r="H512" t="n">
        <v>0</v>
      </c>
      <c r="I512" t="n">
        <v>0</v>
      </c>
      <c r="J512" t="n">
        <v>0</v>
      </c>
      <c r="K512" t="n">
        <v>0</v>
      </c>
      <c r="L512" t="n">
        <v>0</v>
      </c>
      <c r="M512" t="n">
        <v>0</v>
      </c>
      <c r="N512" t="n">
        <v>0</v>
      </c>
      <c r="O512" t="n">
        <v>0</v>
      </c>
      <c r="P512" t="n">
        <v>0</v>
      </c>
      <c r="Q512" t="n">
        <v>0</v>
      </c>
      <c r="R512" s="2" t="inlineStr"/>
    </row>
    <row r="513" ht="15" customHeight="1">
      <c r="A513" t="inlineStr">
        <is>
          <t>A 53733-2023</t>
        </is>
      </c>
      <c r="B513" s="1" t="n">
        <v>45230.76862268519</v>
      </c>
      <c r="C513" s="1" t="n">
        <v>46144</v>
      </c>
      <c r="D513" t="inlineStr">
        <is>
          <t>UPPSALA LÄN</t>
        </is>
      </c>
      <c r="E513" t="inlineStr">
        <is>
          <t>ÖSTHAMMAR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53735-2023</t>
        </is>
      </c>
      <c r="B514" s="1" t="n">
        <v>45230.77258101852</v>
      </c>
      <c r="C514" s="1" t="n">
        <v>46144</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61838-2025</t>
        </is>
      </c>
      <c r="B515" s="1" t="n">
        <v>46003.35675925926</v>
      </c>
      <c r="C515" s="1" t="n">
        <v>46144</v>
      </c>
      <c r="D515" t="inlineStr">
        <is>
          <t>UPPSALA LÄN</t>
        </is>
      </c>
      <c r="E515" t="inlineStr">
        <is>
          <t>ÖSTHAMMAR</t>
        </is>
      </c>
      <c r="G515" t="n">
        <v>1.2</v>
      </c>
      <c r="H515" t="n">
        <v>0</v>
      </c>
      <c r="I515" t="n">
        <v>0</v>
      </c>
      <c r="J515" t="n">
        <v>0</v>
      </c>
      <c r="K515" t="n">
        <v>0</v>
      </c>
      <c r="L515" t="n">
        <v>0</v>
      </c>
      <c r="M515" t="n">
        <v>0</v>
      </c>
      <c r="N515" t="n">
        <v>0</v>
      </c>
      <c r="O515" t="n">
        <v>0</v>
      </c>
      <c r="P515" t="n">
        <v>0</v>
      </c>
      <c r="Q515" t="n">
        <v>0</v>
      </c>
      <c r="R515" s="2" t="inlineStr"/>
    </row>
    <row r="516" ht="15" customHeight="1">
      <c r="A516" t="inlineStr">
        <is>
          <t>A 21522-2022</t>
        </is>
      </c>
      <c r="B516" s="1" t="n">
        <v>44706</v>
      </c>
      <c r="C516" s="1" t="n">
        <v>46144</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14187-2022</t>
        </is>
      </c>
      <c r="B517" s="1" t="n">
        <v>44651.5625</v>
      </c>
      <c r="C517" s="1" t="n">
        <v>46144</v>
      </c>
      <c r="D517" t="inlineStr">
        <is>
          <t>UPPSALA LÄN</t>
        </is>
      </c>
      <c r="E517" t="inlineStr">
        <is>
          <t>ÖSTHAMMAR</t>
        </is>
      </c>
      <c r="F517" t="inlineStr">
        <is>
          <t>Övriga Aktiebolag</t>
        </is>
      </c>
      <c r="G517" t="n">
        <v>14.1</v>
      </c>
      <c r="H517" t="n">
        <v>0</v>
      </c>
      <c r="I517" t="n">
        <v>0</v>
      </c>
      <c r="J517" t="n">
        <v>0</v>
      </c>
      <c r="K517" t="n">
        <v>0</v>
      </c>
      <c r="L517" t="n">
        <v>0</v>
      </c>
      <c r="M517" t="n">
        <v>0</v>
      </c>
      <c r="N517" t="n">
        <v>0</v>
      </c>
      <c r="O517" t="n">
        <v>0</v>
      </c>
      <c r="P517" t="n">
        <v>0</v>
      </c>
      <c r="Q517" t="n">
        <v>0</v>
      </c>
      <c r="R517" s="2" t="inlineStr"/>
    </row>
    <row r="518" ht="15" customHeight="1">
      <c r="A518" t="inlineStr">
        <is>
          <t>A 7997-2022</t>
        </is>
      </c>
      <c r="B518" s="1" t="n">
        <v>44609</v>
      </c>
      <c r="C518" s="1" t="n">
        <v>46144</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4676-2025</t>
        </is>
      </c>
      <c r="B519" s="1" t="n">
        <v>45687.8313425926</v>
      </c>
      <c r="C519" s="1" t="n">
        <v>46144</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55837-2023</t>
        </is>
      </c>
      <c r="B520" s="1" t="n">
        <v>45239</v>
      </c>
      <c r="C520" s="1" t="n">
        <v>46144</v>
      </c>
      <c r="D520" t="inlineStr">
        <is>
          <t>UPPSALA LÄN</t>
        </is>
      </c>
      <c r="E520" t="inlineStr">
        <is>
          <t>ÖSTHAMMAR</t>
        </is>
      </c>
      <c r="G520" t="n">
        <v>0.5</v>
      </c>
      <c r="H520" t="n">
        <v>0</v>
      </c>
      <c r="I520" t="n">
        <v>0</v>
      </c>
      <c r="J520" t="n">
        <v>0</v>
      </c>
      <c r="K520" t="n">
        <v>0</v>
      </c>
      <c r="L520" t="n">
        <v>0</v>
      </c>
      <c r="M520" t="n">
        <v>0</v>
      </c>
      <c r="N520" t="n">
        <v>0</v>
      </c>
      <c r="O520" t="n">
        <v>0</v>
      </c>
      <c r="P520" t="n">
        <v>0</v>
      </c>
      <c r="Q520" t="n">
        <v>0</v>
      </c>
      <c r="R520" s="2" t="inlineStr"/>
    </row>
    <row r="521" ht="15" customHeight="1">
      <c r="A521" t="inlineStr">
        <is>
          <t>A 62745-2025</t>
        </is>
      </c>
      <c r="B521" s="1" t="n">
        <v>46008.57596064815</v>
      </c>
      <c r="C521" s="1" t="n">
        <v>46144</v>
      </c>
      <c r="D521" t="inlineStr">
        <is>
          <t>UPPSALA LÄN</t>
        </is>
      </c>
      <c r="E521" t="inlineStr">
        <is>
          <t>ÖSTHAMMAR</t>
        </is>
      </c>
      <c r="G521" t="n">
        <v>2</v>
      </c>
      <c r="H521" t="n">
        <v>0</v>
      </c>
      <c r="I521" t="n">
        <v>0</v>
      </c>
      <c r="J521" t="n">
        <v>0</v>
      </c>
      <c r="K521" t="n">
        <v>0</v>
      </c>
      <c r="L521" t="n">
        <v>0</v>
      </c>
      <c r="M521" t="n">
        <v>0</v>
      </c>
      <c r="N521" t="n">
        <v>0</v>
      </c>
      <c r="O521" t="n">
        <v>0</v>
      </c>
      <c r="P521" t="n">
        <v>0</v>
      </c>
      <c r="Q521" t="n">
        <v>0</v>
      </c>
      <c r="R521" s="2" t="inlineStr"/>
    </row>
    <row r="522" ht="15" customHeight="1">
      <c r="A522" t="inlineStr">
        <is>
          <t>A 13093-2022</t>
        </is>
      </c>
      <c r="B522" s="1" t="n">
        <v>44643.93269675926</v>
      </c>
      <c r="C522" s="1" t="n">
        <v>46144</v>
      </c>
      <c r="D522" t="inlineStr">
        <is>
          <t>UPPSALA LÄN</t>
        </is>
      </c>
      <c r="E522" t="inlineStr">
        <is>
          <t>ÖSTHAMMAR</t>
        </is>
      </c>
      <c r="F522" t="inlineStr">
        <is>
          <t>Bergvik skog öst AB</t>
        </is>
      </c>
      <c r="G522" t="n">
        <v>3.2</v>
      </c>
      <c r="H522" t="n">
        <v>0</v>
      </c>
      <c r="I522" t="n">
        <v>0</v>
      </c>
      <c r="J522" t="n">
        <v>0</v>
      </c>
      <c r="K522" t="n">
        <v>0</v>
      </c>
      <c r="L522" t="n">
        <v>0</v>
      </c>
      <c r="M522" t="n">
        <v>0</v>
      </c>
      <c r="N522" t="n">
        <v>0</v>
      </c>
      <c r="O522" t="n">
        <v>0</v>
      </c>
      <c r="P522" t="n">
        <v>0</v>
      </c>
      <c r="Q522" t="n">
        <v>0</v>
      </c>
      <c r="R522" s="2" t="inlineStr"/>
    </row>
    <row r="523" ht="15" customHeight="1">
      <c r="A523" t="inlineStr">
        <is>
          <t>A 45795-2023</t>
        </is>
      </c>
      <c r="B523" s="1" t="n">
        <v>45195</v>
      </c>
      <c r="C523" s="1" t="n">
        <v>46144</v>
      </c>
      <c r="D523" t="inlineStr">
        <is>
          <t>UPPSALA LÄN</t>
        </is>
      </c>
      <c r="E523" t="inlineStr">
        <is>
          <t>ÖSTHAMMAR</t>
        </is>
      </c>
      <c r="G523" t="n">
        <v>4</v>
      </c>
      <c r="H523" t="n">
        <v>0</v>
      </c>
      <c r="I523" t="n">
        <v>0</v>
      </c>
      <c r="J523" t="n">
        <v>0</v>
      </c>
      <c r="K523" t="n">
        <v>0</v>
      </c>
      <c r="L523" t="n">
        <v>0</v>
      </c>
      <c r="M523" t="n">
        <v>0</v>
      </c>
      <c r="N523" t="n">
        <v>0</v>
      </c>
      <c r="O523" t="n">
        <v>0</v>
      </c>
      <c r="P523" t="n">
        <v>0</v>
      </c>
      <c r="Q523" t="n">
        <v>0</v>
      </c>
      <c r="R523" s="2" t="inlineStr"/>
    </row>
    <row r="524" ht="15" customHeight="1">
      <c r="A524" t="inlineStr">
        <is>
          <t>A 38600-2023</t>
        </is>
      </c>
      <c r="B524" s="1" t="n">
        <v>45162</v>
      </c>
      <c r="C524" s="1" t="n">
        <v>46144</v>
      </c>
      <c r="D524" t="inlineStr">
        <is>
          <t>UPPSALA LÄN</t>
        </is>
      </c>
      <c r="E524" t="inlineStr">
        <is>
          <t>ÖSTHAMMAR</t>
        </is>
      </c>
      <c r="F524" t="inlineStr">
        <is>
          <t>Bergvik skog väst AB</t>
        </is>
      </c>
      <c r="G524" t="n">
        <v>0.1</v>
      </c>
      <c r="H524" t="n">
        <v>0</v>
      </c>
      <c r="I524" t="n">
        <v>0</v>
      </c>
      <c r="J524" t="n">
        <v>0</v>
      </c>
      <c r="K524" t="n">
        <v>0</v>
      </c>
      <c r="L524" t="n">
        <v>0</v>
      </c>
      <c r="M524" t="n">
        <v>0</v>
      </c>
      <c r="N524" t="n">
        <v>0</v>
      </c>
      <c r="O524" t="n">
        <v>0</v>
      </c>
      <c r="P524" t="n">
        <v>0</v>
      </c>
      <c r="Q524" t="n">
        <v>0</v>
      </c>
      <c r="R524" s="2" t="inlineStr"/>
    </row>
    <row r="525" ht="15" customHeight="1">
      <c r="A525" t="inlineStr">
        <is>
          <t>A 8624-2025</t>
        </is>
      </c>
      <c r="B525" s="1" t="n">
        <v>45711.52333333333</v>
      </c>
      <c r="C525" s="1" t="n">
        <v>46144</v>
      </c>
      <c r="D525" t="inlineStr">
        <is>
          <t>UPPSALA LÄN</t>
        </is>
      </c>
      <c r="E525" t="inlineStr">
        <is>
          <t>ÖSTHAMMAR</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17644-2025</t>
        </is>
      </c>
      <c r="B526" s="1" t="n">
        <v>45758.32645833334</v>
      </c>
      <c r="C526" s="1" t="n">
        <v>46144</v>
      </c>
      <c r="D526" t="inlineStr">
        <is>
          <t>UPPSALA LÄN</t>
        </is>
      </c>
      <c r="E526" t="inlineStr">
        <is>
          <t>ÖSTHAMMAR</t>
        </is>
      </c>
      <c r="F526" t="inlineStr">
        <is>
          <t>Bergvik skog väst AB</t>
        </is>
      </c>
      <c r="G526" t="n">
        <v>6.1</v>
      </c>
      <c r="H526" t="n">
        <v>0</v>
      </c>
      <c r="I526" t="n">
        <v>0</v>
      </c>
      <c r="J526" t="n">
        <v>0</v>
      </c>
      <c r="K526" t="n">
        <v>0</v>
      </c>
      <c r="L526" t="n">
        <v>0</v>
      </c>
      <c r="M526" t="n">
        <v>0</v>
      </c>
      <c r="N526" t="n">
        <v>0</v>
      </c>
      <c r="O526" t="n">
        <v>0</v>
      </c>
      <c r="P526" t="n">
        <v>0</v>
      </c>
      <c r="Q526" t="n">
        <v>0</v>
      </c>
      <c r="R526" s="2" t="inlineStr"/>
    </row>
    <row r="527" ht="15" customHeight="1">
      <c r="A527" t="inlineStr">
        <is>
          <t>A 20385-2025</t>
        </is>
      </c>
      <c r="B527" s="1" t="n">
        <v>45775.44483796296</v>
      </c>
      <c r="C527" s="1" t="n">
        <v>46144</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18183-2022</t>
        </is>
      </c>
      <c r="B528" s="1" t="n">
        <v>44684</v>
      </c>
      <c r="C528" s="1" t="n">
        <v>46144</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4304-2025</t>
        </is>
      </c>
      <c r="B529" s="1" t="n">
        <v>45685.68193287037</v>
      </c>
      <c r="C529" s="1" t="n">
        <v>46144</v>
      </c>
      <c r="D529" t="inlineStr">
        <is>
          <t>UPPSALA LÄN</t>
        </is>
      </c>
      <c r="E529" t="inlineStr">
        <is>
          <t>ÖSTHAMMAR</t>
        </is>
      </c>
      <c r="G529" t="n">
        <v>1.2</v>
      </c>
      <c r="H529" t="n">
        <v>0</v>
      </c>
      <c r="I529" t="n">
        <v>0</v>
      </c>
      <c r="J529" t="n">
        <v>0</v>
      </c>
      <c r="K529" t="n">
        <v>0</v>
      </c>
      <c r="L529" t="n">
        <v>0</v>
      </c>
      <c r="M529" t="n">
        <v>0</v>
      </c>
      <c r="N529" t="n">
        <v>0</v>
      </c>
      <c r="O529" t="n">
        <v>0</v>
      </c>
      <c r="P529" t="n">
        <v>0</v>
      </c>
      <c r="Q529" t="n">
        <v>0</v>
      </c>
      <c r="R529" s="2" t="inlineStr"/>
    </row>
    <row r="530" ht="15" customHeight="1">
      <c r="A530" t="inlineStr">
        <is>
          <t>A 28170-2023</t>
        </is>
      </c>
      <c r="B530" s="1" t="n">
        <v>45093</v>
      </c>
      <c r="C530" s="1" t="n">
        <v>46144</v>
      </c>
      <c r="D530" t="inlineStr">
        <is>
          <t>UPPSALA LÄN</t>
        </is>
      </c>
      <c r="E530" t="inlineStr">
        <is>
          <t>ÖSTHAMMAR</t>
        </is>
      </c>
      <c r="G530" t="n">
        <v>7.2</v>
      </c>
      <c r="H530" t="n">
        <v>0</v>
      </c>
      <c r="I530" t="n">
        <v>0</v>
      </c>
      <c r="J530" t="n">
        <v>0</v>
      </c>
      <c r="K530" t="n">
        <v>0</v>
      </c>
      <c r="L530" t="n">
        <v>0</v>
      </c>
      <c r="M530" t="n">
        <v>0</v>
      </c>
      <c r="N530" t="n">
        <v>0</v>
      </c>
      <c r="O530" t="n">
        <v>0</v>
      </c>
      <c r="P530" t="n">
        <v>0</v>
      </c>
      <c r="Q530" t="n">
        <v>0</v>
      </c>
      <c r="R530" s="2" t="inlineStr"/>
    </row>
    <row r="531" ht="15" customHeight="1">
      <c r="A531" t="inlineStr">
        <is>
          <t>A 16933-2022</t>
        </is>
      </c>
      <c r="B531" s="1" t="n">
        <v>44676</v>
      </c>
      <c r="C531" s="1" t="n">
        <v>46144</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23741-2024</t>
        </is>
      </c>
      <c r="B532" s="1" t="n">
        <v>45455</v>
      </c>
      <c r="C532" s="1" t="n">
        <v>46144</v>
      </c>
      <c r="D532" t="inlineStr">
        <is>
          <t>UPPSALA LÄN</t>
        </is>
      </c>
      <c r="E532" t="inlineStr">
        <is>
          <t>ÖSTHAMMAR</t>
        </is>
      </c>
      <c r="F532" t="inlineStr">
        <is>
          <t>Bergvik skog öst AB</t>
        </is>
      </c>
      <c r="G532" t="n">
        <v>1.9</v>
      </c>
      <c r="H532" t="n">
        <v>0</v>
      </c>
      <c r="I532" t="n">
        <v>0</v>
      </c>
      <c r="J532" t="n">
        <v>0</v>
      </c>
      <c r="K532" t="n">
        <v>0</v>
      </c>
      <c r="L532" t="n">
        <v>0</v>
      </c>
      <c r="M532" t="n">
        <v>0</v>
      </c>
      <c r="N532" t="n">
        <v>0</v>
      </c>
      <c r="O532" t="n">
        <v>0</v>
      </c>
      <c r="P532" t="n">
        <v>0</v>
      </c>
      <c r="Q532" t="n">
        <v>0</v>
      </c>
      <c r="R532" s="2" t="inlineStr"/>
    </row>
    <row r="533" ht="15" customHeight="1">
      <c r="A533" t="inlineStr">
        <is>
          <t>A 223-2026</t>
        </is>
      </c>
      <c r="B533" s="1" t="n">
        <v>46026.84339120371</v>
      </c>
      <c r="C533" s="1" t="n">
        <v>46144</v>
      </c>
      <c r="D533" t="inlineStr">
        <is>
          <t>UPPSALA LÄN</t>
        </is>
      </c>
      <c r="E533" t="inlineStr">
        <is>
          <t>ÖSTHAMMAR</t>
        </is>
      </c>
      <c r="G533" t="n">
        <v>39.2</v>
      </c>
      <c r="H533" t="n">
        <v>0</v>
      </c>
      <c r="I533" t="n">
        <v>0</v>
      </c>
      <c r="J533" t="n">
        <v>0</v>
      </c>
      <c r="K533" t="n">
        <v>0</v>
      </c>
      <c r="L533" t="n">
        <v>0</v>
      </c>
      <c r="M533" t="n">
        <v>0</v>
      </c>
      <c r="N533" t="n">
        <v>0</v>
      </c>
      <c r="O533" t="n">
        <v>0</v>
      </c>
      <c r="P533" t="n">
        <v>0</v>
      </c>
      <c r="Q533" t="n">
        <v>0</v>
      </c>
      <c r="R533" s="2" t="inlineStr"/>
    </row>
    <row r="534" ht="15" customHeight="1">
      <c r="A534" t="inlineStr">
        <is>
          <t>A 9264-2024</t>
        </is>
      </c>
      <c r="B534" s="1" t="n">
        <v>45358</v>
      </c>
      <c r="C534" s="1" t="n">
        <v>46144</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360-2026</t>
        </is>
      </c>
      <c r="B535" s="1" t="n">
        <v>46027.66442129629</v>
      </c>
      <c r="C535" s="1" t="n">
        <v>46144</v>
      </c>
      <c r="D535" t="inlineStr">
        <is>
          <t>UPPSALA LÄN</t>
        </is>
      </c>
      <c r="E535" t="inlineStr">
        <is>
          <t>ÖSTHAMMAR</t>
        </is>
      </c>
      <c r="F535" t="inlineStr">
        <is>
          <t>Bergvik skog öst AB</t>
        </is>
      </c>
      <c r="G535" t="n">
        <v>7.9</v>
      </c>
      <c r="H535" t="n">
        <v>0</v>
      </c>
      <c r="I535" t="n">
        <v>0</v>
      </c>
      <c r="J535" t="n">
        <v>0</v>
      </c>
      <c r="K535" t="n">
        <v>0</v>
      </c>
      <c r="L535" t="n">
        <v>0</v>
      </c>
      <c r="M535" t="n">
        <v>0</v>
      </c>
      <c r="N535" t="n">
        <v>0</v>
      </c>
      <c r="O535" t="n">
        <v>0</v>
      </c>
      <c r="P535" t="n">
        <v>0</v>
      </c>
      <c r="Q535" t="n">
        <v>0</v>
      </c>
      <c r="R535" s="2" t="inlineStr"/>
    </row>
    <row r="536" ht="15" customHeight="1">
      <c r="A536" t="inlineStr">
        <is>
          <t>A 285-2026</t>
        </is>
      </c>
      <c r="B536" s="1" t="n">
        <v>46027.49130787037</v>
      </c>
      <c r="C536" s="1" t="n">
        <v>46144</v>
      </c>
      <c r="D536" t="inlineStr">
        <is>
          <t>UPPSALA LÄN</t>
        </is>
      </c>
      <c r="E536" t="inlineStr">
        <is>
          <t>ÖSTHAMMAR</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362-2026</t>
        </is>
      </c>
      <c r="B537" s="1" t="n">
        <v>46027.6659375</v>
      </c>
      <c r="C537" s="1" t="n">
        <v>46144</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57043-2022</t>
        </is>
      </c>
      <c r="B538" s="1" t="n">
        <v>44895.36748842592</v>
      </c>
      <c r="C538" s="1" t="n">
        <v>46144</v>
      </c>
      <c r="D538" t="inlineStr">
        <is>
          <t>UPPSALA LÄN</t>
        </is>
      </c>
      <c r="E538" t="inlineStr">
        <is>
          <t>ÖSTHAMMAR</t>
        </is>
      </c>
      <c r="F538" t="inlineStr">
        <is>
          <t>Bergvik skog öst AB</t>
        </is>
      </c>
      <c r="G538" t="n">
        <v>5.7</v>
      </c>
      <c r="H538" t="n">
        <v>0</v>
      </c>
      <c r="I538" t="n">
        <v>0</v>
      </c>
      <c r="J538" t="n">
        <v>0</v>
      </c>
      <c r="K538" t="n">
        <v>0</v>
      </c>
      <c r="L538" t="n">
        <v>0</v>
      </c>
      <c r="M538" t="n">
        <v>0</v>
      </c>
      <c r="N538" t="n">
        <v>0</v>
      </c>
      <c r="O538" t="n">
        <v>0</v>
      </c>
      <c r="P538" t="n">
        <v>0</v>
      </c>
      <c r="Q538" t="n">
        <v>0</v>
      </c>
      <c r="R538" s="2" t="inlineStr"/>
    </row>
    <row r="539" ht="15" customHeight="1">
      <c r="A539" t="inlineStr">
        <is>
          <t>A 31896-2025</t>
        </is>
      </c>
      <c r="B539" s="1" t="n">
        <v>45834.67556712963</v>
      </c>
      <c r="C539" s="1" t="n">
        <v>46144</v>
      </c>
      <c r="D539" t="inlineStr">
        <is>
          <t>UPPSALA LÄN</t>
        </is>
      </c>
      <c r="E539" t="inlineStr">
        <is>
          <t>ÖSTHAMMAR</t>
        </is>
      </c>
      <c r="G539" t="n">
        <v>4.1</v>
      </c>
      <c r="H539" t="n">
        <v>0</v>
      </c>
      <c r="I539" t="n">
        <v>0</v>
      </c>
      <c r="J539" t="n">
        <v>0</v>
      </c>
      <c r="K539" t="n">
        <v>0</v>
      </c>
      <c r="L539" t="n">
        <v>0</v>
      </c>
      <c r="M539" t="n">
        <v>0</v>
      </c>
      <c r="N539" t="n">
        <v>0</v>
      </c>
      <c r="O539" t="n">
        <v>0</v>
      </c>
      <c r="P539" t="n">
        <v>0</v>
      </c>
      <c r="Q539" t="n">
        <v>0</v>
      </c>
      <c r="R539" s="2" t="inlineStr"/>
    </row>
    <row r="540" ht="15" customHeight="1">
      <c r="A540" t="inlineStr">
        <is>
          <t>A 47390-2023</t>
        </is>
      </c>
      <c r="B540" s="1" t="n">
        <v>45202</v>
      </c>
      <c r="C540" s="1" t="n">
        <v>46144</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15928-2022</t>
        </is>
      </c>
      <c r="B541" s="1" t="n">
        <v>44664</v>
      </c>
      <c r="C541" s="1" t="n">
        <v>46144</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638-2026</t>
        </is>
      </c>
      <c r="B542" s="1" t="n">
        <v>46029.56026620371</v>
      </c>
      <c r="C542" s="1" t="n">
        <v>46144</v>
      </c>
      <c r="D542" t="inlineStr">
        <is>
          <t>UPPSALA LÄN</t>
        </is>
      </c>
      <c r="E542" t="inlineStr">
        <is>
          <t>ÖSTHAMMAR</t>
        </is>
      </c>
      <c r="F542" t="inlineStr">
        <is>
          <t>Bergvik skog öst AB</t>
        </is>
      </c>
      <c r="G542" t="n">
        <v>6.1</v>
      </c>
      <c r="H542" t="n">
        <v>0</v>
      </c>
      <c r="I542" t="n">
        <v>0</v>
      </c>
      <c r="J542" t="n">
        <v>0</v>
      </c>
      <c r="K542" t="n">
        <v>0</v>
      </c>
      <c r="L542" t="n">
        <v>0</v>
      </c>
      <c r="M542" t="n">
        <v>0</v>
      </c>
      <c r="N542" t="n">
        <v>0</v>
      </c>
      <c r="O542" t="n">
        <v>0</v>
      </c>
      <c r="P542" t="n">
        <v>0</v>
      </c>
      <c r="Q542" t="n">
        <v>0</v>
      </c>
      <c r="R542" s="2" t="inlineStr"/>
    </row>
    <row r="543" ht="15" customHeight="1">
      <c r="A543" t="inlineStr">
        <is>
          <t>A 653-2026</t>
        </is>
      </c>
      <c r="B543" s="1" t="n">
        <v>46029.57829861111</v>
      </c>
      <c r="C543" s="1" t="n">
        <v>46144</v>
      </c>
      <c r="D543" t="inlineStr">
        <is>
          <t>UPPSALA LÄN</t>
        </is>
      </c>
      <c r="E543" t="inlineStr">
        <is>
          <t>ÖSTHAMMAR</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28228-2022</t>
        </is>
      </c>
      <c r="B544" s="1" t="n">
        <v>44746.65873842593</v>
      </c>
      <c r="C544" s="1" t="n">
        <v>46144</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44660.4987962963</v>
      </c>
      <c r="C545" s="1" t="n">
        <v>46144</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1393-2026</t>
        </is>
      </c>
      <c r="B546" s="1" t="n">
        <v>46031.63748842593</v>
      </c>
      <c r="C546" s="1" t="n">
        <v>46144</v>
      </c>
      <c r="D546" t="inlineStr">
        <is>
          <t>UPPSALA LÄN</t>
        </is>
      </c>
      <c r="E546" t="inlineStr">
        <is>
          <t>ÖSTHAMMAR</t>
        </is>
      </c>
      <c r="F546" t="inlineStr">
        <is>
          <t>Bergvik skog öst AB</t>
        </is>
      </c>
      <c r="G546" t="n">
        <v>4</v>
      </c>
      <c r="H546" t="n">
        <v>0</v>
      </c>
      <c r="I546" t="n">
        <v>0</v>
      </c>
      <c r="J546" t="n">
        <v>0</v>
      </c>
      <c r="K546" t="n">
        <v>0</v>
      </c>
      <c r="L546" t="n">
        <v>0</v>
      </c>
      <c r="M546" t="n">
        <v>0</v>
      </c>
      <c r="N546" t="n">
        <v>0</v>
      </c>
      <c r="O546" t="n">
        <v>0</v>
      </c>
      <c r="P546" t="n">
        <v>0</v>
      </c>
      <c r="Q546" t="n">
        <v>0</v>
      </c>
      <c r="R546" s="2" t="inlineStr"/>
    </row>
    <row r="547" ht="15" customHeight="1">
      <c r="A547" t="inlineStr">
        <is>
          <t>A 10275-2025</t>
        </is>
      </c>
      <c r="B547" s="1" t="n">
        <v>45720.39715277778</v>
      </c>
      <c r="C547" s="1" t="n">
        <v>46144</v>
      </c>
      <c r="D547" t="inlineStr">
        <is>
          <t>UPPSALA LÄN</t>
        </is>
      </c>
      <c r="E547" t="inlineStr">
        <is>
          <t>ÖSTHAMMAR</t>
        </is>
      </c>
      <c r="G547" t="n">
        <v>6.2</v>
      </c>
      <c r="H547" t="n">
        <v>0</v>
      </c>
      <c r="I547" t="n">
        <v>0</v>
      </c>
      <c r="J547" t="n">
        <v>0</v>
      </c>
      <c r="K547" t="n">
        <v>0</v>
      </c>
      <c r="L547" t="n">
        <v>0</v>
      </c>
      <c r="M547" t="n">
        <v>0</v>
      </c>
      <c r="N547" t="n">
        <v>0</v>
      </c>
      <c r="O547" t="n">
        <v>0</v>
      </c>
      <c r="P547" t="n">
        <v>0</v>
      </c>
      <c r="Q547" t="n">
        <v>0</v>
      </c>
      <c r="R547" s="2" t="inlineStr"/>
    </row>
    <row r="548" ht="15" customHeight="1">
      <c r="A548" t="inlineStr">
        <is>
          <t>A 14124-2022</t>
        </is>
      </c>
      <c r="B548" s="1" t="n">
        <v>44651.40924768519</v>
      </c>
      <c r="C548" s="1" t="n">
        <v>46144</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2352-2026</t>
        </is>
      </c>
      <c r="B549" s="1" t="n">
        <v>46034</v>
      </c>
      <c r="C549" s="1" t="n">
        <v>46144</v>
      </c>
      <c r="D549" t="inlineStr">
        <is>
          <t>UPPSALA LÄN</t>
        </is>
      </c>
      <c r="E549" t="inlineStr">
        <is>
          <t>ÖSTHAMMAR</t>
        </is>
      </c>
      <c r="G549" t="n">
        <v>0.9</v>
      </c>
      <c r="H549" t="n">
        <v>0</v>
      </c>
      <c r="I549" t="n">
        <v>0</v>
      </c>
      <c r="J549" t="n">
        <v>0</v>
      </c>
      <c r="K549" t="n">
        <v>0</v>
      </c>
      <c r="L549" t="n">
        <v>0</v>
      </c>
      <c r="M549" t="n">
        <v>0</v>
      </c>
      <c r="N549" t="n">
        <v>0</v>
      </c>
      <c r="O549" t="n">
        <v>0</v>
      </c>
      <c r="P549" t="n">
        <v>0</v>
      </c>
      <c r="Q549" t="n">
        <v>0</v>
      </c>
      <c r="R549" s="2" t="inlineStr"/>
    </row>
    <row r="550" ht="15" customHeight="1">
      <c r="A550" t="inlineStr">
        <is>
          <t>A 2358-2026</t>
        </is>
      </c>
      <c r="B550" s="1" t="n">
        <v>46034</v>
      </c>
      <c r="C550" s="1" t="n">
        <v>46144</v>
      </c>
      <c r="D550" t="inlineStr">
        <is>
          <t>UPPSALA LÄN</t>
        </is>
      </c>
      <c r="E550" t="inlineStr">
        <is>
          <t>ÖSTHAMMAR</t>
        </is>
      </c>
      <c r="G550" t="n">
        <v>3.6</v>
      </c>
      <c r="H550" t="n">
        <v>0</v>
      </c>
      <c r="I550" t="n">
        <v>0</v>
      </c>
      <c r="J550" t="n">
        <v>0</v>
      </c>
      <c r="K550" t="n">
        <v>0</v>
      </c>
      <c r="L550" t="n">
        <v>0</v>
      </c>
      <c r="M550" t="n">
        <v>0</v>
      </c>
      <c r="N550" t="n">
        <v>0</v>
      </c>
      <c r="O550" t="n">
        <v>0</v>
      </c>
      <c r="P550" t="n">
        <v>0</v>
      </c>
      <c r="Q550" t="n">
        <v>0</v>
      </c>
      <c r="R550" s="2" t="inlineStr"/>
    </row>
    <row r="551" ht="15" customHeight="1">
      <c r="A551" t="inlineStr">
        <is>
          <t>A 37812-2022</t>
        </is>
      </c>
      <c r="B551" s="1" t="n">
        <v>44810</v>
      </c>
      <c r="C551" s="1" t="n">
        <v>46144</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1271-2026</t>
        </is>
      </c>
      <c r="B552" s="1" t="n">
        <v>46031.46616898148</v>
      </c>
      <c r="C552" s="1" t="n">
        <v>46144</v>
      </c>
      <c r="D552" t="inlineStr">
        <is>
          <t>UPPSALA LÄN</t>
        </is>
      </c>
      <c r="E552" t="inlineStr">
        <is>
          <t>ÖSTHAMMAR</t>
        </is>
      </c>
      <c r="F552" t="inlineStr">
        <is>
          <t>Bergvik skog öst AB</t>
        </is>
      </c>
      <c r="G552" t="n">
        <v>12</v>
      </c>
      <c r="H552" t="n">
        <v>0</v>
      </c>
      <c r="I552" t="n">
        <v>0</v>
      </c>
      <c r="J552" t="n">
        <v>0</v>
      </c>
      <c r="K552" t="n">
        <v>0</v>
      </c>
      <c r="L552" t="n">
        <v>0</v>
      </c>
      <c r="M552" t="n">
        <v>0</v>
      </c>
      <c r="N552" t="n">
        <v>0</v>
      </c>
      <c r="O552" t="n">
        <v>0</v>
      </c>
      <c r="P552" t="n">
        <v>0</v>
      </c>
      <c r="Q552" t="n">
        <v>0</v>
      </c>
      <c r="R552" s="2" t="inlineStr"/>
    </row>
    <row r="553" ht="15" customHeight="1">
      <c r="A553" t="inlineStr">
        <is>
          <t>A 19501-2025</t>
        </is>
      </c>
      <c r="B553" s="1" t="n">
        <v>45770.4015625</v>
      </c>
      <c r="C553" s="1" t="n">
        <v>46144</v>
      </c>
      <c r="D553" t="inlineStr">
        <is>
          <t>UPPSALA LÄN</t>
        </is>
      </c>
      <c r="E553" t="inlineStr">
        <is>
          <t>ÖSTHAMMAR</t>
        </is>
      </c>
      <c r="F553" t="inlineStr">
        <is>
          <t>Övriga Aktiebolag</t>
        </is>
      </c>
      <c r="G553" t="n">
        <v>17.3</v>
      </c>
      <c r="H553" t="n">
        <v>0</v>
      </c>
      <c r="I553" t="n">
        <v>0</v>
      </c>
      <c r="J553" t="n">
        <v>0</v>
      </c>
      <c r="K553" t="n">
        <v>0</v>
      </c>
      <c r="L553" t="n">
        <v>0</v>
      </c>
      <c r="M553" t="n">
        <v>0</v>
      </c>
      <c r="N553" t="n">
        <v>0</v>
      </c>
      <c r="O553" t="n">
        <v>0</v>
      </c>
      <c r="P553" t="n">
        <v>0</v>
      </c>
      <c r="Q553" t="n">
        <v>0</v>
      </c>
      <c r="R553" s="2" t="inlineStr"/>
    </row>
    <row r="554" ht="15" customHeight="1">
      <c r="A554" t="inlineStr">
        <is>
          <t>A 41821-2023</t>
        </is>
      </c>
      <c r="B554" s="1" t="n">
        <v>45176</v>
      </c>
      <c r="C554" s="1" t="n">
        <v>46144</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1906-2026</t>
        </is>
      </c>
      <c r="B555" s="1" t="n">
        <v>46035.55158564815</v>
      </c>
      <c r="C555" s="1" t="n">
        <v>46144</v>
      </c>
      <c r="D555" t="inlineStr">
        <is>
          <t>UPPSALA LÄN</t>
        </is>
      </c>
      <c r="E555" t="inlineStr">
        <is>
          <t>ÖSTHAMMAR</t>
        </is>
      </c>
      <c r="F555" t="inlineStr">
        <is>
          <t>Bergvik skog öst AB</t>
        </is>
      </c>
      <c r="G555" t="n">
        <v>4.3</v>
      </c>
      <c r="H555" t="n">
        <v>0</v>
      </c>
      <c r="I555" t="n">
        <v>0</v>
      </c>
      <c r="J555" t="n">
        <v>0</v>
      </c>
      <c r="K555" t="n">
        <v>0</v>
      </c>
      <c r="L555" t="n">
        <v>0</v>
      </c>
      <c r="M555" t="n">
        <v>0</v>
      </c>
      <c r="N555" t="n">
        <v>0</v>
      </c>
      <c r="O555" t="n">
        <v>0</v>
      </c>
      <c r="P555" t="n">
        <v>0</v>
      </c>
      <c r="Q555" t="n">
        <v>0</v>
      </c>
      <c r="R555" s="2" t="inlineStr"/>
    </row>
    <row r="556" ht="15" customHeight="1">
      <c r="A556" t="inlineStr">
        <is>
          <t>A 32742-2022</t>
        </is>
      </c>
      <c r="B556" s="1" t="n">
        <v>44783.69886574074</v>
      </c>
      <c r="C556" s="1" t="n">
        <v>46144</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41308-2023</t>
        </is>
      </c>
      <c r="B557" s="1" t="n">
        <v>45174.62788194444</v>
      </c>
      <c r="C557" s="1" t="n">
        <v>46144</v>
      </c>
      <c r="D557" t="inlineStr">
        <is>
          <t>UPPSALA LÄN</t>
        </is>
      </c>
      <c r="E557" t="inlineStr">
        <is>
          <t>ÖSTHAMMAR</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49833-2023</t>
        </is>
      </c>
      <c r="B558" s="1" t="n">
        <v>45212.71481481481</v>
      </c>
      <c r="C558" s="1" t="n">
        <v>46144</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17433-2025</t>
        </is>
      </c>
      <c r="B559" s="1" t="n">
        <v>45757.40733796296</v>
      </c>
      <c r="C559" s="1" t="n">
        <v>46144</v>
      </c>
      <c r="D559" t="inlineStr">
        <is>
          <t>UPPSALA LÄN</t>
        </is>
      </c>
      <c r="E559" t="inlineStr">
        <is>
          <t>ÖSTHAMMAR</t>
        </is>
      </c>
      <c r="F559" t="inlineStr">
        <is>
          <t>Övriga Aktiebolag</t>
        </is>
      </c>
      <c r="G559" t="n">
        <v>0.5</v>
      </c>
      <c r="H559" t="n">
        <v>0</v>
      </c>
      <c r="I559" t="n">
        <v>0</v>
      </c>
      <c r="J559" t="n">
        <v>0</v>
      </c>
      <c r="K559" t="n">
        <v>0</v>
      </c>
      <c r="L559" t="n">
        <v>0</v>
      </c>
      <c r="M559" t="n">
        <v>0</v>
      </c>
      <c r="N559" t="n">
        <v>0</v>
      </c>
      <c r="O559" t="n">
        <v>0</v>
      </c>
      <c r="P559" t="n">
        <v>0</v>
      </c>
      <c r="Q559" t="n">
        <v>0</v>
      </c>
      <c r="R559" s="2" t="inlineStr"/>
    </row>
    <row r="560" ht="15" customHeight="1">
      <c r="A560" t="inlineStr">
        <is>
          <t>A 45550-2023</t>
        </is>
      </c>
      <c r="B560" s="1" t="n">
        <v>45194.57125</v>
      </c>
      <c r="C560" s="1" t="n">
        <v>46144</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54368-2023</t>
        </is>
      </c>
      <c r="B561" s="1" t="n">
        <v>45233.33221064815</v>
      </c>
      <c r="C561" s="1" t="n">
        <v>46144</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17931-2025</t>
        </is>
      </c>
      <c r="B562" s="1" t="n">
        <v>45759.56894675926</v>
      </c>
      <c r="C562" s="1" t="n">
        <v>46144</v>
      </c>
      <c r="D562" t="inlineStr">
        <is>
          <t>UPPSALA LÄN</t>
        </is>
      </c>
      <c r="E562" t="inlineStr">
        <is>
          <t>ÖSTHAMMAR</t>
        </is>
      </c>
      <c r="G562" t="n">
        <v>2.1</v>
      </c>
      <c r="H562" t="n">
        <v>0</v>
      </c>
      <c r="I562" t="n">
        <v>0</v>
      </c>
      <c r="J562" t="n">
        <v>0</v>
      </c>
      <c r="K562" t="n">
        <v>0</v>
      </c>
      <c r="L562" t="n">
        <v>0</v>
      </c>
      <c r="M562" t="n">
        <v>0</v>
      </c>
      <c r="N562" t="n">
        <v>0</v>
      </c>
      <c r="O562" t="n">
        <v>0</v>
      </c>
      <c r="P562" t="n">
        <v>0</v>
      </c>
      <c r="Q562" t="n">
        <v>0</v>
      </c>
      <c r="R562" s="2" t="inlineStr"/>
    </row>
    <row r="563" ht="15" customHeight="1">
      <c r="A563" t="inlineStr">
        <is>
          <t>A 17938-2025</t>
        </is>
      </c>
      <c r="B563" s="1" t="n">
        <v>45760.55626157407</v>
      </c>
      <c r="C563" s="1" t="n">
        <v>46144</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2615-2026</t>
        </is>
      </c>
      <c r="B564" s="1" t="n">
        <v>46037.58893518519</v>
      </c>
      <c r="C564" s="1" t="n">
        <v>46144</v>
      </c>
      <c r="D564" t="inlineStr">
        <is>
          <t>UPPSALA LÄN</t>
        </is>
      </c>
      <c r="E564" t="inlineStr">
        <is>
          <t>ÖSTHAMMAR</t>
        </is>
      </c>
      <c r="G564" t="n">
        <v>3.2</v>
      </c>
      <c r="H564" t="n">
        <v>0</v>
      </c>
      <c r="I564" t="n">
        <v>0</v>
      </c>
      <c r="J564" t="n">
        <v>0</v>
      </c>
      <c r="K564" t="n">
        <v>0</v>
      </c>
      <c r="L564" t="n">
        <v>0</v>
      </c>
      <c r="M564" t="n">
        <v>0</v>
      </c>
      <c r="N564" t="n">
        <v>0</v>
      </c>
      <c r="O564" t="n">
        <v>0</v>
      </c>
      <c r="P564" t="n">
        <v>0</v>
      </c>
      <c r="Q564" t="n">
        <v>0</v>
      </c>
      <c r="R564" s="2" t="inlineStr"/>
    </row>
    <row r="565" ht="15" customHeight="1">
      <c r="A565" t="inlineStr">
        <is>
          <t>A 2620-2026</t>
        </is>
      </c>
      <c r="B565" s="1" t="n">
        <v>46037.59137731481</v>
      </c>
      <c r="C565" s="1" t="n">
        <v>46144</v>
      </c>
      <c r="D565" t="inlineStr">
        <is>
          <t>UPPSALA LÄN</t>
        </is>
      </c>
      <c r="E565" t="inlineStr">
        <is>
          <t>ÖSTHAMMAR</t>
        </is>
      </c>
      <c r="G565" t="n">
        <v>4.4</v>
      </c>
      <c r="H565" t="n">
        <v>0</v>
      </c>
      <c r="I565" t="n">
        <v>0</v>
      </c>
      <c r="J565" t="n">
        <v>0</v>
      </c>
      <c r="K565" t="n">
        <v>0</v>
      </c>
      <c r="L565" t="n">
        <v>0</v>
      </c>
      <c r="M565" t="n">
        <v>0</v>
      </c>
      <c r="N565" t="n">
        <v>0</v>
      </c>
      <c r="O565" t="n">
        <v>0</v>
      </c>
      <c r="P565" t="n">
        <v>0</v>
      </c>
      <c r="Q565" t="n">
        <v>0</v>
      </c>
      <c r="R565" s="2" t="inlineStr"/>
    </row>
    <row r="566" ht="15" customHeight="1">
      <c r="A566" t="inlineStr">
        <is>
          <t>A 8791-2025</t>
        </is>
      </c>
      <c r="B566" s="1" t="n">
        <v>45712</v>
      </c>
      <c r="C566" s="1" t="n">
        <v>46144</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3055-2026</t>
        </is>
      </c>
      <c r="B567" s="1" t="n">
        <v>46039.39636574074</v>
      </c>
      <c r="C567" s="1" t="n">
        <v>46144</v>
      </c>
      <c r="D567" t="inlineStr">
        <is>
          <t>UPPSALA LÄN</t>
        </is>
      </c>
      <c r="E567" t="inlineStr">
        <is>
          <t>ÖSTHAMMAR</t>
        </is>
      </c>
      <c r="F567" t="inlineStr">
        <is>
          <t>Bergvik skog öst AB</t>
        </is>
      </c>
      <c r="G567" t="n">
        <v>3.5</v>
      </c>
      <c r="H567" t="n">
        <v>0</v>
      </c>
      <c r="I567" t="n">
        <v>0</v>
      </c>
      <c r="J567" t="n">
        <v>0</v>
      </c>
      <c r="K567" t="n">
        <v>0</v>
      </c>
      <c r="L567" t="n">
        <v>0</v>
      </c>
      <c r="M567" t="n">
        <v>0</v>
      </c>
      <c r="N567" t="n">
        <v>0</v>
      </c>
      <c r="O567" t="n">
        <v>0</v>
      </c>
      <c r="P567" t="n">
        <v>0</v>
      </c>
      <c r="Q567" t="n">
        <v>0</v>
      </c>
      <c r="R567" s="2" t="inlineStr"/>
    </row>
    <row r="568" ht="15" customHeight="1">
      <c r="A568" t="inlineStr">
        <is>
          <t>A 7216-2025</t>
        </is>
      </c>
      <c r="B568" s="1" t="n">
        <v>45702.47630787037</v>
      </c>
      <c r="C568" s="1" t="n">
        <v>46144</v>
      </c>
      <c r="D568" t="inlineStr">
        <is>
          <t>UPPSALA LÄN</t>
        </is>
      </c>
      <c r="E568" t="inlineStr">
        <is>
          <t>ÖSTHAMMAR</t>
        </is>
      </c>
      <c r="F568" t="inlineStr">
        <is>
          <t>Övriga Aktiebolag</t>
        </is>
      </c>
      <c r="G568" t="n">
        <v>12.5</v>
      </c>
      <c r="H568" t="n">
        <v>0</v>
      </c>
      <c r="I568" t="n">
        <v>0</v>
      </c>
      <c r="J568" t="n">
        <v>0</v>
      </c>
      <c r="K568" t="n">
        <v>0</v>
      </c>
      <c r="L568" t="n">
        <v>0</v>
      </c>
      <c r="M568" t="n">
        <v>0</v>
      </c>
      <c r="N568" t="n">
        <v>0</v>
      </c>
      <c r="O568" t="n">
        <v>0</v>
      </c>
      <c r="P568" t="n">
        <v>0</v>
      </c>
      <c r="Q568" t="n">
        <v>0</v>
      </c>
      <c r="R568" s="2" t="inlineStr"/>
    </row>
    <row r="569" ht="15" customHeight="1">
      <c r="A569" t="inlineStr">
        <is>
          <t>A 3095-2026</t>
        </is>
      </c>
      <c r="B569" s="1" t="n">
        <v>46040.90493055555</v>
      </c>
      <c r="C569" s="1" t="n">
        <v>46144</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31137-2022</t>
        </is>
      </c>
      <c r="B570" s="1" t="n">
        <v>44770.42166666667</v>
      </c>
      <c r="C570" s="1" t="n">
        <v>46144</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18094-2025</t>
        </is>
      </c>
      <c r="B571" s="1" t="n">
        <v>45761.54710648148</v>
      </c>
      <c r="C571" s="1" t="n">
        <v>46144</v>
      </c>
      <c r="D571" t="inlineStr">
        <is>
          <t>UPPSALA LÄN</t>
        </is>
      </c>
      <c r="E571" t="inlineStr">
        <is>
          <t>ÖSTHAMMAR</t>
        </is>
      </c>
      <c r="F571" t="inlineStr">
        <is>
          <t>Bergvik skog öst AB</t>
        </is>
      </c>
      <c r="G571" t="n">
        <v>6.5</v>
      </c>
      <c r="H571" t="n">
        <v>0</v>
      </c>
      <c r="I571" t="n">
        <v>0</v>
      </c>
      <c r="J571" t="n">
        <v>0</v>
      </c>
      <c r="K571" t="n">
        <v>0</v>
      </c>
      <c r="L571" t="n">
        <v>0</v>
      </c>
      <c r="M571" t="n">
        <v>0</v>
      </c>
      <c r="N571" t="n">
        <v>0</v>
      </c>
      <c r="O571" t="n">
        <v>0</v>
      </c>
      <c r="P571" t="n">
        <v>0</v>
      </c>
      <c r="Q571" t="n">
        <v>0</v>
      </c>
      <c r="R571" s="2" t="inlineStr"/>
    </row>
    <row r="572" ht="15" customHeight="1">
      <c r="A572" t="inlineStr">
        <is>
          <t>A 44815-2022</t>
        </is>
      </c>
      <c r="B572" s="1" t="n">
        <v>44841.40452546296</v>
      </c>
      <c r="C572" s="1" t="n">
        <v>46144</v>
      </c>
      <c r="D572" t="inlineStr">
        <is>
          <t>UPPSALA LÄN</t>
        </is>
      </c>
      <c r="E572" t="inlineStr">
        <is>
          <t>ÖSTHAMMAR</t>
        </is>
      </c>
      <c r="G572" t="n">
        <v>1.8</v>
      </c>
      <c r="H572" t="n">
        <v>0</v>
      </c>
      <c r="I572" t="n">
        <v>0</v>
      </c>
      <c r="J572" t="n">
        <v>0</v>
      </c>
      <c r="K572" t="n">
        <v>0</v>
      </c>
      <c r="L572" t="n">
        <v>0</v>
      </c>
      <c r="M572" t="n">
        <v>0</v>
      </c>
      <c r="N572" t="n">
        <v>0</v>
      </c>
      <c r="O572" t="n">
        <v>0</v>
      </c>
      <c r="P572" t="n">
        <v>0</v>
      </c>
      <c r="Q572" t="n">
        <v>0</v>
      </c>
      <c r="R572" s="2" t="inlineStr"/>
    </row>
    <row r="573" ht="15" customHeight="1">
      <c r="A573" t="inlineStr">
        <is>
          <t>A 3926-2026</t>
        </is>
      </c>
      <c r="B573" s="1" t="n">
        <v>46043.781875</v>
      </c>
      <c r="C573" s="1" t="n">
        <v>46144</v>
      </c>
      <c r="D573" t="inlineStr">
        <is>
          <t>UPPSALA LÄN</t>
        </is>
      </c>
      <c r="E573" t="inlineStr">
        <is>
          <t>ÖSTHAMMAR</t>
        </is>
      </c>
      <c r="G573" t="n">
        <v>3.3</v>
      </c>
      <c r="H573" t="n">
        <v>0</v>
      </c>
      <c r="I573" t="n">
        <v>0</v>
      </c>
      <c r="J573" t="n">
        <v>0</v>
      </c>
      <c r="K573" t="n">
        <v>0</v>
      </c>
      <c r="L573" t="n">
        <v>0</v>
      </c>
      <c r="M573" t="n">
        <v>0</v>
      </c>
      <c r="N573" t="n">
        <v>0</v>
      </c>
      <c r="O573" t="n">
        <v>0</v>
      </c>
      <c r="P573" t="n">
        <v>0</v>
      </c>
      <c r="Q573" t="n">
        <v>0</v>
      </c>
      <c r="R573" s="2" t="inlineStr"/>
    </row>
    <row r="574" ht="15" customHeight="1">
      <c r="A574" t="inlineStr">
        <is>
          <t>A 3959-2026</t>
        </is>
      </c>
      <c r="B574" s="1" t="n">
        <v>46044.33802083333</v>
      </c>
      <c r="C574" s="1" t="n">
        <v>46144</v>
      </c>
      <c r="D574" t="inlineStr">
        <is>
          <t>UPPSALA LÄN</t>
        </is>
      </c>
      <c r="E574" t="inlineStr">
        <is>
          <t>ÖSTHAMMAR</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29753-2022</t>
        </is>
      </c>
      <c r="B575" s="1" t="n">
        <v>44755</v>
      </c>
      <c r="C575" s="1" t="n">
        <v>46144</v>
      </c>
      <c r="D575" t="inlineStr">
        <is>
          <t>UPPSALA LÄN</t>
        </is>
      </c>
      <c r="E575" t="inlineStr">
        <is>
          <t>ÖSTHAMMAR</t>
        </is>
      </c>
      <c r="G575" t="n">
        <v>9.4</v>
      </c>
      <c r="H575" t="n">
        <v>0</v>
      </c>
      <c r="I575" t="n">
        <v>0</v>
      </c>
      <c r="J575" t="n">
        <v>0</v>
      </c>
      <c r="K575" t="n">
        <v>0</v>
      </c>
      <c r="L575" t="n">
        <v>0</v>
      </c>
      <c r="M575" t="n">
        <v>0</v>
      </c>
      <c r="N575" t="n">
        <v>0</v>
      </c>
      <c r="O575" t="n">
        <v>0</v>
      </c>
      <c r="P575" t="n">
        <v>0</v>
      </c>
      <c r="Q575" t="n">
        <v>0</v>
      </c>
      <c r="R575" s="2" t="inlineStr"/>
    </row>
    <row r="576" ht="15" customHeight="1">
      <c r="A576" t="inlineStr">
        <is>
          <t>A 3642-2026</t>
        </is>
      </c>
      <c r="B576" s="1" t="n">
        <v>46043.35760416667</v>
      </c>
      <c r="C576" s="1" t="n">
        <v>46144</v>
      </c>
      <c r="D576" t="inlineStr">
        <is>
          <t>UPPSALA LÄN</t>
        </is>
      </c>
      <c r="E576" t="inlineStr">
        <is>
          <t>ÖSTHAMMAR</t>
        </is>
      </c>
      <c r="G576" t="n">
        <v>3</v>
      </c>
      <c r="H576" t="n">
        <v>0</v>
      </c>
      <c r="I576" t="n">
        <v>0</v>
      </c>
      <c r="J576" t="n">
        <v>0</v>
      </c>
      <c r="K576" t="n">
        <v>0</v>
      </c>
      <c r="L576" t="n">
        <v>0</v>
      </c>
      <c r="M576" t="n">
        <v>0</v>
      </c>
      <c r="N576" t="n">
        <v>0</v>
      </c>
      <c r="O576" t="n">
        <v>0</v>
      </c>
      <c r="P576" t="n">
        <v>0</v>
      </c>
      <c r="Q576" t="n">
        <v>0</v>
      </c>
      <c r="R576" s="2" t="inlineStr"/>
    </row>
    <row r="577" ht="15" customHeight="1">
      <c r="A577" t="inlineStr">
        <is>
          <t>A 3668-2026</t>
        </is>
      </c>
      <c r="B577" s="1" t="n">
        <v>46043.41212962963</v>
      </c>
      <c r="C577" s="1" t="n">
        <v>46144</v>
      </c>
      <c r="D577" t="inlineStr">
        <is>
          <t>UPPSALA LÄN</t>
        </is>
      </c>
      <c r="E577" t="inlineStr">
        <is>
          <t>ÖSTHAMMAR</t>
        </is>
      </c>
      <c r="G577" t="n">
        <v>1.7</v>
      </c>
      <c r="H577" t="n">
        <v>0</v>
      </c>
      <c r="I577" t="n">
        <v>0</v>
      </c>
      <c r="J577" t="n">
        <v>0</v>
      </c>
      <c r="K577" t="n">
        <v>0</v>
      </c>
      <c r="L577" t="n">
        <v>0</v>
      </c>
      <c r="M577" t="n">
        <v>0</v>
      </c>
      <c r="N577" t="n">
        <v>0</v>
      </c>
      <c r="O577" t="n">
        <v>0</v>
      </c>
      <c r="P577" t="n">
        <v>0</v>
      </c>
      <c r="Q577" t="n">
        <v>0</v>
      </c>
      <c r="R577" s="2" t="inlineStr"/>
    </row>
    <row r="578" ht="15" customHeight="1">
      <c r="A578" t="inlineStr">
        <is>
          <t>A 4570-2026</t>
        </is>
      </c>
      <c r="B578" s="1" t="n">
        <v>46048.00856481482</v>
      </c>
      <c r="C578" s="1" t="n">
        <v>46144</v>
      </c>
      <c r="D578" t="inlineStr">
        <is>
          <t>UPPSALA LÄN</t>
        </is>
      </c>
      <c r="E578" t="inlineStr">
        <is>
          <t>ÖSTHAMMAR</t>
        </is>
      </c>
      <c r="F578" t="inlineStr">
        <is>
          <t>Allmännings- och besparingsskogar</t>
        </is>
      </c>
      <c r="G578" t="n">
        <v>7.1</v>
      </c>
      <c r="H578" t="n">
        <v>0</v>
      </c>
      <c r="I578" t="n">
        <v>0</v>
      </c>
      <c r="J578" t="n">
        <v>0</v>
      </c>
      <c r="K578" t="n">
        <v>0</v>
      </c>
      <c r="L578" t="n">
        <v>0</v>
      </c>
      <c r="M578" t="n">
        <v>0</v>
      </c>
      <c r="N578" t="n">
        <v>0</v>
      </c>
      <c r="O578" t="n">
        <v>0</v>
      </c>
      <c r="P578" t="n">
        <v>0</v>
      </c>
      <c r="Q578" t="n">
        <v>0</v>
      </c>
      <c r="R578" s="2" t="inlineStr"/>
    </row>
    <row r="579" ht="15" customHeight="1">
      <c r="A579" t="inlineStr">
        <is>
          <t>A 20072-2025</t>
        </is>
      </c>
      <c r="B579" s="1" t="n">
        <v>45772</v>
      </c>
      <c r="C579" s="1" t="n">
        <v>46144</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52629-2023</t>
        </is>
      </c>
      <c r="B580" s="1" t="n">
        <v>45225</v>
      </c>
      <c r="C580" s="1" t="n">
        <v>46144</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9642-2024</t>
        </is>
      </c>
      <c r="B581" s="1" t="n">
        <v>45362.36296296296</v>
      </c>
      <c r="C581" s="1" t="n">
        <v>46144</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31549-2022</t>
        </is>
      </c>
      <c r="B582" s="1" t="n">
        <v>44775.400625</v>
      </c>
      <c r="C582" s="1" t="n">
        <v>46144</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47522-2023</t>
        </is>
      </c>
      <c r="B583" s="1" t="n">
        <v>45203</v>
      </c>
      <c r="C583" s="1" t="n">
        <v>46144</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13738-2023</t>
        </is>
      </c>
      <c r="B584" s="1" t="n">
        <v>45007.37081018519</v>
      </c>
      <c r="C584" s="1" t="n">
        <v>46144</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5469-2026</t>
        </is>
      </c>
      <c r="B585" s="1" t="n">
        <v>46050</v>
      </c>
      <c r="C585" s="1" t="n">
        <v>46144</v>
      </c>
      <c r="D585" t="inlineStr">
        <is>
          <t>UPPSALA LÄN</t>
        </is>
      </c>
      <c r="E585" t="inlineStr">
        <is>
          <t>ÖSTHAMMAR</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34971-2022</t>
        </is>
      </c>
      <c r="B586" s="1" t="n">
        <v>44796.66613425926</v>
      </c>
      <c r="C586" s="1" t="n">
        <v>46144</v>
      </c>
      <c r="D586" t="inlineStr">
        <is>
          <t>UPPSALA LÄN</t>
        </is>
      </c>
      <c r="E586" t="inlineStr">
        <is>
          <t>ÖSTHAMMAR</t>
        </is>
      </c>
      <c r="F586" t="inlineStr">
        <is>
          <t>Bergvik skog öst AB</t>
        </is>
      </c>
      <c r="G586" t="n">
        <v>2.3</v>
      </c>
      <c r="H586" t="n">
        <v>0</v>
      </c>
      <c r="I586" t="n">
        <v>0</v>
      </c>
      <c r="J586" t="n">
        <v>0</v>
      </c>
      <c r="K586" t="n">
        <v>0</v>
      </c>
      <c r="L586" t="n">
        <v>0</v>
      </c>
      <c r="M586" t="n">
        <v>0</v>
      </c>
      <c r="N586" t="n">
        <v>0</v>
      </c>
      <c r="O586" t="n">
        <v>0</v>
      </c>
      <c r="P586" t="n">
        <v>0</v>
      </c>
      <c r="Q586" t="n">
        <v>0</v>
      </c>
      <c r="R586" s="2" t="inlineStr"/>
    </row>
    <row r="587" ht="15" customHeight="1">
      <c r="A587" t="inlineStr">
        <is>
          <t>A 55646-2021</t>
        </is>
      </c>
      <c r="B587" s="1" t="n">
        <v>44476.3632175926</v>
      </c>
      <c r="C587" s="1" t="n">
        <v>46144</v>
      </c>
      <c r="D587" t="inlineStr">
        <is>
          <t>UPPSALA LÄN</t>
        </is>
      </c>
      <c r="E587" t="inlineStr">
        <is>
          <t>ÖSTHAMMAR</t>
        </is>
      </c>
      <c r="F587" t="inlineStr">
        <is>
          <t>Bergvik skog öst AB</t>
        </is>
      </c>
      <c r="G587" t="n">
        <v>0.2</v>
      </c>
      <c r="H587" t="n">
        <v>0</v>
      </c>
      <c r="I587" t="n">
        <v>0</v>
      </c>
      <c r="J587" t="n">
        <v>0</v>
      </c>
      <c r="K587" t="n">
        <v>0</v>
      </c>
      <c r="L587" t="n">
        <v>0</v>
      </c>
      <c r="M587" t="n">
        <v>0</v>
      </c>
      <c r="N587" t="n">
        <v>0</v>
      </c>
      <c r="O587" t="n">
        <v>0</v>
      </c>
      <c r="P587" t="n">
        <v>0</v>
      </c>
      <c r="Q587" t="n">
        <v>0</v>
      </c>
      <c r="R587" s="2" t="inlineStr"/>
    </row>
    <row r="588" ht="15" customHeight="1">
      <c r="A588" t="inlineStr">
        <is>
          <t>A 6522-2026</t>
        </is>
      </c>
      <c r="B588" s="1" t="n">
        <v>46056.4025</v>
      </c>
      <c r="C588" s="1" t="n">
        <v>46144</v>
      </c>
      <c r="D588" t="inlineStr">
        <is>
          <t>UPPSALA LÄN</t>
        </is>
      </c>
      <c r="E588" t="inlineStr">
        <is>
          <t>ÖSTHAMMAR</t>
        </is>
      </c>
      <c r="F588" t="inlineStr">
        <is>
          <t>Bergvik skog öst AB</t>
        </is>
      </c>
      <c r="G588" t="n">
        <v>4.2</v>
      </c>
      <c r="H588" t="n">
        <v>0</v>
      </c>
      <c r="I588" t="n">
        <v>0</v>
      </c>
      <c r="J588" t="n">
        <v>0</v>
      </c>
      <c r="K588" t="n">
        <v>0</v>
      </c>
      <c r="L588" t="n">
        <v>0</v>
      </c>
      <c r="M588" t="n">
        <v>0</v>
      </c>
      <c r="N588" t="n">
        <v>0</v>
      </c>
      <c r="O588" t="n">
        <v>0</v>
      </c>
      <c r="P588" t="n">
        <v>0</v>
      </c>
      <c r="Q588" t="n">
        <v>0</v>
      </c>
      <c r="R588" s="2" t="inlineStr"/>
    </row>
    <row r="589" ht="15" customHeight="1">
      <c r="A589" t="inlineStr">
        <is>
          <t>A 16240-2025</t>
        </is>
      </c>
      <c r="B589" s="1" t="n">
        <v>45746</v>
      </c>
      <c r="C589" s="1" t="n">
        <v>46144</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6517-2026</t>
        </is>
      </c>
      <c r="B590" s="1" t="n">
        <v>46056.39921296296</v>
      </c>
      <c r="C590" s="1" t="n">
        <v>46144</v>
      </c>
      <c r="D590" t="inlineStr">
        <is>
          <t>UPPSALA LÄN</t>
        </is>
      </c>
      <c r="E590" t="inlineStr">
        <is>
          <t>ÖSTHAMMAR</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6635-2026</t>
        </is>
      </c>
      <c r="B591" s="1" t="n">
        <v>46056.52885416667</v>
      </c>
      <c r="C591" s="1" t="n">
        <v>46144</v>
      </c>
      <c r="D591" t="inlineStr">
        <is>
          <t>UPPSALA LÄN</t>
        </is>
      </c>
      <c r="E591" t="inlineStr">
        <is>
          <t>ÖSTHAMMAR</t>
        </is>
      </c>
      <c r="F591" t="inlineStr">
        <is>
          <t>Bergvik skog öst AB</t>
        </is>
      </c>
      <c r="G591" t="n">
        <v>4.3</v>
      </c>
      <c r="H591" t="n">
        <v>0</v>
      </c>
      <c r="I591" t="n">
        <v>0</v>
      </c>
      <c r="J591" t="n">
        <v>0</v>
      </c>
      <c r="K591" t="n">
        <v>0</v>
      </c>
      <c r="L591" t="n">
        <v>0</v>
      </c>
      <c r="M591" t="n">
        <v>0</v>
      </c>
      <c r="N591" t="n">
        <v>0</v>
      </c>
      <c r="O591" t="n">
        <v>0</v>
      </c>
      <c r="P591" t="n">
        <v>0</v>
      </c>
      <c r="Q591" t="n">
        <v>0</v>
      </c>
      <c r="R591" s="2" t="inlineStr"/>
    </row>
    <row r="592" ht="15" customHeight="1">
      <c r="A592" t="inlineStr">
        <is>
          <t>A 20038-2023</t>
        </is>
      </c>
      <c r="B592" s="1" t="n">
        <v>45054.65834490741</v>
      </c>
      <c r="C592" s="1" t="n">
        <v>46144</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6121-2024</t>
        </is>
      </c>
      <c r="B593" s="1" t="n">
        <v>45337.4219212963</v>
      </c>
      <c r="C593" s="1" t="n">
        <v>46144</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6511-2026</t>
        </is>
      </c>
      <c r="B594" s="1" t="n">
        <v>46056.38925925926</v>
      </c>
      <c r="C594" s="1" t="n">
        <v>46144</v>
      </c>
      <c r="D594" t="inlineStr">
        <is>
          <t>UPPSALA LÄN</t>
        </is>
      </c>
      <c r="E594" t="inlineStr">
        <is>
          <t>ÖSTHAMMAR</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8699-2025</t>
        </is>
      </c>
      <c r="B595" s="1" t="n">
        <v>45712.47983796296</v>
      </c>
      <c r="C595" s="1" t="n">
        <v>46144</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15031-2025</t>
        </is>
      </c>
      <c r="B596" s="1" t="n">
        <v>45743.67333333333</v>
      </c>
      <c r="C596" s="1" t="n">
        <v>46144</v>
      </c>
      <c r="D596" t="inlineStr">
        <is>
          <t>UPPSALA LÄN</t>
        </is>
      </c>
      <c r="E596" t="inlineStr">
        <is>
          <t>ÖSTHAMMAR</t>
        </is>
      </c>
      <c r="G596" t="n">
        <v>9.6</v>
      </c>
      <c r="H596" t="n">
        <v>0</v>
      </c>
      <c r="I596" t="n">
        <v>0</v>
      </c>
      <c r="J596" t="n">
        <v>0</v>
      </c>
      <c r="K596" t="n">
        <v>0</v>
      </c>
      <c r="L596" t="n">
        <v>0</v>
      </c>
      <c r="M596" t="n">
        <v>0</v>
      </c>
      <c r="N596" t="n">
        <v>0</v>
      </c>
      <c r="O596" t="n">
        <v>0</v>
      </c>
      <c r="P596" t="n">
        <v>0</v>
      </c>
      <c r="Q596" t="n">
        <v>0</v>
      </c>
      <c r="R596" s="2" t="inlineStr"/>
    </row>
    <row r="597" ht="15" customHeight="1">
      <c r="A597" t="inlineStr">
        <is>
          <t>A 6712-2026</t>
        </is>
      </c>
      <c r="B597" s="1" t="n">
        <v>46056.65564814815</v>
      </c>
      <c r="C597" s="1" t="n">
        <v>46144</v>
      </c>
      <c r="D597" t="inlineStr">
        <is>
          <t>UPPSALA LÄN</t>
        </is>
      </c>
      <c r="E597" t="inlineStr">
        <is>
          <t>ÖSTHAMMAR</t>
        </is>
      </c>
      <c r="F597" t="inlineStr">
        <is>
          <t>Bergvik skog öst AB</t>
        </is>
      </c>
      <c r="G597" t="n">
        <v>5</v>
      </c>
      <c r="H597" t="n">
        <v>0</v>
      </c>
      <c r="I597" t="n">
        <v>0</v>
      </c>
      <c r="J597" t="n">
        <v>0</v>
      </c>
      <c r="K597" t="n">
        <v>0</v>
      </c>
      <c r="L597" t="n">
        <v>0</v>
      </c>
      <c r="M597" t="n">
        <v>0</v>
      </c>
      <c r="N597" t="n">
        <v>0</v>
      </c>
      <c r="O597" t="n">
        <v>0</v>
      </c>
      <c r="P597" t="n">
        <v>0</v>
      </c>
      <c r="Q597" t="n">
        <v>0</v>
      </c>
      <c r="R597" s="2" t="inlineStr"/>
    </row>
    <row r="598" ht="15" customHeight="1">
      <c r="A598" t="inlineStr">
        <is>
          <t>A 6238-2026</t>
        </is>
      </c>
      <c r="B598" s="1" t="n">
        <v>46055.45547453704</v>
      </c>
      <c r="C598" s="1" t="n">
        <v>46144</v>
      </c>
      <c r="D598" t="inlineStr">
        <is>
          <t>UPPSALA LÄN</t>
        </is>
      </c>
      <c r="E598" t="inlineStr">
        <is>
          <t>ÖSTHAMMAR</t>
        </is>
      </c>
      <c r="F598" t="inlineStr">
        <is>
          <t>Övriga Aktiebolag</t>
        </is>
      </c>
      <c r="G598" t="n">
        <v>26.7</v>
      </c>
      <c r="H598" t="n">
        <v>0</v>
      </c>
      <c r="I598" t="n">
        <v>0</v>
      </c>
      <c r="J598" t="n">
        <v>0</v>
      </c>
      <c r="K598" t="n">
        <v>0</v>
      </c>
      <c r="L598" t="n">
        <v>0</v>
      </c>
      <c r="M598" t="n">
        <v>0</v>
      </c>
      <c r="N598" t="n">
        <v>0</v>
      </c>
      <c r="O598" t="n">
        <v>0</v>
      </c>
      <c r="P598" t="n">
        <v>0</v>
      </c>
      <c r="Q598" t="n">
        <v>0</v>
      </c>
      <c r="R598" s="2" t="inlineStr"/>
    </row>
    <row r="599" ht="15" customHeight="1">
      <c r="A599" t="inlineStr">
        <is>
          <t>A 60555-2023</t>
        </is>
      </c>
      <c r="B599" s="1" t="n">
        <v>45259</v>
      </c>
      <c r="C599" s="1" t="n">
        <v>46144</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7241-2026</t>
        </is>
      </c>
      <c r="B600" s="1" t="n">
        <v>46058.58392361111</v>
      </c>
      <c r="C600" s="1" t="n">
        <v>46144</v>
      </c>
      <c r="D600" t="inlineStr">
        <is>
          <t>UPPSALA LÄN</t>
        </is>
      </c>
      <c r="E600" t="inlineStr">
        <is>
          <t>ÖSTHAMMAR</t>
        </is>
      </c>
      <c r="F600" t="inlineStr">
        <is>
          <t>Övriga Aktiebolag</t>
        </is>
      </c>
      <c r="G600" t="n">
        <v>1.7</v>
      </c>
      <c r="H600" t="n">
        <v>0</v>
      </c>
      <c r="I600" t="n">
        <v>0</v>
      </c>
      <c r="J600" t="n">
        <v>0</v>
      </c>
      <c r="K600" t="n">
        <v>0</v>
      </c>
      <c r="L600" t="n">
        <v>0</v>
      </c>
      <c r="M600" t="n">
        <v>0</v>
      </c>
      <c r="N600" t="n">
        <v>0</v>
      </c>
      <c r="O600" t="n">
        <v>0</v>
      </c>
      <c r="P600" t="n">
        <v>0</v>
      </c>
      <c r="Q600" t="n">
        <v>0</v>
      </c>
      <c r="R600" s="2" t="inlineStr"/>
    </row>
    <row r="601" ht="15" customHeight="1">
      <c r="A601" t="inlineStr">
        <is>
          <t>A 7262-2026</t>
        </is>
      </c>
      <c r="B601" s="1" t="n">
        <v>46058.6049537037</v>
      </c>
      <c r="C601" s="1" t="n">
        <v>46144</v>
      </c>
      <c r="D601" t="inlineStr">
        <is>
          <t>UPPSALA LÄN</t>
        </is>
      </c>
      <c r="E601" t="inlineStr">
        <is>
          <t>ÖSTHAMMAR</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60584-2021</t>
        </is>
      </c>
      <c r="B602" s="1" t="n">
        <v>44496</v>
      </c>
      <c r="C602" s="1" t="n">
        <v>46144</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6884-2026</t>
        </is>
      </c>
      <c r="B603" s="1" t="n">
        <v>46057.46614583334</v>
      </c>
      <c r="C603" s="1" t="n">
        <v>46144</v>
      </c>
      <c r="D603" t="inlineStr">
        <is>
          <t>UPPSALA LÄN</t>
        </is>
      </c>
      <c r="E603" t="inlineStr">
        <is>
          <t>ÖSTHAMMAR</t>
        </is>
      </c>
      <c r="G603" t="n">
        <v>4.1</v>
      </c>
      <c r="H603" t="n">
        <v>0</v>
      </c>
      <c r="I603" t="n">
        <v>0</v>
      </c>
      <c r="J603" t="n">
        <v>0</v>
      </c>
      <c r="K603" t="n">
        <v>0</v>
      </c>
      <c r="L603" t="n">
        <v>0</v>
      </c>
      <c r="M603" t="n">
        <v>0</v>
      </c>
      <c r="N603" t="n">
        <v>0</v>
      </c>
      <c r="O603" t="n">
        <v>0</v>
      </c>
      <c r="P603" t="n">
        <v>0</v>
      </c>
      <c r="Q603" t="n">
        <v>0</v>
      </c>
      <c r="R603" s="2" t="inlineStr"/>
    </row>
    <row r="604" ht="15" customHeight="1">
      <c r="A604" t="inlineStr">
        <is>
          <t>A 6762-2026</t>
        </is>
      </c>
      <c r="B604" s="1" t="n">
        <v>46056.85776620371</v>
      </c>
      <c r="C604" s="1" t="n">
        <v>46144</v>
      </c>
      <c r="D604" t="inlineStr">
        <is>
          <t>UPPSALA LÄN</t>
        </is>
      </c>
      <c r="E604" t="inlineStr">
        <is>
          <t>ÖSTHAMMAR</t>
        </is>
      </c>
      <c r="G604" t="n">
        <v>1.6</v>
      </c>
      <c r="H604" t="n">
        <v>0</v>
      </c>
      <c r="I604" t="n">
        <v>0</v>
      </c>
      <c r="J604" t="n">
        <v>0</v>
      </c>
      <c r="K604" t="n">
        <v>0</v>
      </c>
      <c r="L604" t="n">
        <v>0</v>
      </c>
      <c r="M604" t="n">
        <v>0</v>
      </c>
      <c r="N604" t="n">
        <v>0</v>
      </c>
      <c r="O604" t="n">
        <v>0</v>
      </c>
      <c r="P604" t="n">
        <v>0</v>
      </c>
      <c r="Q604" t="n">
        <v>0</v>
      </c>
      <c r="R604" s="2" t="inlineStr"/>
    </row>
    <row r="605" ht="15" customHeight="1">
      <c r="A605" t="inlineStr">
        <is>
          <t>A 7855-2026</t>
        </is>
      </c>
      <c r="B605" s="1" t="n">
        <v>46062.67241898148</v>
      </c>
      <c r="C605" s="1" t="n">
        <v>46144</v>
      </c>
      <c r="D605" t="inlineStr">
        <is>
          <t>UPPSALA LÄN</t>
        </is>
      </c>
      <c r="E605" t="inlineStr">
        <is>
          <t>ÖSTHAMMAR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17652-2025</t>
        </is>
      </c>
      <c r="B606" s="1" t="n">
        <v>45758.33583333333</v>
      </c>
      <c r="C606" s="1" t="n">
        <v>46144</v>
      </c>
      <c r="D606" t="inlineStr">
        <is>
          <t>UPPSALA LÄN</t>
        </is>
      </c>
      <c r="E606" t="inlineStr">
        <is>
          <t>ÖSTHAMMAR</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48719-2023</t>
        </is>
      </c>
      <c r="B607" s="1" t="n">
        <v>45208.70452546296</v>
      </c>
      <c r="C607" s="1" t="n">
        <v>46144</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14989-2026</t>
        </is>
      </c>
      <c r="B608" s="1" t="n">
        <v>46104.58371527777</v>
      </c>
      <c r="C608" s="1" t="n">
        <v>46144</v>
      </c>
      <c r="D608" t="inlineStr">
        <is>
          <t>UPPSALA LÄN</t>
        </is>
      </c>
      <c r="E608" t="inlineStr">
        <is>
          <t>ÖSTHAMMAR</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33784-2024</t>
        </is>
      </c>
      <c r="B609" s="1" t="n">
        <v>45520</v>
      </c>
      <c r="C609" s="1" t="n">
        <v>46144</v>
      </c>
      <c r="D609" t="inlineStr">
        <is>
          <t>UPPSALA LÄN</t>
        </is>
      </c>
      <c r="E609" t="inlineStr">
        <is>
          <t>ÖSTHAMMAR</t>
        </is>
      </c>
      <c r="F609" t="inlineStr">
        <is>
          <t>Naturvårdsverket</t>
        </is>
      </c>
      <c r="G609" t="n">
        <v>0.6</v>
      </c>
      <c r="H609" t="n">
        <v>0</v>
      </c>
      <c r="I609" t="n">
        <v>0</v>
      </c>
      <c r="J609" t="n">
        <v>0</v>
      </c>
      <c r="K609" t="n">
        <v>0</v>
      </c>
      <c r="L609" t="n">
        <v>0</v>
      </c>
      <c r="M609" t="n">
        <v>0</v>
      </c>
      <c r="N609" t="n">
        <v>0</v>
      </c>
      <c r="O609" t="n">
        <v>0</v>
      </c>
      <c r="P609" t="n">
        <v>0</v>
      </c>
      <c r="Q609" t="n">
        <v>0</v>
      </c>
      <c r="R609" s="2" t="inlineStr"/>
    </row>
    <row r="610" ht="15" customHeight="1">
      <c r="A610" t="inlineStr">
        <is>
          <t>A 14878-2026</t>
        </is>
      </c>
      <c r="B610" s="1" t="n">
        <v>46104.44351851852</v>
      </c>
      <c r="C610" s="1" t="n">
        <v>46144</v>
      </c>
      <c r="D610" t="inlineStr">
        <is>
          <t>UPPSALA LÄN</t>
        </is>
      </c>
      <c r="E610" t="inlineStr">
        <is>
          <t>ÖSTHAMMAR</t>
        </is>
      </c>
      <c r="F610" t="inlineStr">
        <is>
          <t>Övriga Aktiebolag</t>
        </is>
      </c>
      <c r="G610" t="n">
        <v>1.3</v>
      </c>
      <c r="H610" t="n">
        <v>0</v>
      </c>
      <c r="I610" t="n">
        <v>0</v>
      </c>
      <c r="J610" t="n">
        <v>0</v>
      </c>
      <c r="K610" t="n">
        <v>0</v>
      </c>
      <c r="L610" t="n">
        <v>0</v>
      </c>
      <c r="M610" t="n">
        <v>0</v>
      </c>
      <c r="N610" t="n">
        <v>0</v>
      </c>
      <c r="O610" t="n">
        <v>0</v>
      </c>
      <c r="P610" t="n">
        <v>0</v>
      </c>
      <c r="Q610" t="n">
        <v>0</v>
      </c>
      <c r="R610" s="2" t="inlineStr"/>
    </row>
    <row r="611" ht="15" customHeight="1">
      <c r="A611" t="inlineStr">
        <is>
          <t>A 15006-2026</t>
        </is>
      </c>
      <c r="B611" s="1" t="n">
        <v>46104.6130324074</v>
      </c>
      <c r="C611" s="1" t="n">
        <v>46144</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14986-2026</t>
        </is>
      </c>
      <c r="B612" s="1" t="n">
        <v>46104.5802662037</v>
      </c>
      <c r="C612" s="1" t="n">
        <v>46144</v>
      </c>
      <c r="D612" t="inlineStr">
        <is>
          <t>UPPSALA LÄN</t>
        </is>
      </c>
      <c r="E612" t="inlineStr">
        <is>
          <t>ÖSTHAMMAR</t>
        </is>
      </c>
      <c r="F612" t="inlineStr">
        <is>
          <t>Övriga Aktiebolag</t>
        </is>
      </c>
      <c r="G612" t="n">
        <v>4.4</v>
      </c>
      <c r="H612" t="n">
        <v>0</v>
      </c>
      <c r="I612" t="n">
        <v>0</v>
      </c>
      <c r="J612" t="n">
        <v>0</v>
      </c>
      <c r="K612" t="n">
        <v>0</v>
      </c>
      <c r="L612" t="n">
        <v>0</v>
      </c>
      <c r="M612" t="n">
        <v>0</v>
      </c>
      <c r="N612" t="n">
        <v>0</v>
      </c>
      <c r="O612" t="n">
        <v>0</v>
      </c>
      <c r="P612" t="n">
        <v>0</v>
      </c>
      <c r="Q612" t="n">
        <v>0</v>
      </c>
      <c r="R612" s="2" t="inlineStr"/>
    </row>
    <row r="613" ht="15" customHeight="1">
      <c r="A613" t="inlineStr">
        <is>
          <t>A 33601-2024</t>
        </is>
      </c>
      <c r="B613" s="1" t="n">
        <v>45520</v>
      </c>
      <c r="C613" s="1" t="n">
        <v>46144</v>
      </c>
      <c r="D613" t="inlineStr">
        <is>
          <t>UPPSALA LÄN</t>
        </is>
      </c>
      <c r="E613" t="inlineStr">
        <is>
          <t>ÖSTHAMMAR</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19009-2023</t>
        </is>
      </c>
      <c r="B614" s="1" t="n">
        <v>45045</v>
      </c>
      <c r="C614" s="1" t="n">
        <v>46144</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8291-2026</t>
        </is>
      </c>
      <c r="B615" s="1" t="n">
        <v>46064.56945601852</v>
      </c>
      <c r="C615" s="1" t="n">
        <v>46144</v>
      </c>
      <c r="D615" t="inlineStr">
        <is>
          <t>UPPSALA LÄN</t>
        </is>
      </c>
      <c r="E615" t="inlineStr">
        <is>
          <t>ÖSTHAMMAR</t>
        </is>
      </c>
      <c r="G615" t="n">
        <v>4.5</v>
      </c>
      <c r="H615" t="n">
        <v>0</v>
      </c>
      <c r="I615" t="n">
        <v>0</v>
      </c>
      <c r="J615" t="n">
        <v>0</v>
      </c>
      <c r="K615" t="n">
        <v>0</v>
      </c>
      <c r="L615" t="n">
        <v>0</v>
      </c>
      <c r="M615" t="n">
        <v>0</v>
      </c>
      <c r="N615" t="n">
        <v>0</v>
      </c>
      <c r="O615" t="n">
        <v>0</v>
      </c>
      <c r="P615" t="n">
        <v>0</v>
      </c>
      <c r="Q615" t="n">
        <v>0</v>
      </c>
      <c r="R615" s="2" t="inlineStr"/>
    </row>
    <row r="616" ht="15" customHeight="1">
      <c r="A616" t="inlineStr">
        <is>
          <t>A 15475-2026</t>
        </is>
      </c>
      <c r="B616" s="1" t="n">
        <v>46106.43859953704</v>
      </c>
      <c r="C616" s="1" t="n">
        <v>46144</v>
      </c>
      <c r="D616" t="inlineStr">
        <is>
          <t>UPPSALA LÄN</t>
        </is>
      </c>
      <c r="E616" t="inlineStr">
        <is>
          <t>ÖSTHAMMAR</t>
        </is>
      </c>
      <c r="G616" t="n">
        <v>2.4</v>
      </c>
      <c r="H616" t="n">
        <v>0</v>
      </c>
      <c r="I616" t="n">
        <v>0</v>
      </c>
      <c r="J616" t="n">
        <v>0</v>
      </c>
      <c r="K616" t="n">
        <v>0</v>
      </c>
      <c r="L616" t="n">
        <v>0</v>
      </c>
      <c r="M616" t="n">
        <v>0</v>
      </c>
      <c r="N616" t="n">
        <v>0</v>
      </c>
      <c r="O616" t="n">
        <v>0</v>
      </c>
      <c r="P616" t="n">
        <v>0</v>
      </c>
      <c r="Q616" t="n">
        <v>0</v>
      </c>
      <c r="R616" s="2" t="inlineStr"/>
    </row>
    <row r="617" ht="15" customHeight="1">
      <c r="A617" t="inlineStr">
        <is>
          <t>A 8269-2026</t>
        </is>
      </c>
      <c r="B617" s="1" t="n">
        <v>46064.54721064815</v>
      </c>
      <c r="C617" s="1" t="n">
        <v>46144</v>
      </c>
      <c r="D617" t="inlineStr">
        <is>
          <t>UPPSALA LÄN</t>
        </is>
      </c>
      <c r="E617" t="inlineStr">
        <is>
          <t>ÖSTHAMMAR</t>
        </is>
      </c>
      <c r="G617" t="n">
        <v>2.6</v>
      </c>
      <c r="H617" t="n">
        <v>0</v>
      </c>
      <c r="I617" t="n">
        <v>0</v>
      </c>
      <c r="J617" t="n">
        <v>0</v>
      </c>
      <c r="K617" t="n">
        <v>0</v>
      </c>
      <c r="L617" t="n">
        <v>0</v>
      </c>
      <c r="M617" t="n">
        <v>0</v>
      </c>
      <c r="N617" t="n">
        <v>0</v>
      </c>
      <c r="O617" t="n">
        <v>0</v>
      </c>
      <c r="P617" t="n">
        <v>0</v>
      </c>
      <c r="Q617" t="n">
        <v>0</v>
      </c>
      <c r="R617" s="2" t="inlineStr"/>
    </row>
    <row r="618" ht="15" customHeight="1">
      <c r="A618" t="inlineStr">
        <is>
          <t>A 8086-2026</t>
        </is>
      </c>
      <c r="B618" s="1" t="n">
        <v>46063.70094907407</v>
      </c>
      <c r="C618" s="1" t="n">
        <v>46144</v>
      </c>
      <c r="D618" t="inlineStr">
        <is>
          <t>UPPSALA LÄN</t>
        </is>
      </c>
      <c r="E618" t="inlineStr">
        <is>
          <t>ÖSTHAMMAR</t>
        </is>
      </c>
      <c r="G618" t="n">
        <v>3.8</v>
      </c>
      <c r="H618" t="n">
        <v>0</v>
      </c>
      <c r="I618" t="n">
        <v>0</v>
      </c>
      <c r="J618" t="n">
        <v>0</v>
      </c>
      <c r="K618" t="n">
        <v>0</v>
      </c>
      <c r="L618" t="n">
        <v>0</v>
      </c>
      <c r="M618" t="n">
        <v>0</v>
      </c>
      <c r="N618" t="n">
        <v>0</v>
      </c>
      <c r="O618" t="n">
        <v>0</v>
      </c>
      <c r="P618" t="n">
        <v>0</v>
      </c>
      <c r="Q618" t="n">
        <v>0</v>
      </c>
      <c r="R618" s="2" t="inlineStr"/>
    </row>
    <row r="619" ht="15" customHeight="1">
      <c r="A619" t="inlineStr">
        <is>
          <t>A 15640-2026</t>
        </is>
      </c>
      <c r="B619" s="1" t="n">
        <v>46106.63700231481</v>
      </c>
      <c r="C619" s="1" t="n">
        <v>46144</v>
      </c>
      <c r="D619" t="inlineStr">
        <is>
          <t>UPPSALA LÄN</t>
        </is>
      </c>
      <c r="E619" t="inlineStr">
        <is>
          <t>ÖSTHAMMAR</t>
        </is>
      </c>
      <c r="F619" t="inlineStr">
        <is>
          <t>Övriga Aktiebolag</t>
        </is>
      </c>
      <c r="G619" t="n">
        <v>7.7</v>
      </c>
      <c r="H619" t="n">
        <v>0</v>
      </c>
      <c r="I619" t="n">
        <v>0</v>
      </c>
      <c r="J619" t="n">
        <v>0</v>
      </c>
      <c r="K619" t="n">
        <v>0</v>
      </c>
      <c r="L619" t="n">
        <v>0</v>
      </c>
      <c r="M619" t="n">
        <v>0</v>
      </c>
      <c r="N619" t="n">
        <v>0</v>
      </c>
      <c r="O619" t="n">
        <v>0</v>
      </c>
      <c r="P619" t="n">
        <v>0</v>
      </c>
      <c r="Q619" t="n">
        <v>0</v>
      </c>
      <c r="R619" s="2" t="inlineStr"/>
    </row>
    <row r="620" ht="15" customHeight="1">
      <c r="A620" t="inlineStr">
        <is>
          <t>A 8014-2026</t>
        </is>
      </c>
      <c r="B620" s="1" t="n">
        <v>46063.54009259259</v>
      </c>
      <c r="C620" s="1" t="n">
        <v>46144</v>
      </c>
      <c r="D620" t="inlineStr">
        <is>
          <t>UPPSALA LÄN</t>
        </is>
      </c>
      <c r="E620" t="inlineStr">
        <is>
          <t>ÖSTHAMMAR</t>
        </is>
      </c>
      <c r="G620" t="n">
        <v>15.2</v>
      </c>
      <c r="H620" t="n">
        <v>0</v>
      </c>
      <c r="I620" t="n">
        <v>0</v>
      </c>
      <c r="J620" t="n">
        <v>0</v>
      </c>
      <c r="K620" t="n">
        <v>0</v>
      </c>
      <c r="L620" t="n">
        <v>0</v>
      </c>
      <c r="M620" t="n">
        <v>0</v>
      </c>
      <c r="N620" t="n">
        <v>0</v>
      </c>
      <c r="O620" t="n">
        <v>0</v>
      </c>
      <c r="P620" t="n">
        <v>0</v>
      </c>
      <c r="Q620" t="n">
        <v>0</v>
      </c>
      <c r="R620" s="2" t="inlineStr"/>
    </row>
    <row r="621" ht="15" customHeight="1">
      <c r="A621" t="inlineStr">
        <is>
          <t>A 30755-2024</t>
        </is>
      </c>
      <c r="B621" s="1" t="n">
        <v>45496</v>
      </c>
      <c r="C621" s="1" t="n">
        <v>46144</v>
      </c>
      <c r="D621" t="inlineStr">
        <is>
          <t>UPPSALA LÄN</t>
        </is>
      </c>
      <c r="E621" t="inlineStr">
        <is>
          <t>ÖSTHAMMAR</t>
        </is>
      </c>
      <c r="F621" t="inlineStr">
        <is>
          <t>Bergvik skog öst AB</t>
        </is>
      </c>
      <c r="G621" t="n">
        <v>0.6</v>
      </c>
      <c r="H621" t="n">
        <v>0</v>
      </c>
      <c r="I621" t="n">
        <v>0</v>
      </c>
      <c r="J621" t="n">
        <v>0</v>
      </c>
      <c r="K621" t="n">
        <v>0</v>
      </c>
      <c r="L621" t="n">
        <v>0</v>
      </c>
      <c r="M621" t="n">
        <v>0</v>
      </c>
      <c r="N621" t="n">
        <v>0</v>
      </c>
      <c r="O621" t="n">
        <v>0</v>
      </c>
      <c r="P621" t="n">
        <v>0</v>
      </c>
      <c r="Q621" t="n">
        <v>0</v>
      </c>
      <c r="R621" s="2" t="inlineStr"/>
    </row>
    <row r="622" ht="15" customHeight="1">
      <c r="A622" t="inlineStr">
        <is>
          <t>A 9052-2023</t>
        </is>
      </c>
      <c r="B622" s="1" t="n">
        <v>44979</v>
      </c>
      <c r="C622" s="1" t="n">
        <v>46144</v>
      </c>
      <c r="D622" t="inlineStr">
        <is>
          <t>UPPSALA LÄN</t>
        </is>
      </c>
      <c r="E622" t="inlineStr">
        <is>
          <t>ÖSTHAMMAR</t>
        </is>
      </c>
      <c r="F622" t="inlineStr">
        <is>
          <t>Kyrkan</t>
        </is>
      </c>
      <c r="G622" t="n">
        <v>0.2</v>
      </c>
      <c r="H622" t="n">
        <v>0</v>
      </c>
      <c r="I622" t="n">
        <v>0</v>
      </c>
      <c r="J622" t="n">
        <v>0</v>
      </c>
      <c r="K622" t="n">
        <v>0</v>
      </c>
      <c r="L622" t="n">
        <v>0</v>
      </c>
      <c r="M622" t="n">
        <v>0</v>
      </c>
      <c r="N622" t="n">
        <v>0</v>
      </c>
      <c r="O622" t="n">
        <v>0</v>
      </c>
      <c r="P622" t="n">
        <v>0</v>
      </c>
      <c r="Q622" t="n">
        <v>0</v>
      </c>
      <c r="R622" s="2" t="inlineStr"/>
    </row>
    <row r="623" ht="15" customHeight="1">
      <c r="A623" t="inlineStr">
        <is>
          <t>A 8030-2026</t>
        </is>
      </c>
      <c r="B623" s="1" t="n">
        <v>46063.57956018519</v>
      </c>
      <c r="C623" s="1" t="n">
        <v>46144</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15478-2026</t>
        </is>
      </c>
      <c r="B624" s="1" t="n">
        <v>46106.44582175926</v>
      </c>
      <c r="C624" s="1" t="n">
        <v>46144</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33760-2024</t>
        </is>
      </c>
      <c r="B625" s="1" t="n">
        <v>45520</v>
      </c>
      <c r="C625" s="1" t="n">
        <v>46144</v>
      </c>
      <c r="D625" t="inlineStr">
        <is>
          <t>UPPSALA LÄN</t>
        </is>
      </c>
      <c r="E625" t="inlineStr">
        <is>
          <t>ÖSTHAMMAR</t>
        </is>
      </c>
      <c r="F625" t="inlineStr">
        <is>
          <t>Övriga Aktiebolag</t>
        </is>
      </c>
      <c r="G625" t="n">
        <v>0.7</v>
      </c>
      <c r="H625" t="n">
        <v>0</v>
      </c>
      <c r="I625" t="n">
        <v>0</v>
      </c>
      <c r="J625" t="n">
        <v>0</v>
      </c>
      <c r="K625" t="n">
        <v>0</v>
      </c>
      <c r="L625" t="n">
        <v>0</v>
      </c>
      <c r="M625" t="n">
        <v>0</v>
      </c>
      <c r="N625" t="n">
        <v>0</v>
      </c>
      <c r="O625" t="n">
        <v>0</v>
      </c>
      <c r="P625" t="n">
        <v>0</v>
      </c>
      <c r="Q625" t="n">
        <v>0</v>
      </c>
      <c r="R625" s="2" t="inlineStr"/>
    </row>
    <row r="626" ht="15" customHeight="1">
      <c r="A626" t="inlineStr">
        <is>
          <t>A 15744-2026</t>
        </is>
      </c>
      <c r="B626" s="1" t="n">
        <v>46107.4175462963</v>
      </c>
      <c r="C626" s="1" t="n">
        <v>46144</v>
      </c>
      <c r="D626" t="inlineStr">
        <is>
          <t>UPPSALA LÄN</t>
        </is>
      </c>
      <c r="E626" t="inlineStr">
        <is>
          <t>ÖSTHAMMAR</t>
        </is>
      </c>
      <c r="F626" t="inlineStr">
        <is>
          <t>Bergvik skog öst AB</t>
        </is>
      </c>
      <c r="G626" t="n">
        <v>7.8</v>
      </c>
      <c r="H626" t="n">
        <v>0</v>
      </c>
      <c r="I626" t="n">
        <v>0</v>
      </c>
      <c r="J626" t="n">
        <v>0</v>
      </c>
      <c r="K626" t="n">
        <v>0</v>
      </c>
      <c r="L626" t="n">
        <v>0</v>
      </c>
      <c r="M626" t="n">
        <v>0</v>
      </c>
      <c r="N626" t="n">
        <v>0</v>
      </c>
      <c r="O626" t="n">
        <v>0</v>
      </c>
      <c r="P626" t="n">
        <v>0</v>
      </c>
      <c r="Q626" t="n">
        <v>0</v>
      </c>
      <c r="R626" s="2" t="inlineStr"/>
    </row>
    <row r="627" ht="15" customHeight="1">
      <c r="A627" t="inlineStr">
        <is>
          <t>A 3725-2022</t>
        </is>
      </c>
      <c r="B627" s="1" t="n">
        <v>44586</v>
      </c>
      <c r="C627" s="1" t="n">
        <v>46144</v>
      </c>
      <c r="D627" t="inlineStr">
        <is>
          <t>UPPSALA LÄN</t>
        </is>
      </c>
      <c r="E627" t="inlineStr">
        <is>
          <t>ÖSTHAMMAR</t>
        </is>
      </c>
      <c r="G627" t="n">
        <v>2</v>
      </c>
      <c r="H627" t="n">
        <v>0</v>
      </c>
      <c r="I627" t="n">
        <v>0</v>
      </c>
      <c r="J627" t="n">
        <v>0</v>
      </c>
      <c r="K627" t="n">
        <v>0</v>
      </c>
      <c r="L627" t="n">
        <v>0</v>
      </c>
      <c r="M627" t="n">
        <v>0</v>
      </c>
      <c r="N627" t="n">
        <v>0</v>
      </c>
      <c r="O627" t="n">
        <v>0</v>
      </c>
      <c r="P627" t="n">
        <v>0</v>
      </c>
      <c r="Q627" t="n">
        <v>0</v>
      </c>
      <c r="R627" s="2" t="inlineStr"/>
    </row>
    <row r="628" ht="15" customHeight="1">
      <c r="A628" t="inlineStr">
        <is>
          <t>A 8789-2026</t>
        </is>
      </c>
      <c r="B628" s="1" t="n">
        <v>46066.58792824074</v>
      </c>
      <c r="C628" s="1" t="n">
        <v>46144</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8006-2023</t>
        </is>
      </c>
      <c r="B629" s="1" t="n">
        <v>44973</v>
      </c>
      <c r="C629" s="1" t="n">
        <v>46144</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11469-2023</t>
        </is>
      </c>
      <c r="B630" s="1" t="n">
        <v>44993.60099537037</v>
      </c>
      <c r="C630" s="1" t="n">
        <v>46144</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15452-2026</t>
        </is>
      </c>
      <c r="B631" s="1" t="n">
        <v>46106.4181712963</v>
      </c>
      <c r="C631" s="1" t="n">
        <v>46144</v>
      </c>
      <c r="D631" t="inlineStr">
        <is>
          <t>UPPSALA LÄN</t>
        </is>
      </c>
      <c r="E631" t="inlineStr">
        <is>
          <t>ÖSTHAMMAR</t>
        </is>
      </c>
      <c r="G631" t="n">
        <v>0.7</v>
      </c>
      <c r="H631" t="n">
        <v>0</v>
      </c>
      <c r="I631" t="n">
        <v>0</v>
      </c>
      <c r="J631" t="n">
        <v>0</v>
      </c>
      <c r="K631" t="n">
        <v>0</v>
      </c>
      <c r="L631" t="n">
        <v>0</v>
      </c>
      <c r="M631" t="n">
        <v>0</v>
      </c>
      <c r="N631" t="n">
        <v>0</v>
      </c>
      <c r="O631" t="n">
        <v>0</v>
      </c>
      <c r="P631" t="n">
        <v>0</v>
      </c>
      <c r="Q631" t="n">
        <v>0</v>
      </c>
      <c r="R631" s="2" t="inlineStr"/>
    </row>
    <row r="632" ht="15" customHeight="1">
      <c r="A632" t="inlineStr">
        <is>
          <t>A 25033-2021</t>
        </is>
      </c>
      <c r="B632" s="1" t="n">
        <v>44341.590625</v>
      </c>
      <c r="C632" s="1" t="n">
        <v>46144</v>
      </c>
      <c r="D632" t="inlineStr">
        <is>
          <t>UPPSALA LÄN</t>
        </is>
      </c>
      <c r="E632" t="inlineStr">
        <is>
          <t>ÖSTHAMMAR</t>
        </is>
      </c>
      <c r="F632" t="inlineStr">
        <is>
          <t>Bergvik skog öst AB</t>
        </is>
      </c>
      <c r="G632" t="n">
        <v>1</v>
      </c>
      <c r="H632" t="n">
        <v>0</v>
      </c>
      <c r="I632" t="n">
        <v>0</v>
      </c>
      <c r="J632" t="n">
        <v>0</v>
      </c>
      <c r="K632" t="n">
        <v>0</v>
      </c>
      <c r="L632" t="n">
        <v>0</v>
      </c>
      <c r="M632" t="n">
        <v>0</v>
      </c>
      <c r="N632" t="n">
        <v>0</v>
      </c>
      <c r="O632" t="n">
        <v>0</v>
      </c>
      <c r="P632" t="n">
        <v>0</v>
      </c>
      <c r="Q632" t="n">
        <v>0</v>
      </c>
      <c r="R632" s="2" t="inlineStr"/>
    </row>
    <row r="633" ht="15" customHeight="1">
      <c r="A633" t="inlineStr">
        <is>
          <t>A 8525-2026</t>
        </is>
      </c>
      <c r="B633" s="1" t="n">
        <v>46065.58760416666</v>
      </c>
      <c r="C633" s="1" t="n">
        <v>46144</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8530-2026</t>
        </is>
      </c>
      <c r="B634" s="1" t="n">
        <v>46065.60075231481</v>
      </c>
      <c r="C634" s="1" t="n">
        <v>46144</v>
      </c>
      <c r="D634" t="inlineStr">
        <is>
          <t>UPPSALA LÄN</t>
        </is>
      </c>
      <c r="E634" t="inlineStr">
        <is>
          <t>ÖSTHAMMAR</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16038-2026</t>
        </is>
      </c>
      <c r="B635" s="1" t="n">
        <v>46108</v>
      </c>
      <c r="C635" s="1" t="n">
        <v>46144</v>
      </c>
      <c r="D635" t="inlineStr">
        <is>
          <t>UPPSALA LÄN</t>
        </is>
      </c>
      <c r="E635" t="inlineStr">
        <is>
          <t>ÖSTHAMMAR</t>
        </is>
      </c>
      <c r="G635" t="n">
        <v>2.2</v>
      </c>
      <c r="H635" t="n">
        <v>0</v>
      </c>
      <c r="I635" t="n">
        <v>0</v>
      </c>
      <c r="J635" t="n">
        <v>0</v>
      </c>
      <c r="K635" t="n">
        <v>0</v>
      </c>
      <c r="L635" t="n">
        <v>0</v>
      </c>
      <c r="M635" t="n">
        <v>0</v>
      </c>
      <c r="N635" t="n">
        <v>0</v>
      </c>
      <c r="O635" t="n">
        <v>0</v>
      </c>
      <c r="P635" t="n">
        <v>0</v>
      </c>
      <c r="Q635" t="n">
        <v>0</v>
      </c>
      <c r="R635" s="2" t="inlineStr"/>
    </row>
    <row r="636" ht="15" customHeight="1">
      <c r="A636" t="inlineStr">
        <is>
          <t>A 18113-2023</t>
        </is>
      </c>
      <c r="B636" s="1" t="n">
        <v>45040</v>
      </c>
      <c r="C636" s="1" t="n">
        <v>46144</v>
      </c>
      <c r="D636" t="inlineStr">
        <is>
          <t>UPPSALA LÄN</t>
        </is>
      </c>
      <c r="E636" t="inlineStr">
        <is>
          <t>ÖSTHAMMAR</t>
        </is>
      </c>
      <c r="G636" t="n">
        <v>2.1</v>
      </c>
      <c r="H636" t="n">
        <v>0</v>
      </c>
      <c r="I636" t="n">
        <v>0</v>
      </c>
      <c r="J636" t="n">
        <v>0</v>
      </c>
      <c r="K636" t="n">
        <v>0</v>
      </c>
      <c r="L636" t="n">
        <v>0</v>
      </c>
      <c r="M636" t="n">
        <v>0</v>
      </c>
      <c r="N636" t="n">
        <v>0</v>
      </c>
      <c r="O636" t="n">
        <v>0</v>
      </c>
      <c r="P636" t="n">
        <v>0</v>
      </c>
      <c r="Q636" t="n">
        <v>0</v>
      </c>
      <c r="R636" s="2" t="inlineStr"/>
    </row>
    <row r="637" ht="15" customHeight="1">
      <c r="A637" t="inlineStr">
        <is>
          <t>A 16640-2026</t>
        </is>
      </c>
      <c r="B637" s="1" t="n">
        <v>46112.63155092593</v>
      </c>
      <c r="C637" s="1" t="n">
        <v>46144</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16601-2026</t>
        </is>
      </c>
      <c r="B638" s="1" t="n">
        <v>46112.59744212963</v>
      </c>
      <c r="C638" s="1" t="n">
        <v>46144</v>
      </c>
      <c r="D638" t="inlineStr">
        <is>
          <t>UPPSALA LÄN</t>
        </is>
      </c>
      <c r="E638" t="inlineStr">
        <is>
          <t>ÖSTHAMMAR</t>
        </is>
      </c>
      <c r="F638" t="inlineStr">
        <is>
          <t>Bergvik skog öst AB</t>
        </is>
      </c>
      <c r="G638" t="n">
        <v>6.1</v>
      </c>
      <c r="H638" t="n">
        <v>0</v>
      </c>
      <c r="I638" t="n">
        <v>0</v>
      </c>
      <c r="J638" t="n">
        <v>0</v>
      </c>
      <c r="K638" t="n">
        <v>0</v>
      </c>
      <c r="L638" t="n">
        <v>0</v>
      </c>
      <c r="M638" t="n">
        <v>0</v>
      </c>
      <c r="N638" t="n">
        <v>0</v>
      </c>
      <c r="O638" t="n">
        <v>0</v>
      </c>
      <c r="P638" t="n">
        <v>0</v>
      </c>
      <c r="Q638" t="n">
        <v>0</v>
      </c>
      <c r="R638" s="2" t="inlineStr"/>
    </row>
    <row r="639" ht="15" customHeight="1">
      <c r="A639" t="inlineStr">
        <is>
          <t>A 23120-2021</t>
        </is>
      </c>
      <c r="B639" s="1" t="n">
        <v>44330</v>
      </c>
      <c r="C639" s="1" t="n">
        <v>46144</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16042-2026</t>
        </is>
      </c>
      <c r="B640" s="1" t="n">
        <v>46108</v>
      </c>
      <c r="C640" s="1" t="n">
        <v>46144</v>
      </c>
      <c r="D640" t="inlineStr">
        <is>
          <t>UPPSALA LÄN</t>
        </is>
      </c>
      <c r="E640" t="inlineStr">
        <is>
          <t>ÖSTHAMMAR</t>
        </is>
      </c>
      <c r="G640" t="n">
        <v>0.8</v>
      </c>
      <c r="H640" t="n">
        <v>0</v>
      </c>
      <c r="I640" t="n">
        <v>0</v>
      </c>
      <c r="J640" t="n">
        <v>0</v>
      </c>
      <c r="K640" t="n">
        <v>0</v>
      </c>
      <c r="L640" t="n">
        <v>0</v>
      </c>
      <c r="M640" t="n">
        <v>0</v>
      </c>
      <c r="N640" t="n">
        <v>0</v>
      </c>
      <c r="O640" t="n">
        <v>0</v>
      </c>
      <c r="P640" t="n">
        <v>0</v>
      </c>
      <c r="Q640" t="n">
        <v>0</v>
      </c>
      <c r="R640" s="2" t="inlineStr"/>
    </row>
    <row r="641" ht="15" customHeight="1">
      <c r="A641" t="inlineStr">
        <is>
          <t>A 52389-2022</t>
        </is>
      </c>
      <c r="B641" s="1" t="n">
        <v>44874.38325231482</v>
      </c>
      <c r="C641" s="1" t="n">
        <v>46144</v>
      </c>
      <c r="D641" t="inlineStr">
        <is>
          <t>UPPSALA LÄN</t>
        </is>
      </c>
      <c r="E641" t="inlineStr">
        <is>
          <t>ÖSTHAMMAR</t>
        </is>
      </c>
      <c r="G641" t="n">
        <v>3.1</v>
      </c>
      <c r="H641" t="n">
        <v>0</v>
      </c>
      <c r="I641" t="n">
        <v>0</v>
      </c>
      <c r="J641" t="n">
        <v>0</v>
      </c>
      <c r="K641" t="n">
        <v>0</v>
      </c>
      <c r="L641" t="n">
        <v>0</v>
      </c>
      <c r="M641" t="n">
        <v>0</v>
      </c>
      <c r="N641" t="n">
        <v>0</v>
      </c>
      <c r="O641" t="n">
        <v>0</v>
      </c>
      <c r="P641" t="n">
        <v>0</v>
      </c>
      <c r="Q641" t="n">
        <v>0</v>
      </c>
      <c r="R641" s="2" t="inlineStr"/>
    </row>
    <row r="642" ht="15" customHeight="1">
      <c r="A642" t="inlineStr">
        <is>
          <t>A 16494-2026</t>
        </is>
      </c>
      <c r="B642" s="1" t="n">
        <v>46112.43229166666</v>
      </c>
      <c r="C642" s="1" t="n">
        <v>46144</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16614-2026</t>
        </is>
      </c>
      <c r="B643" s="1" t="n">
        <v>46112.60460648148</v>
      </c>
      <c r="C643" s="1" t="n">
        <v>46144</v>
      </c>
      <c r="D643" t="inlineStr">
        <is>
          <t>UPPSALA LÄN</t>
        </is>
      </c>
      <c r="E643" t="inlineStr">
        <is>
          <t>ÖSTHAMMAR</t>
        </is>
      </c>
      <c r="F643" t="inlineStr">
        <is>
          <t>Bergvik skog öst AB</t>
        </is>
      </c>
      <c r="G643" t="n">
        <v>2.4</v>
      </c>
      <c r="H643" t="n">
        <v>0</v>
      </c>
      <c r="I643" t="n">
        <v>0</v>
      </c>
      <c r="J643" t="n">
        <v>0</v>
      </c>
      <c r="K643" t="n">
        <v>0</v>
      </c>
      <c r="L643" t="n">
        <v>0</v>
      </c>
      <c r="M643" t="n">
        <v>0</v>
      </c>
      <c r="N643" t="n">
        <v>0</v>
      </c>
      <c r="O643" t="n">
        <v>0</v>
      </c>
      <c r="P643" t="n">
        <v>0</v>
      </c>
      <c r="Q643" t="n">
        <v>0</v>
      </c>
      <c r="R643" s="2" t="inlineStr"/>
    </row>
    <row r="644" ht="15" customHeight="1">
      <c r="A644" t="inlineStr">
        <is>
          <t>A 1238-2022</t>
        </is>
      </c>
      <c r="B644" s="1" t="n">
        <v>44572.5827662037</v>
      </c>
      <c r="C644" s="1" t="n">
        <v>46144</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16608-2026</t>
        </is>
      </c>
      <c r="B645" s="1" t="n">
        <v>46112.60068287037</v>
      </c>
      <c r="C645" s="1" t="n">
        <v>46144</v>
      </c>
      <c r="D645" t="inlineStr">
        <is>
          <t>UPPSALA LÄN</t>
        </is>
      </c>
      <c r="E645" t="inlineStr">
        <is>
          <t>ÖSTHAMMAR</t>
        </is>
      </c>
      <c r="F645" t="inlineStr">
        <is>
          <t>Bergvik skog öst AB</t>
        </is>
      </c>
      <c r="G645" t="n">
        <v>2.6</v>
      </c>
      <c r="H645" t="n">
        <v>0</v>
      </c>
      <c r="I645" t="n">
        <v>0</v>
      </c>
      <c r="J645" t="n">
        <v>0</v>
      </c>
      <c r="K645" t="n">
        <v>0</v>
      </c>
      <c r="L645" t="n">
        <v>0</v>
      </c>
      <c r="M645" t="n">
        <v>0</v>
      </c>
      <c r="N645" t="n">
        <v>0</v>
      </c>
      <c r="O645" t="n">
        <v>0</v>
      </c>
      <c r="P645" t="n">
        <v>0</v>
      </c>
      <c r="Q645" t="n">
        <v>0</v>
      </c>
      <c r="R645" s="2" t="inlineStr"/>
    </row>
    <row r="646" ht="15" customHeight="1">
      <c r="A646" t="inlineStr">
        <is>
          <t>A 16522-2026</t>
        </is>
      </c>
      <c r="B646" s="1" t="n">
        <v>46112.46268518519</v>
      </c>
      <c r="C646" s="1" t="n">
        <v>46144</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16612-2026</t>
        </is>
      </c>
      <c r="B647" s="1" t="n">
        <v>46112.60299768519</v>
      </c>
      <c r="C647" s="1" t="n">
        <v>46144</v>
      </c>
      <c r="D647" t="inlineStr">
        <is>
          <t>UPPSALA LÄN</t>
        </is>
      </c>
      <c r="E647" t="inlineStr">
        <is>
          <t>ÖSTHAMMAR</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16359-2026</t>
        </is>
      </c>
      <c r="B648" s="1" t="n">
        <v>46111.60564814815</v>
      </c>
      <c r="C648" s="1" t="n">
        <v>46144</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16498-2026</t>
        </is>
      </c>
      <c r="B649" s="1" t="n">
        <v>46112.43565972222</v>
      </c>
      <c r="C649" s="1" t="n">
        <v>46144</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3327-2023</t>
        </is>
      </c>
      <c r="B650" s="1" t="n">
        <v>44949.4377662037</v>
      </c>
      <c r="C650" s="1" t="n">
        <v>46144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44953.48619212963</v>
      </c>
      <c r="C651" s="1" t="n">
        <v>46144</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30811-2023</t>
        </is>
      </c>
      <c r="B652" s="1" t="n">
        <v>45112.86422453704</v>
      </c>
      <c r="C652" s="1" t="n">
        <v>46144</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16796-2026</t>
        </is>
      </c>
      <c r="B653" s="1" t="n">
        <v>46113.47394675926</v>
      </c>
      <c r="C653" s="1" t="n">
        <v>46144</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9666-2026</t>
        </is>
      </c>
      <c r="B654" s="1" t="n">
        <v>46072.36847222222</v>
      </c>
      <c r="C654" s="1" t="n">
        <v>46144</v>
      </c>
      <c r="D654" t="inlineStr">
        <is>
          <t>UPPSALA LÄN</t>
        </is>
      </c>
      <c r="E654" t="inlineStr">
        <is>
          <t>ÖSTHAMMAR</t>
        </is>
      </c>
      <c r="F654" t="inlineStr">
        <is>
          <t>Bergvik skog öst AB</t>
        </is>
      </c>
      <c r="G654" t="n">
        <v>12.8</v>
      </c>
      <c r="H654" t="n">
        <v>0</v>
      </c>
      <c r="I654" t="n">
        <v>0</v>
      </c>
      <c r="J654" t="n">
        <v>0</v>
      </c>
      <c r="K654" t="n">
        <v>0</v>
      </c>
      <c r="L654" t="n">
        <v>0</v>
      </c>
      <c r="M654" t="n">
        <v>0</v>
      </c>
      <c r="N654" t="n">
        <v>0</v>
      </c>
      <c r="O654" t="n">
        <v>0</v>
      </c>
      <c r="P654" t="n">
        <v>0</v>
      </c>
      <c r="Q654" t="n">
        <v>0</v>
      </c>
      <c r="R654" s="2" t="inlineStr"/>
    </row>
    <row r="655" ht="15" customHeight="1">
      <c r="A655" t="inlineStr">
        <is>
          <t>A 8708-2022</t>
        </is>
      </c>
      <c r="B655" s="1" t="n">
        <v>44613.77238425926</v>
      </c>
      <c r="C655" s="1" t="n">
        <v>46144</v>
      </c>
      <c r="D655" t="inlineStr">
        <is>
          <t>UPPSALA LÄN</t>
        </is>
      </c>
      <c r="E655" t="inlineStr">
        <is>
          <t>ÖSTHAMMAR</t>
        </is>
      </c>
      <c r="G655" t="n">
        <v>4.3</v>
      </c>
      <c r="H655" t="n">
        <v>0</v>
      </c>
      <c r="I655" t="n">
        <v>0</v>
      </c>
      <c r="J655" t="n">
        <v>0</v>
      </c>
      <c r="K655" t="n">
        <v>0</v>
      </c>
      <c r="L655" t="n">
        <v>0</v>
      </c>
      <c r="M655" t="n">
        <v>0</v>
      </c>
      <c r="N655" t="n">
        <v>0</v>
      </c>
      <c r="O655" t="n">
        <v>0</v>
      </c>
      <c r="P655" t="n">
        <v>0</v>
      </c>
      <c r="Q655" t="n">
        <v>0</v>
      </c>
      <c r="R655" s="2" t="inlineStr"/>
    </row>
    <row r="656" ht="15" customHeight="1">
      <c r="A656" t="inlineStr">
        <is>
          <t>A 16788-2026</t>
        </is>
      </c>
      <c r="B656" s="1" t="n">
        <v>46113.46101851852</v>
      </c>
      <c r="C656" s="1" t="n">
        <v>46144</v>
      </c>
      <c r="D656" t="inlineStr">
        <is>
          <t>UPPSALA LÄN</t>
        </is>
      </c>
      <c r="E656" t="inlineStr">
        <is>
          <t>ÖSTHAMMAR</t>
        </is>
      </c>
      <c r="G656" t="n">
        <v>0.8</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46144</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9664-2026</t>
        </is>
      </c>
      <c r="B658" s="1" t="n">
        <v>46072.36732638889</v>
      </c>
      <c r="C658" s="1" t="n">
        <v>46144</v>
      </c>
      <c r="D658" t="inlineStr">
        <is>
          <t>UPPSALA LÄN</t>
        </is>
      </c>
      <c r="E658" t="inlineStr">
        <is>
          <t>ÖSTHAMMAR</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25269-2024</t>
        </is>
      </c>
      <c r="B659" s="1" t="n">
        <v>45462</v>
      </c>
      <c r="C659" s="1" t="n">
        <v>46144</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59382-2022</t>
        </is>
      </c>
      <c r="B660" s="1" t="n">
        <v>44905.50363425926</v>
      </c>
      <c r="C660" s="1" t="n">
        <v>46144</v>
      </c>
      <c r="D660" t="inlineStr">
        <is>
          <t>UPPSALA LÄN</t>
        </is>
      </c>
      <c r="E660" t="inlineStr">
        <is>
          <t>ÖSTHAMMAR</t>
        </is>
      </c>
      <c r="G660" t="n">
        <v>2.9</v>
      </c>
      <c r="H660" t="n">
        <v>0</v>
      </c>
      <c r="I660" t="n">
        <v>0</v>
      </c>
      <c r="J660" t="n">
        <v>0</v>
      </c>
      <c r="K660" t="n">
        <v>0</v>
      </c>
      <c r="L660" t="n">
        <v>0</v>
      </c>
      <c r="M660" t="n">
        <v>0</v>
      </c>
      <c r="N660" t="n">
        <v>0</v>
      </c>
      <c r="O660" t="n">
        <v>0</v>
      </c>
      <c r="P660" t="n">
        <v>0</v>
      </c>
      <c r="Q660" t="n">
        <v>0</v>
      </c>
      <c r="R660" s="2" t="inlineStr"/>
    </row>
    <row r="661" ht="15" customHeight="1">
      <c r="A661" t="inlineStr">
        <is>
          <t>A 25969-2023</t>
        </is>
      </c>
      <c r="B661" s="1" t="n">
        <v>45090</v>
      </c>
      <c r="C661" s="1" t="n">
        <v>46144</v>
      </c>
      <c r="D661" t="inlineStr">
        <is>
          <t>UPPSALA LÄN</t>
        </is>
      </c>
      <c r="E661" t="inlineStr">
        <is>
          <t>ÖSTHAMMAR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56903-2023</t>
        </is>
      </c>
      <c r="B662" s="1" t="n">
        <v>45244.56943287037</v>
      </c>
      <c r="C662" s="1" t="n">
        <v>46144</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67151-2021</t>
        </is>
      </c>
      <c r="B663" s="1" t="n">
        <v>44523</v>
      </c>
      <c r="C663" s="1" t="n">
        <v>46144</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29824-2023</t>
        </is>
      </c>
      <c r="B664" s="1" t="n">
        <v>45107</v>
      </c>
      <c r="C664" s="1" t="n">
        <v>46144</v>
      </c>
      <c r="D664" t="inlineStr">
        <is>
          <t>UPPSALA LÄN</t>
        </is>
      </c>
      <c r="E664" t="inlineStr">
        <is>
          <t>ÖSTHAMMAR</t>
        </is>
      </c>
      <c r="F664" t="inlineStr">
        <is>
          <t>Naturvårdsverket</t>
        </is>
      </c>
      <c r="G664" t="n">
        <v>1.6</v>
      </c>
      <c r="H664" t="n">
        <v>0</v>
      </c>
      <c r="I664" t="n">
        <v>0</v>
      </c>
      <c r="J664" t="n">
        <v>0</v>
      </c>
      <c r="K664" t="n">
        <v>0</v>
      </c>
      <c r="L664" t="n">
        <v>0</v>
      </c>
      <c r="M664" t="n">
        <v>0</v>
      </c>
      <c r="N664" t="n">
        <v>0</v>
      </c>
      <c r="O664" t="n">
        <v>0</v>
      </c>
      <c r="P664" t="n">
        <v>0</v>
      </c>
      <c r="Q664" t="n">
        <v>0</v>
      </c>
      <c r="R664" s="2" t="inlineStr"/>
    </row>
    <row r="665" ht="15" customHeight="1">
      <c r="A665" t="inlineStr">
        <is>
          <t>A 64586-2021</t>
        </is>
      </c>
      <c r="B665" s="1" t="n">
        <v>44511</v>
      </c>
      <c r="C665" s="1" t="n">
        <v>46144</v>
      </c>
      <c r="D665" t="inlineStr">
        <is>
          <t>UPPSALA LÄN</t>
        </is>
      </c>
      <c r="E665" t="inlineStr">
        <is>
          <t>ÖSTHAMMAR</t>
        </is>
      </c>
      <c r="G665" t="n">
        <v>2</v>
      </c>
      <c r="H665" t="n">
        <v>0</v>
      </c>
      <c r="I665" t="n">
        <v>0</v>
      </c>
      <c r="J665" t="n">
        <v>0</v>
      </c>
      <c r="K665" t="n">
        <v>0</v>
      </c>
      <c r="L665" t="n">
        <v>0</v>
      </c>
      <c r="M665" t="n">
        <v>0</v>
      </c>
      <c r="N665" t="n">
        <v>0</v>
      </c>
      <c r="O665" t="n">
        <v>0</v>
      </c>
      <c r="P665" t="n">
        <v>0</v>
      </c>
      <c r="Q665" t="n">
        <v>0</v>
      </c>
      <c r="R665" s="2" t="inlineStr"/>
    </row>
    <row r="666" ht="15" customHeight="1">
      <c r="A666" t="inlineStr">
        <is>
          <t>A 13755-2023</t>
        </is>
      </c>
      <c r="B666" s="1" t="n">
        <v>45007</v>
      </c>
      <c r="C666" s="1" t="n">
        <v>46144</v>
      </c>
      <c r="D666" t="inlineStr">
        <is>
          <t>UPPSALA LÄN</t>
        </is>
      </c>
      <c r="E666" t="inlineStr">
        <is>
          <t>ÖSTHAMMAR</t>
        </is>
      </c>
      <c r="G666" t="n">
        <v>2.4</v>
      </c>
      <c r="H666" t="n">
        <v>0</v>
      </c>
      <c r="I666" t="n">
        <v>0</v>
      </c>
      <c r="J666" t="n">
        <v>0</v>
      </c>
      <c r="K666" t="n">
        <v>0</v>
      </c>
      <c r="L666" t="n">
        <v>0</v>
      </c>
      <c r="M666" t="n">
        <v>0</v>
      </c>
      <c r="N666" t="n">
        <v>0</v>
      </c>
      <c r="O666" t="n">
        <v>0</v>
      </c>
      <c r="P666" t="n">
        <v>0</v>
      </c>
      <c r="Q666" t="n">
        <v>0</v>
      </c>
      <c r="R666" s="2" t="inlineStr"/>
    </row>
    <row r="667" ht="15" customHeight="1">
      <c r="A667" t="inlineStr">
        <is>
          <t>A 64774-2023</t>
        </is>
      </c>
      <c r="B667" s="1" t="n">
        <v>45282</v>
      </c>
      <c r="C667" s="1" t="n">
        <v>46144</v>
      </c>
      <c r="D667" t="inlineStr">
        <is>
          <t>UPPSALA LÄN</t>
        </is>
      </c>
      <c r="E667" t="inlineStr">
        <is>
          <t>ÖSTHAMMAR</t>
        </is>
      </c>
      <c r="F667" t="inlineStr">
        <is>
          <t>Övriga Aktiebolag</t>
        </is>
      </c>
      <c r="G667" t="n">
        <v>3.7</v>
      </c>
      <c r="H667" t="n">
        <v>0</v>
      </c>
      <c r="I667" t="n">
        <v>0</v>
      </c>
      <c r="J667" t="n">
        <v>0</v>
      </c>
      <c r="K667" t="n">
        <v>0</v>
      </c>
      <c r="L667" t="n">
        <v>0</v>
      </c>
      <c r="M667" t="n">
        <v>0</v>
      </c>
      <c r="N667" t="n">
        <v>0</v>
      </c>
      <c r="O667" t="n">
        <v>0</v>
      </c>
      <c r="P667" t="n">
        <v>0</v>
      </c>
      <c r="Q667" t="n">
        <v>0</v>
      </c>
      <c r="R667" s="2" t="inlineStr"/>
    </row>
    <row r="668" ht="15" customHeight="1">
      <c r="A668" t="inlineStr">
        <is>
          <t>A 65020-2021</t>
        </is>
      </c>
      <c r="B668" s="1" t="n">
        <v>44515</v>
      </c>
      <c r="C668" s="1" t="n">
        <v>46144</v>
      </c>
      <c r="D668" t="inlineStr">
        <is>
          <t>UPPSALA LÄN</t>
        </is>
      </c>
      <c r="E668" t="inlineStr">
        <is>
          <t>ÖSTHAMMAR</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17764-2026</t>
        </is>
      </c>
      <c r="B669" s="1" t="n">
        <v>46122.35938657408</v>
      </c>
      <c r="C669" s="1" t="n">
        <v>46144</v>
      </c>
      <c r="D669" t="inlineStr">
        <is>
          <t>UPPSALA LÄN</t>
        </is>
      </c>
      <c r="E669" t="inlineStr">
        <is>
          <t>ÖSTHAMMAR</t>
        </is>
      </c>
      <c r="F669" t="inlineStr">
        <is>
          <t>Bergvik skog öst AB</t>
        </is>
      </c>
      <c r="G669" t="n">
        <v>3</v>
      </c>
      <c r="H669" t="n">
        <v>0</v>
      </c>
      <c r="I669" t="n">
        <v>0</v>
      </c>
      <c r="J669" t="n">
        <v>0</v>
      </c>
      <c r="K669" t="n">
        <v>0</v>
      </c>
      <c r="L669" t="n">
        <v>0</v>
      </c>
      <c r="M669" t="n">
        <v>0</v>
      </c>
      <c r="N669" t="n">
        <v>0</v>
      </c>
      <c r="O669" t="n">
        <v>0</v>
      </c>
      <c r="P669" t="n">
        <v>0</v>
      </c>
      <c r="Q669" t="n">
        <v>0</v>
      </c>
      <c r="R669" s="2" t="inlineStr"/>
    </row>
    <row r="670" ht="15" customHeight="1">
      <c r="A670" t="inlineStr">
        <is>
          <t>A 2085-2022</t>
        </is>
      </c>
      <c r="B670" s="1" t="n">
        <v>44576.78626157407</v>
      </c>
      <c r="C670" s="1" t="n">
        <v>46144</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17928-2026</t>
        </is>
      </c>
      <c r="B671" s="1" t="n">
        <v>46122.62048611111</v>
      </c>
      <c r="C671" s="1" t="n">
        <v>46144</v>
      </c>
      <c r="D671" t="inlineStr">
        <is>
          <t>UPPSALA LÄN</t>
        </is>
      </c>
      <c r="E671" t="inlineStr">
        <is>
          <t>ÖSTHAMMAR</t>
        </is>
      </c>
      <c r="F671" t="inlineStr">
        <is>
          <t>Bergvik skog öst AB</t>
        </is>
      </c>
      <c r="G671" t="n">
        <v>14.7</v>
      </c>
      <c r="H671" t="n">
        <v>0</v>
      </c>
      <c r="I671" t="n">
        <v>0</v>
      </c>
      <c r="J671" t="n">
        <v>0</v>
      </c>
      <c r="K671" t="n">
        <v>0</v>
      </c>
      <c r="L671" t="n">
        <v>0</v>
      </c>
      <c r="M671" t="n">
        <v>0</v>
      </c>
      <c r="N671" t="n">
        <v>0</v>
      </c>
      <c r="O671" t="n">
        <v>0</v>
      </c>
      <c r="P671" t="n">
        <v>0</v>
      </c>
      <c r="Q671" t="n">
        <v>0</v>
      </c>
      <c r="R671" s="2" t="inlineStr"/>
    </row>
    <row r="672" ht="15" customHeight="1">
      <c r="A672" t="inlineStr">
        <is>
          <t>A 17927-2026</t>
        </is>
      </c>
      <c r="B672" s="1" t="n">
        <v>46122.62008101852</v>
      </c>
      <c r="C672" s="1" t="n">
        <v>46144</v>
      </c>
      <c r="D672" t="inlineStr">
        <is>
          <t>UPPSALA LÄN</t>
        </is>
      </c>
      <c r="E672" t="inlineStr">
        <is>
          <t>ÖSTHAMMAR</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14671-2022</t>
        </is>
      </c>
      <c r="B673" s="1" t="n">
        <v>44655.80475694445</v>
      </c>
      <c r="C673" s="1" t="n">
        <v>46144</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17926-2026</t>
        </is>
      </c>
      <c r="B674" s="1" t="n">
        <v>46122.61969907407</v>
      </c>
      <c r="C674" s="1" t="n">
        <v>46144</v>
      </c>
      <c r="D674" t="inlineStr">
        <is>
          <t>UPPSALA LÄN</t>
        </is>
      </c>
      <c r="E674" t="inlineStr">
        <is>
          <t>ÖSTHAMMAR</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12215-2023</t>
        </is>
      </c>
      <c r="B675" s="1" t="n">
        <v>44998</v>
      </c>
      <c r="C675" s="1" t="n">
        <v>46144</v>
      </c>
      <c r="D675" t="inlineStr">
        <is>
          <t>UPPSALA LÄN</t>
        </is>
      </c>
      <c r="E675" t="inlineStr">
        <is>
          <t>ÖSTHAMMAR</t>
        </is>
      </c>
      <c r="G675" t="n">
        <v>5.1</v>
      </c>
      <c r="H675" t="n">
        <v>0</v>
      </c>
      <c r="I675" t="n">
        <v>0</v>
      </c>
      <c r="J675" t="n">
        <v>0</v>
      </c>
      <c r="K675" t="n">
        <v>0</v>
      </c>
      <c r="L675" t="n">
        <v>0</v>
      </c>
      <c r="M675" t="n">
        <v>0</v>
      </c>
      <c r="N675" t="n">
        <v>0</v>
      </c>
      <c r="O675" t="n">
        <v>0</v>
      </c>
      <c r="P675" t="n">
        <v>0</v>
      </c>
      <c r="Q675" t="n">
        <v>0</v>
      </c>
      <c r="R675" s="2" t="inlineStr"/>
    </row>
    <row r="676" ht="15" customHeight="1">
      <c r="A676" t="inlineStr">
        <is>
          <t>A 17760-2026</t>
        </is>
      </c>
      <c r="B676" s="1" t="n">
        <v>46122.35453703703</v>
      </c>
      <c r="C676" s="1" t="n">
        <v>46144</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41996-2024</t>
        </is>
      </c>
      <c r="B677" s="1" t="n">
        <v>45561</v>
      </c>
      <c r="C677" s="1" t="n">
        <v>46144</v>
      </c>
      <c r="D677" t="inlineStr">
        <is>
          <t>UPPSALA LÄN</t>
        </is>
      </c>
      <c r="E677" t="inlineStr">
        <is>
          <t>ÖSTHAMMAR</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17767-2026</t>
        </is>
      </c>
      <c r="B678" s="1" t="n">
        <v>46122.36061342592</v>
      </c>
      <c r="C678" s="1" t="n">
        <v>46144</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15449-2022</t>
        </is>
      </c>
      <c r="B679" s="1" t="n">
        <v>44660.91659722223</v>
      </c>
      <c r="C679" s="1" t="n">
        <v>46144</v>
      </c>
      <c r="D679" t="inlineStr">
        <is>
          <t>UPPSALA LÄN</t>
        </is>
      </c>
      <c r="E679" t="inlineStr">
        <is>
          <t>ÖSTHAMMAR</t>
        </is>
      </c>
      <c r="F679" t="inlineStr">
        <is>
          <t>Bergvik skog öst AB</t>
        </is>
      </c>
      <c r="G679" t="n">
        <v>2</v>
      </c>
      <c r="H679" t="n">
        <v>0</v>
      </c>
      <c r="I679" t="n">
        <v>0</v>
      </c>
      <c r="J679" t="n">
        <v>0</v>
      </c>
      <c r="K679" t="n">
        <v>0</v>
      </c>
      <c r="L679" t="n">
        <v>0</v>
      </c>
      <c r="M679" t="n">
        <v>0</v>
      </c>
      <c r="N679" t="n">
        <v>0</v>
      </c>
      <c r="O679" t="n">
        <v>0</v>
      </c>
      <c r="P679" t="n">
        <v>0</v>
      </c>
      <c r="Q679" t="n">
        <v>0</v>
      </c>
      <c r="R679" s="2" t="inlineStr"/>
    </row>
    <row r="680" ht="15" customHeight="1">
      <c r="A680" t="inlineStr">
        <is>
          <t>A 1439-2025</t>
        </is>
      </c>
      <c r="B680" s="1" t="n">
        <v>45669.69075231482</v>
      </c>
      <c r="C680" s="1" t="n">
        <v>46144</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5884-2023</t>
        </is>
      </c>
      <c r="B681" s="1" t="n">
        <v>44963</v>
      </c>
      <c r="C681" s="1" t="n">
        <v>46144</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5215-2025</t>
        </is>
      </c>
      <c r="B682" s="1" t="n">
        <v>45691</v>
      </c>
      <c r="C682" s="1" t="n">
        <v>46144</v>
      </c>
      <c r="D682" t="inlineStr">
        <is>
          <t>UPPSALA LÄN</t>
        </is>
      </c>
      <c r="E682" t="inlineStr">
        <is>
          <t>ÖSTHAMMAR</t>
        </is>
      </c>
      <c r="G682" t="n">
        <v>0.5</v>
      </c>
      <c r="H682" t="n">
        <v>0</v>
      </c>
      <c r="I682" t="n">
        <v>0</v>
      </c>
      <c r="J682" t="n">
        <v>0</v>
      </c>
      <c r="K682" t="n">
        <v>0</v>
      </c>
      <c r="L682" t="n">
        <v>0</v>
      </c>
      <c r="M682" t="n">
        <v>0</v>
      </c>
      <c r="N682" t="n">
        <v>0</v>
      </c>
      <c r="O682" t="n">
        <v>0</v>
      </c>
      <c r="P682" t="n">
        <v>0</v>
      </c>
      <c r="Q682" t="n">
        <v>0</v>
      </c>
      <c r="R682" s="2" t="inlineStr"/>
    </row>
    <row r="683" ht="15" customHeight="1">
      <c r="A683" t="inlineStr">
        <is>
          <t>A 65028-2021</t>
        </is>
      </c>
      <c r="B683" s="1" t="n">
        <v>44515</v>
      </c>
      <c r="C683" s="1" t="n">
        <v>46144</v>
      </c>
      <c r="D683" t="inlineStr">
        <is>
          <t>UPPSALA LÄN</t>
        </is>
      </c>
      <c r="E683" t="inlineStr">
        <is>
          <t>ÖSTHAMMAR</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1525-2025</t>
        </is>
      </c>
      <c r="B684" s="1" t="n">
        <v>45670.47300925926</v>
      </c>
      <c r="C684" s="1" t="n">
        <v>46144</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61257-2022</t>
        </is>
      </c>
      <c r="B685" s="1" t="n">
        <v>44915.59418981482</v>
      </c>
      <c r="C685" s="1" t="n">
        <v>46144</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36857-2023</t>
        </is>
      </c>
      <c r="B686" s="1" t="n">
        <v>45154.55175925926</v>
      </c>
      <c r="C686" s="1" t="n">
        <v>46144</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6206-2022</t>
        </is>
      </c>
      <c r="B687" s="1" t="n">
        <v>44600.35755787037</v>
      </c>
      <c r="C687" s="1" t="n">
        <v>46144</v>
      </c>
      <c r="D687" t="inlineStr">
        <is>
          <t>UPPSALA LÄN</t>
        </is>
      </c>
      <c r="E687" t="inlineStr">
        <is>
          <t>ÖSTHAMMAR</t>
        </is>
      </c>
      <c r="G687" t="n">
        <v>7.4</v>
      </c>
      <c r="H687" t="n">
        <v>0</v>
      </c>
      <c r="I687" t="n">
        <v>0</v>
      </c>
      <c r="J687" t="n">
        <v>0</v>
      </c>
      <c r="K687" t="n">
        <v>0</v>
      </c>
      <c r="L687" t="n">
        <v>0</v>
      </c>
      <c r="M687" t="n">
        <v>0</v>
      </c>
      <c r="N687" t="n">
        <v>0</v>
      </c>
      <c r="O687" t="n">
        <v>0</v>
      </c>
      <c r="P687" t="n">
        <v>0</v>
      </c>
      <c r="Q687" t="n">
        <v>0</v>
      </c>
      <c r="R687" s="2" t="inlineStr"/>
    </row>
    <row r="688" ht="15" customHeight="1">
      <c r="A688" t="inlineStr">
        <is>
          <t>A 6143-2022</t>
        </is>
      </c>
      <c r="B688" s="1" t="n">
        <v>44599.72306712963</v>
      </c>
      <c r="C688" s="1" t="n">
        <v>46144</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3514-2023</t>
        </is>
      </c>
      <c r="B689" s="1" t="n">
        <v>44950</v>
      </c>
      <c r="C689" s="1" t="n">
        <v>46144</v>
      </c>
      <c r="D689" t="inlineStr">
        <is>
          <t>UPPSALA LÄN</t>
        </is>
      </c>
      <c r="E689" t="inlineStr">
        <is>
          <t>ÖSTHAMMAR</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15748-2026</t>
        </is>
      </c>
      <c r="B690" s="1" t="n">
        <v>46107.4227662037</v>
      </c>
      <c r="C690" s="1" t="n">
        <v>46144</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45561-2023</t>
        </is>
      </c>
      <c r="B691" s="1" t="n">
        <v>45194.59335648148</v>
      </c>
      <c r="C691" s="1" t="n">
        <v>46144</v>
      </c>
      <c r="D691" t="inlineStr">
        <is>
          <t>UPPSALA LÄN</t>
        </is>
      </c>
      <c r="E691" t="inlineStr">
        <is>
          <t>ÖSTHAMMAR</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18761-2026</t>
        </is>
      </c>
      <c r="B692" s="1" t="n">
        <v>46128.56317129629</v>
      </c>
      <c r="C692" s="1" t="n">
        <v>46144</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12263-2026</t>
        </is>
      </c>
      <c r="B693" s="1" t="n">
        <v>46087.49299768519</v>
      </c>
      <c r="C693" s="1" t="n">
        <v>46144</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43439-2024</t>
        </is>
      </c>
      <c r="B694" s="1" t="n">
        <v>45568</v>
      </c>
      <c r="C694" s="1" t="n">
        <v>46144</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18758-2026</t>
        </is>
      </c>
      <c r="B695" s="1" t="n">
        <v>46128.56182870371</v>
      </c>
      <c r="C695" s="1" t="n">
        <v>46144</v>
      </c>
      <c r="D695" t="inlineStr">
        <is>
          <t>UPPSALA LÄN</t>
        </is>
      </c>
      <c r="E695" t="inlineStr">
        <is>
          <t>ÖSTHAMMAR</t>
        </is>
      </c>
      <c r="F695" t="inlineStr">
        <is>
          <t>Bergvik skog öst AB</t>
        </is>
      </c>
      <c r="G695" t="n">
        <v>2.4</v>
      </c>
      <c r="H695" t="n">
        <v>0</v>
      </c>
      <c r="I695" t="n">
        <v>0</v>
      </c>
      <c r="J695" t="n">
        <v>0</v>
      </c>
      <c r="K695" t="n">
        <v>0</v>
      </c>
      <c r="L695" t="n">
        <v>0</v>
      </c>
      <c r="M695" t="n">
        <v>0</v>
      </c>
      <c r="N695" t="n">
        <v>0</v>
      </c>
      <c r="O695" t="n">
        <v>0</v>
      </c>
      <c r="P695" t="n">
        <v>0</v>
      </c>
      <c r="Q695" t="n">
        <v>0</v>
      </c>
      <c r="R695" s="2" t="inlineStr"/>
    </row>
    <row r="696" ht="15" customHeight="1">
      <c r="A696" t="inlineStr">
        <is>
          <t>A 12150-2026</t>
        </is>
      </c>
      <c r="B696" s="1" t="n">
        <v>46086.59512731482</v>
      </c>
      <c r="C696" s="1" t="n">
        <v>46144</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12261-2026</t>
        </is>
      </c>
      <c r="B697" s="1" t="n">
        <v>46087.48739583333</v>
      </c>
      <c r="C697" s="1" t="n">
        <v>46144</v>
      </c>
      <c r="D697" t="inlineStr">
        <is>
          <t>UPPSALA LÄN</t>
        </is>
      </c>
      <c r="E697" t="inlineStr">
        <is>
          <t>ÖSTHAMMAR</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12262-2026</t>
        </is>
      </c>
      <c r="B698" s="1" t="n">
        <v>46087.4896875</v>
      </c>
      <c r="C698" s="1" t="n">
        <v>46144</v>
      </c>
      <c r="D698" t="inlineStr">
        <is>
          <t>UPPSALA LÄN</t>
        </is>
      </c>
      <c r="E698" t="inlineStr">
        <is>
          <t>ÖSTHAMMAR</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12172-2026</t>
        </is>
      </c>
      <c r="B699" s="1" t="n">
        <v>46086.6590625</v>
      </c>
      <c r="C699" s="1" t="n">
        <v>46144</v>
      </c>
      <c r="D699" t="inlineStr">
        <is>
          <t>UPPSALA LÄN</t>
        </is>
      </c>
      <c r="E699" t="inlineStr">
        <is>
          <t>ÖSTHAMMAR</t>
        </is>
      </c>
      <c r="F699" t="inlineStr">
        <is>
          <t>Bergvik skog öst AB</t>
        </is>
      </c>
      <c r="G699" t="n">
        <v>5.4</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46144</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18760-2026</t>
        </is>
      </c>
      <c r="B701" s="1" t="n">
        <v>46128.56234953704</v>
      </c>
      <c r="C701" s="1" t="n">
        <v>46144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12151-2026</t>
        </is>
      </c>
      <c r="B702" s="1" t="n">
        <v>46086.5972800926</v>
      </c>
      <c r="C702" s="1" t="n">
        <v>46144</v>
      </c>
      <c r="D702" t="inlineStr">
        <is>
          <t>UPPSALA LÄN</t>
        </is>
      </c>
      <c r="E702" t="inlineStr">
        <is>
          <t>ÖSTHAMMAR</t>
        </is>
      </c>
      <c r="F702" t="inlineStr">
        <is>
          <t>Bergvik skog öst AB</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4562-2022</t>
        </is>
      </c>
      <c r="B703" s="1" t="n">
        <v>44591</v>
      </c>
      <c r="C703" s="1" t="n">
        <v>46144</v>
      </c>
      <c r="D703" t="inlineStr">
        <is>
          <t>UPPSALA LÄN</t>
        </is>
      </c>
      <c r="E703" t="inlineStr">
        <is>
          <t>ÖSTHAMMAR</t>
        </is>
      </c>
      <c r="G703" t="n">
        <v>3.4</v>
      </c>
      <c r="H703" t="n">
        <v>0</v>
      </c>
      <c r="I703" t="n">
        <v>0</v>
      </c>
      <c r="J703" t="n">
        <v>0</v>
      </c>
      <c r="K703" t="n">
        <v>0</v>
      </c>
      <c r="L703" t="n">
        <v>0</v>
      </c>
      <c r="M703" t="n">
        <v>0</v>
      </c>
      <c r="N703" t="n">
        <v>0</v>
      </c>
      <c r="O703" t="n">
        <v>0</v>
      </c>
      <c r="P703" t="n">
        <v>0</v>
      </c>
      <c r="Q703" t="n">
        <v>0</v>
      </c>
      <c r="R703" s="2" t="inlineStr"/>
    </row>
    <row r="704" ht="15" customHeight="1">
      <c r="A704" t="inlineStr">
        <is>
          <t>A 12387-2026</t>
        </is>
      </c>
      <c r="B704" s="1" t="n">
        <v>46090</v>
      </c>
      <c r="C704" s="1" t="n">
        <v>46144</v>
      </c>
      <c r="D704" t="inlineStr">
        <is>
          <t>UPPSALA LÄN</t>
        </is>
      </c>
      <c r="E704" t="inlineStr">
        <is>
          <t>ÖSTHAMMAR</t>
        </is>
      </c>
      <c r="G704" t="n">
        <v>1.2</v>
      </c>
      <c r="H704" t="n">
        <v>0</v>
      </c>
      <c r="I704" t="n">
        <v>0</v>
      </c>
      <c r="J704" t="n">
        <v>0</v>
      </c>
      <c r="K704" t="n">
        <v>0</v>
      </c>
      <c r="L704" t="n">
        <v>0</v>
      </c>
      <c r="M704" t="n">
        <v>0</v>
      </c>
      <c r="N704" t="n">
        <v>0</v>
      </c>
      <c r="O704" t="n">
        <v>0</v>
      </c>
      <c r="P704" t="n">
        <v>0</v>
      </c>
      <c r="Q704" t="n">
        <v>0</v>
      </c>
      <c r="R704" s="2" t="inlineStr"/>
    </row>
    <row r="705" ht="15" customHeight="1">
      <c r="A705" t="inlineStr">
        <is>
          <t>A 4099-2025</t>
        </is>
      </c>
      <c r="B705" s="1" t="n">
        <v>45684</v>
      </c>
      <c r="C705" s="1" t="n">
        <v>46144</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19258-2026</t>
        </is>
      </c>
      <c r="B706" s="1" t="n">
        <v>46132.70572916666</v>
      </c>
      <c r="C706" s="1" t="n">
        <v>46144</v>
      </c>
      <c r="D706" t="inlineStr">
        <is>
          <t>UPPSALA LÄN</t>
        </is>
      </c>
      <c r="E706" t="inlineStr">
        <is>
          <t>ÖSTHAMMAR</t>
        </is>
      </c>
      <c r="F706" t="inlineStr">
        <is>
          <t>Naturvårdsverket</t>
        </is>
      </c>
      <c r="G706" t="n">
        <v>18.6</v>
      </c>
      <c r="H706" t="n">
        <v>0</v>
      </c>
      <c r="I706" t="n">
        <v>0</v>
      </c>
      <c r="J706" t="n">
        <v>0</v>
      </c>
      <c r="K706" t="n">
        <v>0</v>
      </c>
      <c r="L706" t="n">
        <v>0</v>
      </c>
      <c r="M706" t="n">
        <v>0</v>
      </c>
      <c r="N706" t="n">
        <v>0</v>
      </c>
      <c r="O706" t="n">
        <v>0</v>
      </c>
      <c r="P706" t="n">
        <v>0</v>
      </c>
      <c r="Q706" t="n">
        <v>0</v>
      </c>
      <c r="R706" s="2" t="inlineStr"/>
    </row>
    <row r="707" ht="15" customHeight="1">
      <c r="A707" t="inlineStr">
        <is>
          <t>A 41538-2021</t>
        </is>
      </c>
      <c r="B707" s="1" t="n">
        <v>44425.35016203704</v>
      </c>
      <c r="C707" s="1" t="n">
        <v>46144</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36301-2023</t>
        </is>
      </c>
      <c r="B708" s="1" t="n">
        <v>45152.37296296296</v>
      </c>
      <c r="C708" s="1" t="n">
        <v>46144</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19631-2026</t>
        </is>
      </c>
      <c r="B709" s="1" t="n">
        <v>46134.55738425926</v>
      </c>
      <c r="C709" s="1" t="n">
        <v>46144</v>
      </c>
      <c r="D709" t="inlineStr">
        <is>
          <t>UPPSALA LÄN</t>
        </is>
      </c>
      <c r="E709" t="inlineStr">
        <is>
          <t>ÖSTHAMMAR</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19771-2026</t>
        </is>
      </c>
      <c r="B710" s="1" t="n">
        <v>46135.43405092593</v>
      </c>
      <c r="C710" s="1" t="n">
        <v>46144</v>
      </c>
      <c r="D710" t="inlineStr">
        <is>
          <t>UPPSALA LÄN</t>
        </is>
      </c>
      <c r="E710" t="inlineStr">
        <is>
          <t>ÖSTHAMMAR</t>
        </is>
      </c>
      <c r="G710" t="n">
        <v>1.6</v>
      </c>
      <c r="H710" t="n">
        <v>0</v>
      </c>
      <c r="I710" t="n">
        <v>0</v>
      </c>
      <c r="J710" t="n">
        <v>0</v>
      </c>
      <c r="K710" t="n">
        <v>0</v>
      </c>
      <c r="L710" t="n">
        <v>0</v>
      </c>
      <c r="M710" t="n">
        <v>0</v>
      </c>
      <c r="N710" t="n">
        <v>0</v>
      </c>
      <c r="O710" t="n">
        <v>0</v>
      </c>
      <c r="P710" t="n">
        <v>0</v>
      </c>
      <c r="Q710" t="n">
        <v>0</v>
      </c>
      <c r="R710" s="2" t="inlineStr"/>
    </row>
    <row r="711" ht="15" customHeight="1">
      <c r="A711" t="inlineStr">
        <is>
          <t>A 28429-2023</t>
        </is>
      </c>
      <c r="B711" s="1" t="n">
        <v>45102.58728009259</v>
      </c>
      <c r="C711" s="1" t="n">
        <v>46144</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35309-2023</t>
        </is>
      </c>
      <c r="B712" s="1" t="n">
        <v>45146</v>
      </c>
      <c r="C712" s="1" t="n">
        <v>46144</v>
      </c>
      <c r="D712" t="inlineStr">
        <is>
          <t>UPPSALA LÄN</t>
        </is>
      </c>
      <c r="E712" t="inlineStr">
        <is>
          <t>ÖSTHAMMAR</t>
        </is>
      </c>
      <c r="G712" t="n">
        <v>1.3</v>
      </c>
      <c r="H712" t="n">
        <v>0</v>
      </c>
      <c r="I712" t="n">
        <v>0</v>
      </c>
      <c r="J712" t="n">
        <v>0</v>
      </c>
      <c r="K712" t="n">
        <v>0</v>
      </c>
      <c r="L712" t="n">
        <v>0</v>
      </c>
      <c r="M712" t="n">
        <v>0</v>
      </c>
      <c r="N712" t="n">
        <v>0</v>
      </c>
      <c r="O712" t="n">
        <v>0</v>
      </c>
      <c r="P712" t="n">
        <v>0</v>
      </c>
      <c r="Q712" t="n">
        <v>0</v>
      </c>
      <c r="R712" s="2" t="inlineStr"/>
    </row>
    <row r="713" ht="15" customHeight="1">
      <c r="A713" t="inlineStr">
        <is>
          <t>A 835-2025</t>
        </is>
      </c>
      <c r="B713" s="1" t="n">
        <v>45665.58465277778</v>
      </c>
      <c r="C713" s="1" t="n">
        <v>46144</v>
      </c>
      <c r="D713" t="inlineStr">
        <is>
          <t>UPPSALA LÄN</t>
        </is>
      </c>
      <c r="E713" t="inlineStr">
        <is>
          <t>ÖSTHAMMAR</t>
        </is>
      </c>
      <c r="F713" t="inlineStr">
        <is>
          <t>Övriga Aktiebolag</t>
        </is>
      </c>
      <c r="G713" t="n">
        <v>4.8</v>
      </c>
      <c r="H713" t="n">
        <v>0</v>
      </c>
      <c r="I713" t="n">
        <v>0</v>
      </c>
      <c r="J713" t="n">
        <v>0</v>
      </c>
      <c r="K713" t="n">
        <v>0</v>
      </c>
      <c r="L713" t="n">
        <v>0</v>
      </c>
      <c r="M713" t="n">
        <v>0</v>
      </c>
      <c r="N713" t="n">
        <v>0</v>
      </c>
      <c r="O713" t="n">
        <v>0</v>
      </c>
      <c r="P713" t="n">
        <v>0</v>
      </c>
      <c r="Q713" t="n">
        <v>0</v>
      </c>
      <c r="R713" s="2" t="inlineStr"/>
    </row>
    <row r="714" ht="15" customHeight="1">
      <c r="A714" t="inlineStr">
        <is>
          <t>A 12913-2026</t>
        </is>
      </c>
      <c r="B714" s="1" t="n">
        <v>46092.58787037037</v>
      </c>
      <c r="C714" s="1" t="n">
        <v>46144</v>
      </c>
      <c r="D714" t="inlineStr">
        <is>
          <t>UPPSALA LÄN</t>
        </is>
      </c>
      <c r="E714" t="inlineStr">
        <is>
          <t>ÖSTHAMMAR</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67199-2021</t>
        </is>
      </c>
      <c r="B715" s="1" t="n">
        <v>44523.46197916667</v>
      </c>
      <c r="C715" s="1" t="n">
        <v>46144</v>
      </c>
      <c r="D715" t="inlineStr">
        <is>
          <t>UPPSALA LÄN</t>
        </is>
      </c>
      <c r="E715" t="inlineStr">
        <is>
          <t>ÖSTHAMMAR</t>
        </is>
      </c>
      <c r="G715" t="n">
        <v>2.3</v>
      </c>
      <c r="H715" t="n">
        <v>0</v>
      </c>
      <c r="I715" t="n">
        <v>0</v>
      </c>
      <c r="J715" t="n">
        <v>0</v>
      </c>
      <c r="K715" t="n">
        <v>0</v>
      </c>
      <c r="L715" t="n">
        <v>0</v>
      </c>
      <c r="M715" t="n">
        <v>0</v>
      </c>
      <c r="N715" t="n">
        <v>0</v>
      </c>
      <c r="O715" t="n">
        <v>0</v>
      </c>
      <c r="P715" t="n">
        <v>0</v>
      </c>
      <c r="Q715" t="n">
        <v>0</v>
      </c>
      <c r="R715" s="2" t="inlineStr"/>
    </row>
    <row r="716" ht="15" customHeight="1">
      <c r="A716" t="inlineStr">
        <is>
          <t>A 24259-2022</t>
        </is>
      </c>
      <c r="B716" s="1" t="n">
        <v>44725</v>
      </c>
      <c r="C716" s="1" t="n">
        <v>46144</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24367-2022</t>
        </is>
      </c>
      <c r="B717" s="1" t="n">
        <v>44726.42716435185</v>
      </c>
      <c r="C717" s="1" t="n">
        <v>46144</v>
      </c>
      <c r="D717" t="inlineStr">
        <is>
          <t>UPPSALA LÄN</t>
        </is>
      </c>
      <c r="E717" t="inlineStr">
        <is>
          <t>ÖSTHAMMAR</t>
        </is>
      </c>
      <c r="G717" t="n">
        <v>2.7</v>
      </c>
      <c r="H717" t="n">
        <v>0</v>
      </c>
      <c r="I717" t="n">
        <v>0</v>
      </c>
      <c r="J717" t="n">
        <v>0</v>
      </c>
      <c r="K717" t="n">
        <v>0</v>
      </c>
      <c r="L717" t="n">
        <v>0</v>
      </c>
      <c r="M717" t="n">
        <v>0</v>
      </c>
      <c r="N717" t="n">
        <v>0</v>
      </c>
      <c r="O717" t="n">
        <v>0</v>
      </c>
      <c r="P717" t="n">
        <v>0</v>
      </c>
      <c r="Q717" t="n">
        <v>0</v>
      </c>
      <c r="R717" s="2" t="inlineStr"/>
    </row>
    <row r="718" ht="15" customHeight="1">
      <c r="A718" t="inlineStr">
        <is>
          <t>A 17198-2026</t>
        </is>
      </c>
      <c r="B718" s="1" t="n">
        <v>46118</v>
      </c>
      <c r="C718" s="1" t="n">
        <v>46144</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49897-2023</t>
        </is>
      </c>
      <c r="B719" s="1" t="n">
        <v>45213.84846064815</v>
      </c>
      <c r="C719" s="1" t="n">
        <v>46144</v>
      </c>
      <c r="D719" t="inlineStr">
        <is>
          <t>UPPSALA LÄN</t>
        </is>
      </c>
      <c r="E719" t="inlineStr">
        <is>
          <t>ÖSTHAMMAR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19485-2026</t>
        </is>
      </c>
      <c r="B720" s="1" t="n">
        <v>46134.29662037037</v>
      </c>
      <c r="C720" s="1" t="n">
        <v>46144</v>
      </c>
      <c r="D720" t="inlineStr">
        <is>
          <t>UPPSALA LÄN</t>
        </is>
      </c>
      <c r="E720" t="inlineStr">
        <is>
          <t>ÖSTHAMMAR</t>
        </is>
      </c>
      <c r="F720" t="inlineStr">
        <is>
          <t>Övriga Aktiebolag</t>
        </is>
      </c>
      <c r="G720" t="n">
        <v>12.1</v>
      </c>
      <c r="H720" t="n">
        <v>0</v>
      </c>
      <c r="I720" t="n">
        <v>0</v>
      </c>
      <c r="J720" t="n">
        <v>0</v>
      </c>
      <c r="K720" t="n">
        <v>0</v>
      </c>
      <c r="L720" t="n">
        <v>0</v>
      </c>
      <c r="M720" t="n">
        <v>0</v>
      </c>
      <c r="N720" t="n">
        <v>0</v>
      </c>
      <c r="O720" t="n">
        <v>0</v>
      </c>
      <c r="P720" t="n">
        <v>0</v>
      </c>
      <c r="Q720" t="n">
        <v>0</v>
      </c>
      <c r="R720" s="2" t="inlineStr"/>
    </row>
    <row r="721" ht="15" customHeight="1">
      <c r="A721" t="inlineStr">
        <is>
          <t>A 34922-2023</t>
        </is>
      </c>
      <c r="B721" s="1" t="n">
        <v>45142.48359953704</v>
      </c>
      <c r="C721" s="1" t="n">
        <v>46144</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20394-2026</t>
        </is>
      </c>
      <c r="B722" s="1" t="n">
        <v>46139.74666666667</v>
      </c>
      <c r="C722" s="1" t="n">
        <v>46144</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20058-2026</t>
        </is>
      </c>
      <c r="B723" s="1" t="n">
        <v>46136.5830787037</v>
      </c>
      <c r="C723" s="1" t="n">
        <v>46144</v>
      </c>
      <c r="D723" t="inlineStr">
        <is>
          <t>UPPSALA LÄN</t>
        </is>
      </c>
      <c r="E723" t="inlineStr">
        <is>
          <t>ÖSTHAMMAR</t>
        </is>
      </c>
      <c r="G723" t="n">
        <v>3.4</v>
      </c>
      <c r="H723" t="n">
        <v>0</v>
      </c>
      <c r="I723" t="n">
        <v>0</v>
      </c>
      <c r="J723" t="n">
        <v>0</v>
      </c>
      <c r="K723" t="n">
        <v>0</v>
      </c>
      <c r="L723" t="n">
        <v>0</v>
      </c>
      <c r="M723" t="n">
        <v>0</v>
      </c>
      <c r="N723" t="n">
        <v>0</v>
      </c>
      <c r="O723" t="n">
        <v>0</v>
      </c>
      <c r="P723" t="n">
        <v>0</v>
      </c>
      <c r="Q723" t="n">
        <v>0</v>
      </c>
      <c r="R723" s="2" t="inlineStr"/>
    </row>
    <row r="724" ht="15" customHeight="1">
      <c r="A724" t="inlineStr">
        <is>
          <t>A 50998-2023</t>
        </is>
      </c>
      <c r="B724" s="1" t="n">
        <v>45218.5586574074</v>
      </c>
      <c r="C724" s="1" t="n">
        <v>46144</v>
      </c>
      <c r="D724" t="inlineStr">
        <is>
          <t>UPPSALA LÄN</t>
        </is>
      </c>
      <c r="E724" t="inlineStr">
        <is>
          <t>ÖSTHAMMAR</t>
        </is>
      </c>
      <c r="G724" t="n">
        <v>3.6</v>
      </c>
      <c r="H724" t="n">
        <v>0</v>
      </c>
      <c r="I724" t="n">
        <v>0</v>
      </c>
      <c r="J724" t="n">
        <v>0</v>
      </c>
      <c r="K724" t="n">
        <v>0</v>
      </c>
      <c r="L724" t="n">
        <v>0</v>
      </c>
      <c r="M724" t="n">
        <v>0</v>
      </c>
      <c r="N724" t="n">
        <v>0</v>
      </c>
      <c r="O724" t="n">
        <v>0</v>
      </c>
      <c r="P724" t="n">
        <v>0</v>
      </c>
      <c r="Q724" t="n">
        <v>0</v>
      </c>
      <c r="R724" s="2" t="inlineStr"/>
    </row>
    <row r="725" ht="15" customHeight="1">
      <c r="A725" t="inlineStr">
        <is>
          <t>A 13701-2026</t>
        </is>
      </c>
      <c r="B725" s="1" t="n">
        <v>46097</v>
      </c>
      <c r="C725" s="1" t="n">
        <v>46144</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13703-2026</t>
        </is>
      </c>
      <c r="B726" s="1" t="n">
        <v>46097.56766203704</v>
      </c>
      <c r="C726" s="1" t="n">
        <v>46144</v>
      </c>
      <c r="D726" t="inlineStr">
        <is>
          <t>UPPSALA LÄN</t>
        </is>
      </c>
      <c r="E726" t="inlineStr">
        <is>
          <t>ÖSTHAMMAR</t>
        </is>
      </c>
      <c r="G726" t="n">
        <v>2.7</v>
      </c>
      <c r="H726" t="n">
        <v>0</v>
      </c>
      <c r="I726" t="n">
        <v>0</v>
      </c>
      <c r="J726" t="n">
        <v>0</v>
      </c>
      <c r="K726" t="n">
        <v>0</v>
      </c>
      <c r="L726" t="n">
        <v>0</v>
      </c>
      <c r="M726" t="n">
        <v>0</v>
      </c>
      <c r="N726" t="n">
        <v>0</v>
      </c>
      <c r="O726" t="n">
        <v>0</v>
      </c>
      <c r="P726" t="n">
        <v>0</v>
      </c>
      <c r="Q726" t="n">
        <v>0</v>
      </c>
      <c r="R726" s="2" t="inlineStr"/>
    </row>
    <row r="727" ht="15" customHeight="1">
      <c r="A727" t="inlineStr">
        <is>
          <t>A 31669-2022</t>
        </is>
      </c>
      <c r="B727" s="1" t="n">
        <v>44775</v>
      </c>
      <c r="C727" s="1" t="n">
        <v>46144</v>
      </c>
      <c r="D727" t="inlineStr">
        <is>
          <t>UPPSALA LÄN</t>
        </is>
      </c>
      <c r="E727" t="inlineStr">
        <is>
          <t>ÖSTHAMMAR</t>
        </is>
      </c>
      <c r="G727" t="n">
        <v>6</v>
      </c>
      <c r="H727" t="n">
        <v>0</v>
      </c>
      <c r="I727" t="n">
        <v>0</v>
      </c>
      <c r="J727" t="n">
        <v>0</v>
      </c>
      <c r="K727" t="n">
        <v>0</v>
      </c>
      <c r="L727" t="n">
        <v>0</v>
      </c>
      <c r="M727" t="n">
        <v>0</v>
      </c>
      <c r="N727" t="n">
        <v>0</v>
      </c>
      <c r="O727" t="n">
        <v>0</v>
      </c>
      <c r="P727" t="n">
        <v>0</v>
      </c>
      <c r="Q727" t="n">
        <v>0</v>
      </c>
      <c r="R727" s="2" t="inlineStr"/>
    </row>
    <row r="728" ht="15" customHeight="1">
      <c r="A728" t="inlineStr">
        <is>
          <t>A 48856-2024</t>
        </is>
      </c>
      <c r="B728" s="1" t="n">
        <v>45593</v>
      </c>
      <c r="C728" s="1" t="n">
        <v>46144</v>
      </c>
      <c r="D728" t="inlineStr">
        <is>
          <t>UPPSALA LÄN</t>
        </is>
      </c>
      <c r="E728" t="inlineStr">
        <is>
          <t>ÖSTHAMMAR</t>
        </is>
      </c>
      <c r="G728" t="n">
        <v>1.5</v>
      </c>
      <c r="H728" t="n">
        <v>0</v>
      </c>
      <c r="I728" t="n">
        <v>0</v>
      </c>
      <c r="J728" t="n">
        <v>0</v>
      </c>
      <c r="K728" t="n">
        <v>0</v>
      </c>
      <c r="L728" t="n">
        <v>0</v>
      </c>
      <c r="M728" t="n">
        <v>0</v>
      </c>
      <c r="N728" t="n">
        <v>0</v>
      </c>
      <c r="O728" t="n">
        <v>0</v>
      </c>
      <c r="P728" t="n">
        <v>0</v>
      </c>
      <c r="Q728" t="n">
        <v>0</v>
      </c>
      <c r="R728" s="2" t="inlineStr"/>
    </row>
    <row r="729" ht="15" customHeight="1">
      <c r="A729" t="inlineStr">
        <is>
          <t>A 19901-2026</t>
        </is>
      </c>
      <c r="B729" s="1" t="n">
        <v>46136.29013888889</v>
      </c>
      <c r="C729" s="1" t="n">
        <v>46144</v>
      </c>
      <c r="D729" t="inlineStr">
        <is>
          <t>UPPSALA LÄN</t>
        </is>
      </c>
      <c r="E729" t="inlineStr">
        <is>
          <t>ÖSTHAMMAR</t>
        </is>
      </c>
      <c r="F729" t="inlineStr">
        <is>
          <t>Övriga Aktiebolag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17947-2022</t>
        </is>
      </c>
      <c r="B730" s="1" t="n">
        <v>44683</v>
      </c>
      <c r="C730" s="1" t="n">
        <v>46144</v>
      </c>
      <c r="D730" t="inlineStr">
        <is>
          <t>UPPSALA LÄN</t>
        </is>
      </c>
      <c r="E730" t="inlineStr">
        <is>
          <t>ÖSTHAMMAR</t>
        </is>
      </c>
      <c r="G730" t="n">
        <v>5.5</v>
      </c>
      <c r="H730" t="n">
        <v>0</v>
      </c>
      <c r="I730" t="n">
        <v>0</v>
      </c>
      <c r="J730" t="n">
        <v>0</v>
      </c>
      <c r="K730" t="n">
        <v>0</v>
      </c>
      <c r="L730" t="n">
        <v>0</v>
      </c>
      <c r="M730" t="n">
        <v>0</v>
      </c>
      <c r="N730" t="n">
        <v>0</v>
      </c>
      <c r="O730" t="n">
        <v>0</v>
      </c>
      <c r="P730" t="n">
        <v>0</v>
      </c>
      <c r="Q730" t="n">
        <v>0</v>
      </c>
      <c r="R730" s="2" t="inlineStr"/>
    </row>
    <row r="731" ht="15" customHeight="1">
      <c r="A731" t="inlineStr">
        <is>
          <t>A 21862-2023</t>
        </is>
      </c>
      <c r="B731" s="1" t="n">
        <v>45068</v>
      </c>
      <c r="C731" s="1" t="n">
        <v>46144</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13472-2026</t>
        </is>
      </c>
      <c r="B732" s="1" t="n">
        <v>46094</v>
      </c>
      <c r="C732" s="1" t="n">
        <v>46144</v>
      </c>
      <c r="D732" t="inlineStr">
        <is>
          <t>UPPSALA LÄN</t>
        </is>
      </c>
      <c r="E732" t="inlineStr">
        <is>
          <t>ÖSTHAMMAR</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12654-2025</t>
        </is>
      </c>
      <c r="B733" s="1" t="n">
        <v>45733.41601851852</v>
      </c>
      <c r="C733" s="1" t="n">
        <v>46144</v>
      </c>
      <c r="D733" t="inlineStr">
        <is>
          <t>UPPSALA LÄN</t>
        </is>
      </c>
      <c r="E733" t="inlineStr">
        <is>
          <t>ÖSTHAMMAR</t>
        </is>
      </c>
      <c r="G733" t="n">
        <v>9.9</v>
      </c>
      <c r="H733" t="n">
        <v>0</v>
      </c>
      <c r="I733" t="n">
        <v>0</v>
      </c>
      <c r="J733" t="n">
        <v>0</v>
      </c>
      <c r="K733" t="n">
        <v>0</v>
      </c>
      <c r="L733" t="n">
        <v>0</v>
      </c>
      <c r="M733" t="n">
        <v>0</v>
      </c>
      <c r="N733" t="n">
        <v>0</v>
      </c>
      <c r="O733" t="n">
        <v>0</v>
      </c>
      <c r="P733" t="n">
        <v>0</v>
      </c>
      <c r="Q733" t="n">
        <v>0</v>
      </c>
      <c r="R733" s="2" t="inlineStr"/>
    </row>
    <row r="734" ht="15" customHeight="1">
      <c r="A734" t="inlineStr">
        <is>
          <t>A 20393-2026</t>
        </is>
      </c>
      <c r="B734" s="1" t="n">
        <v>46139.73195601852</v>
      </c>
      <c r="C734" s="1" t="n">
        <v>46144</v>
      </c>
      <c r="D734" t="inlineStr">
        <is>
          <t>UPPSALA LÄN</t>
        </is>
      </c>
      <c r="E734" t="inlineStr">
        <is>
          <t>ÖSTHAMMAR</t>
        </is>
      </c>
      <c r="G734" t="n">
        <v>4.5</v>
      </c>
      <c r="H734" t="n">
        <v>0</v>
      </c>
      <c r="I734" t="n">
        <v>0</v>
      </c>
      <c r="J734" t="n">
        <v>0</v>
      </c>
      <c r="K734" t="n">
        <v>0</v>
      </c>
      <c r="L734" t="n">
        <v>0</v>
      </c>
      <c r="M734" t="n">
        <v>0</v>
      </c>
      <c r="N734" t="n">
        <v>0</v>
      </c>
      <c r="O734" t="n">
        <v>0</v>
      </c>
      <c r="P734" t="n">
        <v>0</v>
      </c>
      <c r="Q734" t="n">
        <v>0</v>
      </c>
      <c r="R734" s="2" t="inlineStr"/>
    </row>
    <row r="735" ht="15" customHeight="1">
      <c r="A735" t="inlineStr">
        <is>
          <t>A 20796-2026</t>
        </is>
      </c>
      <c r="B735" s="1" t="n">
        <v>46141.65921296296</v>
      </c>
      <c r="C735" s="1" t="n">
        <v>46144</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27308-2023</t>
        </is>
      </c>
      <c r="B736" s="1" t="n">
        <v>45096.65381944444</v>
      </c>
      <c r="C736" s="1" t="n">
        <v>46144</v>
      </c>
      <c r="D736" t="inlineStr">
        <is>
          <t>UPPSALA LÄN</t>
        </is>
      </c>
      <c r="E736" t="inlineStr">
        <is>
          <t>ÖSTHAMMAR</t>
        </is>
      </c>
      <c r="F736" t="inlineStr">
        <is>
          <t>Bergvik skog öst AB</t>
        </is>
      </c>
      <c r="G736" t="n">
        <v>2.4</v>
      </c>
      <c r="H736" t="n">
        <v>0</v>
      </c>
      <c r="I736" t="n">
        <v>0</v>
      </c>
      <c r="J736" t="n">
        <v>0</v>
      </c>
      <c r="K736" t="n">
        <v>0</v>
      </c>
      <c r="L736" t="n">
        <v>0</v>
      </c>
      <c r="M736" t="n">
        <v>0</v>
      </c>
      <c r="N736" t="n">
        <v>0</v>
      </c>
      <c r="O736" t="n">
        <v>0</v>
      </c>
      <c r="P736" t="n">
        <v>0</v>
      </c>
      <c r="Q736" t="n">
        <v>0</v>
      </c>
      <c r="R736" s="2" t="inlineStr"/>
    </row>
    <row r="737" ht="15" customHeight="1">
      <c r="A737" t="inlineStr">
        <is>
          <t>A 28420-2023</t>
        </is>
      </c>
      <c r="B737" s="1" t="n">
        <v>45102.33054398148</v>
      </c>
      <c r="C737" s="1" t="n">
        <v>46144</v>
      </c>
      <c r="D737" t="inlineStr">
        <is>
          <t>UPPSALA LÄN</t>
        </is>
      </c>
      <c r="E737" t="inlineStr">
        <is>
          <t>ÖSTHAMMAR</t>
        </is>
      </c>
      <c r="F737" t="inlineStr">
        <is>
          <t>Bergvik skog öst AB</t>
        </is>
      </c>
      <c r="G737" t="n">
        <v>3.2</v>
      </c>
      <c r="H737" t="n">
        <v>0</v>
      </c>
      <c r="I737" t="n">
        <v>0</v>
      </c>
      <c r="J737" t="n">
        <v>0</v>
      </c>
      <c r="K737" t="n">
        <v>0</v>
      </c>
      <c r="L737" t="n">
        <v>0</v>
      </c>
      <c r="M737" t="n">
        <v>0</v>
      </c>
      <c r="N737" t="n">
        <v>0</v>
      </c>
      <c r="O737" t="n">
        <v>0</v>
      </c>
      <c r="P737" t="n">
        <v>0</v>
      </c>
      <c r="Q737" t="n">
        <v>0</v>
      </c>
      <c r="R737" s="2" t="inlineStr"/>
    </row>
    <row r="738" ht="15" customHeight="1">
      <c r="A738" t="inlineStr">
        <is>
          <t>A 20776-2026</t>
        </is>
      </c>
      <c r="B738" s="1" t="n">
        <v>46141.62767361111</v>
      </c>
      <c r="C738" s="1" t="n">
        <v>46144</v>
      </c>
      <c r="D738" t="inlineStr">
        <is>
          <t>UPPSALA LÄN</t>
        </is>
      </c>
      <c r="E738" t="inlineStr">
        <is>
          <t>ÖSTHAMMAR</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14030-2026</t>
        </is>
      </c>
      <c r="B739" s="1" t="n">
        <v>46098.77094907407</v>
      </c>
      <c r="C739" s="1" t="n">
        <v>46144</v>
      </c>
      <c r="D739" t="inlineStr">
        <is>
          <t>UPPSALA LÄN</t>
        </is>
      </c>
      <c r="E739" t="inlineStr">
        <is>
          <t>ÖSTHAMMAR</t>
        </is>
      </c>
      <c r="F739" t="inlineStr">
        <is>
          <t>Bergvik skog öst AB</t>
        </is>
      </c>
      <c r="G739" t="n">
        <v>8.4</v>
      </c>
      <c r="H739" t="n">
        <v>0</v>
      </c>
      <c r="I739" t="n">
        <v>0</v>
      </c>
      <c r="J739" t="n">
        <v>0</v>
      </c>
      <c r="K739" t="n">
        <v>0</v>
      </c>
      <c r="L739" t="n">
        <v>0</v>
      </c>
      <c r="M739" t="n">
        <v>0</v>
      </c>
      <c r="N739" t="n">
        <v>0</v>
      </c>
      <c r="O739" t="n">
        <v>0</v>
      </c>
      <c r="P739" t="n">
        <v>0</v>
      </c>
      <c r="Q739" t="n">
        <v>0</v>
      </c>
      <c r="R739" s="2" t="inlineStr"/>
    </row>
    <row r="740" ht="15" customHeight="1">
      <c r="A740" t="inlineStr">
        <is>
          <t>A 14031-2026</t>
        </is>
      </c>
      <c r="B740" s="1" t="n">
        <v>46098.77274305555</v>
      </c>
      <c r="C740" s="1" t="n">
        <v>46144</v>
      </c>
      <c r="D740" t="inlineStr">
        <is>
          <t>UPPSALA LÄN</t>
        </is>
      </c>
      <c r="E740" t="inlineStr">
        <is>
          <t>ÖSTHAMMAR</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14006-2026</t>
        </is>
      </c>
      <c r="B741" s="1" t="n">
        <v>46098.65136574074</v>
      </c>
      <c r="C741" s="1" t="n">
        <v>46144</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14007-2026</t>
        </is>
      </c>
      <c r="B742" s="1" t="n">
        <v>46098.65329861111</v>
      </c>
      <c r="C742" s="1" t="n">
        <v>46144</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40547-2023</t>
        </is>
      </c>
      <c r="B743" s="1" t="n">
        <v>45170.45050925926</v>
      </c>
      <c r="C743" s="1" t="n">
        <v>46144</v>
      </c>
      <c r="D743" t="inlineStr">
        <is>
          <t>UPPSALA LÄN</t>
        </is>
      </c>
      <c r="E743" t="inlineStr">
        <is>
          <t>ÖSTHAMMAR</t>
        </is>
      </c>
      <c r="G743" t="n">
        <v>2.1</v>
      </c>
      <c r="H743" t="n">
        <v>0</v>
      </c>
      <c r="I743" t="n">
        <v>0</v>
      </c>
      <c r="J743" t="n">
        <v>0</v>
      </c>
      <c r="K743" t="n">
        <v>0</v>
      </c>
      <c r="L743" t="n">
        <v>0</v>
      </c>
      <c r="M743" t="n">
        <v>0</v>
      </c>
      <c r="N743" t="n">
        <v>0</v>
      </c>
      <c r="O743" t="n">
        <v>0</v>
      </c>
      <c r="P743" t="n">
        <v>0</v>
      </c>
      <c r="Q743" t="n">
        <v>0</v>
      </c>
      <c r="R743" s="2" t="inlineStr"/>
    </row>
    <row r="744" ht="15" customHeight="1">
      <c r="A744" t="inlineStr">
        <is>
          <t>A 10449-2023</t>
        </is>
      </c>
      <c r="B744" s="1" t="n">
        <v>44987</v>
      </c>
      <c r="C744" s="1" t="n">
        <v>46144</v>
      </c>
      <c r="D744" t="inlineStr">
        <is>
          <t>UPPSALA LÄN</t>
        </is>
      </c>
      <c r="E744" t="inlineStr">
        <is>
          <t>ÖSTHAMMAR</t>
        </is>
      </c>
      <c r="G744" t="n">
        <v>3.1</v>
      </c>
      <c r="H744" t="n">
        <v>0</v>
      </c>
      <c r="I744" t="n">
        <v>0</v>
      </c>
      <c r="J744" t="n">
        <v>0</v>
      </c>
      <c r="K744" t="n">
        <v>0</v>
      </c>
      <c r="L744" t="n">
        <v>0</v>
      </c>
      <c r="M744" t="n">
        <v>0</v>
      </c>
      <c r="N744" t="n">
        <v>0</v>
      </c>
      <c r="O744" t="n">
        <v>0</v>
      </c>
      <c r="P744" t="n">
        <v>0</v>
      </c>
      <c r="Q744" t="n">
        <v>0</v>
      </c>
      <c r="R744" s="2" t="inlineStr"/>
    </row>
    <row r="745" ht="15" customHeight="1">
      <c r="A745" t="inlineStr">
        <is>
          <t>A 31035-2022</t>
        </is>
      </c>
      <c r="B745" s="1" t="n">
        <v>44768.88685185185</v>
      </c>
      <c r="C745" s="1" t="n">
        <v>46144</v>
      </c>
      <c r="D745" t="inlineStr">
        <is>
          <t>UPPSALA LÄN</t>
        </is>
      </c>
      <c r="E745" t="inlineStr">
        <is>
          <t>ÖSTHAMMAR</t>
        </is>
      </c>
      <c r="F745" t="inlineStr">
        <is>
          <t>Bergvik skog öst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20779-2026</t>
        </is>
      </c>
      <c r="B746" s="1" t="n">
        <v>46141.63182870371</v>
      </c>
      <c r="C746" s="1" t="n">
        <v>46144</v>
      </c>
      <c r="D746" t="inlineStr">
        <is>
          <t>UPPSALA LÄN</t>
        </is>
      </c>
      <c r="E746" t="inlineStr">
        <is>
          <t>ÖSTHAMMAR</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20786-2026</t>
        </is>
      </c>
      <c r="B747" s="1" t="n">
        <v>46141.64342592593</v>
      </c>
      <c r="C747" s="1" t="n">
        <v>46144</v>
      </c>
      <c r="D747" t="inlineStr">
        <is>
          <t>UPPSALA LÄN</t>
        </is>
      </c>
      <c r="E747" t="inlineStr">
        <is>
          <t>ÖSTHAMMAR</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46144</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10982-2023</t>
        </is>
      </c>
      <c r="B749" s="1" t="n">
        <v>44991.62203703704</v>
      </c>
      <c r="C749" s="1" t="n">
        <v>46144</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40637-2022</t>
        </is>
      </c>
      <c r="B750" s="1" t="n">
        <v>44824</v>
      </c>
      <c r="C750" s="1" t="n">
        <v>46144</v>
      </c>
      <c r="D750" t="inlineStr">
        <is>
          <t>UPPSALA LÄN</t>
        </is>
      </c>
      <c r="E750" t="inlineStr">
        <is>
          <t>ÖSTHAMMAR</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6046-2025</t>
        </is>
      </c>
      <c r="B751" s="1" t="n">
        <v>45695</v>
      </c>
      <c r="C751" s="1" t="n">
        <v>46144</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c r="U751">
        <f>HYPERLINK("https://klasma.github.io/Logging_0382/knärot/A 6046-2025 karta knärot.png", "A 6046-2025")</f>
        <v/>
      </c>
      <c r="V751">
        <f>HYPERLINK("https://klasma.github.io/Logging_0382/klagomål/A 6046-2025 FSC-klagomål.docx", "A 6046-2025")</f>
        <v/>
      </c>
      <c r="W751">
        <f>HYPERLINK("https://klasma.github.io/Logging_0382/klagomålsmail/A 6046-2025 FSC-klagomål mail.docx", "A 6046-2025")</f>
        <v/>
      </c>
      <c r="X751">
        <f>HYPERLINK("https://klasma.github.io/Logging_0382/tillsyn/A 6046-2025 tillsynsbegäran.docx", "A 6046-2025")</f>
        <v/>
      </c>
      <c r="Y751">
        <f>HYPERLINK("https://klasma.github.io/Logging_0382/tillsynsmail/A 6046-2025 tillsynsbegäran mail.docx", "A 6046-2025")</f>
        <v/>
      </c>
    </row>
    <row r="752" ht="15" customHeight="1">
      <c r="A752" t="inlineStr">
        <is>
          <t>A 14618-2026</t>
        </is>
      </c>
      <c r="B752" s="1" t="n">
        <v>46101.38355324074</v>
      </c>
      <c r="C752" s="1" t="n">
        <v>46144</v>
      </c>
      <c r="D752" t="inlineStr">
        <is>
          <t>UPPSALA LÄN</t>
        </is>
      </c>
      <c r="E752" t="inlineStr">
        <is>
          <t>ÖSTHAMMAR</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21624-2023</t>
        </is>
      </c>
      <c r="B753" s="1" t="n">
        <v>45063.65543981481</v>
      </c>
      <c r="C753" s="1" t="n">
        <v>46144</v>
      </c>
      <c r="D753" t="inlineStr">
        <is>
          <t>UPPSALA LÄN</t>
        </is>
      </c>
      <c r="E753" t="inlineStr">
        <is>
          <t>ÖSTHAMMAR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6120-2024</t>
        </is>
      </c>
      <c r="B754" s="1" t="n">
        <v>45337.41784722222</v>
      </c>
      <c r="C754" s="1" t="n">
        <v>46144</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20871-2026</t>
        </is>
      </c>
      <c r="B755" s="1" t="n">
        <v>46142.38075231481</v>
      </c>
      <c r="C755" s="1" t="n">
        <v>46144</v>
      </c>
      <c r="D755" t="inlineStr">
        <is>
          <t>UPPSALA LÄN</t>
        </is>
      </c>
      <c r="E755" t="inlineStr">
        <is>
          <t>ÖSTHAMMAR</t>
        </is>
      </c>
      <c r="F755" t="inlineStr">
        <is>
          <t>Övriga Aktiebolag</t>
        </is>
      </c>
      <c r="G755" t="n">
        <v>6.2</v>
      </c>
      <c r="H755" t="n">
        <v>0</v>
      </c>
      <c r="I755" t="n">
        <v>0</v>
      </c>
      <c r="J755" t="n">
        <v>0</v>
      </c>
      <c r="K755" t="n">
        <v>0</v>
      </c>
      <c r="L755" t="n">
        <v>0</v>
      </c>
      <c r="M755" t="n">
        <v>0</v>
      </c>
      <c r="N755" t="n">
        <v>0</v>
      </c>
      <c r="O755" t="n">
        <v>0</v>
      </c>
      <c r="P755" t="n">
        <v>0</v>
      </c>
      <c r="Q755" t="n">
        <v>0</v>
      </c>
      <c r="R755" s="2" t="inlineStr"/>
    </row>
    <row r="756" ht="15" customHeight="1">
      <c r="A756" t="inlineStr">
        <is>
          <t>A 14378-2026</t>
        </is>
      </c>
      <c r="B756" s="1" t="n">
        <v>46100.37180555556</v>
      </c>
      <c r="C756" s="1" t="n">
        <v>46144</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58270-2023</t>
        </is>
      </c>
      <c r="B757" s="1" t="n">
        <v>45250.49961805555</v>
      </c>
      <c r="C757" s="1" t="n">
        <v>46144</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22804-2022</t>
        </is>
      </c>
      <c r="B758" s="1" t="n">
        <v>44715</v>
      </c>
      <c r="C758" s="1" t="n">
        <v>46144</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57003-2021</t>
        </is>
      </c>
      <c r="B759" s="1" t="n">
        <v>44482.47577546296</v>
      </c>
      <c r="C759" s="1" t="n">
        <v>46144</v>
      </c>
      <c r="D759" t="inlineStr">
        <is>
          <t>UPPSALA LÄN</t>
        </is>
      </c>
      <c r="E759" t="inlineStr">
        <is>
          <t>ÖSTHAMMAR</t>
        </is>
      </c>
      <c r="G759" t="n">
        <v>1.9</v>
      </c>
      <c r="H759" t="n">
        <v>0</v>
      </c>
      <c r="I759" t="n">
        <v>0</v>
      </c>
      <c r="J759" t="n">
        <v>0</v>
      </c>
      <c r="K759" t="n">
        <v>0</v>
      </c>
      <c r="L759" t="n">
        <v>0</v>
      </c>
      <c r="M759" t="n">
        <v>0</v>
      </c>
      <c r="N759" t="n">
        <v>0</v>
      </c>
      <c r="O759" t="n">
        <v>0</v>
      </c>
      <c r="P759" t="n">
        <v>0</v>
      </c>
      <c r="Q759" t="n">
        <v>0</v>
      </c>
      <c r="R759" s="2" t="inlineStr"/>
    </row>
    <row r="760" ht="15" customHeight="1">
      <c r="A760" t="inlineStr">
        <is>
          <t>A 73483-2021</t>
        </is>
      </c>
      <c r="B760" s="1" t="n">
        <v>44550</v>
      </c>
      <c r="C760" s="1" t="n">
        <v>46144</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46144</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12262-2023</t>
        </is>
      </c>
      <c r="B762" s="1" t="n">
        <v>44998.66662037037</v>
      </c>
      <c r="C762" s="1" t="n">
        <v>46144</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5254-2025</t>
        </is>
      </c>
      <c r="B763" s="1" t="n">
        <v>45692</v>
      </c>
      <c r="C763" s="1" t="n">
        <v>46144</v>
      </c>
      <c r="D763" t="inlineStr">
        <is>
          <t>UPPSALA LÄN</t>
        </is>
      </c>
      <c r="E763" t="inlineStr">
        <is>
          <t>ÖSTHAMMAR</t>
        </is>
      </c>
      <c r="G763" t="n">
        <v>5</v>
      </c>
      <c r="H763" t="n">
        <v>0</v>
      </c>
      <c r="I763" t="n">
        <v>0</v>
      </c>
      <c r="J763" t="n">
        <v>0</v>
      </c>
      <c r="K763" t="n">
        <v>0</v>
      </c>
      <c r="L763" t="n">
        <v>0</v>
      </c>
      <c r="M763" t="n">
        <v>0</v>
      </c>
      <c r="N763" t="n">
        <v>0</v>
      </c>
      <c r="O763" t="n">
        <v>0</v>
      </c>
      <c r="P763" t="n">
        <v>0</v>
      </c>
      <c r="Q763" t="n">
        <v>0</v>
      </c>
      <c r="R763" s="2" t="inlineStr"/>
    </row>
    <row r="764" ht="15" customHeight="1">
      <c r="A764" t="inlineStr">
        <is>
          <t>A 44807-2024</t>
        </is>
      </c>
      <c r="B764" s="1" t="n">
        <v>45574.65427083334</v>
      </c>
      <c r="C764" s="1" t="n">
        <v>46144</v>
      </c>
      <c r="D764" t="inlineStr">
        <is>
          <t>UPPSALA LÄN</t>
        </is>
      </c>
      <c r="E764" t="inlineStr">
        <is>
          <t>ÖSTHAMMAR</t>
        </is>
      </c>
      <c r="G764" t="n">
        <v>2.9</v>
      </c>
      <c r="H764" t="n">
        <v>0</v>
      </c>
      <c r="I764" t="n">
        <v>0</v>
      </c>
      <c r="J764" t="n">
        <v>0</v>
      </c>
      <c r="K764" t="n">
        <v>0</v>
      </c>
      <c r="L764" t="n">
        <v>0</v>
      </c>
      <c r="M764" t="n">
        <v>0</v>
      </c>
      <c r="N764" t="n">
        <v>0</v>
      </c>
      <c r="O764" t="n">
        <v>0</v>
      </c>
      <c r="P764" t="n">
        <v>0</v>
      </c>
      <c r="Q764" t="n">
        <v>0</v>
      </c>
      <c r="R764" s="2" t="inlineStr"/>
    </row>
    <row r="765" ht="15" customHeight="1">
      <c r="A765" t="inlineStr">
        <is>
          <t>A 7195-2023</t>
        </is>
      </c>
      <c r="B765" s="1" t="n">
        <v>44970</v>
      </c>
      <c r="C765" s="1" t="n">
        <v>46144</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37568-2022</t>
        </is>
      </c>
      <c r="B766" s="1" t="n">
        <v>44809</v>
      </c>
      <c r="C766" s="1" t="n">
        <v>46144</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9542-2023</t>
        </is>
      </c>
      <c r="B767" s="1" t="n">
        <v>44981</v>
      </c>
      <c r="C767" s="1" t="n">
        <v>46144</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55100-2024</t>
        </is>
      </c>
      <c r="B768" s="1" t="n">
        <v>45621.4405787037</v>
      </c>
      <c r="C768" s="1" t="n">
        <v>46144</v>
      </c>
      <c r="D768" t="inlineStr">
        <is>
          <t>UPPSALA LÄN</t>
        </is>
      </c>
      <c r="E768" t="inlineStr">
        <is>
          <t>ÖSTHAMMAR</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26774-2023</t>
        </is>
      </c>
      <c r="B769" s="1" t="n">
        <v>45093.47947916666</v>
      </c>
      <c r="C769" s="1" t="n">
        <v>46144</v>
      </c>
      <c r="D769" t="inlineStr">
        <is>
          <t>UPPSALA LÄN</t>
        </is>
      </c>
      <c r="E769" t="inlineStr">
        <is>
          <t>ÖSTHAMMAR</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67848-2021</t>
        </is>
      </c>
      <c r="B770" s="1" t="n">
        <v>44525</v>
      </c>
      <c r="C770" s="1" t="n">
        <v>46144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55097-2024</t>
        </is>
      </c>
      <c r="B771" s="1" t="n">
        <v>45621.43855324074</v>
      </c>
      <c r="C771" s="1" t="n">
        <v>46144</v>
      </c>
      <c r="D771" t="inlineStr">
        <is>
          <t>UPPSALA LÄN</t>
        </is>
      </c>
      <c r="E771" t="inlineStr">
        <is>
          <t>ÖSTHAMMAR</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46144</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37865-2023</t>
        </is>
      </c>
      <c r="B773" s="1" t="n">
        <v>45160</v>
      </c>
      <c r="C773" s="1" t="n">
        <v>46144</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7100-2025</t>
        </is>
      </c>
      <c r="B774" s="1" t="n">
        <v>45701.83930555556</v>
      </c>
      <c r="C774" s="1" t="n">
        <v>46144</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54314-2023</t>
        </is>
      </c>
      <c r="B775" s="1" t="n">
        <v>45225</v>
      </c>
      <c r="C775" s="1" t="n">
        <v>46144</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46144</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1791-2023</t>
        </is>
      </c>
      <c r="B777" s="1" t="n">
        <v>44938</v>
      </c>
      <c r="C777" s="1" t="n">
        <v>46144</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21132-2025</t>
        </is>
      </c>
      <c r="B778" s="1" t="n">
        <v>45778.4108912037</v>
      </c>
      <c r="C778" s="1" t="n">
        <v>46144</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row r="779" ht="15" customHeight="1">
      <c r="A779" t="inlineStr">
        <is>
          <t>A 21133-2025</t>
        </is>
      </c>
      <c r="B779" s="1" t="n">
        <v>45778.415625</v>
      </c>
      <c r="C779" s="1" t="n">
        <v>46144</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42262-2024</t>
        </is>
      </c>
      <c r="B780" s="1" t="n">
        <v>45562</v>
      </c>
      <c r="C780" s="1" t="n">
        <v>46144</v>
      </c>
      <c r="D780" t="inlineStr">
        <is>
          <t>UPPSALA LÄN</t>
        </is>
      </c>
      <c r="E780" t="inlineStr">
        <is>
          <t>ÖSTHAMMAR</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44796-2024</t>
        </is>
      </c>
      <c r="B781" s="1" t="n">
        <v>45574</v>
      </c>
      <c r="C781" s="1" t="n">
        <v>46144</v>
      </c>
      <c r="D781" t="inlineStr">
        <is>
          <t>UPPSALA LÄN</t>
        </is>
      </c>
      <c r="E781" t="inlineStr">
        <is>
          <t>ÖSTHAMMAR</t>
        </is>
      </c>
      <c r="G781" t="n">
        <v>4.7</v>
      </c>
      <c r="H781" t="n">
        <v>0</v>
      </c>
      <c r="I781" t="n">
        <v>0</v>
      </c>
      <c r="J781" t="n">
        <v>0</v>
      </c>
      <c r="K781" t="n">
        <v>0</v>
      </c>
      <c r="L781" t="n">
        <v>0</v>
      </c>
      <c r="M781" t="n">
        <v>0</v>
      </c>
      <c r="N781" t="n">
        <v>0</v>
      </c>
      <c r="O781" t="n">
        <v>0</v>
      </c>
      <c r="P781" t="n">
        <v>0</v>
      </c>
      <c r="Q781" t="n">
        <v>0</v>
      </c>
      <c r="R781" s="2" t="inlineStr"/>
    </row>
    <row r="782" ht="15" customHeight="1">
      <c r="A782" t="inlineStr">
        <is>
          <t>A 22488-2025</t>
        </is>
      </c>
      <c r="B782" s="1" t="n">
        <v>45786.64865740741</v>
      </c>
      <c r="C782" s="1" t="n">
        <v>46144</v>
      </c>
      <c r="D782" t="inlineStr">
        <is>
          <t>UPPSALA LÄN</t>
        </is>
      </c>
      <c r="E782" t="inlineStr">
        <is>
          <t>ÖSTHAMMAR</t>
        </is>
      </c>
      <c r="F782" t="inlineStr">
        <is>
          <t>Bergvik skog öst AB</t>
        </is>
      </c>
      <c r="G782" t="n">
        <v>14.9</v>
      </c>
      <c r="H782" t="n">
        <v>0</v>
      </c>
      <c r="I782" t="n">
        <v>0</v>
      </c>
      <c r="J782" t="n">
        <v>0</v>
      </c>
      <c r="K782" t="n">
        <v>0</v>
      </c>
      <c r="L782" t="n">
        <v>0</v>
      </c>
      <c r="M782" t="n">
        <v>0</v>
      </c>
      <c r="N782" t="n">
        <v>0</v>
      </c>
      <c r="O782" t="n">
        <v>0</v>
      </c>
      <c r="P782" t="n">
        <v>0</v>
      </c>
      <c r="Q782" t="n">
        <v>0</v>
      </c>
      <c r="R782" s="2" t="inlineStr"/>
    </row>
    <row r="783" ht="15" customHeight="1">
      <c r="A783" t="inlineStr">
        <is>
          <t>A 36954-2024</t>
        </is>
      </c>
      <c r="B783" s="1" t="n">
        <v>45538.71109953704</v>
      </c>
      <c r="C783" s="1" t="n">
        <v>46144</v>
      </c>
      <c r="D783" t="inlineStr">
        <is>
          <t>UPPSALA LÄN</t>
        </is>
      </c>
      <c r="E783" t="inlineStr">
        <is>
          <t>ÖSTHAMMAR</t>
        </is>
      </c>
      <c r="F783" t="inlineStr">
        <is>
          <t>Bergvik skog öst AB</t>
        </is>
      </c>
      <c r="G783" t="n">
        <v>5.1</v>
      </c>
      <c r="H783" t="n">
        <v>0</v>
      </c>
      <c r="I783" t="n">
        <v>0</v>
      </c>
      <c r="J783" t="n">
        <v>0</v>
      </c>
      <c r="K783" t="n">
        <v>0</v>
      </c>
      <c r="L783" t="n">
        <v>0</v>
      </c>
      <c r="M783" t="n">
        <v>0</v>
      </c>
      <c r="N783" t="n">
        <v>0</v>
      </c>
      <c r="O783" t="n">
        <v>0</v>
      </c>
      <c r="P783" t="n">
        <v>0</v>
      </c>
      <c r="Q783" t="n">
        <v>0</v>
      </c>
      <c r="R783" s="2" t="inlineStr"/>
    </row>
    <row r="784" ht="15" customHeight="1">
      <c r="A784" t="inlineStr">
        <is>
          <t>A 22483-2025</t>
        </is>
      </c>
      <c r="B784" s="1" t="n">
        <v>45786.64141203704</v>
      </c>
      <c r="C784" s="1" t="n">
        <v>46144</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59291-2023</t>
        </is>
      </c>
      <c r="B785" s="1" t="n">
        <v>45253.57559027777</v>
      </c>
      <c r="C785" s="1" t="n">
        <v>46144</v>
      </c>
      <c r="D785" t="inlineStr">
        <is>
          <t>UPPSALA LÄN</t>
        </is>
      </c>
      <c r="E785" t="inlineStr">
        <is>
          <t>ÖSTHAMMAR</t>
        </is>
      </c>
      <c r="G785" t="n">
        <v>1.7</v>
      </c>
      <c r="H785" t="n">
        <v>0</v>
      </c>
      <c r="I785" t="n">
        <v>0</v>
      </c>
      <c r="J785" t="n">
        <v>0</v>
      </c>
      <c r="K785" t="n">
        <v>0</v>
      </c>
      <c r="L785" t="n">
        <v>0</v>
      </c>
      <c r="M785" t="n">
        <v>0</v>
      </c>
      <c r="N785" t="n">
        <v>0</v>
      </c>
      <c r="O785" t="n">
        <v>0</v>
      </c>
      <c r="P785" t="n">
        <v>0</v>
      </c>
      <c r="Q785" t="n">
        <v>0</v>
      </c>
      <c r="R785" s="2" t="inlineStr"/>
    </row>
    <row r="786" ht="15" customHeight="1">
      <c r="A786" t="inlineStr">
        <is>
          <t>A 43685-2024</t>
        </is>
      </c>
      <c r="B786" s="1" t="n">
        <v>45569</v>
      </c>
      <c r="C786" s="1" t="n">
        <v>46144</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38575-2024</t>
        </is>
      </c>
      <c r="B787" s="1" t="n">
        <v>45546.64221064815</v>
      </c>
      <c r="C787" s="1" t="n">
        <v>46144</v>
      </c>
      <c r="D787" t="inlineStr">
        <is>
          <t>UPPSALA LÄN</t>
        </is>
      </c>
      <c r="E787" t="inlineStr">
        <is>
          <t>ÖSTHAMMAR</t>
        </is>
      </c>
      <c r="F787" t="inlineStr">
        <is>
          <t>Bergvik skog öst AB</t>
        </is>
      </c>
      <c r="G787" t="n">
        <v>5.1</v>
      </c>
      <c r="H787" t="n">
        <v>0</v>
      </c>
      <c r="I787" t="n">
        <v>0</v>
      </c>
      <c r="J787" t="n">
        <v>0</v>
      </c>
      <c r="K787" t="n">
        <v>0</v>
      </c>
      <c r="L787" t="n">
        <v>0</v>
      </c>
      <c r="M787" t="n">
        <v>0</v>
      </c>
      <c r="N787" t="n">
        <v>0</v>
      </c>
      <c r="O787" t="n">
        <v>0</v>
      </c>
      <c r="P787" t="n">
        <v>0</v>
      </c>
      <c r="Q787" t="n">
        <v>0</v>
      </c>
      <c r="R787" s="2" t="inlineStr"/>
    </row>
    <row r="788" ht="15" customHeight="1">
      <c r="A788" t="inlineStr">
        <is>
          <t>A 43993-2024</t>
        </is>
      </c>
      <c r="B788" s="1" t="n">
        <v>45572.52690972222</v>
      </c>
      <c r="C788" s="1" t="n">
        <v>46144</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22492-2025</t>
        </is>
      </c>
      <c r="B789" s="1" t="n">
        <v>45786.65072916666</v>
      </c>
      <c r="C789" s="1" t="n">
        <v>46144</v>
      </c>
      <c r="D789" t="inlineStr">
        <is>
          <t>UPPSALA LÄN</t>
        </is>
      </c>
      <c r="E789" t="inlineStr">
        <is>
          <t>ÖSTHAMMAR</t>
        </is>
      </c>
      <c r="F789" t="inlineStr">
        <is>
          <t>Bergvik skog öst AB</t>
        </is>
      </c>
      <c r="G789" t="n">
        <v>16.6</v>
      </c>
      <c r="H789" t="n">
        <v>0</v>
      </c>
      <c r="I789" t="n">
        <v>0</v>
      </c>
      <c r="J789" t="n">
        <v>0</v>
      </c>
      <c r="K789" t="n">
        <v>0</v>
      </c>
      <c r="L789" t="n">
        <v>0</v>
      </c>
      <c r="M789" t="n">
        <v>0</v>
      </c>
      <c r="N789" t="n">
        <v>0</v>
      </c>
      <c r="O789" t="n">
        <v>0</v>
      </c>
      <c r="P789" t="n">
        <v>0</v>
      </c>
      <c r="Q789" t="n">
        <v>0</v>
      </c>
      <c r="R789" s="2" t="inlineStr"/>
    </row>
    <row r="790" ht="15" customHeight="1">
      <c r="A790" t="inlineStr">
        <is>
          <t>A 5931-2022</t>
        </is>
      </c>
      <c r="B790" s="1" t="n">
        <v>44598.82700231481</v>
      </c>
      <c r="C790" s="1" t="n">
        <v>46144</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43655-2024</t>
        </is>
      </c>
      <c r="B791" s="1" t="n">
        <v>45569</v>
      </c>
      <c r="C791" s="1" t="n">
        <v>46144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43683-2024</t>
        </is>
      </c>
      <c r="B792" s="1" t="n">
        <v>45569.57518518518</v>
      </c>
      <c r="C792" s="1" t="n">
        <v>46144</v>
      </c>
      <c r="D792" t="inlineStr">
        <is>
          <t>UPPSALA LÄN</t>
        </is>
      </c>
      <c r="E792" t="inlineStr">
        <is>
          <t>ÖSTHAMMAR</t>
        </is>
      </c>
      <c r="G792" t="n">
        <v>4.7</v>
      </c>
      <c r="H792" t="n">
        <v>0</v>
      </c>
      <c r="I792" t="n">
        <v>0</v>
      </c>
      <c r="J792" t="n">
        <v>0</v>
      </c>
      <c r="K792" t="n">
        <v>0</v>
      </c>
      <c r="L792" t="n">
        <v>0</v>
      </c>
      <c r="M792" t="n">
        <v>0</v>
      </c>
      <c r="N792" t="n">
        <v>0</v>
      </c>
      <c r="O792" t="n">
        <v>0</v>
      </c>
      <c r="P792" t="n">
        <v>0</v>
      </c>
      <c r="Q792" t="n">
        <v>0</v>
      </c>
      <c r="R792" s="2" t="inlineStr"/>
    </row>
    <row r="793" ht="15" customHeight="1">
      <c r="A793" t="inlineStr">
        <is>
          <t>A 32483-2024</t>
        </is>
      </c>
      <c r="B793" s="1" t="n">
        <v>45513.36644675926</v>
      </c>
      <c r="C793" s="1" t="n">
        <v>46144</v>
      </c>
      <c r="D793" t="inlineStr">
        <is>
          <t>UPPSALA LÄN</t>
        </is>
      </c>
      <c r="E793" t="inlineStr">
        <is>
          <t>ÖSTHAMMAR</t>
        </is>
      </c>
      <c r="F793" t="inlineStr">
        <is>
          <t>Kyrkan</t>
        </is>
      </c>
      <c r="G793" t="n">
        <v>4.7</v>
      </c>
      <c r="H793" t="n">
        <v>0</v>
      </c>
      <c r="I793" t="n">
        <v>0</v>
      </c>
      <c r="J793" t="n">
        <v>0</v>
      </c>
      <c r="K793" t="n">
        <v>0</v>
      </c>
      <c r="L793" t="n">
        <v>0</v>
      </c>
      <c r="M793" t="n">
        <v>0</v>
      </c>
      <c r="N793" t="n">
        <v>0</v>
      </c>
      <c r="O793" t="n">
        <v>0</v>
      </c>
      <c r="P793" t="n">
        <v>0</v>
      </c>
      <c r="Q793" t="n">
        <v>0</v>
      </c>
      <c r="R793" s="2" t="inlineStr"/>
    </row>
    <row r="794" ht="15" customHeight="1">
      <c r="A794" t="inlineStr">
        <is>
          <t>A 14595-2023</t>
        </is>
      </c>
      <c r="B794" s="1" t="n">
        <v>45013.57858796296</v>
      </c>
      <c r="C794" s="1" t="n">
        <v>46144</v>
      </c>
      <c r="D794" t="inlineStr">
        <is>
          <t>UPPSALA LÄN</t>
        </is>
      </c>
      <c r="E794" t="inlineStr">
        <is>
          <t>ÖSTHAMMAR</t>
        </is>
      </c>
      <c r="G794" t="n">
        <v>5</v>
      </c>
      <c r="H794" t="n">
        <v>0</v>
      </c>
      <c r="I794" t="n">
        <v>0</v>
      </c>
      <c r="J794" t="n">
        <v>0</v>
      </c>
      <c r="K794" t="n">
        <v>0</v>
      </c>
      <c r="L794" t="n">
        <v>0</v>
      </c>
      <c r="M794" t="n">
        <v>0</v>
      </c>
      <c r="N794" t="n">
        <v>0</v>
      </c>
      <c r="O794" t="n">
        <v>0</v>
      </c>
      <c r="P794" t="n">
        <v>0</v>
      </c>
      <c r="Q794" t="n">
        <v>0</v>
      </c>
      <c r="R794" s="2" t="inlineStr"/>
    </row>
    <row r="795" ht="15" customHeight="1">
      <c r="A795" t="inlineStr">
        <is>
          <t>A 33685-2024</t>
        </is>
      </c>
      <c r="B795" s="1" t="n">
        <v>45520.51063657407</v>
      </c>
      <c r="C795" s="1" t="n">
        <v>46144</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44027-2024</t>
        </is>
      </c>
      <c r="B796" s="1" t="n">
        <v>45572</v>
      </c>
      <c r="C796" s="1" t="n">
        <v>46144</v>
      </c>
      <c r="D796" t="inlineStr">
        <is>
          <t>UPPSALA LÄN</t>
        </is>
      </c>
      <c r="E796" t="inlineStr">
        <is>
          <t>ÖSTHAMMAR</t>
        </is>
      </c>
      <c r="G796" t="n">
        <v>6</v>
      </c>
      <c r="H796" t="n">
        <v>0</v>
      </c>
      <c r="I796" t="n">
        <v>0</v>
      </c>
      <c r="J796" t="n">
        <v>0</v>
      </c>
      <c r="K796" t="n">
        <v>0</v>
      </c>
      <c r="L796" t="n">
        <v>0</v>
      </c>
      <c r="M796" t="n">
        <v>0</v>
      </c>
      <c r="N796" t="n">
        <v>0</v>
      </c>
      <c r="O796" t="n">
        <v>0</v>
      </c>
      <c r="P796" t="n">
        <v>0</v>
      </c>
      <c r="Q796" t="n">
        <v>0</v>
      </c>
      <c r="R796" s="2" t="inlineStr"/>
    </row>
    <row r="797" ht="15" customHeight="1">
      <c r="A797" t="inlineStr">
        <is>
          <t>A 23305-2025</t>
        </is>
      </c>
      <c r="B797" s="1" t="n">
        <v>45791.60127314815</v>
      </c>
      <c r="C797" s="1" t="n">
        <v>46144</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46144</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46144</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24160-2024</t>
        </is>
      </c>
      <c r="B800" s="1" t="n">
        <v>45456</v>
      </c>
      <c r="C800" s="1" t="n">
        <v>46144</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1584-2025</t>
        </is>
      </c>
      <c r="B801" s="1" t="n">
        <v>45670</v>
      </c>
      <c r="C801" s="1" t="n">
        <v>46144</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24174-2025</t>
        </is>
      </c>
      <c r="B802" s="1" t="n">
        <v>45796.69207175926</v>
      </c>
      <c r="C802" s="1" t="n">
        <v>46144</v>
      </c>
      <c r="D802" t="inlineStr">
        <is>
          <t>UPPSALA LÄN</t>
        </is>
      </c>
      <c r="E802" t="inlineStr">
        <is>
          <t>ÖSTHAMMAR</t>
        </is>
      </c>
      <c r="G802" t="n">
        <v>4.9</v>
      </c>
      <c r="H802" t="n">
        <v>0</v>
      </c>
      <c r="I802" t="n">
        <v>0</v>
      </c>
      <c r="J802" t="n">
        <v>0</v>
      </c>
      <c r="K802" t="n">
        <v>0</v>
      </c>
      <c r="L802" t="n">
        <v>0</v>
      </c>
      <c r="M802" t="n">
        <v>0</v>
      </c>
      <c r="N802" t="n">
        <v>0</v>
      </c>
      <c r="O802" t="n">
        <v>0</v>
      </c>
      <c r="P802" t="n">
        <v>0</v>
      </c>
      <c r="Q802" t="n">
        <v>0</v>
      </c>
      <c r="R802" s="2" t="inlineStr"/>
    </row>
    <row r="803" ht="15" customHeight="1">
      <c r="A803" t="inlineStr">
        <is>
          <t>A 30972-2024</t>
        </is>
      </c>
      <c r="B803" s="1" t="n">
        <v>45499.47106481482</v>
      </c>
      <c r="C803" s="1" t="n">
        <v>46144</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24415-2025</t>
        </is>
      </c>
      <c r="B804" s="1" t="n">
        <v>45797.67381944445</v>
      </c>
      <c r="C804" s="1" t="n">
        <v>46144</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25049-2025</t>
        </is>
      </c>
      <c r="B805" s="1" t="n">
        <v>45799.66876157407</v>
      </c>
      <c r="C805" s="1" t="n">
        <v>46144</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24944-2025</t>
        </is>
      </c>
      <c r="B806" s="1" t="n">
        <v>45799.56347222222</v>
      </c>
      <c r="C806" s="1" t="n">
        <v>46144</v>
      </c>
      <c r="D806" t="inlineStr">
        <is>
          <t>UPPSALA LÄN</t>
        </is>
      </c>
      <c r="E806" t="inlineStr">
        <is>
          <t>ÖSTHAMMAR</t>
        </is>
      </c>
      <c r="G806" t="n">
        <v>7.3</v>
      </c>
      <c r="H806" t="n">
        <v>0</v>
      </c>
      <c r="I806" t="n">
        <v>0</v>
      </c>
      <c r="J806" t="n">
        <v>0</v>
      </c>
      <c r="K806" t="n">
        <v>0</v>
      </c>
      <c r="L806" t="n">
        <v>0</v>
      </c>
      <c r="M806" t="n">
        <v>0</v>
      </c>
      <c r="N806" t="n">
        <v>0</v>
      </c>
      <c r="O806" t="n">
        <v>0</v>
      </c>
      <c r="P806" t="n">
        <v>0</v>
      </c>
      <c r="Q806" t="n">
        <v>0</v>
      </c>
      <c r="R806" s="2" t="inlineStr"/>
    </row>
    <row r="807" ht="15" customHeight="1">
      <c r="A807" t="inlineStr">
        <is>
          <t>A 16089-2025</t>
        </is>
      </c>
      <c r="B807" s="1" t="n">
        <v>45749.84232638889</v>
      </c>
      <c r="C807" s="1" t="n">
        <v>46144</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34185-2024</t>
        </is>
      </c>
      <c r="B808" s="1" t="n">
        <v>45524</v>
      </c>
      <c r="C808" s="1" t="n">
        <v>46144</v>
      </c>
      <c r="D808" t="inlineStr">
        <is>
          <t>UPPSALA LÄN</t>
        </is>
      </c>
      <c r="E808" t="inlineStr">
        <is>
          <t>ÖSTHAMMAR</t>
        </is>
      </c>
      <c r="G808" t="n">
        <v>2.5</v>
      </c>
      <c r="H808" t="n">
        <v>0</v>
      </c>
      <c r="I808" t="n">
        <v>0</v>
      </c>
      <c r="J808" t="n">
        <v>0</v>
      </c>
      <c r="K808" t="n">
        <v>0</v>
      </c>
      <c r="L808" t="n">
        <v>0</v>
      </c>
      <c r="M808" t="n">
        <v>0</v>
      </c>
      <c r="N808" t="n">
        <v>0</v>
      </c>
      <c r="O808" t="n">
        <v>0</v>
      </c>
      <c r="P808" t="n">
        <v>0</v>
      </c>
      <c r="Q808" t="n">
        <v>0</v>
      </c>
      <c r="R808" s="2" t="inlineStr"/>
    </row>
    <row r="809" ht="15" customHeight="1">
      <c r="A809" t="inlineStr">
        <is>
          <t>A 14170-2025</t>
        </is>
      </c>
      <c r="B809" s="1" t="n">
        <v>45740.51895833333</v>
      </c>
      <c r="C809" s="1" t="n">
        <v>46144</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12945-2025</t>
        </is>
      </c>
      <c r="B810" s="1" t="n">
        <v>45734.38159722222</v>
      </c>
      <c r="C810" s="1" t="n">
        <v>46144</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row r="811" ht="15" customHeight="1">
      <c r="A811" t="inlineStr">
        <is>
          <t>A 58297-2024</t>
        </is>
      </c>
      <c r="B811" s="1" t="n">
        <v>45632.59780092593</v>
      </c>
      <c r="C811" s="1" t="n">
        <v>46144</v>
      </c>
      <c r="D811" t="inlineStr">
        <is>
          <t>UPPSALA LÄN</t>
        </is>
      </c>
      <c r="E811" t="inlineStr">
        <is>
          <t>ÖSTHAMMAR</t>
        </is>
      </c>
      <c r="G811" t="n">
        <v>5.1</v>
      </c>
      <c r="H811" t="n">
        <v>0</v>
      </c>
      <c r="I811" t="n">
        <v>0</v>
      </c>
      <c r="J811" t="n">
        <v>0</v>
      </c>
      <c r="K811" t="n">
        <v>0</v>
      </c>
      <c r="L811" t="n">
        <v>0</v>
      </c>
      <c r="M811" t="n">
        <v>0</v>
      </c>
      <c r="N811" t="n">
        <v>0</v>
      </c>
      <c r="O811" t="n">
        <v>0</v>
      </c>
      <c r="P811" t="n">
        <v>0</v>
      </c>
      <c r="Q811" t="n">
        <v>0</v>
      </c>
      <c r="R811" s="2" t="inlineStr"/>
    </row>
    <row r="812" ht="15" customHeight="1">
      <c r="A812" t="inlineStr">
        <is>
          <t>A 26055-2025</t>
        </is>
      </c>
      <c r="B812" s="1" t="n">
        <v>45804.77559027778</v>
      </c>
      <c r="C812" s="1" t="n">
        <v>46144</v>
      </c>
      <c r="D812" t="inlineStr">
        <is>
          <t>UPPSALA LÄN</t>
        </is>
      </c>
      <c r="E812" t="inlineStr">
        <is>
          <t>ÖSTHAMMAR</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26330-2025</t>
        </is>
      </c>
      <c r="B813" s="1" t="n">
        <v>45805.68263888889</v>
      </c>
      <c r="C813" s="1" t="n">
        <v>46144</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26319-2025</t>
        </is>
      </c>
      <c r="B814" s="1" t="n">
        <v>45805.65960648148</v>
      </c>
      <c r="C814" s="1" t="n">
        <v>46144</v>
      </c>
      <c r="D814" t="inlineStr">
        <is>
          <t>UPPSALA LÄN</t>
        </is>
      </c>
      <c r="E814" t="inlineStr">
        <is>
          <t>ÖSTHAMMAR</t>
        </is>
      </c>
      <c r="G814" t="n">
        <v>1</v>
      </c>
      <c r="H814" t="n">
        <v>0</v>
      </c>
      <c r="I814" t="n">
        <v>0</v>
      </c>
      <c r="J814" t="n">
        <v>0</v>
      </c>
      <c r="K814" t="n">
        <v>0</v>
      </c>
      <c r="L814" t="n">
        <v>0</v>
      </c>
      <c r="M814" t="n">
        <v>0</v>
      </c>
      <c r="N814" t="n">
        <v>0</v>
      </c>
      <c r="O814" t="n">
        <v>0</v>
      </c>
      <c r="P814" t="n">
        <v>0</v>
      </c>
      <c r="Q814" t="n">
        <v>0</v>
      </c>
      <c r="R814" s="2" t="inlineStr"/>
    </row>
    <row r="815" ht="15" customHeight="1">
      <c r="A815" t="inlineStr">
        <is>
          <t>A 26521-2025</t>
        </is>
      </c>
      <c r="B815" s="1" t="n">
        <v>45807.56275462963</v>
      </c>
      <c r="C815" s="1" t="n">
        <v>46144</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26526-2025</t>
        </is>
      </c>
      <c r="B816" s="1" t="n">
        <v>45807.56612268519</v>
      </c>
      <c r="C816" s="1" t="n">
        <v>46144</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27395-2025</t>
        </is>
      </c>
      <c r="B817" s="1" t="n">
        <v>45812.6850462963</v>
      </c>
      <c r="C817" s="1" t="n">
        <v>46144</v>
      </c>
      <c r="D817" t="inlineStr">
        <is>
          <t>UPPSALA LÄN</t>
        </is>
      </c>
      <c r="E817" t="inlineStr">
        <is>
          <t>ÖSTHAMMAR</t>
        </is>
      </c>
      <c r="F817" t="inlineStr">
        <is>
          <t>Bergvik skog öst AB</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27347-2025</t>
        </is>
      </c>
      <c r="B818" s="1" t="n">
        <v>45812.62390046296</v>
      </c>
      <c r="C818" s="1" t="n">
        <v>46144</v>
      </c>
      <c r="D818" t="inlineStr">
        <is>
          <t>UPPSALA LÄN</t>
        </is>
      </c>
      <c r="E818" t="inlineStr">
        <is>
          <t>ÖSTHAMMAR</t>
        </is>
      </c>
      <c r="G818" t="n">
        <v>0.4</v>
      </c>
      <c r="H818" t="n">
        <v>0</v>
      </c>
      <c r="I818" t="n">
        <v>0</v>
      </c>
      <c r="J818" t="n">
        <v>0</v>
      </c>
      <c r="K818" t="n">
        <v>0</v>
      </c>
      <c r="L818" t="n">
        <v>0</v>
      </c>
      <c r="M818" t="n">
        <v>0</v>
      </c>
      <c r="N818" t="n">
        <v>0</v>
      </c>
      <c r="O818" t="n">
        <v>0</v>
      </c>
      <c r="P818" t="n">
        <v>0</v>
      </c>
      <c r="Q818" t="n">
        <v>0</v>
      </c>
      <c r="R818" s="2" t="inlineStr"/>
    </row>
    <row r="819" ht="15" customHeight="1">
      <c r="A819" t="inlineStr">
        <is>
          <t>A 27383-2025</t>
        </is>
      </c>
      <c r="B819" s="1" t="n">
        <v>45812.66628472223</v>
      </c>
      <c r="C819" s="1" t="n">
        <v>46144</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27385-2025</t>
        </is>
      </c>
      <c r="B820" s="1" t="n">
        <v>45812.66829861111</v>
      </c>
      <c r="C820" s="1" t="n">
        <v>46144</v>
      </c>
      <c r="D820" t="inlineStr">
        <is>
          <t>UPPSALA LÄN</t>
        </is>
      </c>
      <c r="E820" t="inlineStr">
        <is>
          <t>ÖSTHAMMAR</t>
        </is>
      </c>
      <c r="G820" t="n">
        <v>0.6</v>
      </c>
      <c r="H820" t="n">
        <v>0</v>
      </c>
      <c r="I820" t="n">
        <v>0</v>
      </c>
      <c r="J820" t="n">
        <v>0</v>
      </c>
      <c r="K820" t="n">
        <v>0</v>
      </c>
      <c r="L820" t="n">
        <v>0</v>
      </c>
      <c r="M820" t="n">
        <v>0</v>
      </c>
      <c r="N820" t="n">
        <v>0</v>
      </c>
      <c r="O820" t="n">
        <v>0</v>
      </c>
      <c r="P820" t="n">
        <v>0</v>
      </c>
      <c r="Q820" t="n">
        <v>0</v>
      </c>
      <c r="R820" s="2" t="inlineStr"/>
    </row>
    <row r="821" ht="15" customHeight="1">
      <c r="A821" t="inlineStr">
        <is>
          <t>A 27352-2025</t>
        </is>
      </c>
      <c r="B821" s="1" t="n">
        <v>45812.62694444445</v>
      </c>
      <c r="C821" s="1" t="n">
        <v>46144</v>
      </c>
      <c r="D821" t="inlineStr">
        <is>
          <t>UPPSALA LÄN</t>
        </is>
      </c>
      <c r="E821" t="inlineStr">
        <is>
          <t>ÖSTHAMMAR</t>
        </is>
      </c>
      <c r="G821" t="n">
        <v>2.5</v>
      </c>
      <c r="H821" t="n">
        <v>0</v>
      </c>
      <c r="I821" t="n">
        <v>0</v>
      </c>
      <c r="J821" t="n">
        <v>0</v>
      </c>
      <c r="K821" t="n">
        <v>0</v>
      </c>
      <c r="L821" t="n">
        <v>0</v>
      </c>
      <c r="M821" t="n">
        <v>0</v>
      </c>
      <c r="N821" t="n">
        <v>0</v>
      </c>
      <c r="O821" t="n">
        <v>0</v>
      </c>
      <c r="P821" t="n">
        <v>0</v>
      </c>
      <c r="Q821" t="n">
        <v>0</v>
      </c>
      <c r="R821" s="2" t="inlineStr"/>
    </row>
    <row r="822" ht="15" customHeight="1">
      <c r="A822" t="inlineStr">
        <is>
          <t>A 27131-2025</t>
        </is>
      </c>
      <c r="B822" s="1" t="n">
        <v>45811</v>
      </c>
      <c r="C822" s="1" t="n">
        <v>46144</v>
      </c>
      <c r="D822" t="inlineStr">
        <is>
          <t>UPPSALA LÄN</t>
        </is>
      </c>
      <c r="E822" t="inlineStr">
        <is>
          <t>ÖSTHAMMAR</t>
        </is>
      </c>
      <c r="G822" t="n">
        <v>1.9</v>
      </c>
      <c r="H822" t="n">
        <v>0</v>
      </c>
      <c r="I822" t="n">
        <v>0</v>
      </c>
      <c r="J822" t="n">
        <v>0</v>
      </c>
      <c r="K822" t="n">
        <v>0</v>
      </c>
      <c r="L822" t="n">
        <v>0</v>
      </c>
      <c r="M822" t="n">
        <v>0</v>
      </c>
      <c r="N822" t="n">
        <v>0</v>
      </c>
      <c r="O822" t="n">
        <v>0</v>
      </c>
      <c r="P822" t="n">
        <v>0</v>
      </c>
      <c r="Q822" t="n">
        <v>0</v>
      </c>
      <c r="R822" s="2" t="inlineStr"/>
    </row>
    <row r="823" ht="15" customHeight="1">
      <c r="A823" t="inlineStr">
        <is>
          <t>A 27392-2025</t>
        </is>
      </c>
      <c r="B823" s="1" t="n">
        <v>45812.68268518519</v>
      </c>
      <c r="C823" s="1" t="n">
        <v>46144</v>
      </c>
      <c r="D823" t="inlineStr">
        <is>
          <t>UPPSALA LÄN</t>
        </is>
      </c>
      <c r="E823" t="inlineStr">
        <is>
          <t>ÖSTHAMMAR</t>
        </is>
      </c>
      <c r="F823" t="inlineStr">
        <is>
          <t>Bergvik skog öst AB</t>
        </is>
      </c>
      <c r="G823" t="n">
        <v>2.1</v>
      </c>
      <c r="H823" t="n">
        <v>0</v>
      </c>
      <c r="I823" t="n">
        <v>0</v>
      </c>
      <c r="J823" t="n">
        <v>0</v>
      </c>
      <c r="K823" t="n">
        <v>0</v>
      </c>
      <c r="L823" t="n">
        <v>0</v>
      </c>
      <c r="M823" t="n">
        <v>0</v>
      </c>
      <c r="N823" t="n">
        <v>0</v>
      </c>
      <c r="O823" t="n">
        <v>0</v>
      </c>
      <c r="P823" t="n">
        <v>0</v>
      </c>
      <c r="Q823" t="n">
        <v>0</v>
      </c>
      <c r="R823" s="2" t="inlineStr"/>
    </row>
    <row r="824" ht="15" customHeight="1">
      <c r="A824" t="inlineStr">
        <is>
          <t>A 27058-2025</t>
        </is>
      </c>
      <c r="B824" s="1" t="n">
        <v>45811.63436342592</v>
      </c>
      <c r="C824" s="1" t="n">
        <v>46144</v>
      </c>
      <c r="D824" t="inlineStr">
        <is>
          <t>UPPSALA LÄN</t>
        </is>
      </c>
      <c r="E824" t="inlineStr">
        <is>
          <t>ÖSTHAMMAR</t>
        </is>
      </c>
      <c r="F824" t="inlineStr">
        <is>
          <t>Bergvik skog öst AB</t>
        </is>
      </c>
      <c r="G824" t="n">
        <v>5.7</v>
      </c>
      <c r="H824" t="n">
        <v>0</v>
      </c>
      <c r="I824" t="n">
        <v>0</v>
      </c>
      <c r="J824" t="n">
        <v>0</v>
      </c>
      <c r="K824" t="n">
        <v>0</v>
      </c>
      <c r="L824" t="n">
        <v>0</v>
      </c>
      <c r="M824" t="n">
        <v>0</v>
      </c>
      <c r="N824" t="n">
        <v>0</v>
      </c>
      <c r="O824" t="n">
        <v>0</v>
      </c>
      <c r="P824" t="n">
        <v>0</v>
      </c>
      <c r="Q824" t="n">
        <v>0</v>
      </c>
      <c r="R824" s="2" t="inlineStr"/>
    </row>
    <row r="825" ht="15" customHeight="1">
      <c r="A825" t="inlineStr">
        <is>
          <t>A 27350-2025</t>
        </is>
      </c>
      <c r="B825" s="1" t="n">
        <v>45812.62571759259</v>
      </c>
      <c r="C825" s="1" t="n">
        <v>46144</v>
      </c>
      <c r="D825" t="inlineStr">
        <is>
          <t>UPPSALA LÄN</t>
        </is>
      </c>
      <c r="E825" t="inlineStr">
        <is>
          <t>ÖSTHAMMAR</t>
        </is>
      </c>
      <c r="G825" t="n">
        <v>1</v>
      </c>
      <c r="H825" t="n">
        <v>0</v>
      </c>
      <c r="I825" t="n">
        <v>0</v>
      </c>
      <c r="J825" t="n">
        <v>0</v>
      </c>
      <c r="K825" t="n">
        <v>0</v>
      </c>
      <c r="L825" t="n">
        <v>0</v>
      </c>
      <c r="M825" t="n">
        <v>0</v>
      </c>
      <c r="N825" t="n">
        <v>0</v>
      </c>
      <c r="O825" t="n">
        <v>0</v>
      </c>
      <c r="P825" t="n">
        <v>0</v>
      </c>
      <c r="Q825" t="n">
        <v>0</v>
      </c>
      <c r="R825" s="2" t="inlineStr"/>
    </row>
    <row r="826" ht="15" customHeight="1">
      <c r="A826" t="inlineStr">
        <is>
          <t>A 27132-2025</t>
        </is>
      </c>
      <c r="B826" s="1" t="n">
        <v>45811</v>
      </c>
      <c r="C826" s="1" t="n">
        <v>46144</v>
      </c>
      <c r="D826" t="inlineStr">
        <is>
          <t>UPPSALA LÄN</t>
        </is>
      </c>
      <c r="E826" t="inlineStr">
        <is>
          <t>ÖSTHAMMAR</t>
        </is>
      </c>
      <c r="G826" t="n">
        <v>2.3</v>
      </c>
      <c r="H826" t="n">
        <v>0</v>
      </c>
      <c r="I826" t="n">
        <v>0</v>
      </c>
      <c r="J826" t="n">
        <v>0</v>
      </c>
      <c r="K826" t="n">
        <v>0</v>
      </c>
      <c r="L826" t="n">
        <v>0</v>
      </c>
      <c r="M826" t="n">
        <v>0</v>
      </c>
      <c r="N826" t="n">
        <v>0</v>
      </c>
      <c r="O826" t="n">
        <v>0</v>
      </c>
      <c r="P826" t="n">
        <v>0</v>
      </c>
      <c r="Q826" t="n">
        <v>0</v>
      </c>
      <c r="R826" s="2" t="inlineStr"/>
    </row>
    <row r="827" ht="15" customHeight="1">
      <c r="A827" t="inlineStr">
        <is>
          <t>A 8330-2025</t>
        </is>
      </c>
      <c r="B827" s="1" t="n">
        <v>45708</v>
      </c>
      <c r="C827" s="1" t="n">
        <v>46144</v>
      </c>
      <c r="D827" t="inlineStr">
        <is>
          <t>UPPSALA LÄN</t>
        </is>
      </c>
      <c r="E827" t="inlineStr">
        <is>
          <t>ÖSTHAMMAR</t>
        </is>
      </c>
      <c r="F827" t="inlineStr">
        <is>
          <t>Övriga Aktiebolag</t>
        </is>
      </c>
      <c r="G827" t="n">
        <v>2.4</v>
      </c>
      <c r="H827" t="n">
        <v>0</v>
      </c>
      <c r="I827" t="n">
        <v>0</v>
      </c>
      <c r="J827" t="n">
        <v>0</v>
      </c>
      <c r="K827" t="n">
        <v>0</v>
      </c>
      <c r="L827" t="n">
        <v>0</v>
      </c>
      <c r="M827" t="n">
        <v>0</v>
      </c>
      <c r="N827" t="n">
        <v>0</v>
      </c>
      <c r="O827" t="n">
        <v>0</v>
      </c>
      <c r="P827" t="n">
        <v>0</v>
      </c>
      <c r="Q827" t="n">
        <v>0</v>
      </c>
      <c r="R827" s="2" t="inlineStr"/>
    </row>
    <row r="828" ht="15" customHeight="1">
      <c r="A828" t="inlineStr">
        <is>
          <t>A 27563-2025</t>
        </is>
      </c>
      <c r="B828" s="1" t="n">
        <v>45813.48471064815</v>
      </c>
      <c r="C828" s="1" t="n">
        <v>46144</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27920-2025</t>
        </is>
      </c>
      <c r="B829" s="1" t="n">
        <v>45817.48454861111</v>
      </c>
      <c r="C829" s="1" t="n">
        <v>46144</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27812-2025</t>
        </is>
      </c>
      <c r="B830" s="1" t="n">
        <v>45817.32150462963</v>
      </c>
      <c r="C830" s="1" t="n">
        <v>46144</v>
      </c>
      <c r="D830" t="inlineStr">
        <is>
          <t>UPPSALA LÄN</t>
        </is>
      </c>
      <c r="E830" t="inlineStr">
        <is>
          <t>ÖSTHAMMAR</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27919-2025</t>
        </is>
      </c>
      <c r="B831" s="1" t="n">
        <v>45817.48384259259</v>
      </c>
      <c r="C831" s="1" t="n">
        <v>46144</v>
      </c>
      <c r="D831" t="inlineStr">
        <is>
          <t>UPPSALA LÄN</t>
        </is>
      </c>
      <c r="E831" t="inlineStr">
        <is>
          <t>ÖSTHAMMAR</t>
        </is>
      </c>
      <c r="F831" t="inlineStr">
        <is>
          <t>Bergvik skog öst AB</t>
        </is>
      </c>
      <c r="G831" t="n">
        <v>3.5</v>
      </c>
      <c r="H831" t="n">
        <v>0</v>
      </c>
      <c r="I831" t="n">
        <v>0</v>
      </c>
      <c r="J831" t="n">
        <v>0</v>
      </c>
      <c r="K831" t="n">
        <v>0</v>
      </c>
      <c r="L831" t="n">
        <v>0</v>
      </c>
      <c r="M831" t="n">
        <v>0</v>
      </c>
      <c r="N831" t="n">
        <v>0</v>
      </c>
      <c r="O831" t="n">
        <v>0</v>
      </c>
      <c r="P831" t="n">
        <v>0</v>
      </c>
      <c r="Q831" t="n">
        <v>0</v>
      </c>
      <c r="R831" s="2" t="inlineStr"/>
    </row>
    <row r="832" ht="15" customHeight="1">
      <c r="A832" t="inlineStr">
        <is>
          <t>A 27853-2025</t>
        </is>
      </c>
      <c r="B832" s="1" t="n">
        <v>45817.40178240741</v>
      </c>
      <c r="C832" s="1" t="n">
        <v>46144</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27509-2025</t>
        </is>
      </c>
      <c r="B833" s="1" t="n">
        <v>45813.4278125</v>
      </c>
      <c r="C833" s="1" t="n">
        <v>46144</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28745-2025</t>
        </is>
      </c>
      <c r="B834" s="1" t="n">
        <v>45820.39076388889</v>
      </c>
      <c r="C834" s="1" t="n">
        <v>46144</v>
      </c>
      <c r="D834" t="inlineStr">
        <is>
          <t>UPPSALA LÄN</t>
        </is>
      </c>
      <c r="E834" t="inlineStr">
        <is>
          <t>ÖSTHAMMAR</t>
        </is>
      </c>
      <c r="G834" t="n">
        <v>1.7</v>
      </c>
      <c r="H834" t="n">
        <v>0</v>
      </c>
      <c r="I834" t="n">
        <v>0</v>
      </c>
      <c r="J834" t="n">
        <v>0</v>
      </c>
      <c r="K834" t="n">
        <v>0</v>
      </c>
      <c r="L834" t="n">
        <v>0</v>
      </c>
      <c r="M834" t="n">
        <v>0</v>
      </c>
      <c r="N834" t="n">
        <v>0</v>
      </c>
      <c r="O834" t="n">
        <v>0</v>
      </c>
      <c r="P834" t="n">
        <v>0</v>
      </c>
      <c r="Q834" t="n">
        <v>0</v>
      </c>
      <c r="R834" s="2" t="inlineStr"/>
    </row>
    <row r="835" ht="15" customHeight="1">
      <c r="A835" t="inlineStr">
        <is>
          <t>A 28748-2025</t>
        </is>
      </c>
      <c r="B835" s="1" t="n">
        <v>45820.39540509259</v>
      </c>
      <c r="C835" s="1" t="n">
        <v>46144</v>
      </c>
      <c r="D835" t="inlineStr">
        <is>
          <t>UPPSALA LÄN</t>
        </is>
      </c>
      <c r="E835" t="inlineStr">
        <is>
          <t>ÖSTHAMMAR</t>
        </is>
      </c>
      <c r="G835" t="n">
        <v>2</v>
      </c>
      <c r="H835" t="n">
        <v>0</v>
      </c>
      <c r="I835" t="n">
        <v>0</v>
      </c>
      <c r="J835" t="n">
        <v>0</v>
      </c>
      <c r="K835" t="n">
        <v>0</v>
      </c>
      <c r="L835" t="n">
        <v>0</v>
      </c>
      <c r="M835" t="n">
        <v>0</v>
      </c>
      <c r="N835" t="n">
        <v>0</v>
      </c>
      <c r="O835" t="n">
        <v>0</v>
      </c>
      <c r="P835" t="n">
        <v>0</v>
      </c>
      <c r="Q835" t="n">
        <v>0</v>
      </c>
      <c r="R835" s="2" t="inlineStr"/>
    </row>
    <row r="836" ht="15" customHeight="1">
      <c r="A836" t="inlineStr">
        <is>
          <t>A 28442-2025</t>
        </is>
      </c>
      <c r="B836" s="1" t="n">
        <v>45819</v>
      </c>
      <c r="C836" s="1" t="n">
        <v>46144</v>
      </c>
      <c r="D836" t="inlineStr">
        <is>
          <t>UPPSALA LÄN</t>
        </is>
      </c>
      <c r="E836" t="inlineStr">
        <is>
          <t>ÖSTHAMMAR</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23728-2025</t>
        </is>
      </c>
      <c r="B837" s="1" t="n">
        <v>45793.41719907407</v>
      </c>
      <c r="C837" s="1" t="n">
        <v>46144</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28739-2025</t>
        </is>
      </c>
      <c r="B838" s="1" t="n">
        <v>45820</v>
      </c>
      <c r="C838" s="1" t="n">
        <v>46144</v>
      </c>
      <c r="D838" t="inlineStr">
        <is>
          <t>UPPSALA LÄN</t>
        </is>
      </c>
      <c r="E838" t="inlineStr">
        <is>
          <t>ÖSTHAMMAR</t>
        </is>
      </c>
      <c r="G838" t="n">
        <v>1.4</v>
      </c>
      <c r="H838" t="n">
        <v>0</v>
      </c>
      <c r="I838" t="n">
        <v>0</v>
      </c>
      <c r="J838" t="n">
        <v>0</v>
      </c>
      <c r="K838" t="n">
        <v>0</v>
      </c>
      <c r="L838" t="n">
        <v>0</v>
      </c>
      <c r="M838" t="n">
        <v>0</v>
      </c>
      <c r="N838" t="n">
        <v>0</v>
      </c>
      <c r="O838" t="n">
        <v>0</v>
      </c>
      <c r="P838" t="n">
        <v>0</v>
      </c>
      <c r="Q838" t="n">
        <v>0</v>
      </c>
      <c r="R838" s="2" t="inlineStr"/>
    </row>
    <row r="839" ht="15" customHeight="1">
      <c r="A839" t="inlineStr">
        <is>
          <t>A 27486-2025</t>
        </is>
      </c>
      <c r="B839" s="1" t="n">
        <v>45813.38521990741</v>
      </c>
      <c r="C839" s="1" t="n">
        <v>46144</v>
      </c>
      <c r="D839" t="inlineStr">
        <is>
          <t>UPPSALA LÄN</t>
        </is>
      </c>
      <c r="E839" t="inlineStr">
        <is>
          <t>ÖSTHAMMAR</t>
        </is>
      </c>
      <c r="F839" t="inlineStr">
        <is>
          <t>Bergvik skog öst AB</t>
        </is>
      </c>
      <c r="G839" t="n">
        <v>1.7</v>
      </c>
      <c r="H839" t="n">
        <v>0</v>
      </c>
      <c r="I839" t="n">
        <v>0</v>
      </c>
      <c r="J839" t="n">
        <v>0</v>
      </c>
      <c r="K839" t="n">
        <v>0</v>
      </c>
      <c r="L839" t="n">
        <v>0</v>
      </c>
      <c r="M839" t="n">
        <v>0</v>
      </c>
      <c r="N839" t="n">
        <v>0</v>
      </c>
      <c r="O839" t="n">
        <v>0</v>
      </c>
      <c r="P839" t="n">
        <v>0</v>
      </c>
      <c r="Q839" t="n">
        <v>0</v>
      </c>
      <c r="R839" s="2" t="inlineStr"/>
    </row>
    <row r="840" ht="15" customHeight="1">
      <c r="A840" t="inlineStr">
        <is>
          <t>A 29029-2025</t>
        </is>
      </c>
      <c r="B840" s="1" t="n">
        <v>45821.43973379629</v>
      </c>
      <c r="C840" s="1" t="n">
        <v>46144</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29028-2025</t>
        </is>
      </c>
      <c r="B841" s="1" t="n">
        <v>45821.4384375</v>
      </c>
      <c r="C841" s="1" t="n">
        <v>46144</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29031-2025</t>
        </is>
      </c>
      <c r="B842" s="1" t="n">
        <v>45821.44159722222</v>
      </c>
      <c r="C842" s="1" t="n">
        <v>46144</v>
      </c>
      <c r="D842" t="inlineStr">
        <is>
          <t>UPPSALA LÄN</t>
        </is>
      </c>
      <c r="E842" t="inlineStr">
        <is>
          <t>ÖSTHAMMAR</t>
        </is>
      </c>
      <c r="F842" t="inlineStr">
        <is>
          <t>Bergvik skog öst AB</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27490-2025</t>
        </is>
      </c>
      <c r="B843" s="1" t="n">
        <v>45813.39273148148</v>
      </c>
      <c r="C843" s="1" t="n">
        <v>46144</v>
      </c>
      <c r="D843" t="inlineStr">
        <is>
          <t>UPPSALA LÄN</t>
        </is>
      </c>
      <c r="E843" t="inlineStr">
        <is>
          <t>ÖSTHAMMAR</t>
        </is>
      </c>
      <c r="F843" t="inlineStr">
        <is>
          <t>Bergvik skog öst AB</t>
        </is>
      </c>
      <c r="G843" t="n">
        <v>6.1</v>
      </c>
      <c r="H843" t="n">
        <v>0</v>
      </c>
      <c r="I843" t="n">
        <v>0</v>
      </c>
      <c r="J843" t="n">
        <v>0</v>
      </c>
      <c r="K843" t="n">
        <v>0</v>
      </c>
      <c r="L843" t="n">
        <v>0</v>
      </c>
      <c r="M843" t="n">
        <v>0</v>
      </c>
      <c r="N843" t="n">
        <v>0</v>
      </c>
      <c r="O843" t="n">
        <v>0</v>
      </c>
      <c r="P843" t="n">
        <v>0</v>
      </c>
      <c r="Q843" t="n">
        <v>0</v>
      </c>
      <c r="R843" s="2" t="inlineStr"/>
    </row>
    <row r="844" ht="15" customHeight="1">
      <c r="A844" t="inlineStr">
        <is>
          <t>A 27494-2025</t>
        </is>
      </c>
      <c r="B844" s="1" t="n">
        <v>45813.39756944445</v>
      </c>
      <c r="C844" s="1" t="n">
        <v>46144</v>
      </c>
      <c r="D844" t="inlineStr">
        <is>
          <t>UPPSALA LÄN</t>
        </is>
      </c>
      <c r="E844" t="inlineStr">
        <is>
          <t>ÖSTHAMMAR</t>
        </is>
      </c>
      <c r="F844" t="inlineStr">
        <is>
          <t>Bergvik skog öst AB</t>
        </is>
      </c>
      <c r="G844" t="n">
        <v>23.4</v>
      </c>
      <c r="H844" t="n">
        <v>0</v>
      </c>
      <c r="I844" t="n">
        <v>0</v>
      </c>
      <c r="J844" t="n">
        <v>0</v>
      </c>
      <c r="K844" t="n">
        <v>0</v>
      </c>
      <c r="L844" t="n">
        <v>0</v>
      </c>
      <c r="M844" t="n">
        <v>0</v>
      </c>
      <c r="N844" t="n">
        <v>0</v>
      </c>
      <c r="O844" t="n">
        <v>0</v>
      </c>
      <c r="P844" t="n">
        <v>0</v>
      </c>
      <c r="Q844" t="n">
        <v>0</v>
      </c>
      <c r="R844" s="2" t="inlineStr"/>
    </row>
    <row r="845" ht="15" customHeight="1">
      <c r="A845" t="inlineStr">
        <is>
          <t>A 29384-2025</t>
        </is>
      </c>
      <c r="B845" s="1" t="n">
        <v>45824</v>
      </c>
      <c r="C845" s="1" t="n">
        <v>46144</v>
      </c>
      <c r="D845" t="inlineStr">
        <is>
          <t>UPPSALA LÄN</t>
        </is>
      </c>
      <c r="E845" t="inlineStr">
        <is>
          <t>ÖSTHAMMAR</t>
        </is>
      </c>
      <c r="G845" t="n">
        <v>3.1</v>
      </c>
      <c r="H845" t="n">
        <v>0</v>
      </c>
      <c r="I845" t="n">
        <v>0</v>
      </c>
      <c r="J845" t="n">
        <v>0</v>
      </c>
      <c r="K845" t="n">
        <v>0</v>
      </c>
      <c r="L845" t="n">
        <v>0</v>
      </c>
      <c r="M845" t="n">
        <v>0</v>
      </c>
      <c r="N845" t="n">
        <v>0</v>
      </c>
      <c r="O845" t="n">
        <v>0</v>
      </c>
      <c r="P845" t="n">
        <v>0</v>
      </c>
      <c r="Q845" t="n">
        <v>0</v>
      </c>
      <c r="R845" s="2" t="inlineStr"/>
    </row>
    <row r="846" ht="15" customHeight="1">
      <c r="A846" t="inlineStr">
        <is>
          <t>A 29024-2025</t>
        </is>
      </c>
      <c r="B846" s="1" t="n">
        <v>45821.43233796296</v>
      </c>
      <c r="C846" s="1" t="n">
        <v>46144</v>
      </c>
      <c r="D846" t="inlineStr">
        <is>
          <t>UPPSALA LÄN</t>
        </is>
      </c>
      <c r="E846" t="inlineStr">
        <is>
          <t>ÖSTHAMMAR</t>
        </is>
      </c>
      <c r="G846" t="n">
        <v>1</v>
      </c>
      <c r="H846" t="n">
        <v>0</v>
      </c>
      <c r="I846" t="n">
        <v>0</v>
      </c>
      <c r="J846" t="n">
        <v>0</v>
      </c>
      <c r="K846" t="n">
        <v>0</v>
      </c>
      <c r="L846" t="n">
        <v>0</v>
      </c>
      <c r="M846" t="n">
        <v>0</v>
      </c>
      <c r="N846" t="n">
        <v>0</v>
      </c>
      <c r="O846" t="n">
        <v>0</v>
      </c>
      <c r="P846" t="n">
        <v>0</v>
      </c>
      <c r="Q846" t="n">
        <v>0</v>
      </c>
      <c r="R846" s="2" t="inlineStr"/>
    </row>
    <row r="847" ht="15" customHeight="1">
      <c r="A847" t="inlineStr">
        <is>
          <t>A 29775-2025</t>
        </is>
      </c>
      <c r="B847" s="1" t="n">
        <v>45825.63803240741</v>
      </c>
      <c r="C847" s="1" t="n">
        <v>46144</v>
      </c>
      <c r="D847" t="inlineStr">
        <is>
          <t>UPPSALA LÄN</t>
        </is>
      </c>
      <c r="E847" t="inlineStr">
        <is>
          <t>ÖSTHAMMAR</t>
        </is>
      </c>
      <c r="G847" t="n">
        <v>0.9</v>
      </c>
      <c r="H847" t="n">
        <v>0</v>
      </c>
      <c r="I847" t="n">
        <v>0</v>
      </c>
      <c r="J847" t="n">
        <v>0</v>
      </c>
      <c r="K847" t="n">
        <v>0</v>
      </c>
      <c r="L847" t="n">
        <v>0</v>
      </c>
      <c r="M847" t="n">
        <v>0</v>
      </c>
      <c r="N847" t="n">
        <v>0</v>
      </c>
      <c r="O847" t="n">
        <v>0</v>
      </c>
      <c r="P847" t="n">
        <v>0</v>
      </c>
      <c r="Q847" t="n">
        <v>0</v>
      </c>
      <c r="R847" s="2" t="inlineStr"/>
    </row>
    <row r="848" ht="15" customHeight="1">
      <c r="A848" t="inlineStr">
        <is>
          <t>A 30244-2025</t>
        </is>
      </c>
      <c r="B848" s="1" t="n">
        <v>45827.40902777778</v>
      </c>
      <c r="C848" s="1" t="n">
        <v>46144</v>
      </c>
      <c r="D848" t="inlineStr">
        <is>
          <t>UPPSALA LÄN</t>
        </is>
      </c>
      <c r="E848" t="inlineStr">
        <is>
          <t>ÖSTHAMMAR</t>
        </is>
      </c>
      <c r="G848" t="n">
        <v>1.4</v>
      </c>
      <c r="H848" t="n">
        <v>0</v>
      </c>
      <c r="I848" t="n">
        <v>0</v>
      </c>
      <c r="J848" t="n">
        <v>0</v>
      </c>
      <c r="K848" t="n">
        <v>0</v>
      </c>
      <c r="L848" t="n">
        <v>0</v>
      </c>
      <c r="M848" t="n">
        <v>0</v>
      </c>
      <c r="N848" t="n">
        <v>0</v>
      </c>
      <c r="O848" t="n">
        <v>0</v>
      </c>
      <c r="P848" t="n">
        <v>0</v>
      </c>
      <c r="Q848" t="n">
        <v>0</v>
      </c>
      <c r="R848" s="2" t="inlineStr"/>
    </row>
    <row r="849" ht="15" customHeight="1">
      <c r="A849" t="inlineStr">
        <is>
          <t>A 30504-2025</t>
        </is>
      </c>
      <c r="B849" s="1" t="n">
        <v>45830.8558912037</v>
      </c>
      <c r="C849" s="1" t="n">
        <v>46144</v>
      </c>
      <c r="D849" t="inlineStr">
        <is>
          <t>UPPSALA LÄN</t>
        </is>
      </c>
      <c r="E849" t="inlineStr">
        <is>
          <t>ÖSTHAMMAR</t>
        </is>
      </c>
      <c r="G849" t="n">
        <v>0.6</v>
      </c>
      <c r="H849" t="n">
        <v>0</v>
      </c>
      <c r="I849" t="n">
        <v>0</v>
      </c>
      <c r="J849" t="n">
        <v>0</v>
      </c>
      <c r="K849" t="n">
        <v>0</v>
      </c>
      <c r="L849" t="n">
        <v>0</v>
      </c>
      <c r="M849" t="n">
        <v>0</v>
      </c>
      <c r="N849" t="n">
        <v>0</v>
      </c>
      <c r="O849" t="n">
        <v>0</v>
      </c>
      <c r="P849" t="n">
        <v>0</v>
      </c>
      <c r="Q849" t="n">
        <v>0</v>
      </c>
      <c r="R849" s="2" t="inlineStr"/>
    </row>
    <row r="850" ht="15" customHeight="1">
      <c r="A850" t="inlineStr">
        <is>
          <t>A 30503-2025</t>
        </is>
      </c>
      <c r="B850" s="1" t="n">
        <v>45830.8500462963</v>
      </c>
      <c r="C850" s="1" t="n">
        <v>46144</v>
      </c>
      <c r="D850" t="inlineStr">
        <is>
          <t>UPPSALA LÄN</t>
        </is>
      </c>
      <c r="E850" t="inlineStr">
        <is>
          <t>ÖSTHAMMAR</t>
        </is>
      </c>
      <c r="G850" t="n">
        <v>0.8</v>
      </c>
      <c r="H850" t="n">
        <v>0</v>
      </c>
      <c r="I850" t="n">
        <v>0</v>
      </c>
      <c r="J850" t="n">
        <v>0</v>
      </c>
      <c r="K850" t="n">
        <v>0</v>
      </c>
      <c r="L850" t="n">
        <v>0</v>
      </c>
      <c r="M850" t="n">
        <v>0</v>
      </c>
      <c r="N850" t="n">
        <v>0</v>
      </c>
      <c r="O850" t="n">
        <v>0</v>
      </c>
      <c r="P850" t="n">
        <v>0</v>
      </c>
      <c r="Q850" t="n">
        <v>0</v>
      </c>
      <c r="R850" s="2" t="inlineStr"/>
    </row>
    <row r="851" ht="15" customHeight="1">
      <c r="A851" t="inlineStr">
        <is>
          <t>A 30610-2025</t>
        </is>
      </c>
      <c r="B851" s="1" t="n">
        <v>45831.45965277778</v>
      </c>
      <c r="C851" s="1" t="n">
        <v>46144</v>
      </c>
      <c r="D851" t="inlineStr">
        <is>
          <t>UPPSALA LÄN</t>
        </is>
      </c>
      <c r="E851" t="inlineStr">
        <is>
          <t>ÖSTHAMMAR</t>
        </is>
      </c>
      <c r="G851" t="n">
        <v>0.2</v>
      </c>
      <c r="H851" t="n">
        <v>0</v>
      </c>
      <c r="I851" t="n">
        <v>0</v>
      </c>
      <c r="J851" t="n">
        <v>0</v>
      </c>
      <c r="K851" t="n">
        <v>0</v>
      </c>
      <c r="L851" t="n">
        <v>0</v>
      </c>
      <c r="M851" t="n">
        <v>0</v>
      </c>
      <c r="N851" t="n">
        <v>0</v>
      </c>
      <c r="O851" t="n">
        <v>0</v>
      </c>
      <c r="P851" t="n">
        <v>0</v>
      </c>
      <c r="Q851" t="n">
        <v>0</v>
      </c>
      <c r="R851" s="2" t="inlineStr"/>
    </row>
    <row r="852" ht="15" customHeight="1">
      <c r="A852" t="inlineStr">
        <is>
          <t>A 31579-2025</t>
        </is>
      </c>
      <c r="B852" s="1" t="n">
        <v>45833.68211805556</v>
      </c>
      <c r="C852" s="1" t="n">
        <v>46144</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31360-2025</t>
        </is>
      </c>
      <c r="B853" s="1" t="n">
        <v>45833.43527777777</v>
      </c>
      <c r="C853" s="1" t="n">
        <v>46144</v>
      </c>
      <c r="D853" t="inlineStr">
        <is>
          <t>UPPSALA LÄN</t>
        </is>
      </c>
      <c r="E853" t="inlineStr">
        <is>
          <t>ÖSTHAMMAR</t>
        </is>
      </c>
      <c r="G853" t="n">
        <v>1.1</v>
      </c>
      <c r="H853" t="n">
        <v>0</v>
      </c>
      <c r="I853" t="n">
        <v>0</v>
      </c>
      <c r="J853" t="n">
        <v>0</v>
      </c>
      <c r="K853" t="n">
        <v>0</v>
      </c>
      <c r="L853" t="n">
        <v>0</v>
      </c>
      <c r="M853" t="n">
        <v>0</v>
      </c>
      <c r="N853" t="n">
        <v>0</v>
      </c>
      <c r="O853" t="n">
        <v>0</v>
      </c>
      <c r="P853" t="n">
        <v>0</v>
      </c>
      <c r="Q853" t="n">
        <v>0</v>
      </c>
      <c r="R853" s="2" t="inlineStr"/>
    </row>
    <row r="854" ht="15" customHeight="1">
      <c r="A854" t="inlineStr">
        <is>
          <t>A 31249-2025</t>
        </is>
      </c>
      <c r="B854" s="1" t="n">
        <v>45832.89476851852</v>
      </c>
      <c r="C854" s="1" t="n">
        <v>46144</v>
      </c>
      <c r="D854" t="inlineStr">
        <is>
          <t>UPPSALA LÄN</t>
        </is>
      </c>
      <c r="E854" t="inlineStr">
        <is>
          <t>ÖSTHAMMAR</t>
        </is>
      </c>
      <c r="G854" t="n">
        <v>0.6</v>
      </c>
      <c r="H854" t="n">
        <v>0</v>
      </c>
      <c r="I854" t="n">
        <v>0</v>
      </c>
      <c r="J854" t="n">
        <v>0</v>
      </c>
      <c r="K854" t="n">
        <v>0</v>
      </c>
      <c r="L854" t="n">
        <v>0</v>
      </c>
      <c r="M854" t="n">
        <v>0</v>
      </c>
      <c r="N854" t="n">
        <v>0</v>
      </c>
      <c r="O854" t="n">
        <v>0</v>
      </c>
      <c r="P854" t="n">
        <v>0</v>
      </c>
      <c r="Q854" t="n">
        <v>0</v>
      </c>
      <c r="R854" s="2" t="inlineStr"/>
    </row>
    <row r="855" ht="15" customHeight="1">
      <c r="A855" t="inlineStr">
        <is>
          <t>A 31977-2025</t>
        </is>
      </c>
      <c r="B855" s="1" t="n">
        <v>45835.3554050926</v>
      </c>
      <c r="C855" s="1" t="n">
        <v>46144</v>
      </c>
      <c r="D855" t="inlineStr">
        <is>
          <t>UPPSALA LÄN</t>
        </is>
      </c>
      <c r="E855" t="inlineStr">
        <is>
          <t>ÖSTHAMMAR</t>
        </is>
      </c>
      <c r="F855" t="inlineStr">
        <is>
          <t>Övriga Aktiebolag</t>
        </is>
      </c>
      <c r="G855" t="n">
        <v>35.3</v>
      </c>
      <c r="H855" t="n">
        <v>0</v>
      </c>
      <c r="I855" t="n">
        <v>0</v>
      </c>
      <c r="J855" t="n">
        <v>0</v>
      </c>
      <c r="K855" t="n">
        <v>0</v>
      </c>
      <c r="L855" t="n">
        <v>0</v>
      </c>
      <c r="M855" t="n">
        <v>0</v>
      </c>
      <c r="N855" t="n">
        <v>0</v>
      </c>
      <c r="O855" t="n">
        <v>0</v>
      </c>
      <c r="P855" t="n">
        <v>0</v>
      </c>
      <c r="Q855" t="n">
        <v>0</v>
      </c>
      <c r="R855" s="2" t="inlineStr"/>
    </row>
    <row r="856" ht="15" customHeight="1">
      <c r="A856" t="inlineStr">
        <is>
          <t>A 31956-2025</t>
        </is>
      </c>
      <c r="B856" s="1" t="n">
        <v>45835.34184027778</v>
      </c>
      <c r="C856" s="1" t="n">
        <v>46144</v>
      </c>
      <c r="D856" t="inlineStr">
        <is>
          <t>UPPSALA LÄN</t>
        </is>
      </c>
      <c r="E856" t="inlineStr">
        <is>
          <t>ÖSTHAMMAR</t>
        </is>
      </c>
      <c r="F856" t="inlineStr">
        <is>
          <t>Övriga Aktiebolag</t>
        </is>
      </c>
      <c r="G856" t="n">
        <v>4.2</v>
      </c>
      <c r="H856" t="n">
        <v>0</v>
      </c>
      <c r="I856" t="n">
        <v>0</v>
      </c>
      <c r="J856" t="n">
        <v>0</v>
      </c>
      <c r="K856" t="n">
        <v>0</v>
      </c>
      <c r="L856" t="n">
        <v>0</v>
      </c>
      <c r="M856" t="n">
        <v>0</v>
      </c>
      <c r="N856" t="n">
        <v>0</v>
      </c>
      <c r="O856" t="n">
        <v>0</v>
      </c>
      <c r="P856" t="n">
        <v>0</v>
      </c>
      <c r="Q856" t="n">
        <v>0</v>
      </c>
      <c r="R856" s="2" t="inlineStr"/>
    </row>
    <row r="857" ht="15" customHeight="1">
      <c r="A857" t="inlineStr">
        <is>
          <t>A 33048-2025</t>
        </is>
      </c>
      <c r="B857" s="1" t="n">
        <v>45840.41451388889</v>
      </c>
      <c r="C857" s="1" t="n">
        <v>46144</v>
      </c>
      <c r="D857" t="inlineStr">
        <is>
          <t>UPPSALA LÄN</t>
        </is>
      </c>
      <c r="E857" t="inlineStr">
        <is>
          <t>ÖSTHAMMAR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27476-2025</t>
        </is>
      </c>
      <c r="B858" s="1" t="n">
        <v>45813.37517361111</v>
      </c>
      <c r="C858" s="1" t="n">
        <v>46144</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33271-2025</t>
        </is>
      </c>
      <c r="B859" s="1" t="n">
        <v>45840.68381944444</v>
      </c>
      <c r="C859" s="1" t="n">
        <v>46144</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32718-2025</t>
        </is>
      </c>
      <c r="B860" s="1" t="n">
        <v>45839.37740740741</v>
      </c>
      <c r="C860" s="1" t="n">
        <v>46144</v>
      </c>
      <c r="D860" t="inlineStr">
        <is>
          <t>UPPSALA LÄN</t>
        </is>
      </c>
      <c r="E860" t="inlineStr">
        <is>
          <t>ÖSTHAMMAR</t>
        </is>
      </c>
      <c r="G860" t="n">
        <v>10.4</v>
      </c>
      <c r="H860" t="n">
        <v>0</v>
      </c>
      <c r="I860" t="n">
        <v>0</v>
      </c>
      <c r="J860" t="n">
        <v>0</v>
      </c>
      <c r="K860" t="n">
        <v>0</v>
      </c>
      <c r="L860" t="n">
        <v>0</v>
      </c>
      <c r="M860" t="n">
        <v>0</v>
      </c>
      <c r="N860" t="n">
        <v>0</v>
      </c>
      <c r="O860" t="n">
        <v>0</v>
      </c>
      <c r="P860" t="n">
        <v>0</v>
      </c>
      <c r="Q860" t="n">
        <v>0</v>
      </c>
      <c r="R860" s="2" t="inlineStr"/>
    </row>
    <row r="861" ht="15" customHeight="1">
      <c r="A861" t="inlineStr">
        <is>
          <t>A 33529-2025</t>
        </is>
      </c>
      <c r="B861" s="1" t="n">
        <v>45841.55199074074</v>
      </c>
      <c r="C861" s="1" t="n">
        <v>46144</v>
      </c>
      <c r="D861" t="inlineStr">
        <is>
          <t>UPPSALA LÄN</t>
        </is>
      </c>
      <c r="E861" t="inlineStr">
        <is>
          <t>ÖSTHAMMAR</t>
        </is>
      </c>
      <c r="F861" t="inlineStr">
        <is>
          <t>Bergvik skog öst AB</t>
        </is>
      </c>
      <c r="G861" t="n">
        <v>11.8</v>
      </c>
      <c r="H861" t="n">
        <v>0</v>
      </c>
      <c r="I861" t="n">
        <v>0</v>
      </c>
      <c r="J861" t="n">
        <v>0</v>
      </c>
      <c r="K861" t="n">
        <v>0</v>
      </c>
      <c r="L861" t="n">
        <v>0</v>
      </c>
      <c r="M861" t="n">
        <v>0</v>
      </c>
      <c r="N861" t="n">
        <v>0</v>
      </c>
      <c r="O861" t="n">
        <v>0</v>
      </c>
      <c r="P861" t="n">
        <v>0</v>
      </c>
      <c r="Q861" t="n">
        <v>0</v>
      </c>
      <c r="R861" s="2" t="inlineStr"/>
    </row>
    <row r="862" ht="15" customHeight="1">
      <c r="A862" t="inlineStr">
        <is>
          <t>A 33973-2025</t>
        </is>
      </c>
      <c r="B862" s="1" t="n">
        <v>45842.98429398148</v>
      </c>
      <c r="C862" s="1" t="n">
        <v>46144</v>
      </c>
      <c r="D862" t="inlineStr">
        <is>
          <t>UPPSALA LÄN</t>
        </is>
      </c>
      <c r="E862" t="inlineStr">
        <is>
          <t>ÖSTHAMMAR</t>
        </is>
      </c>
      <c r="G862" t="n">
        <v>1.9</v>
      </c>
      <c r="H862" t="n">
        <v>0</v>
      </c>
      <c r="I862" t="n">
        <v>0</v>
      </c>
      <c r="J862" t="n">
        <v>0</v>
      </c>
      <c r="K862" t="n">
        <v>0</v>
      </c>
      <c r="L862" t="n">
        <v>0</v>
      </c>
      <c r="M862" t="n">
        <v>0</v>
      </c>
      <c r="N862" t="n">
        <v>0</v>
      </c>
      <c r="O862" t="n">
        <v>0</v>
      </c>
      <c r="P862" t="n">
        <v>0</v>
      </c>
      <c r="Q862" t="n">
        <v>0</v>
      </c>
      <c r="R862" s="2" t="inlineStr"/>
    </row>
    <row r="863" ht="15" customHeight="1">
      <c r="A863" t="inlineStr">
        <is>
          <t>A 33972-2025</t>
        </is>
      </c>
      <c r="B863" s="1" t="n">
        <v>45842.97236111111</v>
      </c>
      <c r="C863" s="1" t="n">
        <v>46144</v>
      </c>
      <c r="D863" t="inlineStr">
        <is>
          <t>UPPSALA LÄN</t>
        </is>
      </c>
      <c r="E863" t="inlineStr">
        <is>
          <t>ÖSTHAMMAR</t>
        </is>
      </c>
      <c r="G863" t="n">
        <v>0.8</v>
      </c>
      <c r="H863" t="n">
        <v>0</v>
      </c>
      <c r="I863" t="n">
        <v>0</v>
      </c>
      <c r="J863" t="n">
        <v>0</v>
      </c>
      <c r="K863" t="n">
        <v>0</v>
      </c>
      <c r="L863" t="n">
        <v>0</v>
      </c>
      <c r="M863" t="n">
        <v>0</v>
      </c>
      <c r="N863" t="n">
        <v>0</v>
      </c>
      <c r="O863" t="n">
        <v>0</v>
      </c>
      <c r="P863" t="n">
        <v>0</v>
      </c>
      <c r="Q863" t="n">
        <v>0</v>
      </c>
      <c r="R863" s="2" t="inlineStr"/>
    </row>
    <row r="864" ht="15" customHeight="1">
      <c r="A864" t="inlineStr">
        <is>
          <t>A 26395-2025</t>
        </is>
      </c>
      <c r="B864" s="1" t="n">
        <v>45807</v>
      </c>
      <c r="C864" s="1" t="n">
        <v>46144</v>
      </c>
      <c r="D864" t="inlineStr">
        <is>
          <t>UPPSALA LÄN</t>
        </is>
      </c>
      <c r="E864" t="inlineStr">
        <is>
          <t>ÖSTHAMMAR</t>
        </is>
      </c>
      <c r="G864" t="n">
        <v>7</v>
      </c>
      <c r="H864" t="n">
        <v>0</v>
      </c>
      <c r="I864" t="n">
        <v>0</v>
      </c>
      <c r="J864" t="n">
        <v>0</v>
      </c>
      <c r="K864" t="n">
        <v>0</v>
      </c>
      <c r="L864" t="n">
        <v>0</v>
      </c>
      <c r="M864" t="n">
        <v>0</v>
      </c>
      <c r="N864" t="n">
        <v>0</v>
      </c>
      <c r="O864" t="n">
        <v>0</v>
      </c>
      <c r="P864" t="n">
        <v>0</v>
      </c>
      <c r="Q864" t="n">
        <v>0</v>
      </c>
      <c r="R864" s="2" t="inlineStr"/>
    </row>
    <row r="865" ht="15" customHeight="1">
      <c r="A865" t="inlineStr">
        <is>
          <t>A 10117-2025</t>
        </is>
      </c>
      <c r="B865" s="1" t="n">
        <v>45719.59866898148</v>
      </c>
      <c r="C865" s="1" t="n">
        <v>46144</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25859-2024</t>
        </is>
      </c>
      <c r="B866" s="1" t="n">
        <v>45467</v>
      </c>
      <c r="C866" s="1" t="n">
        <v>46144</v>
      </c>
      <c r="D866" t="inlineStr">
        <is>
          <t>UPPSALA LÄN</t>
        </is>
      </c>
      <c r="E866" t="inlineStr">
        <is>
          <t>ÖSTHAMMAR</t>
        </is>
      </c>
      <c r="G866" t="n">
        <v>7.9</v>
      </c>
      <c r="H866" t="n">
        <v>0</v>
      </c>
      <c r="I866" t="n">
        <v>0</v>
      </c>
      <c r="J866" t="n">
        <v>0</v>
      </c>
      <c r="K866" t="n">
        <v>0</v>
      </c>
      <c r="L866" t="n">
        <v>0</v>
      </c>
      <c r="M866" t="n">
        <v>0</v>
      </c>
      <c r="N866" t="n">
        <v>0</v>
      </c>
      <c r="O866" t="n">
        <v>0</v>
      </c>
      <c r="P866" t="n">
        <v>0</v>
      </c>
      <c r="Q866" t="n">
        <v>0</v>
      </c>
      <c r="R866" s="2" t="inlineStr"/>
    </row>
    <row r="867" ht="15" customHeight="1">
      <c r="A867" t="inlineStr">
        <is>
          <t>A 19640-2025</t>
        </is>
      </c>
      <c r="B867" s="1" t="n">
        <v>45770.65739583333</v>
      </c>
      <c r="C867" s="1" t="n">
        <v>46144</v>
      </c>
      <c r="D867" t="inlineStr">
        <is>
          <t>UPPSALA LÄN</t>
        </is>
      </c>
      <c r="E867" t="inlineStr">
        <is>
          <t>ÖSTHAMMAR</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17929-2025</t>
        </is>
      </c>
      <c r="B868" s="1" t="n">
        <v>45759.56462962963</v>
      </c>
      <c r="C868" s="1" t="n">
        <v>46144</v>
      </c>
      <c r="D868" t="inlineStr">
        <is>
          <t>UPPSALA LÄN</t>
        </is>
      </c>
      <c r="E868" t="inlineStr">
        <is>
          <t>ÖSTHAMMAR</t>
        </is>
      </c>
      <c r="G868" t="n">
        <v>3.4</v>
      </c>
      <c r="H868" t="n">
        <v>0</v>
      </c>
      <c r="I868" t="n">
        <v>0</v>
      </c>
      <c r="J868" t="n">
        <v>0</v>
      </c>
      <c r="K868" t="n">
        <v>0</v>
      </c>
      <c r="L868" t="n">
        <v>0</v>
      </c>
      <c r="M868" t="n">
        <v>0</v>
      </c>
      <c r="N868" t="n">
        <v>0</v>
      </c>
      <c r="O868" t="n">
        <v>0</v>
      </c>
      <c r="P868" t="n">
        <v>0</v>
      </c>
      <c r="Q868" t="n">
        <v>0</v>
      </c>
      <c r="R868" s="2" t="inlineStr"/>
    </row>
    <row r="869" ht="15" customHeight="1">
      <c r="A869" t="inlineStr">
        <is>
          <t>A 36092-2025</t>
        </is>
      </c>
      <c r="B869" s="1" t="n">
        <v>45866.48244212963</v>
      </c>
      <c r="C869" s="1" t="n">
        <v>46144</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36451-2025</t>
        </is>
      </c>
      <c r="B870" s="1" t="n">
        <v>45869.4290625</v>
      </c>
      <c r="C870" s="1" t="n">
        <v>46144</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36646-2025</t>
        </is>
      </c>
      <c r="B871" s="1" t="n">
        <v>45872</v>
      </c>
      <c r="C871" s="1" t="n">
        <v>46144</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c r="A872" t="inlineStr">
        <is>
          <t>A 36643-2025</t>
        </is>
      </c>
      <c r="B872" s="1" t="n">
        <v>45872.47782407407</v>
      </c>
      <c r="C872" s="1" t="n">
        <v>46144</v>
      </c>
      <c r="D872" t="inlineStr">
        <is>
          <t>UPPSALA LÄN</t>
        </is>
      </c>
      <c r="E872" t="inlineStr">
        <is>
          <t>ÖSTHAMMAR</t>
        </is>
      </c>
      <c r="F872" t="inlineStr">
        <is>
          <t>Bergvik skog öst AB</t>
        </is>
      </c>
      <c r="G872" t="n">
        <v>15.1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2026-05-02T11:10:27Z</dcterms:created>
  <dcterms:modified xmlns:dcterms="http://purl.org/dc/terms/" xmlns:xsi="http://www.w3.org/2001/XMLSchema-instance" xsi:type="dcterms:W3CDTF">2026-05-02T11:10:28Z</dcterms:modified>
</cp:coreProperties>
</file>