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45912</v>
      </c>
      <c r="D2" t="inlineStr">
        <is>
          <t>UPPSALA LÄN</t>
        </is>
      </c>
      <c r="E2" t="inlineStr">
        <is>
          <t>ÖSTHAMMAR</t>
        </is>
      </c>
      <c r="F2" t="inlineStr">
        <is>
          <t>Bergvik skog öst AB</t>
        </is>
      </c>
      <c r="G2" t="n">
        <v>15.7</v>
      </c>
      <c r="H2" t="n">
        <v>5</v>
      </c>
      <c r="I2" t="n">
        <v>11</v>
      </c>
      <c r="J2" t="n">
        <v>7</v>
      </c>
      <c r="K2" t="n">
        <v>6</v>
      </c>
      <c r="L2" t="n">
        <v>0</v>
      </c>
      <c r="M2" t="n">
        <v>0</v>
      </c>
      <c r="N2" t="n">
        <v>0</v>
      </c>
      <c r="O2" t="n">
        <v>13</v>
      </c>
      <c r="P2" t="n">
        <v>6</v>
      </c>
      <c r="Q2" t="n">
        <v>26</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45912</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45912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45912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45912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45912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45912</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45912</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45912</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45912</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45912</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45912</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45912</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45912</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45912</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16242-2025</t>
        </is>
      </c>
      <c r="B17" s="1" t="n">
        <v>45746</v>
      </c>
      <c r="C17" s="1" t="n">
        <v>45912</v>
      </c>
      <c r="D17" t="inlineStr">
        <is>
          <t>UPPSALA LÄN</t>
        </is>
      </c>
      <c r="E17" t="inlineStr">
        <is>
          <t>ÖSTHAMMAR</t>
        </is>
      </c>
      <c r="G17" t="n">
        <v>28</v>
      </c>
      <c r="H17" t="n">
        <v>3</v>
      </c>
      <c r="I17" t="n">
        <v>3</v>
      </c>
      <c r="J17" t="n">
        <v>3</v>
      </c>
      <c r="K17" t="n">
        <v>0</v>
      </c>
      <c r="L17" t="n">
        <v>0</v>
      </c>
      <c r="M17" t="n">
        <v>0</v>
      </c>
      <c r="N17" t="n">
        <v>0</v>
      </c>
      <c r="O17" t="n">
        <v>3</v>
      </c>
      <c r="P17" t="n">
        <v>0</v>
      </c>
      <c r="Q17" t="n">
        <v>7</v>
      </c>
      <c r="R17" s="2" t="inlineStr">
        <is>
          <t>Spillkråka
Ullticka
Vedtrappmossa
Grön sköldmossa
Jättesvampmal
Vågbandad barkbock
Blåsippa</t>
        </is>
      </c>
      <c r="S17">
        <f>HYPERLINK("https://klasma.github.io/Logging_0382/artfynd/A 16242-2025 artfynd.xlsx", "A 16242-2025")</f>
        <v/>
      </c>
      <c r="T17">
        <f>HYPERLINK("https://klasma.github.io/Logging_0382/kartor/A 16242-2025 karta.png", "A 16242-2025")</f>
        <v/>
      </c>
      <c r="V17">
        <f>HYPERLINK("https://klasma.github.io/Logging_0382/klagomål/A 16242-2025 FSC-klagomål.docx", "A 16242-2025")</f>
        <v/>
      </c>
      <c r="W17">
        <f>HYPERLINK("https://klasma.github.io/Logging_0382/klagomålsmail/A 16242-2025 FSC-klagomål mail.docx", "A 16242-2025")</f>
        <v/>
      </c>
      <c r="X17">
        <f>HYPERLINK("https://klasma.github.io/Logging_0382/tillsyn/A 16242-2025 tillsynsbegäran.docx", "A 16242-2025")</f>
        <v/>
      </c>
      <c r="Y17">
        <f>HYPERLINK("https://klasma.github.io/Logging_0382/tillsynsmail/A 16242-2025 tillsynsbegäran mail.docx", "A 16242-2025")</f>
        <v/>
      </c>
      <c r="Z17">
        <f>HYPERLINK("https://klasma.github.io/Logging_0382/fåglar/A 16242-2025 prioriterade fågelarter.docx", "A 16242-2025")</f>
        <v/>
      </c>
    </row>
    <row r="18" ht="15" customHeight="1">
      <c r="A18" t="inlineStr">
        <is>
          <t>A 49910-2022</t>
        </is>
      </c>
      <c r="B18" s="1" t="n">
        <v>44865</v>
      </c>
      <c r="C18" s="1" t="n">
        <v>45912</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45912</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45912</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45912</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48277-2023</t>
        </is>
      </c>
      <c r="B22" s="1" t="n">
        <v>45205</v>
      </c>
      <c r="C22" s="1" t="n">
        <v>45912</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23496-2023</t>
        </is>
      </c>
      <c r="B23" s="1" t="n">
        <v>45076</v>
      </c>
      <c r="C23" s="1" t="n">
        <v>45912</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45912</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45912</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45912</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55492-2023</t>
        </is>
      </c>
      <c r="B27" s="1" t="n">
        <v>45238</v>
      </c>
      <c r="C27" s="1" t="n">
        <v>45912</v>
      </c>
      <c r="D27" t="inlineStr">
        <is>
          <t>UPPSALA LÄN</t>
        </is>
      </c>
      <c r="E27" t="inlineStr">
        <is>
          <t>ÖSTHAMMAR</t>
        </is>
      </c>
      <c r="G27" t="n">
        <v>3.1</v>
      </c>
      <c r="H27" t="n">
        <v>4</v>
      </c>
      <c r="I27" t="n">
        <v>2</v>
      </c>
      <c r="J27" t="n">
        <v>0</v>
      </c>
      <c r="K27" t="n">
        <v>2</v>
      </c>
      <c r="L27" t="n">
        <v>0</v>
      </c>
      <c r="M27" t="n">
        <v>0</v>
      </c>
      <c r="N27" t="n">
        <v>0</v>
      </c>
      <c r="O27" t="n">
        <v>2</v>
      </c>
      <c r="P27" t="n">
        <v>2</v>
      </c>
      <c r="Q27" t="n">
        <v>5</v>
      </c>
      <c r="R27" s="2" t="inlineStr">
        <is>
          <t>Knärot
Violgubbe
Skogsknipprot
Tvåblad
Fläcknycklar</t>
        </is>
      </c>
      <c r="S27">
        <f>HYPERLINK("https://klasma.github.io/Logging_0382/artfynd/A 55492-2023 artfynd.xlsx", "A 55492-2023")</f>
        <v/>
      </c>
      <c r="T27">
        <f>HYPERLINK("https://klasma.github.io/Logging_0382/kartor/A 55492-2023 karta.png", "A 55492-2023")</f>
        <v/>
      </c>
      <c r="U27">
        <f>HYPERLINK("https://klasma.github.io/Logging_0382/knärot/A 55492-2023 karta knärot.png", "A 55492-2023")</f>
        <v/>
      </c>
      <c r="V27">
        <f>HYPERLINK("https://klasma.github.io/Logging_0382/klagomål/A 55492-2023 FSC-klagomål.docx", "A 55492-2023")</f>
        <v/>
      </c>
      <c r="W27">
        <f>HYPERLINK("https://klasma.github.io/Logging_0382/klagomålsmail/A 55492-2023 FSC-klagomål mail.docx", "A 55492-2023")</f>
        <v/>
      </c>
      <c r="X27">
        <f>HYPERLINK("https://klasma.github.io/Logging_0382/tillsyn/A 55492-2023 tillsynsbegäran.docx", "A 55492-2023")</f>
        <v/>
      </c>
      <c r="Y27">
        <f>HYPERLINK("https://klasma.github.io/Logging_0382/tillsynsmail/A 55492-2023 tillsynsbegäran mail.docx", "A 55492-2023")</f>
        <v/>
      </c>
    </row>
    <row r="28" ht="15" customHeight="1">
      <c r="A28" t="inlineStr">
        <is>
          <t>A 23498-2023</t>
        </is>
      </c>
      <c r="B28" s="1" t="n">
        <v>45076</v>
      </c>
      <c r="C28" s="1" t="n">
        <v>45912</v>
      </c>
      <c r="D28" t="inlineStr">
        <is>
          <t>UPPSALA LÄN</t>
        </is>
      </c>
      <c r="E28" t="inlineStr">
        <is>
          <t>ÖSTHAMMAR</t>
        </is>
      </c>
      <c r="F28" t="inlineStr">
        <is>
          <t>Sveaskog</t>
        </is>
      </c>
      <c r="G28" t="n">
        <v>1.4</v>
      </c>
      <c r="H28" t="n">
        <v>5</v>
      </c>
      <c r="I28" t="n">
        <v>0</v>
      </c>
      <c r="J28" t="n">
        <v>3</v>
      </c>
      <c r="K28" t="n">
        <v>1</v>
      </c>
      <c r="L28" t="n">
        <v>1</v>
      </c>
      <c r="M28" t="n">
        <v>0</v>
      </c>
      <c r="N28" t="n">
        <v>0</v>
      </c>
      <c r="O28" t="n">
        <v>5</v>
      </c>
      <c r="P28" t="n">
        <v>2</v>
      </c>
      <c r="Q28" t="n">
        <v>5</v>
      </c>
      <c r="R28" s="2" t="inlineStr">
        <is>
          <t>Grönfink
Gråtrut
Gulsparv
Svartvit flugsnappare
Talltita</t>
        </is>
      </c>
      <c r="S28">
        <f>HYPERLINK("https://klasma.github.io/Logging_0382/artfynd/A 23498-2023 artfynd.xlsx", "A 23498-2023")</f>
        <v/>
      </c>
      <c r="T28">
        <f>HYPERLINK("https://klasma.github.io/Logging_0382/kartor/A 23498-2023 karta.png", "A 23498-2023")</f>
        <v/>
      </c>
      <c r="V28">
        <f>HYPERLINK("https://klasma.github.io/Logging_0382/klagomål/A 23498-2023 FSC-klagomål.docx", "A 23498-2023")</f>
        <v/>
      </c>
      <c r="W28">
        <f>HYPERLINK("https://klasma.github.io/Logging_0382/klagomålsmail/A 23498-2023 FSC-klagomål mail.docx", "A 23498-2023")</f>
        <v/>
      </c>
      <c r="X28">
        <f>HYPERLINK("https://klasma.github.io/Logging_0382/tillsyn/A 23498-2023 tillsynsbegäran.docx", "A 23498-2023")</f>
        <v/>
      </c>
      <c r="Y28">
        <f>HYPERLINK("https://klasma.github.io/Logging_0382/tillsynsmail/A 23498-2023 tillsynsbegäran mail.docx", "A 23498-2023")</f>
        <v/>
      </c>
      <c r="Z28">
        <f>HYPERLINK("https://klasma.github.io/Logging_0382/fåglar/A 23498-2023 prioriterade fågelarter.docx", "A 23498-2023")</f>
        <v/>
      </c>
    </row>
    <row r="29" ht="15" customHeight="1">
      <c r="A29" t="inlineStr">
        <is>
          <t>A 15556-2022</t>
        </is>
      </c>
      <c r="B29" s="1" t="n">
        <v>44662</v>
      </c>
      <c r="C29" s="1" t="n">
        <v>45912</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26056-2025</t>
        </is>
      </c>
      <c r="B30" s="1" t="n">
        <v>45804.79280092593</v>
      </c>
      <c r="C30" s="1" t="n">
        <v>45912</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40395-2025</t>
        </is>
      </c>
      <c r="B31" s="1" t="n">
        <v>45895.55805555556</v>
      </c>
      <c r="C31" s="1" t="n">
        <v>45912</v>
      </c>
      <c r="D31" t="inlineStr">
        <is>
          <t>UPPSALA LÄN</t>
        </is>
      </c>
      <c r="E31" t="inlineStr">
        <is>
          <t>ÖSTHAMMAR</t>
        </is>
      </c>
      <c r="G31" t="n">
        <v>1.8</v>
      </c>
      <c r="H31" t="n">
        <v>3</v>
      </c>
      <c r="I31" t="n">
        <v>2</v>
      </c>
      <c r="J31" t="n">
        <v>3</v>
      </c>
      <c r="K31" t="n">
        <v>0</v>
      </c>
      <c r="L31" t="n">
        <v>0</v>
      </c>
      <c r="M31" t="n">
        <v>0</v>
      </c>
      <c r="N31" t="n">
        <v>0</v>
      </c>
      <c r="O31" t="n">
        <v>3</v>
      </c>
      <c r="P31" t="n">
        <v>0</v>
      </c>
      <c r="Q31" t="n">
        <v>5</v>
      </c>
      <c r="R31" s="2" t="inlineStr">
        <is>
          <t>Järpe
Spillkråka
Talltita
Brandticka
Stor aspticka</t>
        </is>
      </c>
      <c r="S31">
        <f>HYPERLINK("https://klasma.github.io/Logging_0382/artfynd/A 40395-2025 artfynd.xlsx", "A 40395-2025")</f>
        <v/>
      </c>
      <c r="T31">
        <f>HYPERLINK("https://klasma.github.io/Logging_0382/kartor/A 40395-2025 karta.png", "A 40395-2025")</f>
        <v/>
      </c>
      <c r="V31">
        <f>HYPERLINK("https://klasma.github.io/Logging_0382/klagomål/A 40395-2025 FSC-klagomål.docx", "A 40395-2025")</f>
        <v/>
      </c>
      <c r="W31">
        <f>HYPERLINK("https://klasma.github.io/Logging_0382/klagomålsmail/A 40395-2025 FSC-klagomål mail.docx", "A 40395-2025")</f>
        <v/>
      </c>
      <c r="X31">
        <f>HYPERLINK("https://klasma.github.io/Logging_0382/tillsyn/A 40395-2025 tillsynsbegäran.docx", "A 40395-2025")</f>
        <v/>
      </c>
      <c r="Y31">
        <f>HYPERLINK("https://klasma.github.io/Logging_0382/tillsynsmail/A 40395-2025 tillsynsbegäran mail.docx", "A 40395-2025")</f>
        <v/>
      </c>
      <c r="Z31">
        <f>HYPERLINK("https://klasma.github.io/Logging_0382/fåglar/A 40395-2025 prioriterade fågelarter.docx", "A 40395-2025")</f>
        <v/>
      </c>
    </row>
    <row r="32" ht="15" customHeight="1">
      <c r="A32" t="inlineStr">
        <is>
          <t>A 24563-2022</t>
        </is>
      </c>
      <c r="B32" s="1" t="n">
        <v>44727</v>
      </c>
      <c r="C32" s="1" t="n">
        <v>45912</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43992-2022</t>
        </is>
      </c>
      <c r="B33" s="1" t="n">
        <v>44837</v>
      </c>
      <c r="C33" s="1" t="n">
        <v>45912</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52808-2022</t>
        </is>
      </c>
      <c r="B34" s="1" t="n">
        <v>44875</v>
      </c>
      <c r="C34" s="1" t="n">
        <v>45912</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45912</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74364-2021</t>
        </is>
      </c>
      <c r="B36" s="1" t="n">
        <v>44559</v>
      </c>
      <c r="C36" s="1" t="n">
        <v>45912</v>
      </c>
      <c r="D36" t="inlineStr">
        <is>
          <t>UPPSALA LÄN</t>
        </is>
      </c>
      <c r="E36" t="inlineStr">
        <is>
          <t>ÖSTHAMMAR</t>
        </is>
      </c>
      <c r="G36" t="n">
        <v>3.5</v>
      </c>
      <c r="H36" t="n">
        <v>2</v>
      </c>
      <c r="I36" t="n">
        <v>3</v>
      </c>
      <c r="J36" t="n">
        <v>0</v>
      </c>
      <c r="K36" t="n">
        <v>0</v>
      </c>
      <c r="L36" t="n">
        <v>0</v>
      </c>
      <c r="M36" t="n">
        <v>0</v>
      </c>
      <c r="N36" t="n">
        <v>0</v>
      </c>
      <c r="O36" t="n">
        <v>0</v>
      </c>
      <c r="P36" t="n">
        <v>0</v>
      </c>
      <c r="Q36" t="n">
        <v>4</v>
      </c>
      <c r="R36" s="2" t="inlineStr">
        <is>
          <t>Bronshjon
Skogsknipprot
Sårläka
Blåsippa</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221-2025</t>
        </is>
      </c>
      <c r="B37" s="1" t="n">
        <v>45660</v>
      </c>
      <c r="C37" s="1" t="n">
        <v>45912</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26279-2024</t>
        </is>
      </c>
      <c r="B38" s="1" t="n">
        <v>45468</v>
      </c>
      <c r="C38" s="1" t="n">
        <v>45912</v>
      </c>
      <c r="D38" t="inlineStr">
        <is>
          <t>UPPSALA LÄN</t>
        </is>
      </c>
      <c r="E38" t="inlineStr">
        <is>
          <t>ÖSTHAMMAR</t>
        </is>
      </c>
      <c r="G38" t="n">
        <v>2.8</v>
      </c>
      <c r="H38" t="n">
        <v>2</v>
      </c>
      <c r="I38" t="n">
        <v>4</v>
      </c>
      <c r="J38" t="n">
        <v>0</v>
      </c>
      <c r="K38" t="n">
        <v>0</v>
      </c>
      <c r="L38" t="n">
        <v>0</v>
      </c>
      <c r="M38" t="n">
        <v>0</v>
      </c>
      <c r="N38" t="n">
        <v>0</v>
      </c>
      <c r="O38" t="n">
        <v>0</v>
      </c>
      <c r="P38" t="n">
        <v>0</v>
      </c>
      <c r="Q38" t="n">
        <v>4</v>
      </c>
      <c r="R38" s="2" t="inlineStr">
        <is>
          <t>Nästrot
Skogsknipprot
Sårläka
Vårärt</t>
        </is>
      </c>
      <c r="S38">
        <f>HYPERLINK("https://klasma.github.io/Logging_0382/artfynd/A 26279-2024 artfynd.xlsx", "A 26279-2024")</f>
        <v/>
      </c>
      <c r="T38">
        <f>HYPERLINK("https://klasma.github.io/Logging_0382/kartor/A 26279-2024 karta.png", "A 26279-2024")</f>
        <v/>
      </c>
      <c r="V38">
        <f>HYPERLINK("https://klasma.github.io/Logging_0382/klagomål/A 26279-2024 FSC-klagomål.docx", "A 26279-2024")</f>
        <v/>
      </c>
      <c r="W38">
        <f>HYPERLINK("https://klasma.github.io/Logging_0382/klagomålsmail/A 26279-2024 FSC-klagomål mail.docx", "A 26279-2024")</f>
        <v/>
      </c>
      <c r="X38">
        <f>HYPERLINK("https://klasma.github.io/Logging_0382/tillsyn/A 26279-2024 tillsynsbegäran.docx", "A 26279-2024")</f>
        <v/>
      </c>
      <c r="Y38">
        <f>HYPERLINK("https://klasma.github.io/Logging_0382/tillsynsmail/A 26279-2024 tillsynsbegäran mail.docx", "A 26279-2024")</f>
        <v/>
      </c>
    </row>
    <row r="39" ht="15" customHeight="1">
      <c r="A39" t="inlineStr">
        <is>
          <t>A 48352-2022</t>
        </is>
      </c>
      <c r="B39" s="1" t="n">
        <v>44858</v>
      </c>
      <c r="C39" s="1" t="n">
        <v>45912</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45912</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45912</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55051-2021</t>
        </is>
      </c>
      <c r="B42" s="1" t="n">
        <v>44474</v>
      </c>
      <c r="C42" s="1" t="n">
        <v>45912</v>
      </c>
      <c r="D42" t="inlineStr">
        <is>
          <t>UPPSALA LÄN</t>
        </is>
      </c>
      <c r="E42" t="inlineStr">
        <is>
          <t>ÖSTHAMMAR</t>
        </is>
      </c>
      <c r="F42" t="inlineStr">
        <is>
          <t>Bergvik skog öst AB</t>
        </is>
      </c>
      <c r="G42" t="n">
        <v>6.5</v>
      </c>
      <c r="H42" t="n">
        <v>1</v>
      </c>
      <c r="I42" t="n">
        <v>2</v>
      </c>
      <c r="J42" t="n">
        <v>0</v>
      </c>
      <c r="K42" t="n">
        <v>0</v>
      </c>
      <c r="L42" t="n">
        <v>0</v>
      </c>
      <c r="M42" t="n">
        <v>0</v>
      </c>
      <c r="N42" t="n">
        <v>0</v>
      </c>
      <c r="O42" t="n">
        <v>0</v>
      </c>
      <c r="P42" t="n">
        <v>0</v>
      </c>
      <c r="Q42" t="n">
        <v>3</v>
      </c>
      <c r="R42" s="2" t="inlineStr">
        <is>
          <t>Svart trolldruva
Tibast
Blåsippa</t>
        </is>
      </c>
      <c r="S42">
        <f>HYPERLINK("https://klasma.github.io/Logging_0382/artfynd/A 55051-2021 artfynd.xlsx", "A 55051-2021")</f>
        <v/>
      </c>
      <c r="T42">
        <f>HYPERLINK("https://klasma.github.io/Logging_0382/kartor/A 55051-2021 karta.png", "A 55051-2021")</f>
        <v/>
      </c>
      <c r="V42">
        <f>HYPERLINK("https://klasma.github.io/Logging_0382/klagomål/A 55051-2021 FSC-klagomål.docx", "A 55051-2021")</f>
        <v/>
      </c>
      <c r="W42">
        <f>HYPERLINK("https://klasma.github.io/Logging_0382/klagomålsmail/A 55051-2021 FSC-klagomål mail.docx", "A 55051-2021")</f>
        <v/>
      </c>
      <c r="X42">
        <f>HYPERLINK("https://klasma.github.io/Logging_0382/tillsyn/A 55051-2021 tillsynsbegäran.docx", "A 55051-2021")</f>
        <v/>
      </c>
      <c r="Y42">
        <f>HYPERLINK("https://klasma.github.io/Logging_0382/tillsynsmail/A 55051-2021 tillsynsbegäran mail.docx", "A 55051-2021")</f>
        <v/>
      </c>
    </row>
    <row r="43" ht="15" customHeight="1">
      <c r="A43" t="inlineStr">
        <is>
          <t>A 25044-2025</t>
        </is>
      </c>
      <c r="B43" s="1" t="n">
        <v>45799.66607638889</v>
      </c>
      <c r="C43" s="1" t="n">
        <v>45912</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45912</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26557-2022</t>
        </is>
      </c>
      <c r="B45" s="1" t="n">
        <v>44739</v>
      </c>
      <c r="C45" s="1" t="n">
        <v>45912</v>
      </c>
      <c r="D45" t="inlineStr">
        <is>
          <t>UPPSALA LÄN</t>
        </is>
      </c>
      <c r="E45" t="inlineStr">
        <is>
          <t>ÖSTHAMMAR</t>
        </is>
      </c>
      <c r="F45" t="inlineStr">
        <is>
          <t>Övriga statliga verk och myndigheter</t>
        </is>
      </c>
      <c r="G45" t="n">
        <v>1.7</v>
      </c>
      <c r="H45" t="n">
        <v>3</v>
      </c>
      <c r="I45" t="n">
        <v>0</v>
      </c>
      <c r="J45" t="n">
        <v>3</v>
      </c>
      <c r="K45" t="n">
        <v>0</v>
      </c>
      <c r="L45" t="n">
        <v>0</v>
      </c>
      <c r="M45" t="n">
        <v>0</v>
      </c>
      <c r="N45" t="n">
        <v>0</v>
      </c>
      <c r="O45" t="n">
        <v>3</v>
      </c>
      <c r="P45" t="n">
        <v>0</v>
      </c>
      <c r="Q45" t="n">
        <v>3</v>
      </c>
      <c r="R45" s="2" t="inlineStr">
        <is>
          <t>Järpe
Mindre hackspett
Spillkråka</t>
        </is>
      </c>
      <c r="S45">
        <f>HYPERLINK("https://klasma.github.io/Logging_0382/artfynd/A 26557-2022 artfynd.xlsx", "A 26557-2022")</f>
        <v/>
      </c>
      <c r="T45">
        <f>HYPERLINK("https://klasma.github.io/Logging_0382/kartor/A 26557-2022 karta.png", "A 26557-2022")</f>
        <v/>
      </c>
      <c r="V45">
        <f>HYPERLINK("https://klasma.github.io/Logging_0382/klagomål/A 26557-2022 FSC-klagomål.docx", "A 26557-2022")</f>
        <v/>
      </c>
      <c r="W45">
        <f>HYPERLINK("https://klasma.github.io/Logging_0382/klagomålsmail/A 26557-2022 FSC-klagomål mail.docx", "A 26557-2022")</f>
        <v/>
      </c>
      <c r="X45">
        <f>HYPERLINK("https://klasma.github.io/Logging_0382/tillsyn/A 26557-2022 tillsynsbegäran.docx", "A 26557-2022")</f>
        <v/>
      </c>
      <c r="Y45">
        <f>HYPERLINK("https://klasma.github.io/Logging_0382/tillsynsmail/A 26557-2022 tillsynsbegäran mail.docx", "A 26557-2022")</f>
        <v/>
      </c>
      <c r="Z45">
        <f>HYPERLINK("https://klasma.github.io/Logging_0382/fåglar/A 26557-2022 prioriterade fågelarter.docx", "A 26557-2022")</f>
        <v/>
      </c>
    </row>
    <row r="46" ht="15" customHeight="1">
      <c r="A46" t="inlineStr">
        <is>
          <t>A 9683-2023</t>
        </is>
      </c>
      <c r="B46" s="1" t="n">
        <v>44984.43856481482</v>
      </c>
      <c r="C46" s="1" t="n">
        <v>45912</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45912</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45714-2020</t>
        </is>
      </c>
      <c r="B48" s="1" t="n">
        <v>44090</v>
      </c>
      <c r="C48" s="1" t="n">
        <v>45912</v>
      </c>
      <c r="D48" t="inlineStr">
        <is>
          <t>UPPSALA LÄN</t>
        </is>
      </c>
      <c r="E48" t="inlineStr">
        <is>
          <t>ÖSTHAMMAR</t>
        </is>
      </c>
      <c r="F48" t="inlineStr">
        <is>
          <t>Övriga Aktiebolag</t>
        </is>
      </c>
      <c r="G48" t="n">
        <v>10.8</v>
      </c>
      <c r="H48" t="n">
        <v>1</v>
      </c>
      <c r="I48" t="n">
        <v>1</v>
      </c>
      <c r="J48" t="n">
        <v>2</v>
      </c>
      <c r="K48" t="n">
        <v>0</v>
      </c>
      <c r="L48" t="n">
        <v>0</v>
      </c>
      <c r="M48" t="n">
        <v>0</v>
      </c>
      <c r="N48" t="n">
        <v>0</v>
      </c>
      <c r="O48" t="n">
        <v>2</v>
      </c>
      <c r="P48" t="n">
        <v>0</v>
      </c>
      <c r="Q48" t="n">
        <v>3</v>
      </c>
      <c r="R48" s="2" t="inlineStr">
        <is>
          <t>Slåtterfibbla
Solvända
Skogsknipprot</t>
        </is>
      </c>
      <c r="S48">
        <f>HYPERLINK("https://klasma.github.io/Logging_0382/artfynd/A 45714-2020 artfynd.xlsx", "A 45714-2020")</f>
        <v/>
      </c>
      <c r="T48">
        <f>HYPERLINK("https://klasma.github.io/Logging_0382/kartor/A 45714-2020 karta.png", "A 45714-2020")</f>
        <v/>
      </c>
      <c r="V48">
        <f>HYPERLINK("https://klasma.github.io/Logging_0382/klagomål/A 45714-2020 FSC-klagomål.docx", "A 45714-2020")</f>
        <v/>
      </c>
      <c r="W48">
        <f>HYPERLINK("https://klasma.github.io/Logging_0382/klagomålsmail/A 45714-2020 FSC-klagomål mail.docx", "A 45714-2020")</f>
        <v/>
      </c>
      <c r="X48">
        <f>HYPERLINK("https://klasma.github.io/Logging_0382/tillsyn/A 45714-2020 tillsynsbegäran.docx", "A 45714-2020")</f>
        <v/>
      </c>
      <c r="Y48">
        <f>HYPERLINK("https://klasma.github.io/Logging_0382/tillsynsmail/A 45714-2020 tillsynsbegäran mail.docx", "A 45714-2020")</f>
        <v/>
      </c>
    </row>
    <row r="49" ht="15" customHeight="1">
      <c r="A49" t="inlineStr">
        <is>
          <t>A 9715-2024</t>
        </is>
      </c>
      <c r="B49" s="1" t="n">
        <v>45362.53928240741</v>
      </c>
      <c r="C49" s="1" t="n">
        <v>45912</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46204-2023</t>
        </is>
      </c>
      <c r="B50" s="1" t="n">
        <v>45190</v>
      </c>
      <c r="C50" s="1" t="n">
        <v>45912</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60078-2021</t>
        </is>
      </c>
      <c r="B51" s="1" t="n">
        <v>44495</v>
      </c>
      <c r="C51" s="1" t="n">
        <v>45912</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45912</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45912</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18539-2024</t>
        </is>
      </c>
      <c r="B54" s="1" t="n">
        <v>45425.63697916667</v>
      </c>
      <c r="C54" s="1" t="n">
        <v>45912</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2916-2025</t>
        </is>
      </c>
      <c r="B55" s="1" t="n">
        <v>45677</v>
      </c>
      <c r="C55" s="1" t="n">
        <v>45912</v>
      </c>
      <c r="D55" t="inlineStr">
        <is>
          <t>UPPSALA LÄN</t>
        </is>
      </c>
      <c r="E55" t="inlineStr">
        <is>
          <t>ÖSTHAMMAR</t>
        </is>
      </c>
      <c r="F55" t="inlineStr">
        <is>
          <t>Allmännings- och besparingsskogar</t>
        </is>
      </c>
      <c r="G55" t="n">
        <v>10.5</v>
      </c>
      <c r="H55" t="n">
        <v>2</v>
      </c>
      <c r="I55" t="n">
        <v>0</v>
      </c>
      <c r="J55" t="n">
        <v>0</v>
      </c>
      <c r="K55" t="n">
        <v>0</v>
      </c>
      <c r="L55" t="n">
        <v>0</v>
      </c>
      <c r="M55" t="n">
        <v>0</v>
      </c>
      <c r="N55" t="n">
        <v>0</v>
      </c>
      <c r="O55" t="n">
        <v>0</v>
      </c>
      <c r="P55" t="n">
        <v>0</v>
      </c>
      <c r="Q55" t="n">
        <v>2</v>
      </c>
      <c r="R55" s="2" t="inlineStr">
        <is>
          <t>Grönvit nattviol
Ängsnycklar × fläcknycklar</t>
        </is>
      </c>
      <c r="S55">
        <f>HYPERLINK("https://klasma.github.io/Logging_0382/artfynd/A 2916-2025 artfynd.xlsx", "A 2916-2025")</f>
        <v/>
      </c>
      <c r="T55">
        <f>HYPERLINK("https://klasma.github.io/Logging_0382/kartor/A 2916-2025 karta.png", "A 2916-2025")</f>
        <v/>
      </c>
      <c r="V55">
        <f>HYPERLINK("https://klasma.github.io/Logging_0382/klagomål/A 2916-2025 FSC-klagomål.docx", "A 2916-2025")</f>
        <v/>
      </c>
      <c r="W55">
        <f>HYPERLINK("https://klasma.github.io/Logging_0382/klagomålsmail/A 2916-2025 FSC-klagomål mail.docx", "A 2916-2025")</f>
        <v/>
      </c>
      <c r="X55">
        <f>HYPERLINK("https://klasma.github.io/Logging_0382/tillsyn/A 2916-2025 tillsynsbegäran.docx", "A 2916-2025")</f>
        <v/>
      </c>
      <c r="Y55">
        <f>HYPERLINK("https://klasma.github.io/Logging_0382/tillsynsmail/A 2916-2025 tillsynsbegäran mail.docx", "A 2916-2025")</f>
        <v/>
      </c>
    </row>
    <row r="56" ht="15" customHeight="1">
      <c r="A56" t="inlineStr">
        <is>
          <t>A 26277-2024</t>
        </is>
      </c>
      <c r="B56" s="1" t="n">
        <v>45468</v>
      </c>
      <c r="C56" s="1" t="n">
        <v>45912</v>
      </c>
      <c r="D56" t="inlineStr">
        <is>
          <t>UPPSALA LÄN</t>
        </is>
      </c>
      <c r="E56" t="inlineStr">
        <is>
          <t>ÖSTHAMMAR</t>
        </is>
      </c>
      <c r="G56" t="n">
        <v>3.5</v>
      </c>
      <c r="H56" t="n">
        <v>1</v>
      </c>
      <c r="I56" t="n">
        <v>2</v>
      </c>
      <c r="J56" t="n">
        <v>0</v>
      </c>
      <c r="K56" t="n">
        <v>0</v>
      </c>
      <c r="L56" t="n">
        <v>0</v>
      </c>
      <c r="M56" t="n">
        <v>0</v>
      </c>
      <c r="N56" t="n">
        <v>0</v>
      </c>
      <c r="O56" t="n">
        <v>0</v>
      </c>
      <c r="P56" t="n">
        <v>0</v>
      </c>
      <c r="Q56" t="n">
        <v>2</v>
      </c>
      <c r="R56" s="2" t="inlineStr">
        <is>
          <t>Nästrot
Sårläka</t>
        </is>
      </c>
      <c r="S56">
        <f>HYPERLINK("https://klasma.github.io/Logging_0382/artfynd/A 26277-2024 artfynd.xlsx", "A 26277-2024")</f>
        <v/>
      </c>
      <c r="T56">
        <f>HYPERLINK("https://klasma.github.io/Logging_0382/kartor/A 26277-2024 karta.png", "A 26277-2024")</f>
        <v/>
      </c>
      <c r="V56">
        <f>HYPERLINK("https://klasma.github.io/Logging_0382/klagomål/A 26277-2024 FSC-klagomål.docx", "A 26277-2024")</f>
        <v/>
      </c>
      <c r="W56">
        <f>HYPERLINK("https://klasma.github.io/Logging_0382/klagomålsmail/A 26277-2024 FSC-klagomål mail.docx", "A 26277-2024")</f>
        <v/>
      </c>
      <c r="X56">
        <f>HYPERLINK("https://klasma.github.io/Logging_0382/tillsyn/A 26277-2024 tillsynsbegäran.docx", "A 26277-2024")</f>
        <v/>
      </c>
      <c r="Y56">
        <f>HYPERLINK("https://klasma.github.io/Logging_0382/tillsynsmail/A 26277-2024 tillsynsbegäran mail.docx", "A 26277-2024")</f>
        <v/>
      </c>
    </row>
    <row r="57" ht="15" customHeight="1">
      <c r="A57" t="inlineStr">
        <is>
          <t>A 67855-2021</t>
        </is>
      </c>
      <c r="B57" s="1" t="n">
        <v>44525</v>
      </c>
      <c r="C57" s="1" t="n">
        <v>45912</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21453-2023</t>
        </is>
      </c>
      <c r="B58" s="1" t="n">
        <v>45063</v>
      </c>
      <c r="C58" s="1" t="n">
        <v>45912</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73981-2021</t>
        </is>
      </c>
      <c r="B59" s="1" t="n">
        <v>44555</v>
      </c>
      <c r="C59" s="1" t="n">
        <v>45912</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21422-2023</t>
        </is>
      </c>
      <c r="B60" s="1" t="n">
        <v>45063</v>
      </c>
      <c r="C60" s="1" t="n">
        <v>45912</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20553-2025</t>
        </is>
      </c>
      <c r="B61" s="1" t="n">
        <v>45775.63983796296</v>
      </c>
      <c r="C61" s="1" t="n">
        <v>45912</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33269-2025</t>
        </is>
      </c>
      <c r="B62" s="1" t="n">
        <v>45840.68208333333</v>
      </c>
      <c r="C62" s="1" t="n">
        <v>45912</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37768-2025</t>
        </is>
      </c>
      <c r="B63" s="1" t="n">
        <v>45880</v>
      </c>
      <c r="C63" s="1" t="n">
        <v>45912</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25098-2022</t>
        </is>
      </c>
      <c r="B64" s="1" t="n">
        <v>44729.44149305556</v>
      </c>
      <c r="C64" s="1" t="n">
        <v>45912</v>
      </c>
      <c r="D64" t="inlineStr">
        <is>
          <t>UPPSALA LÄN</t>
        </is>
      </c>
      <c r="E64" t="inlineStr">
        <is>
          <t>ÖSTHAMMAR</t>
        </is>
      </c>
      <c r="G64" t="n">
        <v>2.9</v>
      </c>
      <c r="H64" t="n">
        <v>2</v>
      </c>
      <c r="I64" t="n">
        <v>0</v>
      </c>
      <c r="J64" t="n">
        <v>0</v>
      </c>
      <c r="K64" t="n">
        <v>0</v>
      </c>
      <c r="L64" t="n">
        <v>0</v>
      </c>
      <c r="M64" t="n">
        <v>0</v>
      </c>
      <c r="N64" t="n">
        <v>0</v>
      </c>
      <c r="O64" t="n">
        <v>0</v>
      </c>
      <c r="P64" t="n">
        <v>0</v>
      </c>
      <c r="Q64" t="n">
        <v>2</v>
      </c>
      <c r="R64" s="2" t="inlineStr">
        <is>
          <t>Blåsippa
Gullviva</t>
        </is>
      </c>
      <c r="S64">
        <f>HYPERLINK("https://klasma.github.io/Logging_0382/artfynd/A 25098-2022 artfynd.xlsx", "A 25098-2022")</f>
        <v/>
      </c>
      <c r="T64">
        <f>HYPERLINK("https://klasma.github.io/Logging_0382/kartor/A 25098-2022 karta.png", "A 25098-2022")</f>
        <v/>
      </c>
      <c r="V64">
        <f>HYPERLINK("https://klasma.github.io/Logging_0382/klagomål/A 25098-2022 FSC-klagomål.docx", "A 25098-2022")</f>
        <v/>
      </c>
      <c r="W64">
        <f>HYPERLINK("https://klasma.github.io/Logging_0382/klagomålsmail/A 25098-2022 FSC-klagomål mail.docx", "A 25098-2022")</f>
        <v/>
      </c>
      <c r="X64">
        <f>HYPERLINK("https://klasma.github.io/Logging_0382/tillsyn/A 25098-2022 tillsynsbegäran.docx", "A 25098-2022")</f>
        <v/>
      </c>
      <c r="Y64">
        <f>HYPERLINK("https://klasma.github.io/Logging_0382/tillsynsmail/A 25098-2022 tillsynsbegäran mail.docx", "A 25098-2022")</f>
        <v/>
      </c>
    </row>
    <row r="65" ht="15" customHeight="1">
      <c r="A65" t="inlineStr">
        <is>
          <t>A 41303-2025</t>
        </is>
      </c>
      <c r="B65" s="1" t="n">
        <v>45898.69215277778</v>
      </c>
      <c r="C65" s="1" t="n">
        <v>45912</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13287-2022</t>
        </is>
      </c>
      <c r="B66" s="1" t="n">
        <v>44644</v>
      </c>
      <c r="C66" s="1" t="n">
        <v>45912</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30943-2024</t>
        </is>
      </c>
      <c r="B67" s="1" t="n">
        <v>45499</v>
      </c>
      <c r="C67" s="1" t="n">
        <v>45912</v>
      </c>
      <c r="D67" t="inlineStr">
        <is>
          <t>UPPSALA LÄN</t>
        </is>
      </c>
      <c r="E67" t="inlineStr">
        <is>
          <t>ÖSTHAMMAR</t>
        </is>
      </c>
      <c r="G67" t="n">
        <v>4.5</v>
      </c>
      <c r="H67" t="n">
        <v>0</v>
      </c>
      <c r="I67" t="n">
        <v>2</v>
      </c>
      <c r="J67" t="n">
        <v>0</v>
      </c>
      <c r="K67" t="n">
        <v>0</v>
      </c>
      <c r="L67" t="n">
        <v>0</v>
      </c>
      <c r="M67" t="n">
        <v>0</v>
      </c>
      <c r="N67" t="n">
        <v>0</v>
      </c>
      <c r="O67" t="n">
        <v>0</v>
      </c>
      <c r="P67" t="n">
        <v>0</v>
      </c>
      <c r="Q67" t="n">
        <v>2</v>
      </c>
      <c r="R67" s="2" t="inlineStr">
        <is>
          <t>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6223-2021</t>
        </is>
      </c>
      <c r="B68" s="1" t="n">
        <v>44235</v>
      </c>
      <c r="C68" s="1" t="n">
        <v>45912</v>
      </c>
      <c r="D68" t="inlineStr">
        <is>
          <t>UPPSALA LÄN</t>
        </is>
      </c>
      <c r="E68" t="inlineStr">
        <is>
          <t>ÖSTHAMMAR</t>
        </is>
      </c>
      <c r="G68" t="n">
        <v>0.5</v>
      </c>
      <c r="H68" t="n">
        <v>2</v>
      </c>
      <c r="I68" t="n">
        <v>0</v>
      </c>
      <c r="J68" t="n">
        <v>0</v>
      </c>
      <c r="K68" t="n">
        <v>0</v>
      </c>
      <c r="L68" t="n">
        <v>0</v>
      </c>
      <c r="M68" t="n">
        <v>0</v>
      </c>
      <c r="N68" t="n">
        <v>0</v>
      </c>
      <c r="O68" t="n">
        <v>0</v>
      </c>
      <c r="P68" t="n">
        <v>0</v>
      </c>
      <c r="Q68" t="n">
        <v>2</v>
      </c>
      <c r="R68" s="2" t="inlineStr">
        <is>
          <t>Blåsippa
Gullviva</t>
        </is>
      </c>
      <c r="S68">
        <f>HYPERLINK("https://klasma.github.io/Logging_0382/artfynd/A 6223-2021 artfynd.xlsx", "A 6223-2021")</f>
        <v/>
      </c>
      <c r="T68">
        <f>HYPERLINK("https://klasma.github.io/Logging_0382/kartor/A 6223-2021 karta.png", "A 6223-2021")</f>
        <v/>
      </c>
      <c r="V68">
        <f>HYPERLINK("https://klasma.github.io/Logging_0382/klagomål/A 6223-2021 FSC-klagomål.docx", "A 6223-2021")</f>
        <v/>
      </c>
      <c r="W68">
        <f>HYPERLINK("https://klasma.github.io/Logging_0382/klagomålsmail/A 6223-2021 FSC-klagomål mail.docx", "A 6223-2021")</f>
        <v/>
      </c>
      <c r="X68">
        <f>HYPERLINK("https://klasma.github.io/Logging_0382/tillsyn/A 6223-2021 tillsynsbegäran.docx", "A 6223-2021")</f>
        <v/>
      </c>
      <c r="Y68">
        <f>HYPERLINK("https://klasma.github.io/Logging_0382/tillsynsmail/A 6223-2021 tillsynsbegäran mail.docx", "A 6223-2021")</f>
        <v/>
      </c>
    </row>
    <row r="69" ht="15" customHeight="1">
      <c r="A69" t="inlineStr">
        <is>
          <t>A 9646-2024</t>
        </is>
      </c>
      <c r="B69" s="1" t="n">
        <v>45362.37055555556</v>
      </c>
      <c r="C69" s="1" t="n">
        <v>45912</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38442-2022</t>
        </is>
      </c>
      <c r="B70" s="1" t="n">
        <v>44813</v>
      </c>
      <c r="C70" s="1" t="n">
        <v>45912</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45912</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45912</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45912</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25179-2023</t>
        </is>
      </c>
      <c r="B74" s="1" t="n">
        <v>45078</v>
      </c>
      <c r="C74" s="1" t="n">
        <v>45912</v>
      </c>
      <c r="D74" t="inlineStr">
        <is>
          <t>UPPSALA LÄN</t>
        </is>
      </c>
      <c r="E74" t="inlineStr">
        <is>
          <t>ÖSTHAMMAR</t>
        </is>
      </c>
      <c r="G74" t="n">
        <v>3.2</v>
      </c>
      <c r="H74" t="n">
        <v>0</v>
      </c>
      <c r="I74" t="n">
        <v>0</v>
      </c>
      <c r="J74" t="n">
        <v>1</v>
      </c>
      <c r="K74" t="n">
        <v>0</v>
      </c>
      <c r="L74" t="n">
        <v>0</v>
      </c>
      <c r="M74" t="n">
        <v>0</v>
      </c>
      <c r="N74" t="n">
        <v>0</v>
      </c>
      <c r="O74" t="n">
        <v>1</v>
      </c>
      <c r="P74" t="n">
        <v>0</v>
      </c>
      <c r="Q74" t="n">
        <v>1</v>
      </c>
      <c r="R74" s="2" t="inlineStr">
        <is>
          <t>Grantaggsvamp</t>
        </is>
      </c>
      <c r="S74">
        <f>HYPERLINK("https://klasma.github.io/Logging_0382/artfynd/A 25179-2023 artfynd.xlsx", "A 25179-2023")</f>
        <v/>
      </c>
      <c r="T74">
        <f>HYPERLINK("https://klasma.github.io/Logging_0382/kartor/A 25179-2023 karta.png", "A 25179-2023")</f>
        <v/>
      </c>
      <c r="V74">
        <f>HYPERLINK("https://klasma.github.io/Logging_0382/klagomål/A 25179-2023 FSC-klagomål.docx", "A 25179-2023")</f>
        <v/>
      </c>
      <c r="W74">
        <f>HYPERLINK("https://klasma.github.io/Logging_0382/klagomålsmail/A 25179-2023 FSC-klagomål mail.docx", "A 25179-2023")</f>
        <v/>
      </c>
      <c r="X74">
        <f>HYPERLINK("https://klasma.github.io/Logging_0382/tillsyn/A 25179-2023 tillsynsbegäran.docx", "A 25179-2023")</f>
        <v/>
      </c>
      <c r="Y74">
        <f>HYPERLINK("https://klasma.github.io/Logging_0382/tillsynsmail/A 25179-2023 tillsynsbegäran mail.docx", "A 25179-2023")</f>
        <v/>
      </c>
    </row>
    <row r="75" ht="15" customHeight="1">
      <c r="A75" t="inlineStr">
        <is>
          <t>A 49839-2021</t>
        </is>
      </c>
      <c r="B75" s="1" t="n">
        <v>44455</v>
      </c>
      <c r="C75" s="1" t="n">
        <v>45912</v>
      </c>
      <c r="D75" t="inlineStr">
        <is>
          <t>UPPSALA LÄN</t>
        </is>
      </c>
      <c r="E75" t="inlineStr">
        <is>
          <t>ÖSTHAMMAR</t>
        </is>
      </c>
      <c r="G75" t="n">
        <v>3.6</v>
      </c>
      <c r="H75" t="n">
        <v>0</v>
      </c>
      <c r="I75" t="n">
        <v>0</v>
      </c>
      <c r="J75" t="n">
        <v>0</v>
      </c>
      <c r="K75" t="n">
        <v>1</v>
      </c>
      <c r="L75" t="n">
        <v>0</v>
      </c>
      <c r="M75" t="n">
        <v>0</v>
      </c>
      <c r="N75" t="n">
        <v>0</v>
      </c>
      <c r="O75" t="n">
        <v>1</v>
      </c>
      <c r="P75" t="n">
        <v>1</v>
      </c>
      <c r="Q75" t="n">
        <v>1</v>
      </c>
      <c r="R75" s="2" t="inlineStr">
        <is>
          <t>Violgubbe</t>
        </is>
      </c>
      <c r="S75">
        <f>HYPERLINK("https://klasma.github.io/Logging_0382/artfynd/A 49839-2021 artfynd.xlsx", "A 49839-2021")</f>
        <v/>
      </c>
      <c r="T75">
        <f>HYPERLINK("https://klasma.github.io/Logging_0382/kartor/A 49839-2021 karta.png", "A 49839-2021")</f>
        <v/>
      </c>
      <c r="V75">
        <f>HYPERLINK("https://klasma.github.io/Logging_0382/klagomål/A 49839-2021 FSC-klagomål.docx", "A 49839-2021")</f>
        <v/>
      </c>
      <c r="W75">
        <f>HYPERLINK("https://klasma.github.io/Logging_0382/klagomålsmail/A 49839-2021 FSC-klagomål mail.docx", "A 49839-2021")</f>
        <v/>
      </c>
      <c r="X75">
        <f>HYPERLINK("https://klasma.github.io/Logging_0382/tillsyn/A 49839-2021 tillsynsbegäran.docx", "A 49839-2021")</f>
        <v/>
      </c>
      <c r="Y75">
        <f>HYPERLINK("https://klasma.github.io/Logging_0382/tillsynsmail/A 49839-2021 tillsynsbegäran mail.docx", "A 49839-2021")</f>
        <v/>
      </c>
    </row>
    <row r="76" ht="15" customHeight="1">
      <c r="A76" t="inlineStr">
        <is>
          <t>A 33800-2024</t>
        </is>
      </c>
      <c r="B76" s="1" t="n">
        <v>45520</v>
      </c>
      <c r="C76" s="1" t="n">
        <v>45912</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63615-2021</t>
        </is>
      </c>
      <c r="B77" s="1" t="n">
        <v>44509</v>
      </c>
      <c r="C77" s="1" t="n">
        <v>45912</v>
      </c>
      <c r="D77" t="inlineStr">
        <is>
          <t>UPPSALA LÄN</t>
        </is>
      </c>
      <c r="E77" t="inlineStr">
        <is>
          <t>ÖSTHAMMAR</t>
        </is>
      </c>
      <c r="G77" t="n">
        <v>1.9</v>
      </c>
      <c r="H77" t="n">
        <v>0</v>
      </c>
      <c r="I77" t="n">
        <v>0</v>
      </c>
      <c r="J77" t="n">
        <v>1</v>
      </c>
      <c r="K77" t="n">
        <v>0</v>
      </c>
      <c r="L77" t="n">
        <v>0</v>
      </c>
      <c r="M77" t="n">
        <v>0</v>
      </c>
      <c r="N77" t="n">
        <v>0</v>
      </c>
      <c r="O77" t="n">
        <v>1</v>
      </c>
      <c r="P77" t="n">
        <v>0</v>
      </c>
      <c r="Q77" t="n">
        <v>1</v>
      </c>
      <c r="R77" s="2" t="inlineStr">
        <is>
          <t>Gul taggsvamp</t>
        </is>
      </c>
      <c r="S77">
        <f>HYPERLINK("https://klasma.github.io/Logging_0382/artfynd/A 63615-2021 artfynd.xlsx", "A 63615-2021")</f>
        <v/>
      </c>
      <c r="T77">
        <f>HYPERLINK("https://klasma.github.io/Logging_0382/kartor/A 63615-2021 karta.png", "A 63615-2021")</f>
        <v/>
      </c>
      <c r="V77">
        <f>HYPERLINK("https://klasma.github.io/Logging_0382/klagomål/A 63615-2021 FSC-klagomål.docx", "A 63615-2021")</f>
        <v/>
      </c>
      <c r="W77">
        <f>HYPERLINK("https://klasma.github.io/Logging_0382/klagomålsmail/A 63615-2021 FSC-klagomål mail.docx", "A 63615-2021")</f>
        <v/>
      </c>
      <c r="X77">
        <f>HYPERLINK("https://klasma.github.io/Logging_0382/tillsyn/A 63615-2021 tillsynsbegäran.docx", "A 63615-2021")</f>
        <v/>
      </c>
      <c r="Y77">
        <f>HYPERLINK("https://klasma.github.io/Logging_0382/tillsynsmail/A 63615-2021 tillsynsbegäran mail.docx", "A 63615-2021")</f>
        <v/>
      </c>
    </row>
    <row r="78" ht="15" customHeight="1">
      <c r="A78" t="inlineStr">
        <is>
          <t>A 14203-2024</t>
        </is>
      </c>
      <c r="B78" s="1" t="n">
        <v>45393</v>
      </c>
      <c r="C78" s="1" t="n">
        <v>45912</v>
      </c>
      <c r="D78" t="inlineStr">
        <is>
          <t>UPPSALA LÄN</t>
        </is>
      </c>
      <c r="E78" t="inlineStr">
        <is>
          <t>ÖSTHAMMAR</t>
        </is>
      </c>
      <c r="G78" t="n">
        <v>1.4</v>
      </c>
      <c r="H78" t="n">
        <v>0</v>
      </c>
      <c r="I78" t="n">
        <v>0</v>
      </c>
      <c r="J78" t="n">
        <v>1</v>
      </c>
      <c r="K78" t="n">
        <v>0</v>
      </c>
      <c r="L78" t="n">
        <v>0</v>
      </c>
      <c r="M78" t="n">
        <v>0</v>
      </c>
      <c r="N78" t="n">
        <v>0</v>
      </c>
      <c r="O78" t="n">
        <v>1</v>
      </c>
      <c r="P78" t="n">
        <v>0</v>
      </c>
      <c r="Q78" t="n">
        <v>1</v>
      </c>
      <c r="R78" s="2" t="inlineStr">
        <is>
          <t>Scharlakansvaxing</t>
        </is>
      </c>
      <c r="S78">
        <f>HYPERLINK("https://klasma.github.io/Logging_0382/artfynd/A 14203-2024 artfynd.xlsx", "A 14203-2024")</f>
        <v/>
      </c>
      <c r="T78">
        <f>HYPERLINK("https://klasma.github.io/Logging_0382/kartor/A 14203-2024 karta.png", "A 14203-2024")</f>
        <v/>
      </c>
      <c r="V78">
        <f>HYPERLINK("https://klasma.github.io/Logging_0382/klagomål/A 14203-2024 FSC-klagomål.docx", "A 14203-2024")</f>
        <v/>
      </c>
      <c r="W78">
        <f>HYPERLINK("https://klasma.github.io/Logging_0382/klagomålsmail/A 14203-2024 FSC-klagomål mail.docx", "A 14203-2024")</f>
        <v/>
      </c>
      <c r="X78">
        <f>HYPERLINK("https://klasma.github.io/Logging_0382/tillsyn/A 14203-2024 tillsynsbegäran.docx", "A 14203-2024")</f>
        <v/>
      </c>
      <c r="Y78">
        <f>HYPERLINK("https://klasma.github.io/Logging_0382/tillsynsmail/A 14203-2024 tillsynsbegäran mail.docx", "A 14203-2024")</f>
        <v/>
      </c>
    </row>
    <row r="79" ht="15" customHeight="1">
      <c r="A79" t="inlineStr">
        <is>
          <t>A 7446-2022</t>
        </is>
      </c>
      <c r="B79" s="1" t="n">
        <v>44606</v>
      </c>
      <c r="C79" s="1" t="n">
        <v>45912</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14706-2023</t>
        </is>
      </c>
      <c r="B80" s="1" t="n">
        <v>45013</v>
      </c>
      <c r="C80" s="1" t="n">
        <v>45912</v>
      </c>
      <c r="D80" t="inlineStr">
        <is>
          <t>UPPSALA LÄN</t>
        </is>
      </c>
      <c r="E80" t="inlineStr">
        <is>
          <t>ÖSTHAMMAR</t>
        </is>
      </c>
      <c r="G80" t="n">
        <v>0.9</v>
      </c>
      <c r="H80" t="n">
        <v>0</v>
      </c>
      <c r="I80" t="n">
        <v>1</v>
      </c>
      <c r="J80" t="n">
        <v>0</v>
      </c>
      <c r="K80" t="n">
        <v>0</v>
      </c>
      <c r="L80" t="n">
        <v>0</v>
      </c>
      <c r="M80" t="n">
        <v>0</v>
      </c>
      <c r="N80" t="n">
        <v>0</v>
      </c>
      <c r="O80" t="n">
        <v>0</v>
      </c>
      <c r="P80" t="n">
        <v>0</v>
      </c>
      <c r="Q80" t="n">
        <v>1</v>
      </c>
      <c r="R80" s="2" t="inlineStr">
        <is>
          <t>Olivspindling</t>
        </is>
      </c>
      <c r="S80">
        <f>HYPERLINK("https://klasma.github.io/Logging_0382/artfynd/A 14706-2023 artfynd.xlsx", "A 14706-2023")</f>
        <v/>
      </c>
      <c r="T80">
        <f>HYPERLINK("https://klasma.github.io/Logging_0382/kartor/A 14706-2023 karta.png", "A 14706-2023")</f>
        <v/>
      </c>
      <c r="V80">
        <f>HYPERLINK("https://klasma.github.io/Logging_0382/klagomål/A 14706-2023 FSC-klagomål.docx", "A 14706-2023")</f>
        <v/>
      </c>
      <c r="W80">
        <f>HYPERLINK("https://klasma.github.io/Logging_0382/klagomålsmail/A 14706-2023 FSC-klagomål mail.docx", "A 14706-2023")</f>
        <v/>
      </c>
      <c r="X80">
        <f>HYPERLINK("https://klasma.github.io/Logging_0382/tillsyn/A 14706-2023 tillsynsbegäran.docx", "A 14706-2023")</f>
        <v/>
      </c>
      <c r="Y80">
        <f>HYPERLINK("https://klasma.github.io/Logging_0382/tillsynsmail/A 14706-2023 tillsynsbegäran mail.docx", "A 14706-2023")</f>
        <v/>
      </c>
    </row>
    <row r="81" ht="15" customHeight="1">
      <c r="A81" t="inlineStr">
        <is>
          <t>A 1227-2022</t>
        </is>
      </c>
      <c r="B81" s="1" t="n">
        <v>44572.57641203704</v>
      </c>
      <c r="C81" s="1" t="n">
        <v>45912</v>
      </c>
      <c r="D81" t="inlineStr">
        <is>
          <t>UPPSALA LÄN</t>
        </is>
      </c>
      <c r="E81" t="inlineStr">
        <is>
          <t>ÖSTHAMMAR</t>
        </is>
      </c>
      <c r="G81" t="n">
        <v>1.7</v>
      </c>
      <c r="H81" t="n">
        <v>0</v>
      </c>
      <c r="I81" t="n">
        <v>1</v>
      </c>
      <c r="J81" t="n">
        <v>0</v>
      </c>
      <c r="K81" t="n">
        <v>0</v>
      </c>
      <c r="L81" t="n">
        <v>0</v>
      </c>
      <c r="M81" t="n">
        <v>0</v>
      </c>
      <c r="N81" t="n">
        <v>0</v>
      </c>
      <c r="O81" t="n">
        <v>0</v>
      </c>
      <c r="P81" t="n">
        <v>0</v>
      </c>
      <c r="Q81" t="n">
        <v>1</v>
      </c>
      <c r="R81" s="2" t="inlineStr">
        <is>
          <t>Guldkremla</t>
        </is>
      </c>
      <c r="S81">
        <f>HYPERLINK("https://klasma.github.io/Logging_0382/artfynd/A 1227-2022 artfynd.xlsx", "A 1227-2022")</f>
        <v/>
      </c>
      <c r="T81">
        <f>HYPERLINK("https://klasma.github.io/Logging_0382/kartor/A 1227-2022 karta.png", "A 1227-2022")</f>
        <v/>
      </c>
      <c r="V81">
        <f>HYPERLINK("https://klasma.github.io/Logging_0382/klagomål/A 1227-2022 FSC-klagomål.docx", "A 1227-2022")</f>
        <v/>
      </c>
      <c r="W81">
        <f>HYPERLINK("https://klasma.github.io/Logging_0382/klagomålsmail/A 1227-2022 FSC-klagomål mail.docx", "A 1227-2022")</f>
        <v/>
      </c>
      <c r="X81">
        <f>HYPERLINK("https://klasma.github.io/Logging_0382/tillsyn/A 1227-2022 tillsynsbegäran.docx", "A 1227-2022")</f>
        <v/>
      </c>
      <c r="Y81">
        <f>HYPERLINK("https://klasma.github.io/Logging_0382/tillsynsmail/A 1227-2022 tillsynsbegäran mail.docx", "A 1227-2022")</f>
        <v/>
      </c>
    </row>
    <row r="82" ht="15" customHeight="1">
      <c r="A82" t="inlineStr">
        <is>
          <t>A 34090-2023</t>
        </is>
      </c>
      <c r="B82" s="1" t="n">
        <v>45135</v>
      </c>
      <c r="C82" s="1" t="n">
        <v>45912</v>
      </c>
      <c r="D82" t="inlineStr">
        <is>
          <t>UPPSALA LÄN</t>
        </is>
      </c>
      <c r="E82" t="inlineStr">
        <is>
          <t>ÖSTHAMMAR</t>
        </is>
      </c>
      <c r="F82" t="inlineStr">
        <is>
          <t>Bergvik skog öst AB</t>
        </is>
      </c>
      <c r="G82" t="n">
        <v>5.7</v>
      </c>
      <c r="H82" t="n">
        <v>1</v>
      </c>
      <c r="I82" t="n">
        <v>0</v>
      </c>
      <c r="J82" t="n">
        <v>1</v>
      </c>
      <c r="K82" t="n">
        <v>0</v>
      </c>
      <c r="L82" t="n">
        <v>0</v>
      </c>
      <c r="M82" t="n">
        <v>0</v>
      </c>
      <c r="N82" t="n">
        <v>0</v>
      </c>
      <c r="O82" t="n">
        <v>1</v>
      </c>
      <c r="P82" t="n">
        <v>0</v>
      </c>
      <c r="Q82" t="n">
        <v>1</v>
      </c>
      <c r="R82" s="2" t="inlineStr">
        <is>
          <t>Spillkråka</t>
        </is>
      </c>
      <c r="S82">
        <f>HYPERLINK("https://klasma.github.io/Logging_0382/artfynd/A 34090-2023 artfynd.xlsx", "A 34090-2023")</f>
        <v/>
      </c>
      <c r="T82">
        <f>HYPERLINK("https://klasma.github.io/Logging_0382/kartor/A 34090-2023 karta.png", "A 34090-2023")</f>
        <v/>
      </c>
      <c r="V82">
        <f>HYPERLINK("https://klasma.github.io/Logging_0382/klagomål/A 34090-2023 FSC-klagomål.docx", "A 34090-2023")</f>
        <v/>
      </c>
      <c r="W82">
        <f>HYPERLINK("https://klasma.github.io/Logging_0382/klagomålsmail/A 34090-2023 FSC-klagomål mail.docx", "A 34090-2023")</f>
        <v/>
      </c>
      <c r="X82">
        <f>HYPERLINK("https://klasma.github.io/Logging_0382/tillsyn/A 34090-2023 tillsynsbegäran.docx", "A 34090-2023")</f>
        <v/>
      </c>
      <c r="Y82">
        <f>HYPERLINK("https://klasma.github.io/Logging_0382/tillsynsmail/A 34090-2023 tillsynsbegäran mail.docx", "A 34090-2023")</f>
        <v/>
      </c>
      <c r="Z82">
        <f>HYPERLINK("https://klasma.github.io/Logging_0382/fåglar/A 34090-2023 prioriterade fågelarter.docx", "A 34090-2023")</f>
        <v/>
      </c>
    </row>
    <row r="83" ht="15" customHeight="1">
      <c r="A83" t="inlineStr">
        <is>
          <t>A 11017-2023</t>
        </is>
      </c>
      <c r="B83" s="1" t="n">
        <v>44991</v>
      </c>
      <c r="C83" s="1" t="n">
        <v>45912</v>
      </c>
      <c r="D83" t="inlineStr">
        <is>
          <t>UPPSALA LÄN</t>
        </is>
      </c>
      <c r="E83" t="inlineStr">
        <is>
          <t>ÖSTHAMMAR</t>
        </is>
      </c>
      <c r="G83" t="n">
        <v>1.9</v>
      </c>
      <c r="H83" t="n">
        <v>1</v>
      </c>
      <c r="I83" t="n">
        <v>0</v>
      </c>
      <c r="J83" t="n">
        <v>1</v>
      </c>
      <c r="K83" t="n">
        <v>0</v>
      </c>
      <c r="L83" t="n">
        <v>0</v>
      </c>
      <c r="M83" t="n">
        <v>0</v>
      </c>
      <c r="N83" t="n">
        <v>0</v>
      </c>
      <c r="O83" t="n">
        <v>1</v>
      </c>
      <c r="P83" t="n">
        <v>0</v>
      </c>
      <c r="Q83" t="n">
        <v>1</v>
      </c>
      <c r="R83" s="2" t="inlineStr">
        <is>
          <t>Kornknarr</t>
        </is>
      </c>
      <c r="S83">
        <f>HYPERLINK("https://klasma.github.io/Logging_0382/artfynd/A 11017-2023 artfynd.xlsx", "A 11017-2023")</f>
        <v/>
      </c>
      <c r="T83">
        <f>HYPERLINK("https://klasma.github.io/Logging_0382/kartor/A 11017-2023 karta.png", "A 11017-2023")</f>
        <v/>
      </c>
      <c r="V83">
        <f>HYPERLINK("https://klasma.github.io/Logging_0382/klagomål/A 11017-2023 FSC-klagomål.docx", "A 11017-2023")</f>
        <v/>
      </c>
      <c r="W83">
        <f>HYPERLINK("https://klasma.github.io/Logging_0382/klagomålsmail/A 11017-2023 FSC-klagomål mail.docx", "A 11017-2023")</f>
        <v/>
      </c>
      <c r="X83">
        <f>HYPERLINK("https://klasma.github.io/Logging_0382/tillsyn/A 11017-2023 tillsynsbegäran.docx", "A 11017-2023")</f>
        <v/>
      </c>
      <c r="Y83">
        <f>HYPERLINK("https://klasma.github.io/Logging_0382/tillsynsmail/A 11017-2023 tillsynsbegäran mail.docx", "A 11017-2023")</f>
        <v/>
      </c>
    </row>
    <row r="84" ht="15" customHeight="1">
      <c r="A84" t="inlineStr">
        <is>
          <t>A 52818-2022</t>
        </is>
      </c>
      <c r="B84" s="1" t="n">
        <v>44875</v>
      </c>
      <c r="C84" s="1" t="n">
        <v>45912</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29564-2023</t>
        </is>
      </c>
      <c r="B85" s="1" t="n">
        <v>45106</v>
      </c>
      <c r="C85" s="1" t="n">
        <v>45912</v>
      </c>
      <c r="D85" t="inlineStr">
        <is>
          <t>UPPSALA LÄN</t>
        </is>
      </c>
      <c r="E85" t="inlineStr">
        <is>
          <t>ÖSTHAMMAR</t>
        </is>
      </c>
      <c r="F85" t="inlineStr">
        <is>
          <t>Naturvårdsverket</t>
        </is>
      </c>
      <c r="G85" t="n">
        <v>1.2</v>
      </c>
      <c r="H85" t="n">
        <v>1</v>
      </c>
      <c r="I85" t="n">
        <v>0</v>
      </c>
      <c r="J85" t="n">
        <v>0</v>
      </c>
      <c r="K85" t="n">
        <v>0</v>
      </c>
      <c r="L85" t="n">
        <v>0</v>
      </c>
      <c r="M85" t="n">
        <v>0</v>
      </c>
      <c r="N85" t="n">
        <v>0</v>
      </c>
      <c r="O85" t="n">
        <v>0</v>
      </c>
      <c r="P85" t="n">
        <v>0</v>
      </c>
      <c r="Q85" t="n">
        <v>1</v>
      </c>
      <c r="R85" s="2" t="inlineStr">
        <is>
          <t>Blåsippa</t>
        </is>
      </c>
      <c r="S85">
        <f>HYPERLINK("https://klasma.github.io/Logging_0382/artfynd/A 29564-2023 artfynd.xlsx", "A 29564-2023")</f>
        <v/>
      </c>
      <c r="T85">
        <f>HYPERLINK("https://klasma.github.io/Logging_0382/kartor/A 29564-2023 karta.png", "A 29564-2023")</f>
        <v/>
      </c>
      <c r="V85">
        <f>HYPERLINK("https://klasma.github.io/Logging_0382/klagomål/A 29564-2023 FSC-klagomål.docx", "A 29564-2023")</f>
        <v/>
      </c>
      <c r="W85">
        <f>HYPERLINK("https://klasma.github.io/Logging_0382/klagomålsmail/A 29564-2023 FSC-klagomål mail.docx", "A 29564-2023")</f>
        <v/>
      </c>
      <c r="X85">
        <f>HYPERLINK("https://klasma.github.io/Logging_0382/tillsyn/A 29564-2023 tillsynsbegäran.docx", "A 29564-2023")</f>
        <v/>
      </c>
      <c r="Y85">
        <f>HYPERLINK("https://klasma.github.io/Logging_0382/tillsynsmail/A 29564-2023 tillsynsbegäran mail.docx", "A 29564-2023")</f>
        <v/>
      </c>
    </row>
    <row r="86" ht="15" customHeight="1">
      <c r="A86" t="inlineStr">
        <is>
          <t>A 22287-2023</t>
        </is>
      </c>
      <c r="B86" s="1" t="n">
        <v>45070</v>
      </c>
      <c r="C86" s="1" t="n">
        <v>45912</v>
      </c>
      <c r="D86" t="inlineStr">
        <is>
          <t>UPPSALA LÄN</t>
        </is>
      </c>
      <c r="E86" t="inlineStr">
        <is>
          <t>ÖSTHAMMAR</t>
        </is>
      </c>
      <c r="G86" t="n">
        <v>6.3</v>
      </c>
      <c r="H86" t="n">
        <v>1</v>
      </c>
      <c r="I86" t="n">
        <v>1</v>
      </c>
      <c r="J86" t="n">
        <v>0</v>
      </c>
      <c r="K86" t="n">
        <v>0</v>
      </c>
      <c r="L86" t="n">
        <v>0</v>
      </c>
      <c r="M86" t="n">
        <v>0</v>
      </c>
      <c r="N86" t="n">
        <v>0</v>
      </c>
      <c r="O86" t="n">
        <v>0</v>
      </c>
      <c r="P86" t="n">
        <v>0</v>
      </c>
      <c r="Q86" t="n">
        <v>1</v>
      </c>
      <c r="R86" s="2" t="inlineStr">
        <is>
          <t>Guckusko</t>
        </is>
      </c>
      <c r="S86">
        <f>HYPERLINK("https://klasma.github.io/Logging_0382/artfynd/A 22287-2023 artfynd.xlsx", "A 22287-2023")</f>
        <v/>
      </c>
      <c r="T86">
        <f>HYPERLINK("https://klasma.github.io/Logging_0382/kartor/A 22287-2023 karta.png", "A 22287-2023")</f>
        <v/>
      </c>
      <c r="V86">
        <f>HYPERLINK("https://klasma.github.io/Logging_0382/klagomål/A 22287-2023 FSC-klagomål.docx", "A 22287-2023")</f>
        <v/>
      </c>
      <c r="W86">
        <f>HYPERLINK("https://klasma.github.io/Logging_0382/klagomålsmail/A 22287-2023 FSC-klagomål mail.docx", "A 22287-2023")</f>
        <v/>
      </c>
      <c r="X86">
        <f>HYPERLINK("https://klasma.github.io/Logging_0382/tillsyn/A 22287-2023 tillsynsbegäran.docx", "A 22287-2023")</f>
        <v/>
      </c>
      <c r="Y86">
        <f>HYPERLINK("https://klasma.github.io/Logging_0382/tillsynsmail/A 22287-2023 tillsynsbegäran mail.docx", "A 22287-2023")</f>
        <v/>
      </c>
    </row>
    <row r="87" ht="15" customHeight="1">
      <c r="A87" t="inlineStr">
        <is>
          <t>A 6143-2025</t>
        </is>
      </c>
      <c r="B87" s="1" t="n">
        <v>45698.38697916667</v>
      </c>
      <c r="C87" s="1" t="n">
        <v>45912</v>
      </c>
      <c r="D87" t="inlineStr">
        <is>
          <t>UPPSALA LÄN</t>
        </is>
      </c>
      <c r="E87" t="inlineStr">
        <is>
          <t>ÖSTHAMMAR</t>
        </is>
      </c>
      <c r="F87" t="inlineStr">
        <is>
          <t>Bergvik skog öst AB</t>
        </is>
      </c>
      <c r="G87" t="n">
        <v>3.6</v>
      </c>
      <c r="H87" t="n">
        <v>0</v>
      </c>
      <c r="I87" t="n">
        <v>1</v>
      </c>
      <c r="J87" t="n">
        <v>0</v>
      </c>
      <c r="K87" t="n">
        <v>0</v>
      </c>
      <c r="L87" t="n">
        <v>0</v>
      </c>
      <c r="M87" t="n">
        <v>0</v>
      </c>
      <c r="N87" t="n">
        <v>0</v>
      </c>
      <c r="O87" t="n">
        <v>0</v>
      </c>
      <c r="P87" t="n">
        <v>0</v>
      </c>
      <c r="Q87" t="n">
        <v>1</v>
      </c>
      <c r="R87" s="2" t="inlineStr">
        <is>
          <t>Svavelriska</t>
        </is>
      </c>
      <c r="S87">
        <f>HYPERLINK("https://klasma.github.io/Logging_0382/artfynd/A 6143-2025 artfynd.xlsx", "A 6143-2025")</f>
        <v/>
      </c>
      <c r="T87">
        <f>HYPERLINK("https://klasma.github.io/Logging_0382/kartor/A 6143-2025 karta.png", "A 6143-2025")</f>
        <v/>
      </c>
      <c r="V87">
        <f>HYPERLINK("https://klasma.github.io/Logging_0382/klagomål/A 6143-2025 FSC-klagomål.docx", "A 6143-2025")</f>
        <v/>
      </c>
      <c r="W87">
        <f>HYPERLINK("https://klasma.github.io/Logging_0382/klagomålsmail/A 6143-2025 FSC-klagomål mail.docx", "A 6143-2025")</f>
        <v/>
      </c>
      <c r="X87">
        <f>HYPERLINK("https://klasma.github.io/Logging_0382/tillsyn/A 6143-2025 tillsynsbegäran.docx", "A 6143-2025")</f>
        <v/>
      </c>
      <c r="Y87">
        <f>HYPERLINK("https://klasma.github.io/Logging_0382/tillsynsmail/A 6143-2025 tillsynsbegäran mail.docx", "A 6143-2025")</f>
        <v/>
      </c>
    </row>
    <row r="88" ht="15" customHeight="1">
      <c r="A88" t="inlineStr">
        <is>
          <t>A 37296-2023</t>
        </is>
      </c>
      <c r="B88" s="1" t="n">
        <v>45156</v>
      </c>
      <c r="C88" s="1" t="n">
        <v>45912</v>
      </c>
      <c r="D88" t="inlineStr">
        <is>
          <t>UPPSALA LÄN</t>
        </is>
      </c>
      <c r="E88" t="inlineStr">
        <is>
          <t>ÖSTHAMMAR</t>
        </is>
      </c>
      <c r="G88" t="n">
        <v>4.7</v>
      </c>
      <c r="H88" t="n">
        <v>1</v>
      </c>
      <c r="I88" t="n">
        <v>0</v>
      </c>
      <c r="J88" t="n">
        <v>0</v>
      </c>
      <c r="K88" t="n">
        <v>1</v>
      </c>
      <c r="L88" t="n">
        <v>0</v>
      </c>
      <c r="M88" t="n">
        <v>0</v>
      </c>
      <c r="N88" t="n">
        <v>0</v>
      </c>
      <c r="O88" t="n">
        <v>1</v>
      </c>
      <c r="P88" t="n">
        <v>1</v>
      </c>
      <c r="Q88" t="n">
        <v>1</v>
      </c>
      <c r="R88" s="2" t="inlineStr">
        <is>
          <t>Backsippa</t>
        </is>
      </c>
      <c r="S88">
        <f>HYPERLINK("https://klasma.github.io/Logging_0382/artfynd/A 37296-2023 artfynd.xlsx", "A 37296-2023")</f>
        <v/>
      </c>
      <c r="T88">
        <f>HYPERLINK("https://klasma.github.io/Logging_0382/kartor/A 37296-2023 karta.png", "A 37296-2023")</f>
        <v/>
      </c>
      <c r="V88">
        <f>HYPERLINK("https://klasma.github.io/Logging_0382/klagomål/A 37296-2023 FSC-klagomål.docx", "A 37296-2023")</f>
        <v/>
      </c>
      <c r="W88">
        <f>HYPERLINK("https://klasma.github.io/Logging_0382/klagomålsmail/A 37296-2023 FSC-klagomål mail.docx", "A 37296-2023")</f>
        <v/>
      </c>
      <c r="X88">
        <f>HYPERLINK("https://klasma.github.io/Logging_0382/tillsyn/A 37296-2023 tillsynsbegäran.docx", "A 37296-2023")</f>
        <v/>
      </c>
      <c r="Y88">
        <f>HYPERLINK("https://klasma.github.io/Logging_0382/tillsynsmail/A 37296-2023 tillsynsbegäran mail.docx", "A 37296-2023")</f>
        <v/>
      </c>
    </row>
    <row r="89" ht="15" customHeight="1">
      <c r="A89" t="inlineStr">
        <is>
          <t>A 30605-2025</t>
        </is>
      </c>
      <c r="B89" s="1" t="n">
        <v>45831.45510416666</v>
      </c>
      <c r="C89" s="1" t="n">
        <v>45912</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65989-2021</t>
        </is>
      </c>
      <c r="B90" s="1" t="n">
        <v>44517</v>
      </c>
      <c r="C90" s="1" t="n">
        <v>45912</v>
      </c>
      <c r="D90" t="inlineStr">
        <is>
          <t>UPPSALA LÄN</t>
        </is>
      </c>
      <c r="E90" t="inlineStr">
        <is>
          <t>ÖSTHAMMAR</t>
        </is>
      </c>
      <c r="G90" t="n">
        <v>6.9</v>
      </c>
      <c r="H90" t="n">
        <v>1</v>
      </c>
      <c r="I90" t="n">
        <v>1</v>
      </c>
      <c r="J90" t="n">
        <v>0</v>
      </c>
      <c r="K90" t="n">
        <v>0</v>
      </c>
      <c r="L90" t="n">
        <v>0</v>
      </c>
      <c r="M90" t="n">
        <v>0</v>
      </c>
      <c r="N90" t="n">
        <v>0</v>
      </c>
      <c r="O90" t="n">
        <v>0</v>
      </c>
      <c r="P90" t="n">
        <v>0</v>
      </c>
      <c r="Q90" t="n">
        <v>1</v>
      </c>
      <c r="R90" s="2" t="inlineStr">
        <is>
          <t>Skogsknipprot</t>
        </is>
      </c>
      <c r="S90">
        <f>HYPERLINK("https://klasma.github.io/Logging_0382/artfynd/A 65989-2021 artfynd.xlsx", "A 65989-2021")</f>
        <v/>
      </c>
      <c r="T90">
        <f>HYPERLINK("https://klasma.github.io/Logging_0382/kartor/A 65989-2021 karta.png", "A 65989-2021")</f>
        <v/>
      </c>
      <c r="V90">
        <f>HYPERLINK("https://klasma.github.io/Logging_0382/klagomål/A 65989-2021 FSC-klagomål.docx", "A 65989-2021")</f>
        <v/>
      </c>
      <c r="W90">
        <f>HYPERLINK("https://klasma.github.io/Logging_0382/klagomålsmail/A 65989-2021 FSC-klagomål mail.docx", "A 65989-2021")</f>
        <v/>
      </c>
      <c r="X90">
        <f>HYPERLINK("https://klasma.github.io/Logging_0382/tillsyn/A 65989-2021 tillsynsbegäran.docx", "A 65989-2021")</f>
        <v/>
      </c>
      <c r="Y90">
        <f>HYPERLINK("https://klasma.github.io/Logging_0382/tillsynsmail/A 65989-2021 tillsynsbegäran mail.docx", "A 65989-2021")</f>
        <v/>
      </c>
    </row>
    <row r="91" ht="15" customHeight="1">
      <c r="A91" t="inlineStr">
        <is>
          <t>A 46629-2024</t>
        </is>
      </c>
      <c r="B91" s="1" t="n">
        <v>45583.33221064815</v>
      </c>
      <c r="C91" s="1" t="n">
        <v>45912</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45912</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22375-2024</t>
        </is>
      </c>
      <c r="B93" s="1" t="n">
        <v>45446</v>
      </c>
      <c r="C93" s="1" t="n">
        <v>45912</v>
      </c>
      <c r="D93" t="inlineStr">
        <is>
          <t>UPPSALA LÄN</t>
        </is>
      </c>
      <c r="E93" t="inlineStr">
        <is>
          <t>ÖSTHAMMAR</t>
        </is>
      </c>
      <c r="F93" t="inlineStr">
        <is>
          <t>Bergvik skog öst AB</t>
        </is>
      </c>
      <c r="G93" t="n">
        <v>2.2</v>
      </c>
      <c r="H93" t="n">
        <v>0</v>
      </c>
      <c r="I93" t="n">
        <v>0</v>
      </c>
      <c r="J93" t="n">
        <v>1</v>
      </c>
      <c r="K93" t="n">
        <v>0</v>
      </c>
      <c r="L93" t="n">
        <v>0</v>
      </c>
      <c r="M93" t="n">
        <v>0</v>
      </c>
      <c r="N93" t="n">
        <v>0</v>
      </c>
      <c r="O93" t="n">
        <v>1</v>
      </c>
      <c r="P93" t="n">
        <v>0</v>
      </c>
      <c r="Q93" t="n">
        <v>1</v>
      </c>
      <c r="R93" s="2" t="inlineStr">
        <is>
          <t>Slåtterfibbla</t>
        </is>
      </c>
      <c r="S93">
        <f>HYPERLINK("https://klasma.github.io/Logging_0382/artfynd/A 22375-2024 artfynd.xlsx", "A 22375-2024")</f>
        <v/>
      </c>
      <c r="T93">
        <f>HYPERLINK("https://klasma.github.io/Logging_0382/kartor/A 22375-2024 karta.png", "A 22375-2024")</f>
        <v/>
      </c>
      <c r="V93">
        <f>HYPERLINK("https://klasma.github.io/Logging_0382/klagomål/A 22375-2024 FSC-klagomål.docx", "A 22375-2024")</f>
        <v/>
      </c>
      <c r="W93">
        <f>HYPERLINK("https://klasma.github.io/Logging_0382/klagomålsmail/A 22375-2024 FSC-klagomål mail.docx", "A 22375-2024")</f>
        <v/>
      </c>
      <c r="X93">
        <f>HYPERLINK("https://klasma.github.io/Logging_0382/tillsyn/A 22375-2024 tillsynsbegäran.docx", "A 22375-2024")</f>
        <v/>
      </c>
      <c r="Y93">
        <f>HYPERLINK("https://klasma.github.io/Logging_0382/tillsynsmail/A 22375-2024 tillsynsbegäran mail.docx", "A 22375-2024")</f>
        <v/>
      </c>
    </row>
    <row r="94" ht="15" customHeight="1">
      <c r="A94" t="inlineStr">
        <is>
          <t>A 41220-2025</t>
        </is>
      </c>
      <c r="B94" s="1" t="n">
        <v>45898.58630787037</v>
      </c>
      <c r="C94" s="1" t="n">
        <v>45912</v>
      </c>
      <c r="D94" t="inlineStr">
        <is>
          <t>UPPSALA LÄN</t>
        </is>
      </c>
      <c r="E94" t="inlineStr">
        <is>
          <t>ÖSTHAMMAR</t>
        </is>
      </c>
      <c r="F94" t="inlineStr">
        <is>
          <t>Bergvik skog öst AB</t>
        </is>
      </c>
      <c r="G94" t="n">
        <v>2.5</v>
      </c>
      <c r="H94" t="n">
        <v>1</v>
      </c>
      <c r="I94" t="n">
        <v>0</v>
      </c>
      <c r="J94" t="n">
        <v>1</v>
      </c>
      <c r="K94" t="n">
        <v>0</v>
      </c>
      <c r="L94" t="n">
        <v>0</v>
      </c>
      <c r="M94" t="n">
        <v>0</v>
      </c>
      <c r="N94" t="n">
        <v>0</v>
      </c>
      <c r="O94" t="n">
        <v>1</v>
      </c>
      <c r="P94" t="n">
        <v>0</v>
      </c>
      <c r="Q94" t="n">
        <v>1</v>
      </c>
      <c r="R94" s="2" t="inlineStr">
        <is>
          <t>Spillkråka</t>
        </is>
      </c>
      <c r="S94">
        <f>HYPERLINK("https://klasma.github.io/Logging_0382/artfynd/A 41220-2025 artfynd.xlsx", "A 41220-2025")</f>
        <v/>
      </c>
      <c r="T94">
        <f>HYPERLINK("https://klasma.github.io/Logging_0382/kartor/A 41220-2025 karta.png", "A 41220-2025")</f>
        <v/>
      </c>
      <c r="V94">
        <f>HYPERLINK("https://klasma.github.io/Logging_0382/klagomål/A 41220-2025 FSC-klagomål.docx", "A 41220-2025")</f>
        <v/>
      </c>
      <c r="W94">
        <f>HYPERLINK("https://klasma.github.io/Logging_0382/klagomålsmail/A 41220-2025 FSC-klagomål mail.docx", "A 41220-2025")</f>
        <v/>
      </c>
      <c r="X94">
        <f>HYPERLINK("https://klasma.github.io/Logging_0382/tillsyn/A 41220-2025 tillsynsbegäran.docx", "A 41220-2025")</f>
        <v/>
      </c>
      <c r="Y94">
        <f>HYPERLINK("https://klasma.github.io/Logging_0382/tillsynsmail/A 41220-2025 tillsynsbegäran mail.docx", "A 41220-2025")</f>
        <v/>
      </c>
      <c r="Z94">
        <f>HYPERLINK("https://klasma.github.io/Logging_0382/fåglar/A 41220-2025 prioriterade fågelarter.docx", "A 41220-2025")</f>
        <v/>
      </c>
    </row>
    <row r="95" ht="15" customHeight="1">
      <c r="A95" t="inlineStr">
        <is>
          <t>A 7470-2022</t>
        </is>
      </c>
      <c r="B95" s="1" t="n">
        <v>44607</v>
      </c>
      <c r="C95" s="1" t="n">
        <v>45912</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70495-2021</t>
        </is>
      </c>
      <c r="B96" s="1" t="n">
        <v>44536</v>
      </c>
      <c r="C96" s="1" t="n">
        <v>45912</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22209-2022</t>
        </is>
      </c>
      <c r="B97" s="1" t="n">
        <v>44712</v>
      </c>
      <c r="C97" s="1" t="n">
        <v>45912</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61479-2020</t>
        </is>
      </c>
      <c r="B98" s="1" t="n">
        <v>44154</v>
      </c>
      <c r="C98" s="1" t="n">
        <v>45912</v>
      </c>
      <c r="D98" t="inlineStr">
        <is>
          <t>UPPSALA LÄN</t>
        </is>
      </c>
      <c r="E98" t="inlineStr">
        <is>
          <t>ÖSTHAMMAR</t>
        </is>
      </c>
      <c r="G98" t="n">
        <v>2.5</v>
      </c>
      <c r="H98" t="n">
        <v>0</v>
      </c>
      <c r="I98" t="n">
        <v>1</v>
      </c>
      <c r="J98" t="n">
        <v>0</v>
      </c>
      <c r="K98" t="n">
        <v>0</v>
      </c>
      <c r="L98" t="n">
        <v>0</v>
      </c>
      <c r="M98" t="n">
        <v>0</v>
      </c>
      <c r="N98" t="n">
        <v>0</v>
      </c>
      <c r="O98" t="n">
        <v>0</v>
      </c>
      <c r="P98" t="n">
        <v>0</v>
      </c>
      <c r="Q98" t="n">
        <v>1</v>
      </c>
      <c r="R98" s="2" t="inlineStr">
        <is>
          <t>Olivspindling</t>
        </is>
      </c>
      <c r="S98">
        <f>HYPERLINK("https://klasma.github.io/Logging_0382/artfynd/A 61479-2020 artfynd.xlsx", "A 61479-2020")</f>
        <v/>
      </c>
      <c r="T98">
        <f>HYPERLINK("https://klasma.github.io/Logging_0382/kartor/A 61479-2020 karta.png", "A 61479-2020")</f>
        <v/>
      </c>
      <c r="V98">
        <f>HYPERLINK("https://klasma.github.io/Logging_0382/klagomål/A 61479-2020 FSC-klagomål.docx", "A 61479-2020")</f>
        <v/>
      </c>
      <c r="W98">
        <f>HYPERLINK("https://klasma.github.io/Logging_0382/klagomålsmail/A 61479-2020 FSC-klagomål mail.docx", "A 61479-2020")</f>
        <v/>
      </c>
      <c r="X98">
        <f>HYPERLINK("https://klasma.github.io/Logging_0382/tillsyn/A 61479-2020 tillsynsbegäran.docx", "A 61479-2020")</f>
        <v/>
      </c>
      <c r="Y98">
        <f>HYPERLINK("https://klasma.github.io/Logging_0382/tillsynsmail/A 61479-2020 tillsynsbegäran mail.docx", "A 61479-2020")</f>
        <v/>
      </c>
    </row>
    <row r="99" ht="15" customHeight="1">
      <c r="A99" t="inlineStr">
        <is>
          <t>A 12753-2024</t>
        </is>
      </c>
      <c r="B99" s="1" t="n">
        <v>45384</v>
      </c>
      <c r="C99" s="1" t="n">
        <v>45912</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45912</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29679-2023</t>
        </is>
      </c>
      <c r="B101" s="1" t="n">
        <v>45107</v>
      </c>
      <c r="C101" s="1" t="n">
        <v>45912</v>
      </c>
      <c r="D101" t="inlineStr">
        <is>
          <t>UPPSALA LÄN</t>
        </is>
      </c>
      <c r="E101" t="inlineStr">
        <is>
          <t>ÖSTHAMMAR</t>
        </is>
      </c>
      <c r="F101" t="inlineStr">
        <is>
          <t>Övriga Aktiebolag</t>
        </is>
      </c>
      <c r="G101" t="n">
        <v>7.3</v>
      </c>
      <c r="H101" t="n">
        <v>0</v>
      </c>
      <c r="I101" t="n">
        <v>0</v>
      </c>
      <c r="J101" t="n">
        <v>1</v>
      </c>
      <c r="K101" t="n">
        <v>0</v>
      </c>
      <c r="L101" t="n">
        <v>0</v>
      </c>
      <c r="M101" t="n">
        <v>0</v>
      </c>
      <c r="N101" t="n">
        <v>0</v>
      </c>
      <c r="O101" t="n">
        <v>1</v>
      </c>
      <c r="P101" t="n">
        <v>0</v>
      </c>
      <c r="Q101" t="n">
        <v>1</v>
      </c>
      <c r="R101" s="2" t="inlineStr">
        <is>
          <t>Vintertagging</t>
        </is>
      </c>
      <c r="S101">
        <f>HYPERLINK("https://klasma.github.io/Logging_0382/artfynd/A 29679-2023 artfynd.xlsx", "A 29679-2023")</f>
        <v/>
      </c>
      <c r="T101">
        <f>HYPERLINK("https://klasma.github.io/Logging_0382/kartor/A 29679-2023 karta.png", "A 29679-2023")</f>
        <v/>
      </c>
      <c r="V101">
        <f>HYPERLINK("https://klasma.github.io/Logging_0382/klagomål/A 29679-2023 FSC-klagomål.docx", "A 29679-2023")</f>
        <v/>
      </c>
      <c r="W101">
        <f>HYPERLINK("https://klasma.github.io/Logging_0382/klagomålsmail/A 29679-2023 FSC-klagomål mail.docx", "A 29679-2023")</f>
        <v/>
      </c>
      <c r="X101">
        <f>HYPERLINK("https://klasma.github.io/Logging_0382/tillsyn/A 29679-2023 tillsynsbegäran.docx", "A 29679-2023")</f>
        <v/>
      </c>
      <c r="Y101">
        <f>HYPERLINK("https://klasma.github.io/Logging_0382/tillsynsmail/A 29679-2023 tillsynsbegäran mail.docx", "A 29679-2023")</f>
        <v/>
      </c>
    </row>
    <row r="102" ht="15" customHeight="1">
      <c r="A102" t="inlineStr">
        <is>
          <t>A 3693-2021</t>
        </is>
      </c>
      <c r="B102" s="1" t="n">
        <v>44221</v>
      </c>
      <c r="C102" s="1" t="n">
        <v>45912</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45912</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25434-2022</t>
        </is>
      </c>
      <c r="B104" s="1" t="n">
        <v>44732.48165509259</v>
      </c>
      <c r="C104" s="1" t="n">
        <v>45912</v>
      </c>
      <c r="D104" t="inlineStr">
        <is>
          <t>UPPSALA LÄN</t>
        </is>
      </c>
      <c r="E104" t="inlineStr">
        <is>
          <t>ÖSTHAMMAR</t>
        </is>
      </c>
      <c r="G104" t="n">
        <v>0.8</v>
      </c>
      <c r="H104" t="n">
        <v>0</v>
      </c>
      <c r="I104" t="n">
        <v>0</v>
      </c>
      <c r="J104" t="n">
        <v>0</v>
      </c>
      <c r="K104" t="n">
        <v>0</v>
      </c>
      <c r="L104" t="n">
        <v>0</v>
      </c>
      <c r="M104" t="n">
        <v>0</v>
      </c>
      <c r="N104" t="n">
        <v>0</v>
      </c>
      <c r="O104" t="n">
        <v>0</v>
      </c>
      <c r="P104" t="n">
        <v>0</v>
      </c>
      <c r="Q104" t="n">
        <v>0</v>
      </c>
      <c r="R104" s="2" t="inlineStr"/>
    </row>
    <row r="105" ht="15" customHeight="1">
      <c r="A105" t="inlineStr">
        <is>
          <t>A 8775-2022</t>
        </is>
      </c>
      <c r="B105" s="1" t="n">
        <v>44614</v>
      </c>
      <c r="C105" s="1" t="n">
        <v>45912</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45912</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45912</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45912</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45912</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45912</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45912</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45912</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45912</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45912</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45912</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45912</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45912</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45912</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45912</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45912</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45912</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45912</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45912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45912</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45912</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45912</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45912</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45912</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45912</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45912</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45912</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45912</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45912</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45912</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45912</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45912</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45912</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45912</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45912</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45912</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45912</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45912</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45912</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45912</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45912</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45912</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45912</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45912</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45912</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45912</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45912</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45912</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45912</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45912</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45912</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45912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45912</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45912</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6221-2021</t>
        </is>
      </c>
      <c r="B159" s="1" t="n">
        <v>44235</v>
      </c>
      <c r="C159" s="1" t="n">
        <v>45912</v>
      </c>
      <c r="D159" t="inlineStr">
        <is>
          <t>UPPSALA LÄN</t>
        </is>
      </c>
      <c r="E159" t="inlineStr">
        <is>
          <t>ÖSTHAMMAR</t>
        </is>
      </c>
      <c r="G159" t="n">
        <v>0.8</v>
      </c>
      <c r="H159" t="n">
        <v>0</v>
      </c>
      <c r="I159" t="n">
        <v>0</v>
      </c>
      <c r="J159" t="n">
        <v>0</v>
      </c>
      <c r="K159" t="n">
        <v>0</v>
      </c>
      <c r="L159" t="n">
        <v>0</v>
      </c>
      <c r="M159" t="n">
        <v>0</v>
      </c>
      <c r="N159" t="n">
        <v>0</v>
      </c>
      <c r="O159" t="n">
        <v>0</v>
      </c>
      <c r="P159" t="n">
        <v>0</v>
      </c>
      <c r="Q159" t="n">
        <v>0</v>
      </c>
      <c r="R159" s="2" t="inlineStr"/>
    </row>
    <row r="160" ht="15" customHeight="1">
      <c r="A160" t="inlineStr">
        <is>
          <t>A 19214-2021</t>
        </is>
      </c>
      <c r="B160" s="1" t="n">
        <v>44309.28576388889</v>
      </c>
      <c r="C160" s="1" t="n">
        <v>45912</v>
      </c>
      <c r="D160" t="inlineStr">
        <is>
          <t>UPPSALA LÄN</t>
        </is>
      </c>
      <c r="E160" t="inlineStr">
        <is>
          <t>ÖSTHAMMAR</t>
        </is>
      </c>
      <c r="F160" t="inlineStr">
        <is>
          <t>Bergvik skog öst AB</t>
        </is>
      </c>
      <c r="G160" t="n">
        <v>6</v>
      </c>
      <c r="H160" t="n">
        <v>0</v>
      </c>
      <c r="I160" t="n">
        <v>0</v>
      </c>
      <c r="J160" t="n">
        <v>0</v>
      </c>
      <c r="K160" t="n">
        <v>0</v>
      </c>
      <c r="L160" t="n">
        <v>0</v>
      </c>
      <c r="M160" t="n">
        <v>0</v>
      </c>
      <c r="N160" t="n">
        <v>0</v>
      </c>
      <c r="O160" t="n">
        <v>0</v>
      </c>
      <c r="P160" t="n">
        <v>0</v>
      </c>
      <c r="Q160" t="n">
        <v>0</v>
      </c>
      <c r="R160" s="2" t="inlineStr"/>
    </row>
    <row r="161" ht="15" customHeight="1">
      <c r="A161" t="inlineStr">
        <is>
          <t>A 17013-2022</t>
        </is>
      </c>
      <c r="B161" s="1" t="n">
        <v>44676</v>
      </c>
      <c r="C161" s="1" t="n">
        <v>45912</v>
      </c>
      <c r="D161" t="inlineStr">
        <is>
          <t>UPPSALA LÄN</t>
        </is>
      </c>
      <c r="E161" t="inlineStr">
        <is>
          <t>ÖSTHAMMAR</t>
        </is>
      </c>
      <c r="F161" t="inlineStr">
        <is>
          <t>Bergvik skog öst AB</t>
        </is>
      </c>
      <c r="G161" t="n">
        <v>0.2</v>
      </c>
      <c r="H161" t="n">
        <v>0</v>
      </c>
      <c r="I161" t="n">
        <v>0</v>
      </c>
      <c r="J161" t="n">
        <v>0</v>
      </c>
      <c r="K161" t="n">
        <v>0</v>
      </c>
      <c r="L161" t="n">
        <v>0</v>
      </c>
      <c r="M161" t="n">
        <v>0</v>
      </c>
      <c r="N161" t="n">
        <v>0</v>
      </c>
      <c r="O161" t="n">
        <v>0</v>
      </c>
      <c r="P161" t="n">
        <v>0</v>
      </c>
      <c r="Q161" t="n">
        <v>0</v>
      </c>
      <c r="R161" s="2" t="inlineStr"/>
    </row>
    <row r="162" ht="15" customHeight="1">
      <c r="A162" t="inlineStr">
        <is>
          <t>A 30209-2022</t>
        </is>
      </c>
      <c r="B162" s="1" t="n">
        <v>44757.75236111111</v>
      </c>
      <c r="C162" s="1" t="n">
        <v>45912</v>
      </c>
      <c r="D162" t="inlineStr">
        <is>
          <t>UPPSALA LÄN</t>
        </is>
      </c>
      <c r="E162" t="inlineStr">
        <is>
          <t>ÖSTHAMMAR</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45912</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31182-2022</t>
        </is>
      </c>
      <c r="B164" s="1" t="n">
        <v>44770</v>
      </c>
      <c r="C164" s="1" t="n">
        <v>45912</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26534-2022</t>
        </is>
      </c>
      <c r="B165" s="1" t="n">
        <v>44739</v>
      </c>
      <c r="C165" s="1" t="n">
        <v>45912</v>
      </c>
      <c r="D165" t="inlineStr">
        <is>
          <t>UPPSALA LÄN</t>
        </is>
      </c>
      <c r="E165" t="inlineStr">
        <is>
          <t>ÖSTHAMMAR</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45912</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12999-2022</t>
        </is>
      </c>
      <c r="B167" s="1" t="n">
        <v>44643.4372337963</v>
      </c>
      <c r="C167" s="1" t="n">
        <v>45912</v>
      </c>
      <c r="D167" t="inlineStr">
        <is>
          <t>UPPSALA LÄN</t>
        </is>
      </c>
      <c r="E167" t="inlineStr">
        <is>
          <t>ÖSTHAMMAR</t>
        </is>
      </c>
      <c r="G167" t="n">
        <v>0.5</v>
      </c>
      <c r="H167" t="n">
        <v>0</v>
      </c>
      <c r="I167" t="n">
        <v>0</v>
      </c>
      <c r="J167" t="n">
        <v>0</v>
      </c>
      <c r="K167" t="n">
        <v>0</v>
      </c>
      <c r="L167" t="n">
        <v>0</v>
      </c>
      <c r="M167" t="n">
        <v>0</v>
      </c>
      <c r="N167" t="n">
        <v>0</v>
      </c>
      <c r="O167" t="n">
        <v>0</v>
      </c>
      <c r="P167" t="n">
        <v>0</v>
      </c>
      <c r="Q167" t="n">
        <v>0</v>
      </c>
      <c r="R167" s="2" t="inlineStr"/>
    </row>
    <row r="168" ht="15" customHeight="1">
      <c r="A168" t="inlineStr">
        <is>
          <t>A 52432-2020</t>
        </is>
      </c>
      <c r="B168" s="1" t="n">
        <v>44118</v>
      </c>
      <c r="C168" s="1" t="n">
        <v>45912</v>
      </c>
      <c r="D168" t="inlineStr">
        <is>
          <t>UPPSALA LÄN</t>
        </is>
      </c>
      <c r="E168" t="inlineStr">
        <is>
          <t>ÖSTHAMMAR</t>
        </is>
      </c>
      <c r="G168" t="n">
        <v>2.7</v>
      </c>
      <c r="H168" t="n">
        <v>0</v>
      </c>
      <c r="I168" t="n">
        <v>0</v>
      </c>
      <c r="J168" t="n">
        <v>0</v>
      </c>
      <c r="K168" t="n">
        <v>0</v>
      </c>
      <c r="L168" t="n">
        <v>0</v>
      </c>
      <c r="M168" t="n">
        <v>0</v>
      </c>
      <c r="N168" t="n">
        <v>0</v>
      </c>
      <c r="O168" t="n">
        <v>0</v>
      </c>
      <c r="P168" t="n">
        <v>0</v>
      </c>
      <c r="Q168" t="n">
        <v>0</v>
      </c>
      <c r="R168" s="2" t="inlineStr"/>
    </row>
    <row r="169" ht="15" customHeight="1">
      <c r="A169" t="inlineStr">
        <is>
          <t>A 52434-2020</t>
        </is>
      </c>
      <c r="B169" s="1" t="n">
        <v>44118</v>
      </c>
      <c r="C169" s="1" t="n">
        <v>45912</v>
      </c>
      <c r="D169" t="inlineStr">
        <is>
          <t>UPPSALA LÄN</t>
        </is>
      </c>
      <c r="E169" t="inlineStr">
        <is>
          <t>ÖSTHAMMAR</t>
        </is>
      </c>
      <c r="G169" t="n">
        <v>2.8</v>
      </c>
      <c r="H169" t="n">
        <v>0</v>
      </c>
      <c r="I169" t="n">
        <v>0</v>
      </c>
      <c r="J169" t="n">
        <v>0</v>
      </c>
      <c r="K169" t="n">
        <v>0</v>
      </c>
      <c r="L169" t="n">
        <v>0</v>
      </c>
      <c r="M169" t="n">
        <v>0</v>
      </c>
      <c r="N169" t="n">
        <v>0</v>
      </c>
      <c r="O169" t="n">
        <v>0</v>
      </c>
      <c r="P169" t="n">
        <v>0</v>
      </c>
      <c r="Q169" t="n">
        <v>0</v>
      </c>
      <c r="R169" s="2" t="inlineStr"/>
    </row>
    <row r="170" ht="15" customHeight="1">
      <c r="A170" t="inlineStr">
        <is>
          <t>A 16184-2022</t>
        </is>
      </c>
      <c r="B170" s="1" t="n">
        <v>44669.36354166667</v>
      </c>
      <c r="C170" s="1" t="n">
        <v>45912</v>
      </c>
      <c r="D170" t="inlineStr">
        <is>
          <t>UPPSALA LÄN</t>
        </is>
      </c>
      <c r="E170" t="inlineStr">
        <is>
          <t>ÖSTHAMMAR</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59432-2020</t>
        </is>
      </c>
      <c r="B171" s="1" t="n">
        <v>44148</v>
      </c>
      <c r="C171" s="1" t="n">
        <v>45912</v>
      </c>
      <c r="D171" t="inlineStr">
        <is>
          <t>UPPSALA LÄN</t>
        </is>
      </c>
      <c r="E171" t="inlineStr">
        <is>
          <t>ÖSTHAMMAR</t>
        </is>
      </c>
      <c r="F171" t="inlineStr">
        <is>
          <t>Sveaskog</t>
        </is>
      </c>
      <c r="G171" t="n">
        <v>3.4</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45912</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52898-2021</t>
        </is>
      </c>
      <c r="B173" s="1" t="n">
        <v>44467</v>
      </c>
      <c r="C173" s="1" t="n">
        <v>45912</v>
      </c>
      <c r="D173" t="inlineStr">
        <is>
          <t>UPPSALA LÄN</t>
        </is>
      </c>
      <c r="E173" t="inlineStr">
        <is>
          <t>ÖSTHAMMAR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45912</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41558-2021</t>
        </is>
      </c>
      <c r="B175" s="1" t="n">
        <v>44425.37835648148</v>
      </c>
      <c r="C175" s="1" t="n">
        <v>45912</v>
      </c>
      <c r="D175" t="inlineStr">
        <is>
          <t>UPPSALA LÄN</t>
        </is>
      </c>
      <c r="E175" t="inlineStr">
        <is>
          <t>ÖSTHAMMAR</t>
        </is>
      </c>
      <c r="F175" t="inlineStr">
        <is>
          <t>Bergvik skog öst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18736-2022</t>
        </is>
      </c>
      <c r="B176" s="1" t="n">
        <v>44687.87017361111</v>
      </c>
      <c r="C176" s="1" t="n">
        <v>45912</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61193-2020</t>
        </is>
      </c>
      <c r="B177" s="1" t="n">
        <v>44155</v>
      </c>
      <c r="C177" s="1" t="n">
        <v>45912</v>
      </c>
      <c r="D177" t="inlineStr">
        <is>
          <t>UPPSALA LÄN</t>
        </is>
      </c>
      <c r="E177" t="inlineStr">
        <is>
          <t>ÖSTHAMMAR</t>
        </is>
      </c>
      <c r="F177" t="inlineStr">
        <is>
          <t>Övriga Aktiebolag</t>
        </is>
      </c>
      <c r="G177" t="n">
        <v>2.1</v>
      </c>
      <c r="H177" t="n">
        <v>0</v>
      </c>
      <c r="I177" t="n">
        <v>0</v>
      </c>
      <c r="J177" t="n">
        <v>0</v>
      </c>
      <c r="K177" t="n">
        <v>0</v>
      </c>
      <c r="L177" t="n">
        <v>0</v>
      </c>
      <c r="M177" t="n">
        <v>0</v>
      </c>
      <c r="N177" t="n">
        <v>0</v>
      </c>
      <c r="O177" t="n">
        <v>0</v>
      </c>
      <c r="P177" t="n">
        <v>0</v>
      </c>
      <c r="Q177" t="n">
        <v>0</v>
      </c>
      <c r="R177" s="2" t="inlineStr"/>
    </row>
    <row r="178" ht="15" customHeight="1">
      <c r="A178" t="inlineStr">
        <is>
          <t>A 9789-2022</t>
        </is>
      </c>
      <c r="B178" s="1" t="n">
        <v>44620.35590277778</v>
      </c>
      <c r="C178" s="1" t="n">
        <v>45912</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45912</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45912</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16185-2022</t>
        </is>
      </c>
      <c r="B181" s="1" t="n">
        <v>44669</v>
      </c>
      <c r="C181" s="1" t="n">
        <v>45912</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24316-2021</t>
        </is>
      </c>
      <c r="B182" s="1" t="n">
        <v>44337</v>
      </c>
      <c r="C182" s="1" t="n">
        <v>45912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45912</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61560-2021</t>
        </is>
      </c>
      <c r="B184" s="1" t="n">
        <v>44501.42905092592</v>
      </c>
      <c r="C184" s="1" t="n">
        <v>45912</v>
      </c>
      <c r="D184" t="inlineStr">
        <is>
          <t>UPPSALA LÄN</t>
        </is>
      </c>
      <c r="E184" t="inlineStr">
        <is>
          <t>ÖSTHAMMAR</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45912</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45912</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7871-2022</t>
        </is>
      </c>
      <c r="B187" s="1" t="n">
        <v>44608</v>
      </c>
      <c r="C187" s="1" t="n">
        <v>45912</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24817-2022</t>
        </is>
      </c>
      <c r="B188" s="1" t="n">
        <v>44728</v>
      </c>
      <c r="C188" s="1" t="n">
        <v>45912</v>
      </c>
      <c r="D188" t="inlineStr">
        <is>
          <t>UPPSALA LÄN</t>
        </is>
      </c>
      <c r="E188" t="inlineStr">
        <is>
          <t>ÖSTHAMMAR</t>
        </is>
      </c>
      <c r="F188" t="inlineStr">
        <is>
          <t>Sveaskog</t>
        </is>
      </c>
      <c r="G188" t="n">
        <v>0.2</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45912</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22887-2022</t>
        </is>
      </c>
      <c r="B190" s="1" t="n">
        <v>44715</v>
      </c>
      <c r="C190" s="1" t="n">
        <v>45912</v>
      </c>
      <c r="D190" t="inlineStr">
        <is>
          <t>UPPSALA LÄN</t>
        </is>
      </c>
      <c r="E190" t="inlineStr">
        <is>
          <t>ÖSTHAMMAR</t>
        </is>
      </c>
      <c r="G190" t="n">
        <v>0.2</v>
      </c>
      <c r="H190" t="n">
        <v>0</v>
      </c>
      <c r="I190" t="n">
        <v>0</v>
      </c>
      <c r="J190" t="n">
        <v>0</v>
      </c>
      <c r="K190" t="n">
        <v>0</v>
      </c>
      <c r="L190" t="n">
        <v>0</v>
      </c>
      <c r="M190" t="n">
        <v>0</v>
      </c>
      <c r="N190" t="n">
        <v>0</v>
      </c>
      <c r="O190" t="n">
        <v>0</v>
      </c>
      <c r="P190" t="n">
        <v>0</v>
      </c>
      <c r="Q190" t="n">
        <v>0</v>
      </c>
      <c r="R190" s="2" t="inlineStr"/>
    </row>
    <row r="191" ht="15" customHeight="1">
      <c r="A191" t="inlineStr">
        <is>
          <t>A 52544-2021</t>
        </is>
      </c>
      <c r="B191" s="1" t="n">
        <v>44466</v>
      </c>
      <c r="C191" s="1" t="n">
        <v>45912</v>
      </c>
      <c r="D191" t="inlineStr">
        <is>
          <t>UPPSALA LÄN</t>
        </is>
      </c>
      <c r="E191" t="inlineStr">
        <is>
          <t>ÖSTHAMMAR</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45912</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37545-2022</t>
        </is>
      </c>
      <c r="B193" s="1" t="n">
        <v>44809.63373842592</v>
      </c>
      <c r="C193" s="1" t="n">
        <v>45912</v>
      </c>
      <c r="D193" t="inlineStr">
        <is>
          <t>UPPSALA LÄN</t>
        </is>
      </c>
      <c r="E193" t="inlineStr">
        <is>
          <t>ÖSTHAMMAR</t>
        </is>
      </c>
      <c r="G193" t="n">
        <v>3.1</v>
      </c>
      <c r="H193" t="n">
        <v>0</v>
      </c>
      <c r="I193" t="n">
        <v>0</v>
      </c>
      <c r="J193" t="n">
        <v>0</v>
      </c>
      <c r="K193" t="n">
        <v>0</v>
      </c>
      <c r="L193" t="n">
        <v>0</v>
      </c>
      <c r="M193" t="n">
        <v>0</v>
      </c>
      <c r="N193" t="n">
        <v>0</v>
      </c>
      <c r="O193" t="n">
        <v>0</v>
      </c>
      <c r="P193" t="n">
        <v>0</v>
      </c>
      <c r="Q193" t="n">
        <v>0</v>
      </c>
      <c r="R193" s="2" t="inlineStr"/>
    </row>
    <row r="194" ht="15" customHeight="1">
      <c r="A194" t="inlineStr">
        <is>
          <t>A 51906-2022</t>
        </is>
      </c>
      <c r="B194" s="1" t="n">
        <v>44872.62109953703</v>
      </c>
      <c r="C194" s="1" t="n">
        <v>45912</v>
      </c>
      <c r="D194" t="inlineStr">
        <is>
          <t>UPPSALA LÄN</t>
        </is>
      </c>
      <c r="E194" t="inlineStr">
        <is>
          <t>ÖSTHAMMAR</t>
        </is>
      </c>
      <c r="G194" t="n">
        <v>0.4</v>
      </c>
      <c r="H194" t="n">
        <v>0</v>
      </c>
      <c r="I194" t="n">
        <v>0</v>
      </c>
      <c r="J194" t="n">
        <v>0</v>
      </c>
      <c r="K194" t="n">
        <v>0</v>
      </c>
      <c r="L194" t="n">
        <v>0</v>
      </c>
      <c r="M194" t="n">
        <v>0</v>
      </c>
      <c r="N194" t="n">
        <v>0</v>
      </c>
      <c r="O194" t="n">
        <v>0</v>
      </c>
      <c r="P194" t="n">
        <v>0</v>
      </c>
      <c r="Q194" t="n">
        <v>0</v>
      </c>
      <c r="R194" s="2" t="inlineStr"/>
    </row>
    <row r="195" ht="15" customHeight="1">
      <c r="A195" t="inlineStr">
        <is>
          <t>A 38501-2022</t>
        </is>
      </c>
      <c r="B195" s="1" t="n">
        <v>44813</v>
      </c>
      <c r="C195" s="1" t="n">
        <v>45912</v>
      </c>
      <c r="D195" t="inlineStr">
        <is>
          <t>UPPSALA LÄN</t>
        </is>
      </c>
      <c r="E195" t="inlineStr">
        <is>
          <t>ÖSTHAMMAR</t>
        </is>
      </c>
      <c r="F195" t="inlineStr">
        <is>
          <t>Bergvik skog öst AB</t>
        </is>
      </c>
      <c r="G195" t="n">
        <v>2.2</v>
      </c>
      <c r="H195" t="n">
        <v>0</v>
      </c>
      <c r="I195" t="n">
        <v>0</v>
      </c>
      <c r="J195" t="n">
        <v>0</v>
      </c>
      <c r="K195" t="n">
        <v>0</v>
      </c>
      <c r="L195" t="n">
        <v>0</v>
      </c>
      <c r="M195" t="n">
        <v>0</v>
      </c>
      <c r="N195" t="n">
        <v>0</v>
      </c>
      <c r="O195" t="n">
        <v>0</v>
      </c>
      <c r="P195" t="n">
        <v>0</v>
      </c>
      <c r="Q195" t="n">
        <v>0</v>
      </c>
      <c r="R195" s="2" t="inlineStr"/>
    </row>
    <row r="196" ht="15" customHeight="1">
      <c r="A196" t="inlineStr">
        <is>
          <t>A 20634-2024</t>
        </is>
      </c>
      <c r="B196" s="1" t="n">
        <v>45436</v>
      </c>
      <c r="C196" s="1" t="n">
        <v>45912</v>
      </c>
      <c r="D196" t="inlineStr">
        <is>
          <t>UPPSALA LÄN</t>
        </is>
      </c>
      <c r="E196" t="inlineStr">
        <is>
          <t>ÖSTHAMMAR</t>
        </is>
      </c>
      <c r="G196" t="n">
        <v>6.5</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45912</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18088-2025</t>
        </is>
      </c>
      <c r="B198" s="1" t="n">
        <v>45761.53104166667</v>
      </c>
      <c r="C198" s="1" t="n">
        <v>45912</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18095-2025</t>
        </is>
      </c>
      <c r="B199" s="1" t="n">
        <v>45761.54925925926</v>
      </c>
      <c r="C199" s="1" t="n">
        <v>45912</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45912</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30086-2023</t>
        </is>
      </c>
      <c r="B201" s="1" t="n">
        <v>45110.43907407407</v>
      </c>
      <c r="C201" s="1" t="n">
        <v>45912</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22884-2024</t>
        </is>
      </c>
      <c r="B202" s="1" t="n">
        <v>45448</v>
      </c>
      <c r="C202" s="1" t="n">
        <v>45912</v>
      </c>
      <c r="D202" t="inlineStr">
        <is>
          <t>UPPSALA LÄN</t>
        </is>
      </c>
      <c r="E202" t="inlineStr">
        <is>
          <t>ÖSTHAMMAR</t>
        </is>
      </c>
      <c r="G202" t="n">
        <v>3.3</v>
      </c>
      <c r="H202" t="n">
        <v>0</v>
      </c>
      <c r="I202" t="n">
        <v>0</v>
      </c>
      <c r="J202" t="n">
        <v>0</v>
      </c>
      <c r="K202" t="n">
        <v>0</v>
      </c>
      <c r="L202" t="n">
        <v>0</v>
      </c>
      <c r="M202" t="n">
        <v>0</v>
      </c>
      <c r="N202" t="n">
        <v>0</v>
      </c>
      <c r="O202" t="n">
        <v>0</v>
      </c>
      <c r="P202" t="n">
        <v>0</v>
      </c>
      <c r="Q202" t="n">
        <v>0</v>
      </c>
      <c r="R202" s="2" t="inlineStr"/>
    </row>
    <row r="203" ht="15" customHeight="1">
      <c r="A203" t="inlineStr">
        <is>
          <t>A 20385-2025</t>
        </is>
      </c>
      <c r="B203" s="1" t="n">
        <v>45775.44483796296</v>
      </c>
      <c r="C203" s="1" t="n">
        <v>45912</v>
      </c>
      <c r="D203" t="inlineStr">
        <is>
          <t>UPPSALA LÄN</t>
        </is>
      </c>
      <c r="E203" t="inlineStr">
        <is>
          <t>ÖSTHAMMAR</t>
        </is>
      </c>
      <c r="G203" t="n">
        <v>1.9</v>
      </c>
      <c r="H203" t="n">
        <v>0</v>
      </c>
      <c r="I203" t="n">
        <v>0</v>
      </c>
      <c r="J203" t="n">
        <v>0</v>
      </c>
      <c r="K203" t="n">
        <v>0</v>
      </c>
      <c r="L203" t="n">
        <v>0</v>
      </c>
      <c r="M203" t="n">
        <v>0</v>
      </c>
      <c r="N203" t="n">
        <v>0</v>
      </c>
      <c r="O203" t="n">
        <v>0</v>
      </c>
      <c r="P203" t="n">
        <v>0</v>
      </c>
      <c r="Q203" t="n">
        <v>0</v>
      </c>
      <c r="R203" s="2" t="inlineStr"/>
    </row>
    <row r="204" ht="15" customHeight="1">
      <c r="A204" t="inlineStr">
        <is>
          <t>A 26552-2022</t>
        </is>
      </c>
      <c r="B204" s="1" t="n">
        <v>44739</v>
      </c>
      <c r="C204" s="1" t="n">
        <v>45912</v>
      </c>
      <c r="D204" t="inlineStr">
        <is>
          <t>UPPSALA LÄN</t>
        </is>
      </c>
      <c r="E204" t="inlineStr">
        <is>
          <t>ÖSTHAMMAR</t>
        </is>
      </c>
      <c r="G204" t="n">
        <v>2.2</v>
      </c>
      <c r="H204" t="n">
        <v>0</v>
      </c>
      <c r="I204" t="n">
        <v>0</v>
      </c>
      <c r="J204" t="n">
        <v>0</v>
      </c>
      <c r="K204" t="n">
        <v>0</v>
      </c>
      <c r="L204" t="n">
        <v>0</v>
      </c>
      <c r="M204" t="n">
        <v>0</v>
      </c>
      <c r="N204" t="n">
        <v>0</v>
      </c>
      <c r="O204" t="n">
        <v>0</v>
      </c>
      <c r="P204" t="n">
        <v>0</v>
      </c>
      <c r="Q204" t="n">
        <v>0</v>
      </c>
      <c r="R204" s="2" t="inlineStr"/>
    </row>
    <row r="205" ht="15" customHeight="1">
      <c r="A205" t="inlineStr">
        <is>
          <t>A 61257-2022</t>
        </is>
      </c>
      <c r="B205" s="1" t="n">
        <v>44915.59418981482</v>
      </c>
      <c r="C205" s="1" t="n">
        <v>45912</v>
      </c>
      <c r="D205" t="inlineStr">
        <is>
          <t>UPPSALA LÄN</t>
        </is>
      </c>
      <c r="E205" t="inlineStr">
        <is>
          <t>ÖSTHAMMAR</t>
        </is>
      </c>
      <c r="G205" t="n">
        <v>1</v>
      </c>
      <c r="H205" t="n">
        <v>0</v>
      </c>
      <c r="I205" t="n">
        <v>0</v>
      </c>
      <c r="J205" t="n">
        <v>0</v>
      </c>
      <c r="K205" t="n">
        <v>0</v>
      </c>
      <c r="L205" t="n">
        <v>0</v>
      </c>
      <c r="M205" t="n">
        <v>0</v>
      </c>
      <c r="N205" t="n">
        <v>0</v>
      </c>
      <c r="O205" t="n">
        <v>0</v>
      </c>
      <c r="P205" t="n">
        <v>0</v>
      </c>
      <c r="Q205" t="n">
        <v>0</v>
      </c>
      <c r="R205" s="2" t="inlineStr"/>
    </row>
    <row r="206" ht="15" customHeight="1">
      <c r="A206" t="inlineStr">
        <is>
          <t>A 29753-2022</t>
        </is>
      </c>
      <c r="B206" s="1" t="n">
        <v>44755</v>
      </c>
      <c r="C206" s="1" t="n">
        <v>45912</v>
      </c>
      <c r="D206" t="inlineStr">
        <is>
          <t>UPPSALA LÄN</t>
        </is>
      </c>
      <c r="E206" t="inlineStr">
        <is>
          <t>ÖSTHAMMAR</t>
        </is>
      </c>
      <c r="G206" t="n">
        <v>9.4</v>
      </c>
      <c r="H206" t="n">
        <v>0</v>
      </c>
      <c r="I206" t="n">
        <v>0</v>
      </c>
      <c r="J206" t="n">
        <v>0</v>
      </c>
      <c r="K206" t="n">
        <v>0</v>
      </c>
      <c r="L206" t="n">
        <v>0</v>
      </c>
      <c r="M206" t="n">
        <v>0</v>
      </c>
      <c r="N206" t="n">
        <v>0</v>
      </c>
      <c r="O206" t="n">
        <v>0</v>
      </c>
      <c r="P206" t="n">
        <v>0</v>
      </c>
      <c r="Q206" t="n">
        <v>0</v>
      </c>
      <c r="R206" s="2" t="inlineStr"/>
    </row>
    <row r="207" ht="15" customHeight="1">
      <c r="A207" t="inlineStr">
        <is>
          <t>A 7100-2025</t>
        </is>
      </c>
      <c r="B207" s="1" t="n">
        <v>45701.83930555556</v>
      </c>
      <c r="C207" s="1" t="n">
        <v>45912</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37568-2022</t>
        </is>
      </c>
      <c r="B208" s="1" t="n">
        <v>44809</v>
      </c>
      <c r="C208" s="1" t="n">
        <v>45912</v>
      </c>
      <c r="D208" t="inlineStr">
        <is>
          <t>UPPSALA LÄN</t>
        </is>
      </c>
      <c r="E208" t="inlineStr">
        <is>
          <t>ÖSTHAMMAR</t>
        </is>
      </c>
      <c r="G208" t="n">
        <v>1.1</v>
      </c>
      <c r="H208" t="n">
        <v>0</v>
      </c>
      <c r="I208" t="n">
        <v>0</v>
      </c>
      <c r="J208" t="n">
        <v>0</v>
      </c>
      <c r="K208" t="n">
        <v>0</v>
      </c>
      <c r="L208" t="n">
        <v>0</v>
      </c>
      <c r="M208" t="n">
        <v>0</v>
      </c>
      <c r="N208" t="n">
        <v>0</v>
      </c>
      <c r="O208" t="n">
        <v>0</v>
      </c>
      <c r="P208" t="n">
        <v>0</v>
      </c>
      <c r="Q208" t="n">
        <v>0</v>
      </c>
      <c r="R208" s="2" t="inlineStr"/>
    </row>
    <row r="209" ht="15" customHeight="1">
      <c r="A209" t="inlineStr">
        <is>
          <t>A 32742-2022</t>
        </is>
      </c>
      <c r="B209" s="1" t="n">
        <v>44783.69886574074</v>
      </c>
      <c r="C209" s="1" t="n">
        <v>45912</v>
      </c>
      <c r="D209" t="inlineStr">
        <is>
          <t>UPPSALA LÄN</t>
        </is>
      </c>
      <c r="E209" t="inlineStr">
        <is>
          <t>ÖSTHAMMAR</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49833-2023</t>
        </is>
      </c>
      <c r="B210" s="1" t="n">
        <v>45212.71481481481</v>
      </c>
      <c r="C210" s="1" t="n">
        <v>45912</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45307-2023</t>
        </is>
      </c>
      <c r="B211" s="1" t="n">
        <v>45191</v>
      </c>
      <c r="C211" s="1" t="n">
        <v>45912</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60577-2021</t>
        </is>
      </c>
      <c r="B212" s="1" t="n">
        <v>44496.57019675926</v>
      </c>
      <c r="C212" s="1" t="n">
        <v>45912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45912</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10495-2025</t>
        </is>
      </c>
      <c r="B214" s="1" t="n">
        <v>45721</v>
      </c>
      <c r="C214" s="1" t="n">
        <v>45912</v>
      </c>
      <c r="D214" t="inlineStr">
        <is>
          <t>UPPSALA LÄN</t>
        </is>
      </c>
      <c r="E214" t="inlineStr">
        <is>
          <t>ÖSTHAMMAR</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1791-2023</t>
        </is>
      </c>
      <c r="B215" s="1" t="n">
        <v>44938</v>
      </c>
      <c r="C215" s="1" t="n">
        <v>45912</v>
      </c>
      <c r="D215" t="inlineStr">
        <is>
          <t>UPPSALA LÄN</t>
        </is>
      </c>
      <c r="E215" t="inlineStr">
        <is>
          <t>ÖSTHAMMAR</t>
        </is>
      </c>
      <c r="G215" t="n">
        <v>2</v>
      </c>
      <c r="H215" t="n">
        <v>0</v>
      </c>
      <c r="I215" t="n">
        <v>0</v>
      </c>
      <c r="J215" t="n">
        <v>0</v>
      </c>
      <c r="K215" t="n">
        <v>0</v>
      </c>
      <c r="L215" t="n">
        <v>0</v>
      </c>
      <c r="M215" t="n">
        <v>0</v>
      </c>
      <c r="N215" t="n">
        <v>0</v>
      </c>
      <c r="O215" t="n">
        <v>0</v>
      </c>
      <c r="P215" t="n">
        <v>0</v>
      </c>
      <c r="Q215" t="n">
        <v>0</v>
      </c>
      <c r="R215" s="2" t="inlineStr"/>
    </row>
    <row r="216" ht="15" customHeight="1">
      <c r="A216" t="inlineStr">
        <is>
          <t>A 61261-2022</t>
        </is>
      </c>
      <c r="B216" s="1" t="n">
        <v>44915.59645833333</v>
      </c>
      <c r="C216" s="1" t="n">
        <v>45912</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31479-2023</t>
        </is>
      </c>
      <c r="B217" s="1" t="n">
        <v>45114.79793981482</v>
      </c>
      <c r="C217" s="1" t="n">
        <v>45912</v>
      </c>
      <c r="D217" t="inlineStr">
        <is>
          <t>UPPSALA LÄN</t>
        </is>
      </c>
      <c r="E217" t="inlineStr">
        <is>
          <t>ÖSTHAMMAR</t>
        </is>
      </c>
      <c r="F217" t="inlineStr">
        <is>
          <t>Bergvik skog öst AB</t>
        </is>
      </c>
      <c r="G217" t="n">
        <v>1.9</v>
      </c>
      <c r="H217" t="n">
        <v>0</v>
      </c>
      <c r="I217" t="n">
        <v>0</v>
      </c>
      <c r="J217" t="n">
        <v>0</v>
      </c>
      <c r="K217" t="n">
        <v>0</v>
      </c>
      <c r="L217" t="n">
        <v>0</v>
      </c>
      <c r="M217" t="n">
        <v>0</v>
      </c>
      <c r="N217" t="n">
        <v>0</v>
      </c>
      <c r="O217" t="n">
        <v>0</v>
      </c>
      <c r="P217" t="n">
        <v>0</v>
      </c>
      <c r="Q217" t="n">
        <v>0</v>
      </c>
      <c r="R217" s="2" t="inlineStr"/>
    </row>
    <row r="218" ht="15" customHeight="1">
      <c r="A218" t="inlineStr">
        <is>
          <t>A 14187-2022</t>
        </is>
      </c>
      <c r="B218" s="1" t="n">
        <v>44651.5625</v>
      </c>
      <c r="C218" s="1" t="n">
        <v>45912</v>
      </c>
      <c r="D218" t="inlineStr">
        <is>
          <t>UPPSALA LÄN</t>
        </is>
      </c>
      <c r="E218" t="inlineStr">
        <is>
          <t>ÖSTHAMMAR</t>
        </is>
      </c>
      <c r="F218" t="inlineStr">
        <is>
          <t>Övriga Aktiebolag</t>
        </is>
      </c>
      <c r="G218" t="n">
        <v>14.1</v>
      </c>
      <c r="H218" t="n">
        <v>0</v>
      </c>
      <c r="I218" t="n">
        <v>0</v>
      </c>
      <c r="J218" t="n">
        <v>0</v>
      </c>
      <c r="K218" t="n">
        <v>0</v>
      </c>
      <c r="L218" t="n">
        <v>0</v>
      </c>
      <c r="M218" t="n">
        <v>0</v>
      </c>
      <c r="N218" t="n">
        <v>0</v>
      </c>
      <c r="O218" t="n">
        <v>0</v>
      </c>
      <c r="P218" t="n">
        <v>0</v>
      </c>
      <c r="Q218" t="n">
        <v>0</v>
      </c>
      <c r="R218" s="2" t="inlineStr"/>
    </row>
    <row r="219" ht="15" customHeight="1">
      <c r="A219" t="inlineStr">
        <is>
          <t>A 49796-2024</t>
        </is>
      </c>
      <c r="B219" s="1" t="n">
        <v>45597</v>
      </c>
      <c r="C219" s="1" t="n">
        <v>45912</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74436-2021</t>
        </is>
      </c>
      <c r="B220" s="1" t="n">
        <v>44560.4502199074</v>
      </c>
      <c r="C220" s="1" t="n">
        <v>45912</v>
      </c>
      <c r="D220" t="inlineStr">
        <is>
          <t>UPPSALA LÄN</t>
        </is>
      </c>
      <c r="E220" t="inlineStr">
        <is>
          <t>ÖSTHAMMAR</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13093-2022</t>
        </is>
      </c>
      <c r="B221" s="1" t="n">
        <v>44643.93269675926</v>
      </c>
      <c r="C221" s="1" t="n">
        <v>45912</v>
      </c>
      <c r="D221" t="inlineStr">
        <is>
          <t>UPPSALA LÄN</t>
        </is>
      </c>
      <c r="E221" t="inlineStr">
        <is>
          <t>ÖSTHAMMAR</t>
        </is>
      </c>
      <c r="F221" t="inlineStr">
        <is>
          <t>Bergvik skog öst AB</t>
        </is>
      </c>
      <c r="G221" t="n">
        <v>3.2</v>
      </c>
      <c r="H221" t="n">
        <v>0</v>
      </c>
      <c r="I221" t="n">
        <v>0</v>
      </c>
      <c r="J221" t="n">
        <v>0</v>
      </c>
      <c r="K221" t="n">
        <v>0</v>
      </c>
      <c r="L221" t="n">
        <v>0</v>
      </c>
      <c r="M221" t="n">
        <v>0</v>
      </c>
      <c r="N221" t="n">
        <v>0</v>
      </c>
      <c r="O221" t="n">
        <v>0</v>
      </c>
      <c r="P221" t="n">
        <v>0</v>
      </c>
      <c r="Q221" t="n">
        <v>0</v>
      </c>
      <c r="R221" s="2" t="inlineStr"/>
    </row>
    <row r="222" ht="15" customHeight="1">
      <c r="A222" t="inlineStr">
        <is>
          <t>A 32778-2023</t>
        </is>
      </c>
      <c r="B222" s="1" t="n">
        <v>45123.88789351852</v>
      </c>
      <c r="C222" s="1" t="n">
        <v>45912</v>
      </c>
      <c r="D222" t="inlineStr">
        <is>
          <t>UPPSALA LÄN</t>
        </is>
      </c>
      <c r="E222" t="inlineStr">
        <is>
          <t>ÖSTHAMMAR</t>
        </is>
      </c>
      <c r="F222" t="inlineStr">
        <is>
          <t>Bergvik skog öst AB</t>
        </is>
      </c>
      <c r="G222" t="n">
        <v>1</v>
      </c>
      <c r="H222" t="n">
        <v>0</v>
      </c>
      <c r="I222" t="n">
        <v>0</v>
      </c>
      <c r="J222" t="n">
        <v>0</v>
      </c>
      <c r="K222" t="n">
        <v>0</v>
      </c>
      <c r="L222" t="n">
        <v>0</v>
      </c>
      <c r="M222" t="n">
        <v>0</v>
      </c>
      <c r="N222" t="n">
        <v>0</v>
      </c>
      <c r="O222" t="n">
        <v>0</v>
      </c>
      <c r="P222" t="n">
        <v>0</v>
      </c>
      <c r="Q222" t="n">
        <v>0</v>
      </c>
      <c r="R222" s="2" t="inlineStr"/>
    </row>
    <row r="223" ht="15" customHeight="1">
      <c r="A223" t="inlineStr">
        <is>
          <t>A 8624-2025</t>
        </is>
      </c>
      <c r="B223" s="1" t="n">
        <v>45711.52333333333</v>
      </c>
      <c r="C223" s="1" t="n">
        <v>45912</v>
      </c>
      <c r="D223" t="inlineStr">
        <is>
          <t>UPPSALA LÄN</t>
        </is>
      </c>
      <c r="E223" t="inlineStr">
        <is>
          <t>ÖSTHAMMAR</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17651-2025</t>
        </is>
      </c>
      <c r="B224" s="1" t="n">
        <v>45758.33304398148</v>
      </c>
      <c r="C224" s="1" t="n">
        <v>45912</v>
      </c>
      <c r="D224" t="inlineStr">
        <is>
          <t>UPPSALA LÄN</t>
        </is>
      </c>
      <c r="E224" t="inlineStr">
        <is>
          <t>ÖSTHAMMAR</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48719-2023</t>
        </is>
      </c>
      <c r="B225" s="1" t="n">
        <v>45208.70452546296</v>
      </c>
      <c r="C225" s="1" t="n">
        <v>45912</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31574-2022</t>
        </is>
      </c>
      <c r="B226" s="1" t="n">
        <v>44775</v>
      </c>
      <c r="C226" s="1" t="n">
        <v>45912</v>
      </c>
      <c r="D226" t="inlineStr">
        <is>
          <t>UPPSALA LÄN</t>
        </is>
      </c>
      <c r="E226" t="inlineStr">
        <is>
          <t>ÖSTHAMMAR</t>
        </is>
      </c>
      <c r="G226" t="n">
        <v>29.7</v>
      </c>
      <c r="H226" t="n">
        <v>0</v>
      </c>
      <c r="I226" t="n">
        <v>0</v>
      </c>
      <c r="J226" t="n">
        <v>0</v>
      </c>
      <c r="K226" t="n">
        <v>0</v>
      </c>
      <c r="L226" t="n">
        <v>0</v>
      </c>
      <c r="M226" t="n">
        <v>0</v>
      </c>
      <c r="N226" t="n">
        <v>0</v>
      </c>
      <c r="O226" t="n">
        <v>0</v>
      </c>
      <c r="P226" t="n">
        <v>0</v>
      </c>
      <c r="Q226" t="n">
        <v>0</v>
      </c>
      <c r="R226" s="2" t="inlineStr"/>
    </row>
    <row r="227" ht="15" customHeight="1">
      <c r="A227" t="inlineStr">
        <is>
          <t>A 21133-2025</t>
        </is>
      </c>
      <c r="B227" s="1" t="n">
        <v>45778.415625</v>
      </c>
      <c r="C227" s="1" t="n">
        <v>45912</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21862-2023</t>
        </is>
      </c>
      <c r="B228" s="1" t="n">
        <v>45068</v>
      </c>
      <c r="C228" s="1" t="n">
        <v>45912</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21132-2025</t>
        </is>
      </c>
      <c r="B229" s="1" t="n">
        <v>45778.4108912037</v>
      </c>
      <c r="C229" s="1" t="n">
        <v>45912</v>
      </c>
      <c r="D229" t="inlineStr">
        <is>
          <t>UPPSALA LÄN</t>
        </is>
      </c>
      <c r="E229" t="inlineStr">
        <is>
          <t>ÖSTHAMMAR</t>
        </is>
      </c>
      <c r="G229" t="n">
        <v>10.1</v>
      </c>
      <c r="H229" t="n">
        <v>0</v>
      </c>
      <c r="I229" t="n">
        <v>0</v>
      </c>
      <c r="J229" t="n">
        <v>0</v>
      </c>
      <c r="K229" t="n">
        <v>0</v>
      </c>
      <c r="L229" t="n">
        <v>0</v>
      </c>
      <c r="M229" t="n">
        <v>0</v>
      </c>
      <c r="N229" t="n">
        <v>0</v>
      </c>
      <c r="O229" t="n">
        <v>0</v>
      </c>
      <c r="P229" t="n">
        <v>0</v>
      </c>
      <c r="Q229" t="n">
        <v>0</v>
      </c>
      <c r="R229" s="2" t="inlineStr"/>
    </row>
    <row r="230" ht="15" customHeight="1">
      <c r="A230" t="inlineStr">
        <is>
          <t>A 55086-2024</t>
        </is>
      </c>
      <c r="B230" s="1" t="n">
        <v>45621.43098379629</v>
      </c>
      <c r="C230" s="1" t="n">
        <v>45912</v>
      </c>
      <c r="D230" t="inlineStr">
        <is>
          <t>UPPSALA LÄN</t>
        </is>
      </c>
      <c r="E230" t="inlineStr">
        <is>
          <t>ÖSTHAMMAR</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62695-2023</t>
        </is>
      </c>
      <c r="B231" s="1" t="n">
        <v>45271</v>
      </c>
      <c r="C231" s="1" t="n">
        <v>45912</v>
      </c>
      <c r="D231" t="inlineStr">
        <is>
          <t>UPPSALA LÄN</t>
        </is>
      </c>
      <c r="E231" t="inlineStr">
        <is>
          <t>ÖSTHAMMAR</t>
        </is>
      </c>
      <c r="G231" t="n">
        <v>5.3</v>
      </c>
      <c r="H231" t="n">
        <v>0</v>
      </c>
      <c r="I231" t="n">
        <v>0</v>
      </c>
      <c r="J231" t="n">
        <v>0</v>
      </c>
      <c r="K231" t="n">
        <v>0</v>
      </c>
      <c r="L231" t="n">
        <v>0</v>
      </c>
      <c r="M231" t="n">
        <v>0</v>
      </c>
      <c r="N231" t="n">
        <v>0</v>
      </c>
      <c r="O231" t="n">
        <v>0</v>
      </c>
      <c r="P231" t="n">
        <v>0</v>
      </c>
      <c r="Q231" t="n">
        <v>0</v>
      </c>
      <c r="R231" s="2" t="inlineStr"/>
    </row>
    <row r="232" ht="15" customHeight="1">
      <c r="A232" t="inlineStr">
        <is>
          <t>A 1436-2025</t>
        </is>
      </c>
      <c r="B232" s="1" t="n">
        <v>45669.67625</v>
      </c>
      <c r="C232" s="1" t="n">
        <v>45912</v>
      </c>
      <c r="D232" t="inlineStr">
        <is>
          <t>UPPSALA LÄN</t>
        </is>
      </c>
      <c r="E232" t="inlineStr">
        <is>
          <t>ÖSTHAMMAR</t>
        </is>
      </c>
      <c r="G232" t="n">
        <v>0.6</v>
      </c>
      <c r="H232" t="n">
        <v>0</v>
      </c>
      <c r="I232" t="n">
        <v>0</v>
      </c>
      <c r="J232" t="n">
        <v>0</v>
      </c>
      <c r="K232" t="n">
        <v>0</v>
      </c>
      <c r="L232" t="n">
        <v>0</v>
      </c>
      <c r="M232" t="n">
        <v>0</v>
      </c>
      <c r="N232" t="n">
        <v>0</v>
      </c>
      <c r="O232" t="n">
        <v>0</v>
      </c>
      <c r="P232" t="n">
        <v>0</v>
      </c>
      <c r="Q232" t="n">
        <v>0</v>
      </c>
      <c r="R232" s="2" t="inlineStr"/>
    </row>
    <row r="233" ht="15" customHeight="1">
      <c r="A233" t="inlineStr">
        <is>
          <t>A 1525-2025</t>
        </is>
      </c>
      <c r="B233" s="1" t="n">
        <v>45670.47300925926</v>
      </c>
      <c r="C233" s="1" t="n">
        <v>45912</v>
      </c>
      <c r="D233" t="inlineStr">
        <is>
          <t>UPPSALA LÄN</t>
        </is>
      </c>
      <c r="E233" t="inlineStr">
        <is>
          <t>ÖSTHAMMAR</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4559-2022</t>
        </is>
      </c>
      <c r="B234" s="1" t="n">
        <v>44591.51854166666</v>
      </c>
      <c r="C234" s="1" t="n">
        <v>45912</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42262-2024</t>
        </is>
      </c>
      <c r="B235" s="1" t="n">
        <v>45562</v>
      </c>
      <c r="C235" s="1" t="n">
        <v>45912</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24367-2022</t>
        </is>
      </c>
      <c r="B236" s="1" t="n">
        <v>44726.42716435185</v>
      </c>
      <c r="C236" s="1" t="n">
        <v>45912</v>
      </c>
      <c r="D236" t="inlineStr">
        <is>
          <t>UPPSALA LÄN</t>
        </is>
      </c>
      <c r="E236" t="inlineStr">
        <is>
          <t>ÖSTHAMMAR</t>
        </is>
      </c>
      <c r="G236" t="n">
        <v>2.7</v>
      </c>
      <c r="H236" t="n">
        <v>0</v>
      </c>
      <c r="I236" t="n">
        <v>0</v>
      </c>
      <c r="J236" t="n">
        <v>0</v>
      </c>
      <c r="K236" t="n">
        <v>0</v>
      </c>
      <c r="L236" t="n">
        <v>0</v>
      </c>
      <c r="M236" t="n">
        <v>0</v>
      </c>
      <c r="N236" t="n">
        <v>0</v>
      </c>
      <c r="O236" t="n">
        <v>0</v>
      </c>
      <c r="P236" t="n">
        <v>0</v>
      </c>
      <c r="Q236" t="n">
        <v>0</v>
      </c>
      <c r="R236" s="2" t="inlineStr"/>
    </row>
    <row r="237" ht="15" customHeight="1">
      <c r="A237" t="inlineStr">
        <is>
          <t>A 5933-2022</t>
        </is>
      </c>
      <c r="B237" s="1" t="n">
        <v>44598.82957175926</v>
      </c>
      <c r="C237" s="1" t="n">
        <v>45912</v>
      </c>
      <c r="D237" t="inlineStr">
        <is>
          <t>UPPSALA LÄN</t>
        </is>
      </c>
      <c r="E237" t="inlineStr">
        <is>
          <t>ÖSTHAMMAR</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29824-2023</t>
        </is>
      </c>
      <c r="B238" s="1" t="n">
        <v>45107</v>
      </c>
      <c r="C238" s="1" t="n">
        <v>45912</v>
      </c>
      <c r="D238" t="inlineStr">
        <is>
          <t>UPPSALA LÄN</t>
        </is>
      </c>
      <c r="E238" t="inlineStr">
        <is>
          <t>ÖSTHAMMAR</t>
        </is>
      </c>
      <c r="F238" t="inlineStr">
        <is>
          <t>Naturvårdsverket</t>
        </is>
      </c>
      <c r="G238" t="n">
        <v>1.6</v>
      </c>
      <c r="H238" t="n">
        <v>0</v>
      </c>
      <c r="I238" t="n">
        <v>0</v>
      </c>
      <c r="J238" t="n">
        <v>0</v>
      </c>
      <c r="K238" t="n">
        <v>0</v>
      </c>
      <c r="L238" t="n">
        <v>0</v>
      </c>
      <c r="M238" t="n">
        <v>0</v>
      </c>
      <c r="N238" t="n">
        <v>0</v>
      </c>
      <c r="O238" t="n">
        <v>0</v>
      </c>
      <c r="P238" t="n">
        <v>0</v>
      </c>
      <c r="Q238" t="n">
        <v>0</v>
      </c>
      <c r="R238" s="2" t="inlineStr"/>
    </row>
    <row r="239" ht="15" customHeight="1">
      <c r="A239" t="inlineStr">
        <is>
          <t>A 19009-2023</t>
        </is>
      </c>
      <c r="B239" s="1" t="n">
        <v>45045</v>
      </c>
      <c r="C239" s="1" t="n">
        <v>45912</v>
      </c>
      <c r="D239" t="inlineStr">
        <is>
          <t>UPPSALA LÄN</t>
        </is>
      </c>
      <c r="E239" t="inlineStr">
        <is>
          <t>ÖSTHAMMAR</t>
        </is>
      </c>
      <c r="F239" t="inlineStr">
        <is>
          <t>Bergvik skog öst AB</t>
        </is>
      </c>
      <c r="G239" t="n">
        <v>0.2</v>
      </c>
      <c r="H239" t="n">
        <v>0</v>
      </c>
      <c r="I239" t="n">
        <v>0</v>
      </c>
      <c r="J239" t="n">
        <v>0</v>
      </c>
      <c r="K239" t="n">
        <v>0</v>
      </c>
      <c r="L239" t="n">
        <v>0</v>
      </c>
      <c r="M239" t="n">
        <v>0</v>
      </c>
      <c r="N239" t="n">
        <v>0</v>
      </c>
      <c r="O239" t="n">
        <v>0</v>
      </c>
      <c r="P239" t="n">
        <v>0</v>
      </c>
      <c r="Q239" t="n">
        <v>0</v>
      </c>
      <c r="R239" s="2" t="inlineStr"/>
    </row>
    <row r="240" ht="15" customHeight="1">
      <c r="A240" t="inlineStr">
        <is>
          <t>A 64774-2023</t>
        </is>
      </c>
      <c r="B240" s="1" t="n">
        <v>45282</v>
      </c>
      <c r="C240" s="1" t="n">
        <v>45912</v>
      </c>
      <c r="D240" t="inlineStr">
        <is>
          <t>UPPSALA LÄN</t>
        </is>
      </c>
      <c r="E240" t="inlineStr">
        <is>
          <t>ÖSTHAMMAR</t>
        </is>
      </c>
      <c r="F240" t="inlineStr">
        <is>
          <t>Övriga Aktiebolag</t>
        </is>
      </c>
      <c r="G240" t="n">
        <v>3.7</v>
      </c>
      <c r="H240" t="n">
        <v>0</v>
      </c>
      <c r="I240" t="n">
        <v>0</v>
      </c>
      <c r="J240" t="n">
        <v>0</v>
      </c>
      <c r="K240" t="n">
        <v>0</v>
      </c>
      <c r="L240" t="n">
        <v>0</v>
      </c>
      <c r="M240" t="n">
        <v>0</v>
      </c>
      <c r="N240" t="n">
        <v>0</v>
      </c>
      <c r="O240" t="n">
        <v>0</v>
      </c>
      <c r="P240" t="n">
        <v>0</v>
      </c>
      <c r="Q240" t="n">
        <v>0</v>
      </c>
      <c r="R240" s="2" t="inlineStr"/>
    </row>
    <row r="241" ht="15" customHeight="1">
      <c r="A241" t="inlineStr">
        <is>
          <t>A 6143-2022</t>
        </is>
      </c>
      <c r="B241" s="1" t="n">
        <v>44599.72306712963</v>
      </c>
      <c r="C241" s="1" t="n">
        <v>45912</v>
      </c>
      <c r="D241" t="inlineStr">
        <is>
          <t>UPPSALA LÄN</t>
        </is>
      </c>
      <c r="E241" t="inlineStr">
        <is>
          <t>ÖSTHAMMAR</t>
        </is>
      </c>
      <c r="G241" t="n">
        <v>3.4</v>
      </c>
      <c r="H241" t="n">
        <v>0</v>
      </c>
      <c r="I241" t="n">
        <v>0</v>
      </c>
      <c r="J241" t="n">
        <v>0</v>
      </c>
      <c r="K241" t="n">
        <v>0</v>
      </c>
      <c r="L241" t="n">
        <v>0</v>
      </c>
      <c r="M241" t="n">
        <v>0</v>
      </c>
      <c r="N241" t="n">
        <v>0</v>
      </c>
      <c r="O241" t="n">
        <v>0</v>
      </c>
      <c r="P241" t="n">
        <v>0</v>
      </c>
      <c r="Q241" t="n">
        <v>0</v>
      </c>
      <c r="R241" s="2" t="inlineStr"/>
    </row>
    <row r="242" ht="15" customHeight="1">
      <c r="A242" t="inlineStr">
        <is>
          <t>A 10982-2023</t>
        </is>
      </c>
      <c r="B242" s="1" t="n">
        <v>44991.62203703704</v>
      </c>
      <c r="C242" s="1" t="n">
        <v>45912</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6153-2022</t>
        </is>
      </c>
      <c r="B243" s="1" t="n">
        <v>44599</v>
      </c>
      <c r="C243" s="1" t="n">
        <v>45912</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27308-2023</t>
        </is>
      </c>
      <c r="B244" s="1" t="n">
        <v>45096.65381944444</v>
      </c>
      <c r="C244" s="1" t="n">
        <v>45912</v>
      </c>
      <c r="D244" t="inlineStr">
        <is>
          <t>UPPSALA LÄN</t>
        </is>
      </c>
      <c r="E244" t="inlineStr">
        <is>
          <t>ÖSTHAMMAR</t>
        </is>
      </c>
      <c r="F244" t="inlineStr">
        <is>
          <t>Bergvik skog öst AB</t>
        </is>
      </c>
      <c r="G244" t="n">
        <v>2.4</v>
      </c>
      <c r="H244" t="n">
        <v>0</v>
      </c>
      <c r="I244" t="n">
        <v>0</v>
      </c>
      <c r="J244" t="n">
        <v>0</v>
      </c>
      <c r="K244" t="n">
        <v>0</v>
      </c>
      <c r="L244" t="n">
        <v>0</v>
      </c>
      <c r="M244" t="n">
        <v>0</v>
      </c>
      <c r="N244" t="n">
        <v>0</v>
      </c>
      <c r="O244" t="n">
        <v>0</v>
      </c>
      <c r="P244" t="n">
        <v>0</v>
      </c>
      <c r="Q244" t="n">
        <v>0</v>
      </c>
      <c r="R244" s="2" t="inlineStr"/>
    </row>
    <row r="245" ht="15" customHeight="1">
      <c r="A245" t="inlineStr">
        <is>
          <t>A 20046-2023</t>
        </is>
      </c>
      <c r="B245" s="1" t="n">
        <v>45054</v>
      </c>
      <c r="C245" s="1" t="n">
        <v>45912</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5254-2025</t>
        </is>
      </c>
      <c r="B246" s="1" t="n">
        <v>45692</v>
      </c>
      <c r="C246" s="1" t="n">
        <v>45912</v>
      </c>
      <c r="D246" t="inlineStr">
        <is>
          <t>UPPSALA LÄN</t>
        </is>
      </c>
      <c r="E246" t="inlineStr">
        <is>
          <t>ÖSTHAMMAR</t>
        </is>
      </c>
      <c r="G246" t="n">
        <v>5</v>
      </c>
      <c r="H246" t="n">
        <v>0</v>
      </c>
      <c r="I246" t="n">
        <v>0</v>
      </c>
      <c r="J246" t="n">
        <v>0</v>
      </c>
      <c r="K246" t="n">
        <v>0</v>
      </c>
      <c r="L246" t="n">
        <v>0</v>
      </c>
      <c r="M246" t="n">
        <v>0</v>
      </c>
      <c r="N246" t="n">
        <v>0</v>
      </c>
      <c r="O246" t="n">
        <v>0</v>
      </c>
      <c r="P246" t="n">
        <v>0</v>
      </c>
      <c r="Q246" t="n">
        <v>0</v>
      </c>
      <c r="R246" s="2" t="inlineStr"/>
    </row>
    <row r="247" ht="15" customHeight="1">
      <c r="A247" t="inlineStr">
        <is>
          <t>A 59807-2020</t>
        </is>
      </c>
      <c r="B247" s="1" t="n">
        <v>44151</v>
      </c>
      <c r="C247" s="1" t="n">
        <v>45912</v>
      </c>
      <c r="D247" t="inlineStr">
        <is>
          <t>UPPSALA LÄN</t>
        </is>
      </c>
      <c r="E247" t="inlineStr">
        <is>
          <t>ÖSTHAMMAR</t>
        </is>
      </c>
      <c r="G247" t="n">
        <v>3.4</v>
      </c>
      <c r="H247" t="n">
        <v>0</v>
      </c>
      <c r="I247" t="n">
        <v>0</v>
      </c>
      <c r="J247" t="n">
        <v>0</v>
      </c>
      <c r="K247" t="n">
        <v>0</v>
      </c>
      <c r="L247" t="n">
        <v>0</v>
      </c>
      <c r="M247" t="n">
        <v>0</v>
      </c>
      <c r="N247" t="n">
        <v>0</v>
      </c>
      <c r="O247" t="n">
        <v>0</v>
      </c>
      <c r="P247" t="n">
        <v>0</v>
      </c>
      <c r="Q247" t="n">
        <v>0</v>
      </c>
      <c r="R247" s="2" t="inlineStr"/>
    </row>
    <row r="248" ht="15" customHeight="1">
      <c r="A248" t="inlineStr">
        <is>
          <t>A 29873-2023</t>
        </is>
      </c>
      <c r="B248" s="1" t="n">
        <v>45107</v>
      </c>
      <c r="C248" s="1" t="n">
        <v>45912</v>
      </c>
      <c r="D248" t="inlineStr">
        <is>
          <t>UPPSALA LÄN</t>
        </is>
      </c>
      <c r="E248" t="inlineStr">
        <is>
          <t>ÖSTHAMMAR</t>
        </is>
      </c>
      <c r="F248" t="inlineStr">
        <is>
          <t>Naturvårdsverket</t>
        </is>
      </c>
      <c r="G248" t="n">
        <v>7.8</v>
      </c>
      <c r="H248" t="n">
        <v>0</v>
      </c>
      <c r="I248" t="n">
        <v>0</v>
      </c>
      <c r="J248" t="n">
        <v>0</v>
      </c>
      <c r="K248" t="n">
        <v>0</v>
      </c>
      <c r="L248" t="n">
        <v>0</v>
      </c>
      <c r="M248" t="n">
        <v>0</v>
      </c>
      <c r="N248" t="n">
        <v>0</v>
      </c>
      <c r="O248" t="n">
        <v>0</v>
      </c>
      <c r="P248" t="n">
        <v>0</v>
      </c>
      <c r="Q248" t="n">
        <v>0</v>
      </c>
      <c r="R248" s="2" t="inlineStr"/>
    </row>
    <row r="249" ht="15" customHeight="1">
      <c r="A249" t="inlineStr">
        <is>
          <t>A 61062-2023</t>
        </is>
      </c>
      <c r="B249" s="1" t="n">
        <v>45259</v>
      </c>
      <c r="C249" s="1" t="n">
        <v>45912</v>
      </c>
      <c r="D249" t="inlineStr">
        <is>
          <t>UPPSALA LÄN</t>
        </is>
      </c>
      <c r="E249" t="inlineStr">
        <is>
          <t>ÖSTHAMMAR</t>
        </is>
      </c>
      <c r="G249" t="n">
        <v>5.3</v>
      </c>
      <c r="H249" t="n">
        <v>0</v>
      </c>
      <c r="I249" t="n">
        <v>0</v>
      </c>
      <c r="J249" t="n">
        <v>0</v>
      </c>
      <c r="K249" t="n">
        <v>0</v>
      </c>
      <c r="L249" t="n">
        <v>0</v>
      </c>
      <c r="M249" t="n">
        <v>0</v>
      </c>
      <c r="N249" t="n">
        <v>0</v>
      </c>
      <c r="O249" t="n">
        <v>0</v>
      </c>
      <c r="P249" t="n">
        <v>0</v>
      </c>
      <c r="Q249" t="n">
        <v>0</v>
      </c>
      <c r="R249" s="2" t="inlineStr"/>
    </row>
    <row r="250" ht="15" customHeight="1">
      <c r="A250" t="inlineStr">
        <is>
          <t>A 55100-2024</t>
        </is>
      </c>
      <c r="B250" s="1" t="n">
        <v>45621.4405787037</v>
      </c>
      <c r="C250" s="1" t="n">
        <v>45912</v>
      </c>
      <c r="D250" t="inlineStr">
        <is>
          <t>UPPSALA LÄN</t>
        </is>
      </c>
      <c r="E250" t="inlineStr">
        <is>
          <t>ÖSTHAMMAR</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36954-2024</t>
        </is>
      </c>
      <c r="B251" s="1" t="n">
        <v>45538.71109953704</v>
      </c>
      <c r="C251" s="1" t="n">
        <v>45912</v>
      </c>
      <c r="D251" t="inlineStr">
        <is>
          <t>UPPSALA LÄN</t>
        </is>
      </c>
      <c r="E251" t="inlineStr">
        <is>
          <t>ÖSTHAMMAR</t>
        </is>
      </c>
      <c r="F251" t="inlineStr">
        <is>
          <t>Bergvik skog öst AB</t>
        </is>
      </c>
      <c r="G251" t="n">
        <v>5.1</v>
      </c>
      <c r="H251" t="n">
        <v>0</v>
      </c>
      <c r="I251" t="n">
        <v>0</v>
      </c>
      <c r="J251" t="n">
        <v>0</v>
      </c>
      <c r="K251" t="n">
        <v>0</v>
      </c>
      <c r="L251" t="n">
        <v>0</v>
      </c>
      <c r="M251" t="n">
        <v>0</v>
      </c>
      <c r="N251" t="n">
        <v>0</v>
      </c>
      <c r="O251" t="n">
        <v>0</v>
      </c>
      <c r="P251" t="n">
        <v>0</v>
      </c>
      <c r="Q251" t="n">
        <v>0</v>
      </c>
      <c r="R251" s="2" t="inlineStr"/>
    </row>
    <row r="252" ht="15" customHeight="1">
      <c r="A252" t="inlineStr">
        <is>
          <t>A 33685-2024</t>
        </is>
      </c>
      <c r="B252" s="1" t="n">
        <v>45520.51063657407</v>
      </c>
      <c r="C252" s="1" t="n">
        <v>45912</v>
      </c>
      <c r="D252" t="inlineStr">
        <is>
          <t>UPPSALA LÄN</t>
        </is>
      </c>
      <c r="E252" t="inlineStr">
        <is>
          <t>ÖSTHAMMAR</t>
        </is>
      </c>
      <c r="F252" t="inlineStr">
        <is>
          <t>Bergvik skog öst AB</t>
        </is>
      </c>
      <c r="G252" t="n">
        <v>3.8</v>
      </c>
      <c r="H252" t="n">
        <v>0</v>
      </c>
      <c r="I252" t="n">
        <v>0</v>
      </c>
      <c r="J252" t="n">
        <v>0</v>
      </c>
      <c r="K252" t="n">
        <v>0</v>
      </c>
      <c r="L252" t="n">
        <v>0</v>
      </c>
      <c r="M252" t="n">
        <v>0</v>
      </c>
      <c r="N252" t="n">
        <v>0</v>
      </c>
      <c r="O252" t="n">
        <v>0</v>
      </c>
      <c r="P252" t="n">
        <v>0</v>
      </c>
      <c r="Q252" t="n">
        <v>0</v>
      </c>
      <c r="R252" s="2" t="inlineStr"/>
    </row>
    <row r="253" ht="15" customHeight="1">
      <c r="A253" t="inlineStr">
        <is>
          <t>A 43655-2024</t>
        </is>
      </c>
      <c r="B253" s="1" t="n">
        <v>45569</v>
      </c>
      <c r="C253" s="1" t="n">
        <v>45912</v>
      </c>
      <c r="D253" t="inlineStr">
        <is>
          <t>UPPSALA LÄN</t>
        </is>
      </c>
      <c r="E253" t="inlineStr">
        <is>
          <t>ÖSTHAMMAR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22488-2025</t>
        </is>
      </c>
      <c r="B254" s="1" t="n">
        <v>45786.64865740741</v>
      </c>
      <c r="C254" s="1" t="n">
        <v>45912</v>
      </c>
      <c r="D254" t="inlineStr">
        <is>
          <t>UPPSALA LÄN</t>
        </is>
      </c>
      <c r="E254" t="inlineStr">
        <is>
          <t>ÖSTHAMMAR</t>
        </is>
      </c>
      <c r="F254" t="inlineStr">
        <is>
          <t>Bergvik skog öst AB</t>
        </is>
      </c>
      <c r="G254" t="n">
        <v>14.9</v>
      </c>
      <c r="H254" t="n">
        <v>0</v>
      </c>
      <c r="I254" t="n">
        <v>0</v>
      </c>
      <c r="J254" t="n">
        <v>0</v>
      </c>
      <c r="K254" t="n">
        <v>0</v>
      </c>
      <c r="L254" t="n">
        <v>0</v>
      </c>
      <c r="M254" t="n">
        <v>0</v>
      </c>
      <c r="N254" t="n">
        <v>0</v>
      </c>
      <c r="O254" t="n">
        <v>0</v>
      </c>
      <c r="P254" t="n">
        <v>0</v>
      </c>
      <c r="Q254" t="n">
        <v>0</v>
      </c>
      <c r="R254" s="2" t="inlineStr"/>
    </row>
    <row r="255" ht="15" customHeight="1">
      <c r="A255" t="inlineStr">
        <is>
          <t>A 8908-2025</t>
        </is>
      </c>
      <c r="B255" s="1" t="n">
        <v>45713.4196875</v>
      </c>
      <c r="C255" s="1" t="n">
        <v>45912</v>
      </c>
      <c r="D255" t="inlineStr">
        <is>
          <t>UPPSALA LÄN</t>
        </is>
      </c>
      <c r="E255" t="inlineStr">
        <is>
          <t>ÖSTHAMMAR</t>
        </is>
      </c>
      <c r="F255" t="inlineStr">
        <is>
          <t>Bergvik skog öst AB</t>
        </is>
      </c>
      <c r="G255" t="n">
        <v>3.3</v>
      </c>
      <c r="H255" t="n">
        <v>0</v>
      </c>
      <c r="I255" t="n">
        <v>0</v>
      </c>
      <c r="J255" t="n">
        <v>0</v>
      </c>
      <c r="K255" t="n">
        <v>0</v>
      </c>
      <c r="L255" t="n">
        <v>0</v>
      </c>
      <c r="M255" t="n">
        <v>0</v>
      </c>
      <c r="N255" t="n">
        <v>0</v>
      </c>
      <c r="O255" t="n">
        <v>0</v>
      </c>
      <c r="P255" t="n">
        <v>0</v>
      </c>
      <c r="Q255" t="n">
        <v>0</v>
      </c>
      <c r="R255" s="2" t="inlineStr"/>
    </row>
    <row r="256" ht="15" customHeight="1">
      <c r="A256" t="inlineStr">
        <is>
          <t>A 14595-2023</t>
        </is>
      </c>
      <c r="B256" s="1" t="n">
        <v>45013.57858796296</v>
      </c>
      <c r="C256" s="1" t="n">
        <v>45912</v>
      </c>
      <c r="D256" t="inlineStr">
        <is>
          <t>UPPSALA LÄN</t>
        </is>
      </c>
      <c r="E256" t="inlineStr">
        <is>
          <t>ÖSTHAMMAR</t>
        </is>
      </c>
      <c r="G256" t="n">
        <v>5</v>
      </c>
      <c r="H256" t="n">
        <v>0</v>
      </c>
      <c r="I256" t="n">
        <v>0</v>
      </c>
      <c r="J256" t="n">
        <v>0</v>
      </c>
      <c r="K256" t="n">
        <v>0</v>
      </c>
      <c r="L256" t="n">
        <v>0</v>
      </c>
      <c r="M256" t="n">
        <v>0</v>
      </c>
      <c r="N256" t="n">
        <v>0</v>
      </c>
      <c r="O256" t="n">
        <v>0</v>
      </c>
      <c r="P256" t="n">
        <v>0</v>
      </c>
      <c r="Q256" t="n">
        <v>0</v>
      </c>
      <c r="R256" s="2" t="inlineStr"/>
    </row>
    <row r="257" ht="15" customHeight="1">
      <c r="A257" t="inlineStr">
        <is>
          <t>A 32483-2024</t>
        </is>
      </c>
      <c r="B257" s="1" t="n">
        <v>45513.36644675926</v>
      </c>
      <c r="C257" s="1" t="n">
        <v>45912</v>
      </c>
      <c r="D257" t="inlineStr">
        <is>
          <t>UPPSALA LÄN</t>
        </is>
      </c>
      <c r="E257" t="inlineStr">
        <is>
          <t>ÖSTHAMMAR</t>
        </is>
      </c>
      <c r="F257" t="inlineStr">
        <is>
          <t>Kyrkan</t>
        </is>
      </c>
      <c r="G257" t="n">
        <v>4.7</v>
      </c>
      <c r="H257" t="n">
        <v>0</v>
      </c>
      <c r="I257" t="n">
        <v>0</v>
      </c>
      <c r="J257" t="n">
        <v>0</v>
      </c>
      <c r="K257" t="n">
        <v>0</v>
      </c>
      <c r="L257" t="n">
        <v>0</v>
      </c>
      <c r="M257" t="n">
        <v>0</v>
      </c>
      <c r="N257" t="n">
        <v>0</v>
      </c>
      <c r="O257" t="n">
        <v>0</v>
      </c>
      <c r="P257" t="n">
        <v>0</v>
      </c>
      <c r="Q257" t="n">
        <v>0</v>
      </c>
      <c r="R257" s="2" t="inlineStr"/>
    </row>
    <row r="258" ht="15" customHeight="1">
      <c r="A258" t="inlineStr">
        <is>
          <t>A 38575-2024</t>
        </is>
      </c>
      <c r="B258" s="1" t="n">
        <v>45546.64221064815</v>
      </c>
      <c r="C258" s="1" t="n">
        <v>45912</v>
      </c>
      <c r="D258" t="inlineStr">
        <is>
          <t>UPPSALA LÄN</t>
        </is>
      </c>
      <c r="E258" t="inlineStr">
        <is>
          <t>ÖSTHAMMAR</t>
        </is>
      </c>
      <c r="F258" t="inlineStr">
        <is>
          <t>Bergvik skog öst AB</t>
        </is>
      </c>
      <c r="G258" t="n">
        <v>5.1</v>
      </c>
      <c r="H258" t="n">
        <v>0</v>
      </c>
      <c r="I258" t="n">
        <v>0</v>
      </c>
      <c r="J258" t="n">
        <v>0</v>
      </c>
      <c r="K258" t="n">
        <v>0</v>
      </c>
      <c r="L258" t="n">
        <v>0</v>
      </c>
      <c r="M258" t="n">
        <v>0</v>
      </c>
      <c r="N258" t="n">
        <v>0</v>
      </c>
      <c r="O258" t="n">
        <v>0</v>
      </c>
      <c r="P258" t="n">
        <v>0</v>
      </c>
      <c r="Q258" t="n">
        <v>0</v>
      </c>
      <c r="R258" s="2" t="inlineStr"/>
    </row>
    <row r="259" ht="15" customHeight="1">
      <c r="A259" t="inlineStr">
        <is>
          <t>A 31669-2022</t>
        </is>
      </c>
      <c r="B259" s="1" t="n">
        <v>44775</v>
      </c>
      <c r="C259" s="1" t="n">
        <v>45912</v>
      </c>
      <c r="D259" t="inlineStr">
        <is>
          <t>UPPSALA LÄN</t>
        </is>
      </c>
      <c r="E259" t="inlineStr">
        <is>
          <t>ÖSTHAMMAR</t>
        </is>
      </c>
      <c r="G259" t="n">
        <v>6</v>
      </c>
      <c r="H259" t="n">
        <v>0</v>
      </c>
      <c r="I259" t="n">
        <v>0</v>
      </c>
      <c r="J259" t="n">
        <v>0</v>
      </c>
      <c r="K259" t="n">
        <v>0</v>
      </c>
      <c r="L259" t="n">
        <v>0</v>
      </c>
      <c r="M259" t="n">
        <v>0</v>
      </c>
      <c r="N259" t="n">
        <v>0</v>
      </c>
      <c r="O259" t="n">
        <v>0</v>
      </c>
      <c r="P259" t="n">
        <v>0</v>
      </c>
      <c r="Q259" t="n">
        <v>0</v>
      </c>
      <c r="R259" s="2" t="inlineStr"/>
    </row>
    <row r="260" ht="15" customHeight="1">
      <c r="A260" t="inlineStr">
        <is>
          <t>A 43685-2024</t>
        </is>
      </c>
      <c r="B260" s="1" t="n">
        <v>45569</v>
      </c>
      <c r="C260" s="1" t="n">
        <v>45912</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18094-2025</t>
        </is>
      </c>
      <c r="B261" s="1" t="n">
        <v>45761.54710648148</v>
      </c>
      <c r="C261" s="1" t="n">
        <v>45912</v>
      </c>
      <c r="D261" t="inlineStr">
        <is>
          <t>UPPSALA LÄN</t>
        </is>
      </c>
      <c r="E261" t="inlineStr">
        <is>
          <t>ÖSTHAMMAR</t>
        </is>
      </c>
      <c r="F261" t="inlineStr">
        <is>
          <t>Bergvik skog öst AB</t>
        </is>
      </c>
      <c r="G261" t="n">
        <v>6.5</v>
      </c>
      <c r="H261" t="n">
        <v>0</v>
      </c>
      <c r="I261" t="n">
        <v>0</v>
      </c>
      <c r="J261" t="n">
        <v>0</v>
      </c>
      <c r="K261" t="n">
        <v>0</v>
      </c>
      <c r="L261" t="n">
        <v>0</v>
      </c>
      <c r="M261" t="n">
        <v>0</v>
      </c>
      <c r="N261" t="n">
        <v>0</v>
      </c>
      <c r="O261" t="n">
        <v>0</v>
      </c>
      <c r="P261" t="n">
        <v>0</v>
      </c>
      <c r="Q261" t="n">
        <v>0</v>
      </c>
      <c r="R261" s="2" t="inlineStr"/>
    </row>
    <row r="262" ht="15" customHeight="1">
      <c r="A262" t="inlineStr">
        <is>
          <t>A 44796-2024</t>
        </is>
      </c>
      <c r="B262" s="1" t="n">
        <v>45574</v>
      </c>
      <c r="C262" s="1" t="n">
        <v>45912</v>
      </c>
      <c r="D262" t="inlineStr">
        <is>
          <t>UPPSALA LÄN</t>
        </is>
      </c>
      <c r="E262" t="inlineStr">
        <is>
          <t>ÖSTHAMMAR</t>
        </is>
      </c>
      <c r="G262" t="n">
        <v>4.7</v>
      </c>
      <c r="H262" t="n">
        <v>0</v>
      </c>
      <c r="I262" t="n">
        <v>0</v>
      </c>
      <c r="J262" t="n">
        <v>0</v>
      </c>
      <c r="K262" t="n">
        <v>0</v>
      </c>
      <c r="L262" t="n">
        <v>0</v>
      </c>
      <c r="M262" t="n">
        <v>0</v>
      </c>
      <c r="N262" t="n">
        <v>0</v>
      </c>
      <c r="O262" t="n">
        <v>0</v>
      </c>
      <c r="P262" t="n">
        <v>0</v>
      </c>
      <c r="Q262" t="n">
        <v>0</v>
      </c>
      <c r="R262" s="2" t="inlineStr"/>
    </row>
    <row r="263" ht="15" customHeight="1">
      <c r="A263" t="inlineStr">
        <is>
          <t>A 21522-2022</t>
        </is>
      </c>
      <c r="B263" s="1" t="n">
        <v>44706</v>
      </c>
      <c r="C263" s="1" t="n">
        <v>45912</v>
      </c>
      <c r="D263" t="inlineStr">
        <is>
          <t>UPPSALA LÄN</t>
        </is>
      </c>
      <c r="E263" t="inlineStr">
        <is>
          <t>ÖSTHAMMAR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63577-2020</t>
        </is>
      </c>
      <c r="B264" s="1" t="n">
        <v>44165</v>
      </c>
      <c r="C264" s="1" t="n">
        <v>45912</v>
      </c>
      <c r="D264" t="inlineStr">
        <is>
          <t>UPPSALA LÄN</t>
        </is>
      </c>
      <c r="E264" t="inlineStr">
        <is>
          <t>ÖSTHAMMAR</t>
        </is>
      </c>
      <c r="G264" t="n">
        <v>0.9</v>
      </c>
      <c r="H264" t="n">
        <v>0</v>
      </c>
      <c r="I264" t="n">
        <v>0</v>
      </c>
      <c r="J264" t="n">
        <v>0</v>
      </c>
      <c r="K264" t="n">
        <v>0</v>
      </c>
      <c r="L264" t="n">
        <v>0</v>
      </c>
      <c r="M264" t="n">
        <v>0</v>
      </c>
      <c r="N264" t="n">
        <v>0</v>
      </c>
      <c r="O264" t="n">
        <v>0</v>
      </c>
      <c r="P264" t="n">
        <v>0</v>
      </c>
      <c r="Q264" t="n">
        <v>0</v>
      </c>
      <c r="R264" s="2" t="inlineStr"/>
    </row>
    <row r="265" ht="15" customHeight="1">
      <c r="A265" t="inlineStr">
        <is>
          <t>A 1567-2025</t>
        </is>
      </c>
      <c r="B265" s="1" t="n">
        <v>45670</v>
      </c>
      <c r="C265" s="1" t="n">
        <v>45912</v>
      </c>
      <c r="D265" t="inlineStr">
        <is>
          <t>UPPSALA LÄN</t>
        </is>
      </c>
      <c r="E265" t="inlineStr">
        <is>
          <t>ÖSTHAMMAR</t>
        </is>
      </c>
      <c r="G265" t="n">
        <v>2.8</v>
      </c>
      <c r="H265" t="n">
        <v>0</v>
      </c>
      <c r="I265" t="n">
        <v>0</v>
      </c>
      <c r="J265" t="n">
        <v>0</v>
      </c>
      <c r="K265" t="n">
        <v>0</v>
      </c>
      <c r="L265" t="n">
        <v>0</v>
      </c>
      <c r="M265" t="n">
        <v>0</v>
      </c>
      <c r="N265" t="n">
        <v>0</v>
      </c>
      <c r="O265" t="n">
        <v>0</v>
      </c>
      <c r="P265" t="n">
        <v>0</v>
      </c>
      <c r="Q265" t="n">
        <v>0</v>
      </c>
      <c r="R265" s="2" t="inlineStr"/>
    </row>
    <row r="266" ht="15" customHeight="1">
      <c r="A266" t="inlineStr">
        <is>
          <t>A 44027-2024</t>
        </is>
      </c>
      <c r="B266" s="1" t="n">
        <v>45572</v>
      </c>
      <c r="C266" s="1" t="n">
        <v>45912</v>
      </c>
      <c r="D266" t="inlineStr">
        <is>
          <t>UPPSALA LÄN</t>
        </is>
      </c>
      <c r="E266" t="inlineStr">
        <is>
          <t>ÖSTHAMMAR</t>
        </is>
      </c>
      <c r="G266" t="n">
        <v>6</v>
      </c>
      <c r="H266" t="n">
        <v>0</v>
      </c>
      <c r="I266" t="n">
        <v>0</v>
      </c>
      <c r="J266" t="n">
        <v>0</v>
      </c>
      <c r="K266" t="n">
        <v>0</v>
      </c>
      <c r="L266" t="n">
        <v>0</v>
      </c>
      <c r="M266" t="n">
        <v>0</v>
      </c>
      <c r="N266" t="n">
        <v>0</v>
      </c>
      <c r="O266" t="n">
        <v>0</v>
      </c>
      <c r="P266" t="n">
        <v>0</v>
      </c>
      <c r="Q266" t="n">
        <v>0</v>
      </c>
      <c r="R266" s="2" t="inlineStr"/>
    </row>
    <row r="267" ht="15" customHeight="1">
      <c r="A267" t="inlineStr">
        <is>
          <t>A 67151-2021</t>
        </is>
      </c>
      <c r="B267" s="1" t="n">
        <v>44523</v>
      </c>
      <c r="C267" s="1" t="n">
        <v>45912</v>
      </c>
      <c r="D267" t="inlineStr">
        <is>
          <t>UPPSALA LÄN</t>
        </is>
      </c>
      <c r="E267" t="inlineStr">
        <is>
          <t>ÖSTHAMMAR</t>
        </is>
      </c>
      <c r="G267" t="n">
        <v>2.4</v>
      </c>
      <c r="H267" t="n">
        <v>0</v>
      </c>
      <c r="I267" t="n">
        <v>0</v>
      </c>
      <c r="J267" t="n">
        <v>0</v>
      </c>
      <c r="K267" t="n">
        <v>0</v>
      </c>
      <c r="L267" t="n">
        <v>0</v>
      </c>
      <c r="M267" t="n">
        <v>0</v>
      </c>
      <c r="N267" t="n">
        <v>0</v>
      </c>
      <c r="O267" t="n">
        <v>0</v>
      </c>
      <c r="P267" t="n">
        <v>0</v>
      </c>
      <c r="Q267" t="n">
        <v>0</v>
      </c>
      <c r="R267" s="2" t="inlineStr"/>
    </row>
    <row r="268" ht="15" customHeight="1">
      <c r="A268" t="inlineStr">
        <is>
          <t>A 5931-2022</t>
        </is>
      </c>
      <c r="B268" s="1" t="n">
        <v>44598.82700231481</v>
      </c>
      <c r="C268" s="1" t="n">
        <v>45912</v>
      </c>
      <c r="D268" t="inlineStr">
        <is>
          <t>UPPSALA LÄN</t>
        </is>
      </c>
      <c r="E268" t="inlineStr">
        <is>
          <t>ÖSTHAMMAR</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43683-2024</t>
        </is>
      </c>
      <c r="B269" s="1" t="n">
        <v>45569.57518518518</v>
      </c>
      <c r="C269" s="1" t="n">
        <v>45912</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35474-2023</t>
        </is>
      </c>
      <c r="B270" s="1" t="n">
        <v>45146.68921296296</v>
      </c>
      <c r="C270" s="1" t="n">
        <v>45912</v>
      </c>
      <c r="D270" t="inlineStr">
        <is>
          <t>UPPSALA LÄN</t>
        </is>
      </c>
      <c r="E270" t="inlineStr">
        <is>
          <t>ÖSTHAMMAR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9542-2023</t>
        </is>
      </c>
      <c r="B271" s="1" t="n">
        <v>44981</v>
      </c>
      <c r="C271" s="1" t="n">
        <v>45912</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43993-2024</t>
        </is>
      </c>
      <c r="B272" s="1" t="n">
        <v>45572.52690972222</v>
      </c>
      <c r="C272" s="1" t="n">
        <v>45912</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36343-2022</t>
        </is>
      </c>
      <c r="B273" s="1" t="n">
        <v>44803.78524305556</v>
      </c>
      <c r="C273" s="1" t="n">
        <v>45912</v>
      </c>
      <c r="D273" t="inlineStr">
        <is>
          <t>UPPSALA LÄN</t>
        </is>
      </c>
      <c r="E273" t="inlineStr">
        <is>
          <t>ÖSTHAMMAR</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16933-2022</t>
        </is>
      </c>
      <c r="B274" s="1" t="n">
        <v>44676</v>
      </c>
      <c r="C274" s="1" t="n">
        <v>45912</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48083-2024</t>
        </is>
      </c>
      <c r="B275" s="1" t="n">
        <v>45589.58766203704</v>
      </c>
      <c r="C275" s="1" t="n">
        <v>45912</v>
      </c>
      <c r="D275" t="inlineStr">
        <is>
          <t>UPPSALA LÄN</t>
        </is>
      </c>
      <c r="E275" t="inlineStr">
        <is>
          <t>ÖSTHAMMAR</t>
        </is>
      </c>
      <c r="G275" t="n">
        <v>3</v>
      </c>
      <c r="H275" t="n">
        <v>0</v>
      </c>
      <c r="I275" t="n">
        <v>0</v>
      </c>
      <c r="J275" t="n">
        <v>0</v>
      </c>
      <c r="K275" t="n">
        <v>0</v>
      </c>
      <c r="L275" t="n">
        <v>0</v>
      </c>
      <c r="M275" t="n">
        <v>0</v>
      </c>
      <c r="N275" t="n">
        <v>0</v>
      </c>
      <c r="O275" t="n">
        <v>0</v>
      </c>
      <c r="P275" t="n">
        <v>0</v>
      </c>
      <c r="Q275" t="n">
        <v>0</v>
      </c>
      <c r="R275" s="2" t="inlineStr"/>
    </row>
    <row r="276" ht="15" customHeight="1">
      <c r="A276" t="inlineStr">
        <is>
          <t>A 14269-2025</t>
        </is>
      </c>
      <c r="B276" s="1" t="n">
        <v>45740.64078703704</v>
      </c>
      <c r="C276" s="1" t="n">
        <v>45912</v>
      </c>
      <c r="D276" t="inlineStr">
        <is>
          <t>UPPSALA LÄN</t>
        </is>
      </c>
      <c r="E276" t="inlineStr">
        <is>
          <t>ÖSTHAMMAR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22492-2025</t>
        </is>
      </c>
      <c r="B277" s="1" t="n">
        <v>45786.65072916666</v>
      </c>
      <c r="C277" s="1" t="n">
        <v>45912</v>
      </c>
      <c r="D277" t="inlineStr">
        <is>
          <t>UPPSALA LÄN</t>
        </is>
      </c>
      <c r="E277" t="inlineStr">
        <is>
          <t>ÖSTHAMMAR</t>
        </is>
      </c>
      <c r="F277" t="inlineStr">
        <is>
          <t>Bergvik skog öst AB</t>
        </is>
      </c>
      <c r="G277" t="n">
        <v>16.6</v>
      </c>
      <c r="H277" t="n">
        <v>0</v>
      </c>
      <c r="I277" t="n">
        <v>0</v>
      </c>
      <c r="J277" t="n">
        <v>0</v>
      </c>
      <c r="K277" t="n">
        <v>0</v>
      </c>
      <c r="L277" t="n">
        <v>0</v>
      </c>
      <c r="M277" t="n">
        <v>0</v>
      </c>
      <c r="N277" t="n">
        <v>0</v>
      </c>
      <c r="O277" t="n">
        <v>0</v>
      </c>
      <c r="P277" t="n">
        <v>0</v>
      </c>
      <c r="Q277" t="n">
        <v>0</v>
      </c>
      <c r="R277" s="2" t="inlineStr"/>
    </row>
    <row r="278" ht="15" customHeight="1">
      <c r="A278" t="inlineStr">
        <is>
          <t>A 22483-2025</t>
        </is>
      </c>
      <c r="B278" s="1" t="n">
        <v>45786.64141203704</v>
      </c>
      <c r="C278" s="1" t="n">
        <v>45912</v>
      </c>
      <c r="D278" t="inlineStr">
        <is>
          <t>UPPSALA LÄN</t>
        </is>
      </c>
      <c r="E278" t="inlineStr">
        <is>
          <t>ÖSTHAMMAR</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59291-2023</t>
        </is>
      </c>
      <c r="B279" s="1" t="n">
        <v>45253.57559027777</v>
      </c>
      <c r="C279" s="1" t="n">
        <v>45912</v>
      </c>
      <c r="D279" t="inlineStr">
        <is>
          <t>UPPSALA LÄN</t>
        </is>
      </c>
      <c r="E279" t="inlineStr">
        <is>
          <t>ÖSTHAMMAR</t>
        </is>
      </c>
      <c r="G279" t="n">
        <v>1.7</v>
      </c>
      <c r="H279" t="n">
        <v>0</v>
      </c>
      <c r="I279" t="n">
        <v>0</v>
      </c>
      <c r="J279" t="n">
        <v>0</v>
      </c>
      <c r="K279" t="n">
        <v>0</v>
      </c>
      <c r="L279" t="n">
        <v>0</v>
      </c>
      <c r="M279" t="n">
        <v>0</v>
      </c>
      <c r="N279" t="n">
        <v>0</v>
      </c>
      <c r="O279" t="n">
        <v>0</v>
      </c>
      <c r="P279" t="n">
        <v>0</v>
      </c>
      <c r="Q279" t="n">
        <v>0</v>
      </c>
      <c r="R279" s="2" t="inlineStr"/>
    </row>
    <row r="280" ht="15" customHeight="1">
      <c r="A280" t="inlineStr">
        <is>
          <t>A 5855-2022</t>
        </is>
      </c>
      <c r="B280" s="1" t="n">
        <v>44596.63290509259</v>
      </c>
      <c r="C280" s="1" t="n">
        <v>45912</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31035-2022</t>
        </is>
      </c>
      <c r="B281" s="1" t="n">
        <v>44768.88685185185</v>
      </c>
      <c r="C281" s="1" t="n">
        <v>45912</v>
      </c>
      <c r="D281" t="inlineStr">
        <is>
          <t>UPPSALA LÄN</t>
        </is>
      </c>
      <c r="E281" t="inlineStr">
        <is>
          <t>ÖSTHAMMAR</t>
        </is>
      </c>
      <c r="F281" t="inlineStr">
        <is>
          <t>Bergvik skog öst AB</t>
        </is>
      </c>
      <c r="G281" t="n">
        <v>1.5</v>
      </c>
      <c r="H281" t="n">
        <v>0</v>
      </c>
      <c r="I281" t="n">
        <v>0</v>
      </c>
      <c r="J281" t="n">
        <v>0</v>
      </c>
      <c r="K281" t="n">
        <v>0</v>
      </c>
      <c r="L281" t="n">
        <v>0</v>
      </c>
      <c r="M281" t="n">
        <v>0</v>
      </c>
      <c r="N281" t="n">
        <v>0</v>
      </c>
      <c r="O281" t="n">
        <v>0</v>
      </c>
      <c r="P281" t="n">
        <v>0</v>
      </c>
      <c r="Q281" t="n">
        <v>0</v>
      </c>
      <c r="R281" s="2" t="inlineStr"/>
    </row>
    <row r="282" ht="15" customHeight="1">
      <c r="A282" t="inlineStr">
        <is>
          <t>A 13622-2025</t>
        </is>
      </c>
      <c r="B282" s="1" t="n">
        <v>45736</v>
      </c>
      <c r="C282" s="1" t="n">
        <v>45912</v>
      </c>
      <c r="D282" t="inlineStr">
        <is>
          <t>UPPSALA LÄN</t>
        </is>
      </c>
      <c r="E282" t="inlineStr">
        <is>
          <t>ÖSTHAMMAR</t>
        </is>
      </c>
      <c r="G282" t="n">
        <v>2.6</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44651.40924768519</v>
      </c>
      <c r="C283" s="1" t="n">
        <v>45912</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45912</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53137-2020</t>
        </is>
      </c>
      <c r="B285" s="1" t="n">
        <v>44120</v>
      </c>
      <c r="C285" s="1" t="n">
        <v>45912</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56759-2024</t>
        </is>
      </c>
      <c r="B286" s="1" t="n">
        <v>45628.39877314815</v>
      </c>
      <c r="C286" s="1" t="n">
        <v>45912</v>
      </c>
      <c r="D286" t="inlineStr">
        <is>
          <t>UPPSALA LÄN</t>
        </is>
      </c>
      <c r="E286" t="inlineStr">
        <is>
          <t>ÖSTHAMMAR</t>
        </is>
      </c>
      <c r="G286" t="n">
        <v>4.7</v>
      </c>
      <c r="H286" t="n">
        <v>0</v>
      </c>
      <c r="I286" t="n">
        <v>0</v>
      </c>
      <c r="J286" t="n">
        <v>0</v>
      </c>
      <c r="K286" t="n">
        <v>0</v>
      </c>
      <c r="L286" t="n">
        <v>0</v>
      </c>
      <c r="M286" t="n">
        <v>0</v>
      </c>
      <c r="N286" t="n">
        <v>0</v>
      </c>
      <c r="O286" t="n">
        <v>0</v>
      </c>
      <c r="P286" t="n">
        <v>0</v>
      </c>
      <c r="Q286" t="n">
        <v>0</v>
      </c>
      <c r="R286" s="2" t="inlineStr"/>
    </row>
    <row r="287" ht="15" customHeight="1">
      <c r="A287" t="inlineStr">
        <is>
          <t>A 5188-2025</t>
        </is>
      </c>
      <c r="B287" s="1" t="n">
        <v>45691</v>
      </c>
      <c r="C287" s="1" t="n">
        <v>45912</v>
      </c>
      <c r="D287" t="inlineStr">
        <is>
          <t>UPPSALA LÄN</t>
        </is>
      </c>
      <c r="E287" t="inlineStr">
        <is>
          <t>ÖSTHAMMAR</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4099-2025</t>
        </is>
      </c>
      <c r="B288" s="1" t="n">
        <v>45684</v>
      </c>
      <c r="C288" s="1" t="n">
        <v>45912</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10275-2025</t>
        </is>
      </c>
      <c r="B289" s="1" t="n">
        <v>45720.39715277778</v>
      </c>
      <c r="C289" s="1" t="n">
        <v>45912</v>
      </c>
      <c r="D289" t="inlineStr">
        <is>
          <t>UPPSALA LÄN</t>
        </is>
      </c>
      <c r="E289" t="inlineStr">
        <is>
          <t>ÖSTHAMMAR</t>
        </is>
      </c>
      <c r="G289" t="n">
        <v>6.2</v>
      </c>
      <c r="H289" t="n">
        <v>0</v>
      </c>
      <c r="I289" t="n">
        <v>0</v>
      </c>
      <c r="J289" t="n">
        <v>0</v>
      </c>
      <c r="K289" t="n">
        <v>0</v>
      </c>
      <c r="L289" t="n">
        <v>0</v>
      </c>
      <c r="M289" t="n">
        <v>0</v>
      </c>
      <c r="N289" t="n">
        <v>0</v>
      </c>
      <c r="O289" t="n">
        <v>0</v>
      </c>
      <c r="P289" t="n">
        <v>0</v>
      </c>
      <c r="Q289" t="n">
        <v>0</v>
      </c>
      <c r="R289" s="2" t="inlineStr"/>
    </row>
    <row r="290" ht="15" customHeight="1">
      <c r="A290" t="inlineStr">
        <is>
          <t>A 24493-2023</t>
        </is>
      </c>
      <c r="B290" s="1" t="n">
        <v>45082.62603009259</v>
      </c>
      <c r="C290" s="1" t="n">
        <v>45912</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23305-2025</t>
        </is>
      </c>
      <c r="B291" s="1" t="n">
        <v>45791.60127314815</v>
      </c>
      <c r="C291" s="1" t="n">
        <v>45912</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49097-2022</t>
        </is>
      </c>
      <c r="B292" s="1" t="n">
        <v>44860</v>
      </c>
      <c r="C292" s="1" t="n">
        <v>45912</v>
      </c>
      <c r="D292" t="inlineStr">
        <is>
          <t>UPPSALA LÄN</t>
        </is>
      </c>
      <c r="E292" t="inlineStr">
        <is>
          <t>ÖSTHAMMAR</t>
        </is>
      </c>
      <c r="G292" t="n">
        <v>6.9</v>
      </c>
      <c r="H292" t="n">
        <v>0</v>
      </c>
      <c r="I292" t="n">
        <v>0</v>
      </c>
      <c r="J292" t="n">
        <v>0</v>
      </c>
      <c r="K292" t="n">
        <v>0</v>
      </c>
      <c r="L292" t="n">
        <v>0</v>
      </c>
      <c r="M292" t="n">
        <v>0</v>
      </c>
      <c r="N292" t="n">
        <v>0</v>
      </c>
      <c r="O292" t="n">
        <v>0</v>
      </c>
      <c r="P292" t="n">
        <v>0</v>
      </c>
      <c r="Q292" t="n">
        <v>0</v>
      </c>
      <c r="R292" s="2" t="inlineStr"/>
    </row>
    <row r="293" ht="15" customHeight="1">
      <c r="A293" t="inlineStr">
        <is>
          <t>A 7560-2023</t>
        </is>
      </c>
      <c r="B293" s="1" t="n">
        <v>44972.34811342593</v>
      </c>
      <c r="C293" s="1" t="n">
        <v>45912</v>
      </c>
      <c r="D293" t="inlineStr">
        <is>
          <t>UPPSALA LÄN</t>
        </is>
      </c>
      <c r="E293" t="inlineStr">
        <is>
          <t>ÖSTHAMMAR</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10449-2023</t>
        </is>
      </c>
      <c r="B294" s="1" t="n">
        <v>44987</v>
      </c>
      <c r="C294" s="1" t="n">
        <v>45912</v>
      </c>
      <c r="D294" t="inlineStr">
        <is>
          <t>UPPSALA LÄN</t>
        </is>
      </c>
      <c r="E294" t="inlineStr">
        <is>
          <t>ÖSTHAMMAR</t>
        </is>
      </c>
      <c r="G294" t="n">
        <v>3.1</v>
      </c>
      <c r="H294" t="n">
        <v>0</v>
      </c>
      <c r="I294" t="n">
        <v>0</v>
      </c>
      <c r="J294" t="n">
        <v>0</v>
      </c>
      <c r="K294" t="n">
        <v>0</v>
      </c>
      <c r="L294" t="n">
        <v>0</v>
      </c>
      <c r="M294" t="n">
        <v>0</v>
      </c>
      <c r="N294" t="n">
        <v>0</v>
      </c>
      <c r="O294" t="n">
        <v>0</v>
      </c>
      <c r="P294" t="n">
        <v>0</v>
      </c>
      <c r="Q294" t="n">
        <v>0</v>
      </c>
      <c r="R294" s="2" t="inlineStr"/>
    </row>
    <row r="295" ht="15" customHeight="1">
      <c r="A295" t="inlineStr">
        <is>
          <t>A 19040-2023</t>
        </is>
      </c>
      <c r="B295" s="1" t="n">
        <v>45047</v>
      </c>
      <c r="C295" s="1" t="n">
        <v>45912</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4004-2023</t>
        </is>
      </c>
      <c r="B296" s="1" t="n">
        <v>44952</v>
      </c>
      <c r="C296" s="1" t="n">
        <v>45912</v>
      </c>
      <c r="D296" t="inlineStr">
        <is>
          <t>UPPSALA LÄN</t>
        </is>
      </c>
      <c r="E296" t="inlineStr">
        <is>
          <t>ÖSTHAMMAR</t>
        </is>
      </c>
      <c r="G296" t="n">
        <v>4.1</v>
      </c>
      <c r="H296" t="n">
        <v>0</v>
      </c>
      <c r="I296" t="n">
        <v>0</v>
      </c>
      <c r="J296" t="n">
        <v>0</v>
      </c>
      <c r="K296" t="n">
        <v>0</v>
      </c>
      <c r="L296" t="n">
        <v>0</v>
      </c>
      <c r="M296" t="n">
        <v>0</v>
      </c>
      <c r="N296" t="n">
        <v>0</v>
      </c>
      <c r="O296" t="n">
        <v>0</v>
      </c>
      <c r="P296" t="n">
        <v>0</v>
      </c>
      <c r="Q296" t="n">
        <v>0</v>
      </c>
      <c r="R296" s="2" t="inlineStr"/>
    </row>
    <row r="297" ht="15" customHeight="1">
      <c r="A297" t="inlineStr">
        <is>
          <t>A 835-2025</t>
        </is>
      </c>
      <c r="B297" s="1" t="n">
        <v>45665.58465277778</v>
      </c>
      <c r="C297" s="1" t="n">
        <v>45912</v>
      </c>
      <c r="D297" t="inlineStr">
        <is>
          <t>UPPSALA LÄN</t>
        </is>
      </c>
      <c r="E297" t="inlineStr">
        <is>
          <t>ÖSTHAMMAR</t>
        </is>
      </c>
      <c r="F297" t="inlineStr">
        <is>
          <t>Övriga Aktiebolag</t>
        </is>
      </c>
      <c r="G297" t="n">
        <v>4.8</v>
      </c>
      <c r="H297" t="n">
        <v>0</v>
      </c>
      <c r="I297" t="n">
        <v>0</v>
      </c>
      <c r="J297" t="n">
        <v>0</v>
      </c>
      <c r="K297" t="n">
        <v>0</v>
      </c>
      <c r="L297" t="n">
        <v>0</v>
      </c>
      <c r="M297" t="n">
        <v>0</v>
      </c>
      <c r="N297" t="n">
        <v>0</v>
      </c>
      <c r="O297" t="n">
        <v>0</v>
      </c>
      <c r="P297" t="n">
        <v>0</v>
      </c>
      <c r="Q297" t="n">
        <v>0</v>
      </c>
      <c r="R297" s="2" t="inlineStr"/>
    </row>
    <row r="298" ht="15" customHeight="1">
      <c r="A298" t="inlineStr">
        <is>
          <t>A 1584-2025</t>
        </is>
      </c>
      <c r="B298" s="1" t="n">
        <v>45670</v>
      </c>
      <c r="C298" s="1" t="n">
        <v>45912</v>
      </c>
      <c r="D298" t="inlineStr">
        <is>
          <t>UPPSALA LÄN</t>
        </is>
      </c>
      <c r="E298" t="inlineStr">
        <is>
          <t>ÖSTHAMMAR</t>
        </is>
      </c>
      <c r="G298" t="n">
        <v>0.7</v>
      </c>
      <c r="H298" t="n">
        <v>0</v>
      </c>
      <c r="I298" t="n">
        <v>0</v>
      </c>
      <c r="J298" t="n">
        <v>0</v>
      </c>
      <c r="K298" t="n">
        <v>0</v>
      </c>
      <c r="L298" t="n">
        <v>0</v>
      </c>
      <c r="M298" t="n">
        <v>0</v>
      </c>
      <c r="N298" t="n">
        <v>0</v>
      </c>
      <c r="O298" t="n">
        <v>0</v>
      </c>
      <c r="P298" t="n">
        <v>0</v>
      </c>
      <c r="Q298" t="n">
        <v>0</v>
      </c>
      <c r="R298" s="2" t="inlineStr"/>
    </row>
    <row r="299" ht="15" customHeight="1">
      <c r="A299" t="inlineStr">
        <is>
          <t>A 36904-2023</t>
        </is>
      </c>
      <c r="B299" s="1" t="n">
        <v>45154</v>
      </c>
      <c r="C299" s="1" t="n">
        <v>45912</v>
      </c>
      <c r="D299" t="inlineStr">
        <is>
          <t>UPPSALA LÄN</t>
        </is>
      </c>
      <c r="E299" t="inlineStr">
        <is>
          <t>ÖSTHAMMAR</t>
        </is>
      </c>
      <c r="F299" t="inlineStr">
        <is>
          <t>Övriga Aktiebolag</t>
        </is>
      </c>
      <c r="G299" t="n">
        <v>1.5</v>
      </c>
      <c r="H299" t="n">
        <v>0</v>
      </c>
      <c r="I299" t="n">
        <v>0</v>
      </c>
      <c r="J299" t="n">
        <v>0</v>
      </c>
      <c r="K299" t="n">
        <v>0</v>
      </c>
      <c r="L299" t="n">
        <v>0</v>
      </c>
      <c r="M299" t="n">
        <v>0</v>
      </c>
      <c r="N299" t="n">
        <v>0</v>
      </c>
      <c r="O299" t="n">
        <v>0</v>
      </c>
      <c r="P299" t="n">
        <v>0</v>
      </c>
      <c r="Q299" t="n">
        <v>0</v>
      </c>
      <c r="R299" s="2" t="inlineStr"/>
    </row>
    <row r="300" ht="15" customHeight="1">
      <c r="A300" t="inlineStr">
        <is>
          <t>A 13248-2025</t>
        </is>
      </c>
      <c r="B300" s="1" t="n">
        <v>45735</v>
      </c>
      <c r="C300" s="1" t="n">
        <v>45912</v>
      </c>
      <c r="D300" t="inlineStr">
        <is>
          <t>UPPSALA LÄN</t>
        </is>
      </c>
      <c r="E300" t="inlineStr">
        <is>
          <t>ÖSTHAMMAR</t>
        </is>
      </c>
      <c r="F300" t="inlineStr">
        <is>
          <t>Kyrkan</t>
        </is>
      </c>
      <c r="G300" t="n">
        <v>12.2</v>
      </c>
      <c r="H300" t="n">
        <v>0</v>
      </c>
      <c r="I300" t="n">
        <v>0</v>
      </c>
      <c r="J300" t="n">
        <v>0</v>
      </c>
      <c r="K300" t="n">
        <v>0</v>
      </c>
      <c r="L300" t="n">
        <v>0</v>
      </c>
      <c r="M300" t="n">
        <v>0</v>
      </c>
      <c r="N300" t="n">
        <v>0</v>
      </c>
      <c r="O300" t="n">
        <v>0</v>
      </c>
      <c r="P300" t="n">
        <v>0</v>
      </c>
      <c r="Q300" t="n">
        <v>0</v>
      </c>
      <c r="R300" s="2" t="inlineStr"/>
    </row>
    <row r="301" ht="15" customHeight="1">
      <c r="A301" t="inlineStr">
        <is>
          <t>A 30972-2024</t>
        </is>
      </c>
      <c r="B301" s="1" t="n">
        <v>45499.47106481482</v>
      </c>
      <c r="C301" s="1" t="n">
        <v>45912</v>
      </c>
      <c r="D301" t="inlineStr">
        <is>
          <t>UPPSALA LÄN</t>
        </is>
      </c>
      <c r="E301" t="inlineStr">
        <is>
          <t>ÖSTHAMMAR</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31549-2022</t>
        </is>
      </c>
      <c r="B302" s="1" t="n">
        <v>44775.400625</v>
      </c>
      <c r="C302" s="1" t="n">
        <v>45912</v>
      </c>
      <c r="D302" t="inlineStr">
        <is>
          <t>UPPSALA LÄN</t>
        </is>
      </c>
      <c r="E302" t="inlineStr">
        <is>
          <t>ÖSTHAMMAR</t>
        </is>
      </c>
      <c r="G302" t="n">
        <v>1.5</v>
      </c>
      <c r="H302" t="n">
        <v>0</v>
      </c>
      <c r="I302" t="n">
        <v>0</v>
      </c>
      <c r="J302" t="n">
        <v>0</v>
      </c>
      <c r="K302" t="n">
        <v>0</v>
      </c>
      <c r="L302" t="n">
        <v>0</v>
      </c>
      <c r="M302" t="n">
        <v>0</v>
      </c>
      <c r="N302" t="n">
        <v>0</v>
      </c>
      <c r="O302" t="n">
        <v>0</v>
      </c>
      <c r="P302" t="n">
        <v>0</v>
      </c>
      <c r="Q302" t="n">
        <v>0</v>
      </c>
      <c r="R302" s="2" t="inlineStr"/>
    </row>
    <row r="303" ht="15" customHeight="1">
      <c r="A303" t="inlineStr">
        <is>
          <t>A 24160-2024</t>
        </is>
      </c>
      <c r="B303" s="1" t="n">
        <v>45456</v>
      </c>
      <c r="C303" s="1" t="n">
        <v>45912</v>
      </c>
      <c r="D303" t="inlineStr">
        <is>
          <t>UPPSALA LÄN</t>
        </is>
      </c>
      <c r="E303" t="inlineStr">
        <is>
          <t>ÖSTHAMMAR</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1527-2025</t>
        </is>
      </c>
      <c r="B304" s="1" t="n">
        <v>45670</v>
      </c>
      <c r="C304" s="1" t="n">
        <v>45912</v>
      </c>
      <c r="D304" t="inlineStr">
        <is>
          <t>UPPSALA LÄN</t>
        </is>
      </c>
      <c r="E304" t="inlineStr">
        <is>
          <t>ÖSTHAMMAR</t>
        </is>
      </c>
      <c r="F304" t="inlineStr">
        <is>
          <t>Bergvik skog öst AB</t>
        </is>
      </c>
      <c r="G304" t="n">
        <v>7.7</v>
      </c>
      <c r="H304" t="n">
        <v>0</v>
      </c>
      <c r="I304" t="n">
        <v>0</v>
      </c>
      <c r="J304" t="n">
        <v>0</v>
      </c>
      <c r="K304" t="n">
        <v>0</v>
      </c>
      <c r="L304" t="n">
        <v>0</v>
      </c>
      <c r="M304" t="n">
        <v>0</v>
      </c>
      <c r="N304" t="n">
        <v>0</v>
      </c>
      <c r="O304" t="n">
        <v>0</v>
      </c>
      <c r="P304" t="n">
        <v>0</v>
      </c>
      <c r="Q304" t="n">
        <v>0</v>
      </c>
      <c r="R304" s="2" t="inlineStr"/>
    </row>
    <row r="305" ht="15" customHeight="1">
      <c r="A305" t="inlineStr">
        <is>
          <t>A 4304-2025</t>
        </is>
      </c>
      <c r="B305" s="1" t="n">
        <v>45685.68193287037</v>
      </c>
      <c r="C305" s="1" t="n">
        <v>45912</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24415-2025</t>
        </is>
      </c>
      <c r="B306" s="1" t="n">
        <v>45797.67381944445</v>
      </c>
      <c r="C306" s="1" t="n">
        <v>45912</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7118-2023</t>
        </is>
      </c>
      <c r="B307" s="1" t="n">
        <v>44970.39591435185</v>
      </c>
      <c r="C307" s="1" t="n">
        <v>45912</v>
      </c>
      <c r="D307" t="inlineStr">
        <is>
          <t>UPPSALA LÄN</t>
        </is>
      </c>
      <c r="E307" t="inlineStr">
        <is>
          <t>ÖSTHAMMAR</t>
        </is>
      </c>
      <c r="G307" t="n">
        <v>2.1</v>
      </c>
      <c r="H307" t="n">
        <v>0</v>
      </c>
      <c r="I307" t="n">
        <v>0</v>
      </c>
      <c r="J307" t="n">
        <v>0</v>
      </c>
      <c r="K307" t="n">
        <v>0</v>
      </c>
      <c r="L307" t="n">
        <v>0</v>
      </c>
      <c r="M307" t="n">
        <v>0</v>
      </c>
      <c r="N307" t="n">
        <v>0</v>
      </c>
      <c r="O307" t="n">
        <v>0</v>
      </c>
      <c r="P307" t="n">
        <v>0</v>
      </c>
      <c r="Q307" t="n">
        <v>0</v>
      </c>
      <c r="R307" s="2" t="inlineStr"/>
    </row>
    <row r="308" ht="15" customHeight="1">
      <c r="A308" t="inlineStr">
        <is>
          <t>A 53735-2023</t>
        </is>
      </c>
      <c r="B308" s="1" t="n">
        <v>45230.77258101852</v>
      </c>
      <c r="C308" s="1" t="n">
        <v>45912</v>
      </c>
      <c r="D308" t="inlineStr">
        <is>
          <t>UPPSALA LÄN</t>
        </is>
      </c>
      <c r="E308" t="inlineStr">
        <is>
          <t>ÖSTHAMMAR</t>
        </is>
      </c>
      <c r="G308" t="n">
        <v>1.1</v>
      </c>
      <c r="H308" t="n">
        <v>0</v>
      </c>
      <c r="I308" t="n">
        <v>0</v>
      </c>
      <c r="J308" t="n">
        <v>0</v>
      </c>
      <c r="K308" t="n">
        <v>0</v>
      </c>
      <c r="L308" t="n">
        <v>0</v>
      </c>
      <c r="M308" t="n">
        <v>0</v>
      </c>
      <c r="N308" t="n">
        <v>0</v>
      </c>
      <c r="O308" t="n">
        <v>0</v>
      </c>
      <c r="P308" t="n">
        <v>0</v>
      </c>
      <c r="Q308" t="n">
        <v>0</v>
      </c>
      <c r="R308" s="2" t="inlineStr"/>
    </row>
    <row r="309" ht="15" customHeight="1">
      <c r="A309" t="inlineStr">
        <is>
          <t>A 38702-2022</t>
        </is>
      </c>
      <c r="B309" s="1" t="n">
        <v>44814.5991087963</v>
      </c>
      <c r="C309" s="1" t="n">
        <v>45912</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1439-2025</t>
        </is>
      </c>
      <c r="B310" s="1" t="n">
        <v>45669.69075231482</v>
      </c>
      <c r="C310" s="1" t="n">
        <v>45912</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1575-2025</t>
        </is>
      </c>
      <c r="B311" s="1" t="n">
        <v>45670</v>
      </c>
      <c r="C311" s="1" t="n">
        <v>45912</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24389-2025</t>
        </is>
      </c>
      <c r="B312" s="1" t="n">
        <v>45797.63553240741</v>
      </c>
      <c r="C312" s="1" t="n">
        <v>45912</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24401-2025</t>
        </is>
      </c>
      <c r="B313" s="1" t="n">
        <v>45797.64908564815</v>
      </c>
      <c r="C313" s="1" t="n">
        <v>45912</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23968-2025</t>
        </is>
      </c>
      <c r="B314" s="1" t="n">
        <v>45796</v>
      </c>
      <c r="C314" s="1" t="n">
        <v>45912</v>
      </c>
      <c r="D314" t="inlineStr">
        <is>
          <t>UPPSALA LÄN</t>
        </is>
      </c>
      <c r="E314" t="inlineStr">
        <is>
          <t>ÖSTHAMMAR</t>
        </is>
      </c>
      <c r="F314" t="inlineStr">
        <is>
          <t>Bergvik skog öst AB</t>
        </is>
      </c>
      <c r="G314" t="n">
        <v>7.5</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45912</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24174-2025</t>
        </is>
      </c>
      <c r="B316" s="1" t="n">
        <v>45796.69207175926</v>
      </c>
      <c r="C316" s="1" t="n">
        <v>45912</v>
      </c>
      <c r="D316" t="inlineStr">
        <is>
          <t>UPPSALA LÄN</t>
        </is>
      </c>
      <c r="E316" t="inlineStr">
        <is>
          <t>ÖSTHAMMAR</t>
        </is>
      </c>
      <c r="G316" t="n">
        <v>4.9</v>
      </c>
      <c r="H316" t="n">
        <v>0</v>
      </c>
      <c r="I316" t="n">
        <v>0</v>
      </c>
      <c r="J316" t="n">
        <v>0</v>
      </c>
      <c r="K316" t="n">
        <v>0</v>
      </c>
      <c r="L316" t="n">
        <v>0</v>
      </c>
      <c r="M316" t="n">
        <v>0</v>
      </c>
      <c r="N316" t="n">
        <v>0</v>
      </c>
      <c r="O316" t="n">
        <v>0</v>
      </c>
      <c r="P316" t="n">
        <v>0</v>
      </c>
      <c r="Q316" t="n">
        <v>0</v>
      </c>
      <c r="R316" s="2" t="inlineStr"/>
    </row>
    <row r="317" ht="15" customHeight="1">
      <c r="A317" t="inlineStr">
        <is>
          <t>A 36857-2023</t>
        </is>
      </c>
      <c r="B317" s="1" t="n">
        <v>45154.55175925926</v>
      </c>
      <c r="C317" s="1" t="n">
        <v>45912</v>
      </c>
      <c r="D317" t="inlineStr">
        <is>
          <t>UPPSALA LÄN</t>
        </is>
      </c>
      <c r="E317" t="inlineStr">
        <is>
          <t>ÖSTHAMMAR</t>
        </is>
      </c>
      <c r="G317" t="n">
        <v>0.5</v>
      </c>
      <c r="H317" t="n">
        <v>0</v>
      </c>
      <c r="I317" t="n">
        <v>0</v>
      </c>
      <c r="J317" t="n">
        <v>0</v>
      </c>
      <c r="K317" t="n">
        <v>0</v>
      </c>
      <c r="L317" t="n">
        <v>0</v>
      </c>
      <c r="M317" t="n">
        <v>0</v>
      </c>
      <c r="N317" t="n">
        <v>0</v>
      </c>
      <c r="O317" t="n">
        <v>0</v>
      </c>
      <c r="P317" t="n">
        <v>0</v>
      </c>
      <c r="Q317" t="n">
        <v>0</v>
      </c>
      <c r="R317" s="2" t="inlineStr"/>
    </row>
    <row r="318" ht="15" customHeight="1">
      <c r="A318" t="inlineStr">
        <is>
          <t>A 24408-2025</t>
        </is>
      </c>
      <c r="B318" s="1" t="n">
        <v>45797.65774305556</v>
      </c>
      <c r="C318" s="1" t="n">
        <v>45912</v>
      </c>
      <c r="D318" t="inlineStr">
        <is>
          <t>UPPSALA LÄN</t>
        </is>
      </c>
      <c r="E318" t="inlineStr">
        <is>
          <t>ÖSTHAMMAR</t>
        </is>
      </c>
      <c r="G318" t="n">
        <v>1.6</v>
      </c>
      <c r="H318" t="n">
        <v>0</v>
      </c>
      <c r="I318" t="n">
        <v>0</v>
      </c>
      <c r="J318" t="n">
        <v>0</v>
      </c>
      <c r="K318" t="n">
        <v>0</v>
      </c>
      <c r="L318" t="n">
        <v>0</v>
      </c>
      <c r="M318" t="n">
        <v>0</v>
      </c>
      <c r="N318" t="n">
        <v>0</v>
      </c>
      <c r="O318" t="n">
        <v>0</v>
      </c>
      <c r="P318" t="n">
        <v>0</v>
      </c>
      <c r="Q318" t="n">
        <v>0</v>
      </c>
      <c r="R318" s="2" t="inlineStr"/>
    </row>
    <row r="319" ht="15" customHeight="1">
      <c r="A319" t="inlineStr">
        <is>
          <t>A 1800-2023</t>
        </is>
      </c>
      <c r="B319" s="1" t="n">
        <v>44938</v>
      </c>
      <c r="C319" s="1" t="n">
        <v>45912</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8699-2025</t>
        </is>
      </c>
      <c r="B320" s="1" t="n">
        <v>45712.47983796296</v>
      </c>
      <c r="C320" s="1" t="n">
        <v>45912</v>
      </c>
      <c r="D320" t="inlineStr">
        <is>
          <t>UPPSALA LÄN</t>
        </is>
      </c>
      <c r="E320" t="inlineStr">
        <is>
          <t>ÖSTHAMMAR</t>
        </is>
      </c>
      <c r="G320" t="n">
        <v>5.6</v>
      </c>
      <c r="H320" t="n">
        <v>0</v>
      </c>
      <c r="I320" t="n">
        <v>0</v>
      </c>
      <c r="J320" t="n">
        <v>0</v>
      </c>
      <c r="K320" t="n">
        <v>0</v>
      </c>
      <c r="L320" t="n">
        <v>0</v>
      </c>
      <c r="M320" t="n">
        <v>0</v>
      </c>
      <c r="N320" t="n">
        <v>0</v>
      </c>
      <c r="O320" t="n">
        <v>0</v>
      </c>
      <c r="P320" t="n">
        <v>0</v>
      </c>
      <c r="Q320" t="n">
        <v>0</v>
      </c>
      <c r="R320" s="2" t="inlineStr"/>
    </row>
    <row r="321" ht="15" customHeight="1">
      <c r="A321" t="inlineStr">
        <is>
          <t>A 8791-2025</t>
        </is>
      </c>
      <c r="B321" s="1" t="n">
        <v>45712</v>
      </c>
      <c r="C321" s="1" t="n">
        <v>45912</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24606-2024</t>
        </is>
      </c>
      <c r="B322" s="1" t="n">
        <v>45460</v>
      </c>
      <c r="C322" s="1" t="n">
        <v>45912</v>
      </c>
      <c r="D322" t="inlineStr">
        <is>
          <t>UPPSALA LÄN</t>
        </is>
      </c>
      <c r="E322" t="inlineStr">
        <is>
          <t>ÖSTHAMMAR</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31485-2023</t>
        </is>
      </c>
      <c r="B323" s="1" t="n">
        <v>45114</v>
      </c>
      <c r="C323" s="1" t="n">
        <v>45912</v>
      </c>
      <c r="D323" t="inlineStr">
        <is>
          <t>UPPSALA LÄN</t>
        </is>
      </c>
      <c r="E323" t="inlineStr">
        <is>
          <t>ÖSTHAMMAR</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24412-2025</t>
        </is>
      </c>
      <c r="B324" s="1" t="n">
        <v>45797.6671412037</v>
      </c>
      <c r="C324" s="1" t="n">
        <v>45912</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38571-2023</t>
        </is>
      </c>
      <c r="B325" s="1" t="n">
        <v>45162.6177662037</v>
      </c>
      <c r="C325" s="1" t="n">
        <v>45912</v>
      </c>
      <c r="D325" t="inlineStr">
        <is>
          <t>UPPSALA LÄN</t>
        </is>
      </c>
      <c r="E325" t="inlineStr">
        <is>
          <t>ÖSTHAMMAR</t>
        </is>
      </c>
      <c r="F325" t="inlineStr">
        <is>
          <t>Bergvik skog öst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5884-2023</t>
        </is>
      </c>
      <c r="B326" s="1" t="n">
        <v>44963</v>
      </c>
      <c r="C326" s="1" t="n">
        <v>45912</v>
      </c>
      <c r="D326" t="inlineStr">
        <is>
          <t>UPPSALA LÄN</t>
        </is>
      </c>
      <c r="E326" t="inlineStr">
        <is>
          <t>ÖSTHAMMAR</t>
        </is>
      </c>
      <c r="G326" t="n">
        <v>0.6</v>
      </c>
      <c r="H326" t="n">
        <v>0</v>
      </c>
      <c r="I326" t="n">
        <v>0</v>
      </c>
      <c r="J326" t="n">
        <v>0</v>
      </c>
      <c r="K326" t="n">
        <v>0</v>
      </c>
      <c r="L326" t="n">
        <v>0</v>
      </c>
      <c r="M326" t="n">
        <v>0</v>
      </c>
      <c r="N326" t="n">
        <v>0</v>
      </c>
      <c r="O326" t="n">
        <v>0</v>
      </c>
      <c r="P326" t="n">
        <v>0</v>
      </c>
      <c r="Q326" t="n">
        <v>0</v>
      </c>
      <c r="R326" s="2" t="inlineStr"/>
    </row>
    <row r="327" ht="15" customHeight="1">
      <c r="A327" t="inlineStr">
        <is>
          <t>A 25897-2023</t>
        </is>
      </c>
      <c r="B327" s="1" t="n">
        <v>45090.63300925926</v>
      </c>
      <c r="C327" s="1" t="n">
        <v>45912</v>
      </c>
      <c r="D327" t="inlineStr">
        <is>
          <t>UPPSALA LÄN</t>
        </is>
      </c>
      <c r="E327" t="inlineStr">
        <is>
          <t>ÖSTHAMMAR</t>
        </is>
      </c>
      <c r="F327" t="inlineStr">
        <is>
          <t>Bergvik skog öst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25049-2025</t>
        </is>
      </c>
      <c r="B328" s="1" t="n">
        <v>45799.66876157407</v>
      </c>
      <c r="C328" s="1" t="n">
        <v>45912</v>
      </c>
      <c r="D328" t="inlineStr">
        <is>
          <t>UPPSALA LÄN</t>
        </is>
      </c>
      <c r="E328" t="inlineStr">
        <is>
          <t>ÖSTHAMMAR</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49206-2020</t>
        </is>
      </c>
      <c r="B329" s="1" t="n">
        <v>44105</v>
      </c>
      <c r="C329" s="1" t="n">
        <v>45912</v>
      </c>
      <c r="D329" t="inlineStr">
        <is>
          <t>UPPSALA LÄN</t>
        </is>
      </c>
      <c r="E329" t="inlineStr">
        <is>
          <t>ÖSTHAMMAR</t>
        </is>
      </c>
      <c r="F329" t="inlineStr">
        <is>
          <t>Bergvik skog öst AB</t>
        </is>
      </c>
      <c r="G329" t="n">
        <v>0.9</v>
      </c>
      <c r="H329" t="n">
        <v>0</v>
      </c>
      <c r="I329" t="n">
        <v>0</v>
      </c>
      <c r="J329" t="n">
        <v>0</v>
      </c>
      <c r="K329" t="n">
        <v>0</v>
      </c>
      <c r="L329" t="n">
        <v>0</v>
      </c>
      <c r="M329" t="n">
        <v>0</v>
      </c>
      <c r="N329" t="n">
        <v>0</v>
      </c>
      <c r="O329" t="n">
        <v>0</v>
      </c>
      <c r="P329" t="n">
        <v>0</v>
      </c>
      <c r="Q329" t="n">
        <v>0</v>
      </c>
      <c r="R329" s="2" t="inlineStr"/>
    </row>
    <row r="330" ht="15" customHeight="1">
      <c r="A330" t="inlineStr">
        <is>
          <t>A 12654-2025</t>
        </is>
      </c>
      <c r="B330" s="1" t="n">
        <v>45733.41601851852</v>
      </c>
      <c r="C330" s="1" t="n">
        <v>45912</v>
      </c>
      <c r="D330" t="inlineStr">
        <is>
          <t>UPPSALA LÄN</t>
        </is>
      </c>
      <c r="E330" t="inlineStr">
        <is>
          <t>ÖSTHAMMAR</t>
        </is>
      </c>
      <c r="G330" t="n">
        <v>9.9</v>
      </c>
      <c r="H330" t="n">
        <v>0</v>
      </c>
      <c r="I330" t="n">
        <v>0</v>
      </c>
      <c r="J330" t="n">
        <v>0</v>
      </c>
      <c r="K330" t="n">
        <v>0</v>
      </c>
      <c r="L330" t="n">
        <v>0</v>
      </c>
      <c r="M330" t="n">
        <v>0</v>
      </c>
      <c r="N330" t="n">
        <v>0</v>
      </c>
      <c r="O330" t="n">
        <v>0</v>
      </c>
      <c r="P330" t="n">
        <v>0</v>
      </c>
      <c r="Q330" t="n">
        <v>0</v>
      </c>
      <c r="R330" s="2" t="inlineStr"/>
    </row>
    <row r="331" ht="15" customHeight="1">
      <c r="A331" t="inlineStr">
        <is>
          <t>A 52650-2022</t>
        </is>
      </c>
      <c r="B331" s="1" t="n">
        <v>44874</v>
      </c>
      <c r="C331" s="1" t="n">
        <v>45912</v>
      </c>
      <c r="D331" t="inlineStr">
        <is>
          <t>UPPSALA LÄN</t>
        </is>
      </c>
      <c r="E331" t="inlineStr">
        <is>
          <t>ÖSTHAMMAR</t>
        </is>
      </c>
      <c r="F331" t="inlineStr">
        <is>
          <t>Bergvik skog öst AB</t>
        </is>
      </c>
      <c r="G331" t="n">
        <v>0.4</v>
      </c>
      <c r="H331" t="n">
        <v>0</v>
      </c>
      <c r="I331" t="n">
        <v>0</v>
      </c>
      <c r="J331" t="n">
        <v>0</v>
      </c>
      <c r="K331" t="n">
        <v>0</v>
      </c>
      <c r="L331" t="n">
        <v>0</v>
      </c>
      <c r="M331" t="n">
        <v>0</v>
      </c>
      <c r="N331" t="n">
        <v>0</v>
      </c>
      <c r="O331" t="n">
        <v>0</v>
      </c>
      <c r="P331" t="n">
        <v>0</v>
      </c>
      <c r="Q331" t="n">
        <v>0</v>
      </c>
      <c r="R331" s="2" t="inlineStr"/>
    </row>
    <row r="332" ht="15" customHeight="1">
      <c r="A332" t="inlineStr">
        <is>
          <t>A 4101-2022</t>
        </is>
      </c>
      <c r="B332" s="1" t="n">
        <v>44588</v>
      </c>
      <c r="C332" s="1" t="n">
        <v>45912</v>
      </c>
      <c r="D332" t="inlineStr">
        <is>
          <t>UPPSALA LÄN</t>
        </is>
      </c>
      <c r="E332" t="inlineStr">
        <is>
          <t>ÖSTHAMMAR</t>
        </is>
      </c>
      <c r="G332" t="n">
        <v>4.4</v>
      </c>
      <c r="H332" t="n">
        <v>0</v>
      </c>
      <c r="I332" t="n">
        <v>0</v>
      </c>
      <c r="J332" t="n">
        <v>0</v>
      </c>
      <c r="K332" t="n">
        <v>0</v>
      </c>
      <c r="L332" t="n">
        <v>0</v>
      </c>
      <c r="M332" t="n">
        <v>0</v>
      </c>
      <c r="N332" t="n">
        <v>0</v>
      </c>
      <c r="O332" t="n">
        <v>0</v>
      </c>
      <c r="P332" t="n">
        <v>0</v>
      </c>
      <c r="Q332" t="n">
        <v>0</v>
      </c>
      <c r="R332" s="2" t="inlineStr"/>
    </row>
    <row r="333" ht="15" customHeight="1">
      <c r="A333" t="inlineStr">
        <is>
          <t>A 44807-2024</t>
        </is>
      </c>
      <c r="B333" s="1" t="n">
        <v>45574.65427083334</v>
      </c>
      <c r="C333" s="1" t="n">
        <v>45912</v>
      </c>
      <c r="D333" t="inlineStr">
        <is>
          <t>UPPSALA LÄN</t>
        </is>
      </c>
      <c r="E333" t="inlineStr">
        <is>
          <t>ÖSTHAMMAR</t>
        </is>
      </c>
      <c r="G333" t="n">
        <v>2.9</v>
      </c>
      <c r="H333" t="n">
        <v>0</v>
      </c>
      <c r="I333" t="n">
        <v>0</v>
      </c>
      <c r="J333" t="n">
        <v>0</v>
      </c>
      <c r="K333" t="n">
        <v>0</v>
      </c>
      <c r="L333" t="n">
        <v>0</v>
      </c>
      <c r="M333" t="n">
        <v>0</v>
      </c>
      <c r="N333" t="n">
        <v>0</v>
      </c>
      <c r="O333" t="n">
        <v>0</v>
      </c>
      <c r="P333" t="n">
        <v>0</v>
      </c>
      <c r="Q333" t="n">
        <v>0</v>
      </c>
      <c r="R333" s="2" t="inlineStr"/>
    </row>
    <row r="334" ht="15" customHeight="1">
      <c r="A334" t="inlineStr">
        <is>
          <t>A 24944-2025</t>
        </is>
      </c>
      <c r="B334" s="1" t="n">
        <v>45799.56347222222</v>
      </c>
      <c r="C334" s="1" t="n">
        <v>45912</v>
      </c>
      <c r="D334" t="inlineStr">
        <is>
          <t>UPPSALA LÄN</t>
        </is>
      </c>
      <c r="E334" t="inlineStr">
        <is>
          <t>ÖSTHAMMAR</t>
        </is>
      </c>
      <c r="G334" t="n">
        <v>7.3</v>
      </c>
      <c r="H334" t="n">
        <v>0</v>
      </c>
      <c r="I334" t="n">
        <v>0</v>
      </c>
      <c r="J334" t="n">
        <v>0</v>
      </c>
      <c r="K334" t="n">
        <v>0</v>
      </c>
      <c r="L334" t="n">
        <v>0</v>
      </c>
      <c r="M334" t="n">
        <v>0</v>
      </c>
      <c r="N334" t="n">
        <v>0</v>
      </c>
      <c r="O334" t="n">
        <v>0</v>
      </c>
      <c r="P334" t="n">
        <v>0</v>
      </c>
      <c r="Q334" t="n">
        <v>0</v>
      </c>
      <c r="R334" s="2" t="inlineStr"/>
    </row>
    <row r="335" ht="15" customHeight="1">
      <c r="A335" t="inlineStr">
        <is>
          <t>A 2839-2025</t>
        </is>
      </c>
      <c r="B335" s="1" t="n">
        <v>45677</v>
      </c>
      <c r="C335" s="1" t="n">
        <v>45912</v>
      </c>
      <c r="D335" t="inlineStr">
        <is>
          <t>UPPSALA LÄN</t>
        </is>
      </c>
      <c r="E335" t="inlineStr">
        <is>
          <t>ÖSTHAMMAR</t>
        </is>
      </c>
      <c r="F335" t="inlineStr">
        <is>
          <t>Övriga Aktiebolag</t>
        </is>
      </c>
      <c r="G335" t="n">
        <v>4</v>
      </c>
      <c r="H335" t="n">
        <v>0</v>
      </c>
      <c r="I335" t="n">
        <v>0</v>
      </c>
      <c r="J335" t="n">
        <v>0</v>
      </c>
      <c r="K335" t="n">
        <v>0</v>
      </c>
      <c r="L335" t="n">
        <v>0</v>
      </c>
      <c r="M335" t="n">
        <v>0</v>
      </c>
      <c r="N335" t="n">
        <v>0</v>
      </c>
      <c r="O335" t="n">
        <v>0</v>
      </c>
      <c r="P335" t="n">
        <v>0</v>
      </c>
      <c r="Q335" t="n">
        <v>0</v>
      </c>
      <c r="R335" s="2" t="inlineStr"/>
    </row>
    <row r="336" ht="15" customHeight="1">
      <c r="A336" t="inlineStr">
        <is>
          <t>A 67848-2021</t>
        </is>
      </c>
      <c r="B336" s="1" t="n">
        <v>44525</v>
      </c>
      <c r="C336" s="1" t="n">
        <v>45912</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12945-2025</t>
        </is>
      </c>
      <c r="B337" s="1" t="n">
        <v>45734.38159722222</v>
      </c>
      <c r="C337" s="1" t="n">
        <v>45912</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34185-2024</t>
        </is>
      </c>
      <c r="B338" s="1" t="n">
        <v>45524</v>
      </c>
      <c r="C338" s="1" t="n">
        <v>45912</v>
      </c>
      <c r="D338" t="inlineStr">
        <is>
          <t>UPPSALA LÄN</t>
        </is>
      </c>
      <c r="E338" t="inlineStr">
        <is>
          <t>ÖSTHAMMAR</t>
        </is>
      </c>
      <c r="G338" t="n">
        <v>2.5</v>
      </c>
      <c r="H338" t="n">
        <v>0</v>
      </c>
      <c r="I338" t="n">
        <v>0</v>
      </c>
      <c r="J338" t="n">
        <v>0</v>
      </c>
      <c r="K338" t="n">
        <v>0</v>
      </c>
      <c r="L338" t="n">
        <v>0</v>
      </c>
      <c r="M338" t="n">
        <v>0</v>
      </c>
      <c r="N338" t="n">
        <v>0</v>
      </c>
      <c r="O338" t="n">
        <v>0</v>
      </c>
      <c r="P338" t="n">
        <v>0</v>
      </c>
      <c r="Q338" t="n">
        <v>0</v>
      </c>
      <c r="R338" s="2" t="inlineStr"/>
    </row>
    <row r="339" ht="15" customHeight="1">
      <c r="A339" t="inlineStr">
        <is>
          <t>A 59731-2023</t>
        </is>
      </c>
      <c r="B339" s="1" t="n">
        <v>45257</v>
      </c>
      <c r="C339" s="1" t="n">
        <v>45912</v>
      </c>
      <c r="D339" t="inlineStr">
        <is>
          <t>UPPSALA LÄN</t>
        </is>
      </c>
      <c r="E339" t="inlineStr">
        <is>
          <t>ÖSTHAMMAR</t>
        </is>
      </c>
      <c r="G339" t="n">
        <v>0.7</v>
      </c>
      <c r="H339" t="n">
        <v>0</v>
      </c>
      <c r="I339" t="n">
        <v>0</v>
      </c>
      <c r="J339" t="n">
        <v>0</v>
      </c>
      <c r="K339" t="n">
        <v>0</v>
      </c>
      <c r="L339" t="n">
        <v>0</v>
      </c>
      <c r="M339" t="n">
        <v>0</v>
      </c>
      <c r="N339" t="n">
        <v>0</v>
      </c>
      <c r="O339" t="n">
        <v>0</v>
      </c>
      <c r="P339" t="n">
        <v>0</v>
      </c>
      <c r="Q339" t="n">
        <v>0</v>
      </c>
      <c r="R339" s="2" t="inlineStr"/>
    </row>
    <row r="340" ht="15" customHeight="1">
      <c r="A340" t="inlineStr">
        <is>
          <t>A 38600-2023</t>
        </is>
      </c>
      <c r="B340" s="1" t="n">
        <v>45162</v>
      </c>
      <c r="C340" s="1" t="n">
        <v>45912</v>
      </c>
      <c r="D340" t="inlineStr">
        <is>
          <t>UPPSALA LÄN</t>
        </is>
      </c>
      <c r="E340" t="inlineStr">
        <is>
          <t>ÖSTHAMMAR</t>
        </is>
      </c>
      <c r="F340" t="inlineStr">
        <is>
          <t>Bergvik skog väst AB</t>
        </is>
      </c>
      <c r="G340" t="n">
        <v>0.1</v>
      </c>
      <c r="H340" t="n">
        <v>0</v>
      </c>
      <c r="I340" t="n">
        <v>0</v>
      </c>
      <c r="J340" t="n">
        <v>0</v>
      </c>
      <c r="K340" t="n">
        <v>0</v>
      </c>
      <c r="L340" t="n">
        <v>0</v>
      </c>
      <c r="M340" t="n">
        <v>0</v>
      </c>
      <c r="N340" t="n">
        <v>0</v>
      </c>
      <c r="O340" t="n">
        <v>0</v>
      </c>
      <c r="P340" t="n">
        <v>0</v>
      </c>
      <c r="Q340" t="n">
        <v>0</v>
      </c>
      <c r="R340" s="2" t="inlineStr"/>
    </row>
    <row r="341" ht="15" customHeight="1">
      <c r="A341" t="inlineStr">
        <is>
          <t>A 38610-2023</t>
        </is>
      </c>
      <c r="B341" s="1" t="n">
        <v>45162.65466435185</v>
      </c>
      <c r="C341" s="1" t="n">
        <v>45912</v>
      </c>
      <c r="D341" t="inlineStr">
        <is>
          <t>UPPSALA LÄN</t>
        </is>
      </c>
      <c r="E341" t="inlineStr">
        <is>
          <t>ÖSTHAMMAR</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16089-2025</t>
        </is>
      </c>
      <c r="B342" s="1" t="n">
        <v>45749.84232638889</v>
      </c>
      <c r="C342" s="1" t="n">
        <v>45912</v>
      </c>
      <c r="D342" t="inlineStr">
        <is>
          <t>UPPSALA LÄN</t>
        </is>
      </c>
      <c r="E342" t="inlineStr">
        <is>
          <t>ÖSTHAMMAR</t>
        </is>
      </c>
      <c r="F342" t="inlineStr">
        <is>
          <t>Bergvik skog öst AB</t>
        </is>
      </c>
      <c r="G342" t="n">
        <v>2.6</v>
      </c>
      <c r="H342" t="n">
        <v>0</v>
      </c>
      <c r="I342" t="n">
        <v>0</v>
      </c>
      <c r="J342" t="n">
        <v>0</v>
      </c>
      <c r="K342" t="n">
        <v>0</v>
      </c>
      <c r="L342" t="n">
        <v>0</v>
      </c>
      <c r="M342" t="n">
        <v>0</v>
      </c>
      <c r="N342" t="n">
        <v>0</v>
      </c>
      <c r="O342" t="n">
        <v>0</v>
      </c>
      <c r="P342" t="n">
        <v>0</v>
      </c>
      <c r="Q342" t="n">
        <v>0</v>
      </c>
      <c r="R342" s="2" t="inlineStr"/>
    </row>
    <row r="343" ht="15" customHeight="1">
      <c r="A343" t="inlineStr">
        <is>
          <t>A 8904-2025</t>
        </is>
      </c>
      <c r="B343" s="1" t="n">
        <v>45713.41577546296</v>
      </c>
      <c r="C343" s="1" t="n">
        <v>45912</v>
      </c>
      <c r="D343" t="inlineStr">
        <is>
          <t>UPPSALA LÄN</t>
        </is>
      </c>
      <c r="E343" t="inlineStr">
        <is>
          <t>ÖSTHAMMAR</t>
        </is>
      </c>
      <c r="F343" t="inlineStr">
        <is>
          <t>Bergvik skog öst AB</t>
        </is>
      </c>
      <c r="G343" t="n">
        <v>3.1</v>
      </c>
      <c r="H343" t="n">
        <v>0</v>
      </c>
      <c r="I343" t="n">
        <v>0</v>
      </c>
      <c r="J343" t="n">
        <v>0</v>
      </c>
      <c r="K343" t="n">
        <v>0</v>
      </c>
      <c r="L343" t="n">
        <v>0</v>
      </c>
      <c r="M343" t="n">
        <v>0</v>
      </c>
      <c r="N343" t="n">
        <v>0</v>
      </c>
      <c r="O343" t="n">
        <v>0</v>
      </c>
      <c r="P343" t="n">
        <v>0</v>
      </c>
      <c r="Q343" t="n">
        <v>0</v>
      </c>
      <c r="R343" s="2" t="inlineStr"/>
    </row>
    <row r="344" ht="15" customHeight="1">
      <c r="A344" t="inlineStr">
        <is>
          <t>A 46423-2020</t>
        </is>
      </c>
      <c r="B344" s="1" t="n">
        <v>44095</v>
      </c>
      <c r="C344" s="1" t="n">
        <v>45912</v>
      </c>
      <c r="D344" t="inlineStr">
        <is>
          <t>UPPSALA LÄN</t>
        </is>
      </c>
      <c r="E344" t="inlineStr">
        <is>
          <t>ÖSTHAMMAR</t>
        </is>
      </c>
      <c r="G344" t="n">
        <v>3</v>
      </c>
      <c r="H344" t="n">
        <v>0</v>
      </c>
      <c r="I344" t="n">
        <v>0</v>
      </c>
      <c r="J344" t="n">
        <v>0</v>
      </c>
      <c r="K344" t="n">
        <v>0</v>
      </c>
      <c r="L344" t="n">
        <v>0</v>
      </c>
      <c r="M344" t="n">
        <v>0</v>
      </c>
      <c r="N344" t="n">
        <v>0</v>
      </c>
      <c r="O344" t="n">
        <v>0</v>
      </c>
      <c r="P344" t="n">
        <v>0</v>
      </c>
      <c r="Q344" t="n">
        <v>0</v>
      </c>
      <c r="R344" s="2" t="inlineStr"/>
    </row>
    <row r="345" ht="15" customHeight="1">
      <c r="A345" t="inlineStr">
        <is>
          <t>A 28228-2022</t>
        </is>
      </c>
      <c r="B345" s="1" t="n">
        <v>44746.65873842593</v>
      </c>
      <c r="C345" s="1" t="n">
        <v>45912</v>
      </c>
      <c r="D345" t="inlineStr">
        <is>
          <t>UPPSALA LÄN</t>
        </is>
      </c>
      <c r="E345" t="inlineStr">
        <is>
          <t>ÖSTHAMMAR</t>
        </is>
      </c>
      <c r="G345" t="n">
        <v>2.7</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45912</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14170-2025</t>
        </is>
      </c>
      <c r="B347" s="1" t="n">
        <v>45740.51895833333</v>
      </c>
      <c r="C347" s="1" t="n">
        <v>45912</v>
      </c>
      <c r="D347" t="inlineStr">
        <is>
          <t>UPPSALA LÄN</t>
        </is>
      </c>
      <c r="E347" t="inlineStr">
        <is>
          <t>ÖSTHAMMAR</t>
        </is>
      </c>
      <c r="G347" t="n">
        <v>1.2</v>
      </c>
      <c r="H347" t="n">
        <v>0</v>
      </c>
      <c r="I347" t="n">
        <v>0</v>
      </c>
      <c r="J347" t="n">
        <v>0</v>
      </c>
      <c r="K347" t="n">
        <v>0</v>
      </c>
      <c r="L347" t="n">
        <v>0</v>
      </c>
      <c r="M347" t="n">
        <v>0</v>
      </c>
      <c r="N347" t="n">
        <v>0</v>
      </c>
      <c r="O347" t="n">
        <v>0</v>
      </c>
      <c r="P347" t="n">
        <v>0</v>
      </c>
      <c r="Q347" t="n">
        <v>0</v>
      </c>
      <c r="R347" s="2" t="inlineStr"/>
    </row>
    <row r="348" ht="15" customHeight="1">
      <c r="A348" t="inlineStr">
        <is>
          <t>A 58297-2024</t>
        </is>
      </c>
      <c r="B348" s="1" t="n">
        <v>45632.59780092593</v>
      </c>
      <c r="C348" s="1" t="n">
        <v>45912</v>
      </c>
      <c r="D348" t="inlineStr">
        <is>
          <t>UPPSALA LÄN</t>
        </is>
      </c>
      <c r="E348" t="inlineStr">
        <is>
          <t>ÖSTHAMMAR</t>
        </is>
      </c>
      <c r="G348" t="n">
        <v>5.1</v>
      </c>
      <c r="H348" t="n">
        <v>0</v>
      </c>
      <c r="I348" t="n">
        <v>0</v>
      </c>
      <c r="J348" t="n">
        <v>0</v>
      </c>
      <c r="K348" t="n">
        <v>0</v>
      </c>
      <c r="L348" t="n">
        <v>0</v>
      </c>
      <c r="M348" t="n">
        <v>0</v>
      </c>
      <c r="N348" t="n">
        <v>0</v>
      </c>
      <c r="O348" t="n">
        <v>0</v>
      </c>
      <c r="P348" t="n">
        <v>0</v>
      </c>
      <c r="Q348" t="n">
        <v>0</v>
      </c>
      <c r="R348" s="2" t="inlineStr"/>
    </row>
    <row r="349" ht="15" customHeight="1">
      <c r="A349" t="inlineStr">
        <is>
          <t>A 49831-2023</t>
        </is>
      </c>
      <c r="B349" s="1" t="n">
        <v>45212.71241898148</v>
      </c>
      <c r="C349" s="1" t="n">
        <v>45912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35316-2024</t>
        </is>
      </c>
      <c r="B350" s="1" t="n">
        <v>45530.68873842592</v>
      </c>
      <c r="C350" s="1" t="n">
        <v>45912</v>
      </c>
      <c r="D350" t="inlineStr">
        <is>
          <t>UPPSALA LÄN</t>
        </is>
      </c>
      <c r="E350" t="inlineStr">
        <is>
          <t>ÖSTHAMMAR</t>
        </is>
      </c>
      <c r="F350" t="inlineStr">
        <is>
          <t>Bergvik skog öst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20072-2025</t>
        </is>
      </c>
      <c r="B351" s="1" t="n">
        <v>45772</v>
      </c>
      <c r="C351" s="1" t="n">
        <v>45912</v>
      </c>
      <c r="D351" t="inlineStr">
        <is>
          <t>UPPSALA LÄN</t>
        </is>
      </c>
      <c r="E351" t="inlineStr">
        <is>
          <t>ÖSTHAMMAR</t>
        </is>
      </c>
      <c r="G351" t="n">
        <v>3.1</v>
      </c>
      <c r="H351" t="n">
        <v>0</v>
      </c>
      <c r="I351" t="n">
        <v>0</v>
      </c>
      <c r="J351" t="n">
        <v>0</v>
      </c>
      <c r="K351" t="n">
        <v>0</v>
      </c>
      <c r="L351" t="n">
        <v>0</v>
      </c>
      <c r="M351" t="n">
        <v>0</v>
      </c>
      <c r="N351" t="n">
        <v>0</v>
      </c>
      <c r="O351" t="n">
        <v>0</v>
      </c>
      <c r="P351" t="n">
        <v>0</v>
      </c>
      <c r="Q351" t="n">
        <v>0</v>
      </c>
      <c r="R351" s="2" t="inlineStr"/>
    </row>
    <row r="352" ht="15" customHeight="1">
      <c r="A352" t="inlineStr">
        <is>
          <t>A 56382-2022</t>
        </is>
      </c>
      <c r="B352" s="1" t="n">
        <v>44890.75795138889</v>
      </c>
      <c r="C352" s="1" t="n">
        <v>45912</v>
      </c>
      <c r="D352" t="inlineStr">
        <is>
          <t>UPPSALA LÄN</t>
        </is>
      </c>
      <c r="E352" t="inlineStr">
        <is>
          <t>ÖSTHAMMAR</t>
        </is>
      </c>
      <c r="F352" t="inlineStr">
        <is>
          <t>Allmännings- och besparingsskogar</t>
        </is>
      </c>
      <c r="G352" t="n">
        <v>1.1</v>
      </c>
      <c r="H352" t="n">
        <v>0</v>
      </c>
      <c r="I352" t="n">
        <v>0</v>
      </c>
      <c r="J352" t="n">
        <v>0</v>
      </c>
      <c r="K352" t="n">
        <v>0</v>
      </c>
      <c r="L352" t="n">
        <v>0</v>
      </c>
      <c r="M352" t="n">
        <v>0</v>
      </c>
      <c r="N352" t="n">
        <v>0</v>
      </c>
      <c r="O352" t="n">
        <v>0</v>
      </c>
      <c r="P352" t="n">
        <v>0</v>
      </c>
      <c r="Q352" t="n">
        <v>0</v>
      </c>
      <c r="R352" s="2" t="inlineStr"/>
    </row>
    <row r="353" ht="15" customHeight="1">
      <c r="A353" t="inlineStr">
        <is>
          <t>A 57043-2022</t>
        </is>
      </c>
      <c r="B353" s="1" t="n">
        <v>44895.36748842592</v>
      </c>
      <c r="C353" s="1" t="n">
        <v>45912</v>
      </c>
      <c r="D353" t="inlineStr">
        <is>
          <t>UPPSALA LÄN</t>
        </is>
      </c>
      <c r="E353" t="inlineStr">
        <is>
          <t>ÖSTHAMMAR</t>
        </is>
      </c>
      <c r="F353" t="inlineStr">
        <is>
          <t>Bergvik skog öst AB</t>
        </is>
      </c>
      <c r="G353" t="n">
        <v>5.7</v>
      </c>
      <c r="H353" t="n">
        <v>0</v>
      </c>
      <c r="I353" t="n">
        <v>0</v>
      </c>
      <c r="J353" t="n">
        <v>0</v>
      </c>
      <c r="K353" t="n">
        <v>0</v>
      </c>
      <c r="L353" t="n">
        <v>0</v>
      </c>
      <c r="M353" t="n">
        <v>0</v>
      </c>
      <c r="N353" t="n">
        <v>0</v>
      </c>
      <c r="O353" t="n">
        <v>0</v>
      </c>
      <c r="P353" t="n">
        <v>0</v>
      </c>
      <c r="Q353" t="n">
        <v>0</v>
      </c>
      <c r="R353" s="2" t="inlineStr"/>
    </row>
    <row r="354" ht="15" customHeight="1">
      <c r="A354" t="inlineStr">
        <is>
          <t>A 45561-2023</t>
        </is>
      </c>
      <c r="B354" s="1" t="n">
        <v>45194.59335648148</v>
      </c>
      <c r="C354" s="1" t="n">
        <v>45912</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26330-2025</t>
        </is>
      </c>
      <c r="B355" s="1" t="n">
        <v>45805.68263888889</v>
      </c>
      <c r="C355" s="1" t="n">
        <v>45912</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59880-2022</t>
        </is>
      </c>
      <c r="B356" s="1" t="n">
        <v>44908.69575231482</v>
      </c>
      <c r="C356" s="1" t="n">
        <v>45912</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16212-2021</t>
        </is>
      </c>
      <c r="B357" s="1" t="n">
        <v>44287</v>
      </c>
      <c r="C357" s="1" t="n">
        <v>45912</v>
      </c>
      <c r="D357" t="inlineStr">
        <is>
          <t>UPPSALA LÄN</t>
        </is>
      </c>
      <c r="E357" t="inlineStr">
        <is>
          <t>ÖSTHAMMAR</t>
        </is>
      </c>
      <c r="G357" t="n">
        <v>1.6</v>
      </c>
      <c r="H357" t="n">
        <v>0</v>
      </c>
      <c r="I357" t="n">
        <v>0</v>
      </c>
      <c r="J357" t="n">
        <v>0</v>
      </c>
      <c r="K357" t="n">
        <v>0</v>
      </c>
      <c r="L357" t="n">
        <v>0</v>
      </c>
      <c r="M357" t="n">
        <v>0</v>
      </c>
      <c r="N357" t="n">
        <v>0</v>
      </c>
      <c r="O357" t="n">
        <v>0</v>
      </c>
      <c r="P357" t="n">
        <v>0</v>
      </c>
      <c r="Q357" t="n">
        <v>0</v>
      </c>
      <c r="R357" s="2" t="inlineStr"/>
    </row>
    <row r="358" ht="15" customHeight="1">
      <c r="A358" t="inlineStr">
        <is>
          <t>A 26319-2025</t>
        </is>
      </c>
      <c r="B358" s="1" t="n">
        <v>45805.65960648148</v>
      </c>
      <c r="C358" s="1" t="n">
        <v>45912</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7944-2023</t>
        </is>
      </c>
      <c r="B359" s="1" t="n">
        <v>44973.66458333333</v>
      </c>
      <c r="C359" s="1" t="n">
        <v>45912</v>
      </c>
      <c r="D359" t="inlineStr">
        <is>
          <t>UPPSALA LÄN</t>
        </is>
      </c>
      <c r="E359" t="inlineStr">
        <is>
          <t>ÖSTHAMMAR</t>
        </is>
      </c>
      <c r="G359" t="n">
        <v>4.6</v>
      </c>
      <c r="H359" t="n">
        <v>0</v>
      </c>
      <c r="I359" t="n">
        <v>0</v>
      </c>
      <c r="J359" t="n">
        <v>0</v>
      </c>
      <c r="K359" t="n">
        <v>0</v>
      </c>
      <c r="L359" t="n">
        <v>0</v>
      </c>
      <c r="M359" t="n">
        <v>0</v>
      </c>
      <c r="N359" t="n">
        <v>0</v>
      </c>
      <c r="O359" t="n">
        <v>0</v>
      </c>
      <c r="P359" t="n">
        <v>0</v>
      </c>
      <c r="Q359" t="n">
        <v>0</v>
      </c>
      <c r="R359" s="2" t="inlineStr"/>
    </row>
    <row r="360" ht="15" customHeight="1">
      <c r="A360" t="inlineStr">
        <is>
          <t>A 52659-2021</t>
        </is>
      </c>
      <c r="B360" s="1" t="n">
        <v>44466</v>
      </c>
      <c r="C360" s="1" t="n">
        <v>45912</v>
      </c>
      <c r="D360" t="inlineStr">
        <is>
          <t>UPPSALA LÄN</t>
        </is>
      </c>
      <c r="E360" t="inlineStr">
        <is>
          <t>ÖSTHAMMAR</t>
        </is>
      </c>
      <c r="G360" t="n">
        <v>13</v>
      </c>
      <c r="H360" t="n">
        <v>0</v>
      </c>
      <c r="I360" t="n">
        <v>0</v>
      </c>
      <c r="J360" t="n">
        <v>0</v>
      </c>
      <c r="K360" t="n">
        <v>0</v>
      </c>
      <c r="L360" t="n">
        <v>0</v>
      </c>
      <c r="M360" t="n">
        <v>0</v>
      </c>
      <c r="N360" t="n">
        <v>0</v>
      </c>
      <c r="O360" t="n">
        <v>0</v>
      </c>
      <c r="P360" t="n">
        <v>0</v>
      </c>
      <c r="Q360" t="n">
        <v>0</v>
      </c>
      <c r="R360" s="2" t="inlineStr"/>
    </row>
    <row r="361" ht="15" customHeight="1">
      <c r="A361" t="inlineStr">
        <is>
          <t>A 26328-2025</t>
        </is>
      </c>
      <c r="B361" s="1" t="n">
        <v>45805.67305555556</v>
      </c>
      <c r="C361" s="1" t="n">
        <v>45912</v>
      </c>
      <c r="D361" t="inlineStr">
        <is>
          <t>UPPSALA LÄN</t>
        </is>
      </c>
      <c r="E361" t="inlineStr">
        <is>
          <t>ÖSTHAMMAR</t>
        </is>
      </c>
      <c r="G361" t="n">
        <v>1.6</v>
      </c>
      <c r="H361" t="n">
        <v>0</v>
      </c>
      <c r="I361" t="n">
        <v>0</v>
      </c>
      <c r="J361" t="n">
        <v>0</v>
      </c>
      <c r="K361" t="n">
        <v>0</v>
      </c>
      <c r="L361" t="n">
        <v>0</v>
      </c>
      <c r="M361" t="n">
        <v>0</v>
      </c>
      <c r="N361" t="n">
        <v>0</v>
      </c>
      <c r="O361" t="n">
        <v>0</v>
      </c>
      <c r="P361" t="n">
        <v>0</v>
      </c>
      <c r="Q361" t="n">
        <v>0</v>
      </c>
      <c r="R361" s="2" t="inlineStr"/>
    </row>
    <row r="362" ht="15" customHeight="1">
      <c r="A362" t="inlineStr">
        <is>
          <t>A 26055-2025</t>
        </is>
      </c>
      <c r="B362" s="1" t="n">
        <v>45804.77559027778</v>
      </c>
      <c r="C362" s="1" t="n">
        <v>45912</v>
      </c>
      <c r="D362" t="inlineStr">
        <is>
          <t>UPPSALA LÄN</t>
        </is>
      </c>
      <c r="E362" t="inlineStr">
        <is>
          <t>ÖSTHAMMAR</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7216-2025</t>
        </is>
      </c>
      <c r="B363" s="1" t="n">
        <v>45702.47630787037</v>
      </c>
      <c r="C363" s="1" t="n">
        <v>45912</v>
      </c>
      <c r="D363" t="inlineStr">
        <is>
          <t>UPPSALA LÄN</t>
        </is>
      </c>
      <c r="E363" t="inlineStr">
        <is>
          <t>ÖSTHAMMAR</t>
        </is>
      </c>
      <c r="F363" t="inlineStr">
        <is>
          <t>Övriga Aktiebolag</t>
        </is>
      </c>
      <c r="G363" t="n">
        <v>12.5</v>
      </c>
      <c r="H363" t="n">
        <v>0</v>
      </c>
      <c r="I363" t="n">
        <v>0</v>
      </c>
      <c r="J363" t="n">
        <v>0</v>
      </c>
      <c r="K363" t="n">
        <v>0</v>
      </c>
      <c r="L363" t="n">
        <v>0</v>
      </c>
      <c r="M363" t="n">
        <v>0</v>
      </c>
      <c r="N363" t="n">
        <v>0</v>
      </c>
      <c r="O363" t="n">
        <v>0</v>
      </c>
      <c r="P363" t="n">
        <v>0</v>
      </c>
      <c r="Q363" t="n">
        <v>0</v>
      </c>
      <c r="R363" s="2" t="inlineStr"/>
    </row>
    <row r="364" ht="15" customHeight="1">
      <c r="A364" t="inlineStr">
        <is>
          <t>A 11036-2023</t>
        </is>
      </c>
      <c r="B364" s="1" t="n">
        <v>44991.9321412037</v>
      </c>
      <c r="C364" s="1" t="n">
        <v>45912</v>
      </c>
      <c r="D364" t="inlineStr">
        <is>
          <t>UPPSALA LÄN</t>
        </is>
      </c>
      <c r="E364" t="inlineStr">
        <is>
          <t>ÖSTHAMMAR</t>
        </is>
      </c>
      <c r="F364" t="inlineStr">
        <is>
          <t>Bergvik skog öst AB</t>
        </is>
      </c>
      <c r="G364" t="n">
        <v>3</v>
      </c>
      <c r="H364" t="n">
        <v>0</v>
      </c>
      <c r="I364" t="n">
        <v>0</v>
      </c>
      <c r="J364" t="n">
        <v>0</v>
      </c>
      <c r="K364" t="n">
        <v>0</v>
      </c>
      <c r="L364" t="n">
        <v>0</v>
      </c>
      <c r="M364" t="n">
        <v>0</v>
      </c>
      <c r="N364" t="n">
        <v>0</v>
      </c>
      <c r="O364" t="n">
        <v>0</v>
      </c>
      <c r="P364" t="n">
        <v>0</v>
      </c>
      <c r="Q364" t="n">
        <v>0</v>
      </c>
      <c r="R364" s="2" t="inlineStr"/>
    </row>
    <row r="365" ht="15" customHeight="1">
      <c r="A365" t="inlineStr">
        <is>
          <t>A 73965-2021</t>
        </is>
      </c>
      <c r="B365" s="1" t="n">
        <v>44553.80824074074</v>
      </c>
      <c r="C365" s="1" t="n">
        <v>45912</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3418-2025</t>
        </is>
      </c>
      <c r="B366" s="1" t="n">
        <v>45680</v>
      </c>
      <c r="C366" s="1" t="n">
        <v>45912</v>
      </c>
      <c r="D366" t="inlineStr">
        <is>
          <t>UPPSALA LÄN</t>
        </is>
      </c>
      <c r="E366" t="inlineStr">
        <is>
          <t>ÖSTHAMMAR</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3420-2025</t>
        </is>
      </c>
      <c r="B367" s="1" t="n">
        <v>45680</v>
      </c>
      <c r="C367" s="1" t="n">
        <v>45912</v>
      </c>
      <c r="D367" t="inlineStr">
        <is>
          <t>UPPSALA LÄN</t>
        </is>
      </c>
      <c r="E367" t="inlineStr">
        <is>
          <t>ÖSTHAMMAR</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32884-2024</t>
        </is>
      </c>
      <c r="B368" s="1" t="n">
        <v>45516.72097222223</v>
      </c>
      <c r="C368" s="1" t="n">
        <v>45912</v>
      </c>
      <c r="D368" t="inlineStr">
        <is>
          <t>UPPSALA LÄN</t>
        </is>
      </c>
      <c r="E368" t="inlineStr">
        <is>
          <t>ÖSTHAMMAR</t>
        </is>
      </c>
      <c r="G368" t="n">
        <v>0.6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45912</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5303-2025</t>
        </is>
      </c>
      <c r="B370" s="1" t="n">
        <v>45692</v>
      </c>
      <c r="C370" s="1" t="n">
        <v>45912</v>
      </c>
      <c r="D370" t="inlineStr">
        <is>
          <t>UPPSALA LÄN</t>
        </is>
      </c>
      <c r="E370" t="inlineStr">
        <is>
          <t>ÖSTHAMMAR</t>
        </is>
      </c>
      <c r="G370" t="n">
        <v>5</v>
      </c>
      <c r="H370" t="n">
        <v>0</v>
      </c>
      <c r="I370" t="n">
        <v>0</v>
      </c>
      <c r="J370" t="n">
        <v>0</v>
      </c>
      <c r="K370" t="n">
        <v>0</v>
      </c>
      <c r="L370" t="n">
        <v>0</v>
      </c>
      <c r="M370" t="n">
        <v>0</v>
      </c>
      <c r="N370" t="n">
        <v>0</v>
      </c>
      <c r="O370" t="n">
        <v>0</v>
      </c>
      <c r="P370" t="n">
        <v>0</v>
      </c>
      <c r="Q370" t="n">
        <v>0</v>
      </c>
      <c r="R370" s="2" t="inlineStr"/>
    </row>
    <row r="371" ht="15" customHeight="1">
      <c r="A371" t="inlineStr">
        <is>
          <t>A 52661-2022</t>
        </is>
      </c>
      <c r="B371" s="1" t="n">
        <v>44874</v>
      </c>
      <c r="C371" s="1" t="n">
        <v>45912</v>
      </c>
      <c r="D371" t="inlineStr">
        <is>
          <t>UPPSALA LÄN</t>
        </is>
      </c>
      <c r="E371" t="inlineStr">
        <is>
          <t>ÖSTHAMMAR</t>
        </is>
      </c>
      <c r="F371" t="inlineStr">
        <is>
          <t>Bergvik skog öst AB</t>
        </is>
      </c>
      <c r="G371" t="n">
        <v>0.2</v>
      </c>
      <c r="H371" t="n">
        <v>0</v>
      </c>
      <c r="I371" t="n">
        <v>0</v>
      </c>
      <c r="J371" t="n">
        <v>0</v>
      </c>
      <c r="K371" t="n">
        <v>0</v>
      </c>
      <c r="L371" t="n">
        <v>0</v>
      </c>
      <c r="M371" t="n">
        <v>0</v>
      </c>
      <c r="N371" t="n">
        <v>0</v>
      </c>
      <c r="O371" t="n">
        <v>0</v>
      </c>
      <c r="P371" t="n">
        <v>0</v>
      </c>
      <c r="Q371" t="n">
        <v>0</v>
      </c>
      <c r="R371" s="2" t="inlineStr"/>
    </row>
    <row r="372" ht="15" customHeight="1">
      <c r="A372" t="inlineStr">
        <is>
          <t>A 26521-2025</t>
        </is>
      </c>
      <c r="B372" s="1" t="n">
        <v>45807.56275462963</v>
      </c>
      <c r="C372" s="1" t="n">
        <v>45912</v>
      </c>
      <c r="D372" t="inlineStr">
        <is>
          <t>UPPSALA LÄN</t>
        </is>
      </c>
      <c r="E372" t="inlineStr">
        <is>
          <t>ÖSTHAMMAR</t>
        </is>
      </c>
      <c r="G372" t="n">
        <v>1.1</v>
      </c>
      <c r="H372" t="n">
        <v>0</v>
      </c>
      <c r="I372" t="n">
        <v>0</v>
      </c>
      <c r="J372" t="n">
        <v>0</v>
      </c>
      <c r="K372" t="n">
        <v>0</v>
      </c>
      <c r="L372" t="n">
        <v>0</v>
      </c>
      <c r="M372" t="n">
        <v>0</v>
      </c>
      <c r="N372" t="n">
        <v>0</v>
      </c>
      <c r="O372" t="n">
        <v>0</v>
      </c>
      <c r="P372" t="n">
        <v>0</v>
      </c>
      <c r="Q372" t="n">
        <v>0</v>
      </c>
      <c r="R372" s="2" t="inlineStr"/>
    </row>
    <row r="373" ht="15" customHeight="1">
      <c r="A373" t="inlineStr">
        <is>
          <t>A 26526-2025</t>
        </is>
      </c>
      <c r="B373" s="1" t="n">
        <v>45807.56612268519</v>
      </c>
      <c r="C373" s="1" t="n">
        <v>45912</v>
      </c>
      <c r="D373" t="inlineStr">
        <is>
          <t>UPPSALA LÄN</t>
        </is>
      </c>
      <c r="E373" t="inlineStr">
        <is>
          <t>ÖSTHAMMAR</t>
        </is>
      </c>
      <c r="G373" t="n">
        <v>0.7</v>
      </c>
      <c r="H373" t="n">
        <v>0</v>
      </c>
      <c r="I373" t="n">
        <v>0</v>
      </c>
      <c r="J373" t="n">
        <v>0</v>
      </c>
      <c r="K373" t="n">
        <v>0</v>
      </c>
      <c r="L373" t="n">
        <v>0</v>
      </c>
      <c r="M373" t="n">
        <v>0</v>
      </c>
      <c r="N373" t="n">
        <v>0</v>
      </c>
      <c r="O373" t="n">
        <v>0</v>
      </c>
      <c r="P373" t="n">
        <v>0</v>
      </c>
      <c r="Q373" t="n">
        <v>0</v>
      </c>
      <c r="R373" s="2" t="inlineStr"/>
    </row>
    <row r="374" ht="15" customHeight="1">
      <c r="A374" t="inlineStr">
        <is>
          <t>A 6206-2022</t>
        </is>
      </c>
      <c r="B374" s="1" t="n">
        <v>44600.35755787037</v>
      </c>
      <c r="C374" s="1" t="n">
        <v>45912</v>
      </c>
      <c r="D374" t="inlineStr">
        <is>
          <t>UPPSALA LÄN</t>
        </is>
      </c>
      <c r="E374" t="inlineStr">
        <is>
          <t>ÖSTHAMMAR</t>
        </is>
      </c>
      <c r="G374" t="n">
        <v>7.4</v>
      </c>
      <c r="H374" t="n">
        <v>0</v>
      </c>
      <c r="I374" t="n">
        <v>0</v>
      </c>
      <c r="J374" t="n">
        <v>0</v>
      </c>
      <c r="K374" t="n">
        <v>0</v>
      </c>
      <c r="L374" t="n">
        <v>0</v>
      </c>
      <c r="M374" t="n">
        <v>0</v>
      </c>
      <c r="N374" t="n">
        <v>0</v>
      </c>
      <c r="O374" t="n">
        <v>0</v>
      </c>
      <c r="P374" t="n">
        <v>0</v>
      </c>
      <c r="Q374" t="n">
        <v>0</v>
      </c>
      <c r="R374" s="2" t="inlineStr"/>
    </row>
    <row r="375" ht="15" customHeight="1">
      <c r="A375" t="inlineStr">
        <is>
          <t>A 70008-2021</t>
        </is>
      </c>
      <c r="B375" s="1" t="n">
        <v>44533.44887731481</v>
      </c>
      <c r="C375" s="1" t="n">
        <v>45912</v>
      </c>
      <c r="D375" t="inlineStr">
        <is>
          <t>UPPSALA LÄN</t>
        </is>
      </c>
      <c r="E375" t="inlineStr">
        <is>
          <t>ÖSTHAMMAR</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73982-2021</t>
        </is>
      </c>
      <c r="B376" s="1" t="n">
        <v>44555.80339120371</v>
      </c>
      <c r="C376" s="1" t="n">
        <v>45912</v>
      </c>
      <c r="D376" t="inlineStr">
        <is>
          <t>UPPSALA LÄN</t>
        </is>
      </c>
      <c r="E376" t="inlineStr">
        <is>
          <t>ÖSTHAMMAR</t>
        </is>
      </c>
      <c r="G376" t="n">
        <v>0.9</v>
      </c>
      <c r="H376" t="n">
        <v>0</v>
      </c>
      <c r="I376" t="n">
        <v>0</v>
      </c>
      <c r="J376" t="n">
        <v>0</v>
      </c>
      <c r="K376" t="n">
        <v>0</v>
      </c>
      <c r="L376" t="n">
        <v>0</v>
      </c>
      <c r="M376" t="n">
        <v>0</v>
      </c>
      <c r="N376" t="n">
        <v>0</v>
      </c>
      <c r="O376" t="n">
        <v>0</v>
      </c>
      <c r="P376" t="n">
        <v>0</v>
      </c>
      <c r="Q376" t="n">
        <v>0</v>
      </c>
      <c r="R376" s="2" t="inlineStr"/>
    </row>
    <row r="377" ht="15" customHeight="1">
      <c r="A377" t="inlineStr">
        <is>
          <t>A 27131-2025</t>
        </is>
      </c>
      <c r="B377" s="1" t="n">
        <v>45811</v>
      </c>
      <c r="C377" s="1" t="n">
        <v>45912</v>
      </c>
      <c r="D377" t="inlineStr">
        <is>
          <t>UPPSALA LÄN</t>
        </is>
      </c>
      <c r="E377" t="inlineStr">
        <is>
          <t>ÖSTHAMMAR</t>
        </is>
      </c>
      <c r="G377" t="n">
        <v>1.9</v>
      </c>
      <c r="H377" t="n">
        <v>0</v>
      </c>
      <c r="I377" t="n">
        <v>0</v>
      </c>
      <c r="J377" t="n">
        <v>0</v>
      </c>
      <c r="K377" t="n">
        <v>0</v>
      </c>
      <c r="L377" t="n">
        <v>0</v>
      </c>
      <c r="M377" t="n">
        <v>0</v>
      </c>
      <c r="N377" t="n">
        <v>0</v>
      </c>
      <c r="O377" t="n">
        <v>0</v>
      </c>
      <c r="P377" t="n">
        <v>0</v>
      </c>
      <c r="Q377" t="n">
        <v>0</v>
      </c>
      <c r="R377" s="2" t="inlineStr"/>
    </row>
    <row r="378" ht="15" customHeight="1">
      <c r="A378" t="inlineStr">
        <is>
          <t>A 65028-2021</t>
        </is>
      </c>
      <c r="B378" s="1" t="n">
        <v>44515</v>
      </c>
      <c r="C378" s="1" t="n">
        <v>45912</v>
      </c>
      <c r="D378" t="inlineStr">
        <is>
          <t>UPPSALA LÄN</t>
        </is>
      </c>
      <c r="E378" t="inlineStr">
        <is>
          <t>ÖSTHAMMAR</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4984-2024</t>
        </is>
      </c>
      <c r="B379" s="1" t="n">
        <v>45329</v>
      </c>
      <c r="C379" s="1" t="n">
        <v>45912</v>
      </c>
      <c r="D379" t="inlineStr">
        <is>
          <t>UPPSALA LÄN</t>
        </is>
      </c>
      <c r="E379" t="inlineStr">
        <is>
          <t>ÖSTHAMMAR</t>
        </is>
      </c>
      <c r="G379" t="n">
        <v>2.2</v>
      </c>
      <c r="H379" t="n">
        <v>0</v>
      </c>
      <c r="I379" t="n">
        <v>0</v>
      </c>
      <c r="J379" t="n">
        <v>0</v>
      </c>
      <c r="K379" t="n">
        <v>0</v>
      </c>
      <c r="L379" t="n">
        <v>0</v>
      </c>
      <c r="M379" t="n">
        <v>0</v>
      </c>
      <c r="N379" t="n">
        <v>0</v>
      </c>
      <c r="O379" t="n">
        <v>0</v>
      </c>
      <c r="P379" t="n">
        <v>0</v>
      </c>
      <c r="Q379" t="n">
        <v>0</v>
      </c>
      <c r="R379" s="2" t="inlineStr"/>
    </row>
    <row r="380" ht="15" customHeight="1">
      <c r="A380" t="inlineStr">
        <is>
          <t>A 21624-2023</t>
        </is>
      </c>
      <c r="B380" s="1" t="n">
        <v>45063.65543981481</v>
      </c>
      <c r="C380" s="1" t="n">
        <v>45912</v>
      </c>
      <c r="D380" t="inlineStr">
        <is>
          <t>UPPSALA LÄN</t>
        </is>
      </c>
      <c r="E380" t="inlineStr">
        <is>
          <t>ÖSTHAMMAR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41996-2024</t>
        </is>
      </c>
      <c r="B381" s="1" t="n">
        <v>45561</v>
      </c>
      <c r="C381" s="1" t="n">
        <v>45912</v>
      </c>
      <c r="D381" t="inlineStr">
        <is>
          <t>UPPSALA LÄN</t>
        </is>
      </c>
      <c r="E381" t="inlineStr">
        <is>
          <t>ÖSTHAMMAR</t>
        </is>
      </c>
      <c r="F381" t="inlineStr">
        <is>
          <t>Bergvik skog öst AB</t>
        </is>
      </c>
      <c r="G381" t="n">
        <v>0.9</v>
      </c>
      <c r="H381" t="n">
        <v>0</v>
      </c>
      <c r="I381" t="n">
        <v>0</v>
      </c>
      <c r="J381" t="n">
        <v>0</v>
      </c>
      <c r="K381" t="n">
        <v>0</v>
      </c>
      <c r="L381" t="n">
        <v>0</v>
      </c>
      <c r="M381" t="n">
        <v>0</v>
      </c>
      <c r="N381" t="n">
        <v>0</v>
      </c>
      <c r="O381" t="n">
        <v>0</v>
      </c>
      <c r="P381" t="n">
        <v>0</v>
      </c>
      <c r="Q381" t="n">
        <v>0</v>
      </c>
      <c r="R381" s="2" t="inlineStr"/>
    </row>
    <row r="382" ht="15" customHeight="1">
      <c r="A382" t="inlineStr">
        <is>
          <t>A 20326-2021</t>
        </is>
      </c>
      <c r="B382" s="1" t="n">
        <v>44308</v>
      </c>
      <c r="C382" s="1" t="n">
        <v>45912</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40547-2023</t>
        </is>
      </c>
      <c r="B383" s="1" t="n">
        <v>45170.45050925926</v>
      </c>
      <c r="C383" s="1" t="n">
        <v>45912</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8874-2025</t>
        </is>
      </c>
      <c r="B384" s="1" t="n">
        <v>45713</v>
      </c>
      <c r="C384" s="1" t="n">
        <v>45912</v>
      </c>
      <c r="D384" t="inlineStr">
        <is>
          <t>UPPSALA LÄN</t>
        </is>
      </c>
      <c r="E384" t="inlineStr">
        <is>
          <t>ÖSTHAMMAR</t>
        </is>
      </c>
      <c r="G384" t="n">
        <v>6.3</v>
      </c>
      <c r="H384" t="n">
        <v>0</v>
      </c>
      <c r="I384" t="n">
        <v>0</v>
      </c>
      <c r="J384" t="n">
        <v>0</v>
      </c>
      <c r="K384" t="n">
        <v>0</v>
      </c>
      <c r="L384" t="n">
        <v>0</v>
      </c>
      <c r="M384" t="n">
        <v>0</v>
      </c>
      <c r="N384" t="n">
        <v>0</v>
      </c>
      <c r="O384" t="n">
        <v>0</v>
      </c>
      <c r="P384" t="n">
        <v>0</v>
      </c>
      <c r="Q384" t="n">
        <v>0</v>
      </c>
      <c r="R384" s="2" t="inlineStr"/>
    </row>
    <row r="385" ht="15" customHeight="1">
      <c r="A385" t="inlineStr">
        <is>
          <t>A 23742-2024</t>
        </is>
      </c>
      <c r="B385" s="1" t="n">
        <v>45455</v>
      </c>
      <c r="C385" s="1" t="n">
        <v>45912</v>
      </c>
      <c r="D385" t="inlineStr">
        <is>
          <t>UPPSALA LÄN</t>
        </is>
      </c>
      <c r="E385" t="inlineStr">
        <is>
          <t>ÖSTHAMMAR</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27132-2025</t>
        </is>
      </c>
      <c r="B386" s="1" t="n">
        <v>45811</v>
      </c>
      <c r="C386" s="1" t="n">
        <v>45912</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14505-2023</t>
        </is>
      </c>
      <c r="B387" s="1" t="n">
        <v>45012.7975</v>
      </c>
      <c r="C387" s="1" t="n">
        <v>45912</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6106-2024</t>
        </is>
      </c>
      <c r="B388" s="1" t="n">
        <v>45337.36831018519</v>
      </c>
      <c r="C388" s="1" t="n">
        <v>45912</v>
      </c>
      <c r="D388" t="inlineStr">
        <is>
          <t>UPPSALA LÄN</t>
        </is>
      </c>
      <c r="E388" t="inlineStr">
        <is>
          <t>ÖSTHAMMAR</t>
        </is>
      </c>
      <c r="G388" t="n">
        <v>0.6</v>
      </c>
      <c r="H388" t="n">
        <v>0</v>
      </c>
      <c r="I388" t="n">
        <v>0</v>
      </c>
      <c r="J388" t="n">
        <v>0</v>
      </c>
      <c r="K388" t="n">
        <v>0</v>
      </c>
      <c r="L388" t="n">
        <v>0</v>
      </c>
      <c r="M388" t="n">
        <v>0</v>
      </c>
      <c r="N388" t="n">
        <v>0</v>
      </c>
      <c r="O388" t="n">
        <v>0</v>
      </c>
      <c r="P388" t="n">
        <v>0</v>
      </c>
      <c r="Q388" t="n">
        <v>0</v>
      </c>
      <c r="R388" s="2" t="inlineStr"/>
    </row>
    <row r="389" ht="15" customHeight="1">
      <c r="A389" t="inlineStr">
        <is>
          <t>A 27058-2025</t>
        </is>
      </c>
      <c r="B389" s="1" t="n">
        <v>45811.63436342592</v>
      </c>
      <c r="C389" s="1" t="n">
        <v>45912</v>
      </c>
      <c r="D389" t="inlineStr">
        <is>
          <t>UPPSALA LÄN</t>
        </is>
      </c>
      <c r="E389" t="inlineStr">
        <is>
          <t>ÖSTHAMMAR</t>
        </is>
      </c>
      <c r="F389" t="inlineStr">
        <is>
          <t>Bergvik skog öst AB</t>
        </is>
      </c>
      <c r="G389" t="n">
        <v>5.7</v>
      </c>
      <c r="H389" t="n">
        <v>0</v>
      </c>
      <c r="I389" t="n">
        <v>0</v>
      </c>
      <c r="J389" t="n">
        <v>0</v>
      </c>
      <c r="K389" t="n">
        <v>0</v>
      </c>
      <c r="L389" t="n">
        <v>0</v>
      </c>
      <c r="M389" t="n">
        <v>0</v>
      </c>
      <c r="N389" t="n">
        <v>0</v>
      </c>
      <c r="O389" t="n">
        <v>0</v>
      </c>
      <c r="P389" t="n">
        <v>0</v>
      </c>
      <c r="Q389" t="n">
        <v>0</v>
      </c>
      <c r="R389" s="2" t="inlineStr"/>
    </row>
    <row r="390" ht="15" customHeight="1">
      <c r="A390" t="inlineStr">
        <is>
          <t>A 65020-2021</t>
        </is>
      </c>
      <c r="B390" s="1" t="n">
        <v>44515</v>
      </c>
      <c r="C390" s="1" t="n">
        <v>45912</v>
      </c>
      <c r="D390" t="inlineStr">
        <is>
          <t>UPPSALA LÄN</t>
        </is>
      </c>
      <c r="E390" t="inlineStr">
        <is>
          <t>ÖSTHAMMAR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47341-2023</t>
        </is>
      </c>
      <c r="B391" s="1" t="n">
        <v>45202.55721064815</v>
      </c>
      <c r="C391" s="1" t="n">
        <v>45912</v>
      </c>
      <c r="D391" t="inlineStr">
        <is>
          <t>UPPSALA LÄN</t>
        </is>
      </c>
      <c r="E391" t="inlineStr">
        <is>
          <t>ÖSTHAMMAR</t>
        </is>
      </c>
      <c r="G391" t="n">
        <v>4.9</v>
      </c>
      <c r="H391" t="n">
        <v>0</v>
      </c>
      <c r="I391" t="n">
        <v>0</v>
      </c>
      <c r="J391" t="n">
        <v>0</v>
      </c>
      <c r="K391" t="n">
        <v>0</v>
      </c>
      <c r="L391" t="n">
        <v>0</v>
      </c>
      <c r="M391" t="n">
        <v>0</v>
      </c>
      <c r="N391" t="n">
        <v>0</v>
      </c>
      <c r="O391" t="n">
        <v>0</v>
      </c>
      <c r="P391" t="n">
        <v>0</v>
      </c>
      <c r="Q391" t="n">
        <v>0</v>
      </c>
      <c r="R391" s="2" t="inlineStr"/>
    </row>
    <row r="392" ht="15" customHeight="1">
      <c r="A392" t="inlineStr">
        <is>
          <t>A 27347-2025</t>
        </is>
      </c>
      <c r="B392" s="1" t="n">
        <v>45812.62390046296</v>
      </c>
      <c r="C392" s="1" t="n">
        <v>45912</v>
      </c>
      <c r="D392" t="inlineStr">
        <is>
          <t>UPPSALA LÄN</t>
        </is>
      </c>
      <c r="E392" t="inlineStr">
        <is>
          <t>ÖSTHAMMAR</t>
        </is>
      </c>
      <c r="G392" t="n">
        <v>0.4</v>
      </c>
      <c r="H392" t="n">
        <v>0</v>
      </c>
      <c r="I392" t="n">
        <v>0</v>
      </c>
      <c r="J392" t="n">
        <v>0</v>
      </c>
      <c r="K392" t="n">
        <v>0</v>
      </c>
      <c r="L392" t="n">
        <v>0</v>
      </c>
      <c r="M392" t="n">
        <v>0</v>
      </c>
      <c r="N392" t="n">
        <v>0</v>
      </c>
      <c r="O392" t="n">
        <v>0</v>
      </c>
      <c r="P392" t="n">
        <v>0</v>
      </c>
      <c r="Q392" t="n">
        <v>0</v>
      </c>
      <c r="R392" s="2" t="inlineStr"/>
    </row>
    <row r="393" ht="15" customHeight="1">
      <c r="A393" t="inlineStr">
        <is>
          <t>A 3732-2022</t>
        </is>
      </c>
      <c r="B393" s="1" t="n">
        <v>44586.64851851852</v>
      </c>
      <c r="C393" s="1" t="n">
        <v>45912</v>
      </c>
      <c r="D393" t="inlineStr">
        <is>
          <t>UPPSALA LÄN</t>
        </is>
      </c>
      <c r="E393" t="inlineStr">
        <is>
          <t>ÖSTHAMMAR</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27392-2025</t>
        </is>
      </c>
      <c r="B394" s="1" t="n">
        <v>45812.68268518519</v>
      </c>
      <c r="C394" s="1" t="n">
        <v>45912</v>
      </c>
      <c r="D394" t="inlineStr">
        <is>
          <t>UPPSALA LÄN</t>
        </is>
      </c>
      <c r="E394" t="inlineStr">
        <is>
          <t>ÖSTHAMMAR</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27352-2025</t>
        </is>
      </c>
      <c r="B395" s="1" t="n">
        <v>45812.62694444445</v>
      </c>
      <c r="C395" s="1" t="n">
        <v>45912</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27350-2025</t>
        </is>
      </c>
      <c r="B396" s="1" t="n">
        <v>45812.62571759259</v>
      </c>
      <c r="C396" s="1" t="n">
        <v>45912</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33056-2021</t>
        </is>
      </c>
      <c r="B397" s="1" t="n">
        <v>44376.52438657408</v>
      </c>
      <c r="C397" s="1" t="n">
        <v>45912</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27384-2025</t>
        </is>
      </c>
      <c r="B398" s="1" t="n">
        <v>45812.6672337963</v>
      </c>
      <c r="C398" s="1" t="n">
        <v>45912</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27383-2025</t>
        </is>
      </c>
      <c r="B399" s="1" t="n">
        <v>45812.66628472223</v>
      </c>
      <c r="C399" s="1" t="n">
        <v>45912</v>
      </c>
      <c r="D399" t="inlineStr">
        <is>
          <t>UPPSALA LÄN</t>
        </is>
      </c>
      <c r="E399" t="inlineStr">
        <is>
          <t>ÖSTHAMMAR</t>
        </is>
      </c>
      <c r="G399" t="n">
        <v>0.7</v>
      </c>
      <c r="H399" t="n">
        <v>0</v>
      </c>
      <c r="I399" t="n">
        <v>0</v>
      </c>
      <c r="J399" t="n">
        <v>0</v>
      </c>
      <c r="K399" t="n">
        <v>0</v>
      </c>
      <c r="L399" t="n">
        <v>0</v>
      </c>
      <c r="M399" t="n">
        <v>0</v>
      </c>
      <c r="N399" t="n">
        <v>0</v>
      </c>
      <c r="O399" t="n">
        <v>0</v>
      </c>
      <c r="P399" t="n">
        <v>0</v>
      </c>
      <c r="Q399" t="n">
        <v>0</v>
      </c>
      <c r="R399" s="2" t="inlineStr"/>
    </row>
    <row r="400" ht="15" customHeight="1">
      <c r="A400" t="inlineStr">
        <is>
          <t>A 27385-2025</t>
        </is>
      </c>
      <c r="B400" s="1" t="n">
        <v>45812.66829861111</v>
      </c>
      <c r="C400" s="1" t="n">
        <v>45912</v>
      </c>
      <c r="D400" t="inlineStr">
        <is>
          <t>UPPSALA LÄN</t>
        </is>
      </c>
      <c r="E400" t="inlineStr">
        <is>
          <t>ÖSTHAMMAR</t>
        </is>
      </c>
      <c r="G400" t="n">
        <v>0.6</v>
      </c>
      <c r="H400" t="n">
        <v>0</v>
      </c>
      <c r="I400" t="n">
        <v>0</v>
      </c>
      <c r="J400" t="n">
        <v>0</v>
      </c>
      <c r="K400" t="n">
        <v>0</v>
      </c>
      <c r="L400" t="n">
        <v>0</v>
      </c>
      <c r="M400" t="n">
        <v>0</v>
      </c>
      <c r="N400" t="n">
        <v>0</v>
      </c>
      <c r="O400" t="n">
        <v>0</v>
      </c>
      <c r="P400" t="n">
        <v>0</v>
      </c>
      <c r="Q400" t="n">
        <v>0</v>
      </c>
      <c r="R400" s="2" t="inlineStr"/>
    </row>
    <row r="401" ht="15" customHeight="1">
      <c r="A401" t="inlineStr">
        <is>
          <t>A 27395-2025</t>
        </is>
      </c>
      <c r="B401" s="1" t="n">
        <v>45812.6850462963</v>
      </c>
      <c r="C401" s="1" t="n">
        <v>45912</v>
      </c>
      <c r="D401" t="inlineStr">
        <is>
          <t>UPPSALA LÄN</t>
        </is>
      </c>
      <c r="E401" t="inlineStr">
        <is>
          <t>ÖSTHAMMAR</t>
        </is>
      </c>
      <c r="F401" t="inlineStr">
        <is>
          <t>Bergvik skog öst AB</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27563-2025</t>
        </is>
      </c>
      <c r="B402" s="1" t="n">
        <v>45813.48471064815</v>
      </c>
      <c r="C402" s="1" t="n">
        <v>45912</v>
      </c>
      <c r="D402" t="inlineStr">
        <is>
          <t>UPPSALA LÄN</t>
        </is>
      </c>
      <c r="E402" t="inlineStr">
        <is>
          <t>ÖSTHAMMAR</t>
        </is>
      </c>
      <c r="F402" t="inlineStr">
        <is>
          <t>Bergvik skog öst AB</t>
        </is>
      </c>
      <c r="G402" t="n">
        <v>4</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44572.5827662037</v>
      </c>
      <c r="C403" s="1" t="n">
        <v>45912</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25269-2024</t>
        </is>
      </c>
      <c r="B404" s="1" t="n">
        <v>45462</v>
      </c>
      <c r="C404" s="1" t="n">
        <v>45912</v>
      </c>
      <c r="D404" t="inlineStr">
        <is>
          <t>UPPSALA LÄN</t>
        </is>
      </c>
      <c r="E404" t="inlineStr">
        <is>
          <t>ÖSTHAMMAR</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13352-2023</t>
        </is>
      </c>
      <c r="B405" s="1" t="n">
        <v>45005</v>
      </c>
      <c r="C405" s="1" t="n">
        <v>45912</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22804-2022</t>
        </is>
      </c>
      <c r="B406" s="1" t="n">
        <v>44715</v>
      </c>
      <c r="C406" s="1" t="n">
        <v>45912</v>
      </c>
      <c r="D406" t="inlineStr">
        <is>
          <t>UPPSALA LÄN</t>
        </is>
      </c>
      <c r="E406" t="inlineStr">
        <is>
          <t>ÖSTHAMMAR</t>
        </is>
      </c>
      <c r="G406" t="n">
        <v>2.7</v>
      </c>
      <c r="H406" t="n">
        <v>0</v>
      </c>
      <c r="I406" t="n">
        <v>0</v>
      </c>
      <c r="J406" t="n">
        <v>0</v>
      </c>
      <c r="K406" t="n">
        <v>0</v>
      </c>
      <c r="L406" t="n">
        <v>0</v>
      </c>
      <c r="M406" t="n">
        <v>0</v>
      </c>
      <c r="N406" t="n">
        <v>0</v>
      </c>
      <c r="O406" t="n">
        <v>0</v>
      </c>
      <c r="P406" t="n">
        <v>0</v>
      </c>
      <c r="Q406" t="n">
        <v>0</v>
      </c>
      <c r="R406" s="2" t="inlineStr"/>
    </row>
    <row r="407" ht="15" customHeight="1">
      <c r="A407" t="inlineStr">
        <is>
          <t>A 38003-2024</t>
        </is>
      </c>
      <c r="B407" s="1" t="n">
        <v>45544</v>
      </c>
      <c r="C407" s="1" t="n">
        <v>45912</v>
      </c>
      <c r="D407" t="inlineStr">
        <is>
          <t>UPPSALA LÄN</t>
        </is>
      </c>
      <c r="E407" t="inlineStr">
        <is>
          <t>ÖSTHAMMAR</t>
        </is>
      </c>
      <c r="F407" t="inlineStr">
        <is>
          <t>Naturvårdsverket</t>
        </is>
      </c>
      <c r="G407" t="n">
        <v>4.2</v>
      </c>
      <c r="H407" t="n">
        <v>0</v>
      </c>
      <c r="I407" t="n">
        <v>0</v>
      </c>
      <c r="J407" t="n">
        <v>0</v>
      </c>
      <c r="K407" t="n">
        <v>0</v>
      </c>
      <c r="L407" t="n">
        <v>0</v>
      </c>
      <c r="M407" t="n">
        <v>0</v>
      </c>
      <c r="N407" t="n">
        <v>0</v>
      </c>
      <c r="O407" t="n">
        <v>0</v>
      </c>
      <c r="P407" t="n">
        <v>0</v>
      </c>
      <c r="Q407" t="n">
        <v>0</v>
      </c>
      <c r="R407" s="2" t="inlineStr"/>
    </row>
    <row r="408" ht="15" customHeight="1">
      <c r="A408" t="inlineStr">
        <is>
          <t>A 45795-2023</t>
        </is>
      </c>
      <c r="B408" s="1" t="n">
        <v>45195</v>
      </c>
      <c r="C408" s="1" t="n">
        <v>45912</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25252-2024</t>
        </is>
      </c>
      <c r="B409" s="1" t="n">
        <v>45462</v>
      </c>
      <c r="C409" s="1" t="n">
        <v>45912</v>
      </c>
      <c r="D409" t="inlineStr">
        <is>
          <t>UPPSALA LÄN</t>
        </is>
      </c>
      <c r="E409" t="inlineStr">
        <is>
          <t>ÖSTHAMMAR</t>
        </is>
      </c>
      <c r="G409" t="n">
        <v>4.3</v>
      </c>
      <c r="H409" t="n">
        <v>0</v>
      </c>
      <c r="I409" t="n">
        <v>0</v>
      </c>
      <c r="J409" t="n">
        <v>0</v>
      </c>
      <c r="K409" t="n">
        <v>0</v>
      </c>
      <c r="L409" t="n">
        <v>0</v>
      </c>
      <c r="M409" t="n">
        <v>0</v>
      </c>
      <c r="N409" t="n">
        <v>0</v>
      </c>
      <c r="O409" t="n">
        <v>0</v>
      </c>
      <c r="P409" t="n">
        <v>0</v>
      </c>
      <c r="Q409" t="n">
        <v>0</v>
      </c>
      <c r="R409" s="2" t="inlineStr"/>
    </row>
    <row r="410" ht="15" customHeight="1">
      <c r="A410" t="inlineStr">
        <is>
          <t>A 16531-2025</t>
        </is>
      </c>
      <c r="B410" s="1" t="n">
        <v>45751</v>
      </c>
      <c r="C410" s="1" t="n">
        <v>45912</v>
      </c>
      <c r="D410" t="inlineStr">
        <is>
          <t>UPPSALA LÄN</t>
        </is>
      </c>
      <c r="E410" t="inlineStr">
        <is>
          <t>ÖSTHAMMAR</t>
        </is>
      </c>
      <c r="G410" t="n">
        <v>3.3</v>
      </c>
      <c r="H410" t="n">
        <v>0</v>
      </c>
      <c r="I410" t="n">
        <v>0</v>
      </c>
      <c r="J410" t="n">
        <v>0</v>
      </c>
      <c r="K410" t="n">
        <v>0</v>
      </c>
      <c r="L410" t="n">
        <v>0</v>
      </c>
      <c r="M410" t="n">
        <v>0</v>
      </c>
      <c r="N410" t="n">
        <v>0</v>
      </c>
      <c r="O410" t="n">
        <v>0</v>
      </c>
      <c r="P410" t="n">
        <v>0</v>
      </c>
      <c r="Q410" t="n">
        <v>0</v>
      </c>
      <c r="R410" s="2" t="inlineStr"/>
    </row>
    <row r="411" ht="15" customHeight="1">
      <c r="A411" t="inlineStr">
        <is>
          <t>A 27919-2025</t>
        </is>
      </c>
      <c r="B411" s="1" t="n">
        <v>45817.48384259259</v>
      </c>
      <c r="C411" s="1" t="n">
        <v>45912</v>
      </c>
      <c r="D411" t="inlineStr">
        <is>
          <t>UPPSALA LÄN</t>
        </is>
      </c>
      <c r="E411" t="inlineStr">
        <is>
          <t>ÖSTHAMMAR</t>
        </is>
      </c>
      <c r="F411" t="inlineStr">
        <is>
          <t>Bergvik skog öst AB</t>
        </is>
      </c>
      <c r="G411" t="n">
        <v>3.5</v>
      </c>
      <c r="H411" t="n">
        <v>0</v>
      </c>
      <c r="I411" t="n">
        <v>0</v>
      </c>
      <c r="J411" t="n">
        <v>0</v>
      </c>
      <c r="K411" t="n">
        <v>0</v>
      </c>
      <c r="L411" t="n">
        <v>0</v>
      </c>
      <c r="M411" t="n">
        <v>0</v>
      </c>
      <c r="N411" t="n">
        <v>0</v>
      </c>
      <c r="O411" t="n">
        <v>0</v>
      </c>
      <c r="P411" t="n">
        <v>0</v>
      </c>
      <c r="Q411" t="n">
        <v>0</v>
      </c>
      <c r="R411" s="2" t="inlineStr"/>
    </row>
    <row r="412" ht="15" customHeight="1">
      <c r="A412" t="inlineStr">
        <is>
          <t>A 27853-2025</t>
        </is>
      </c>
      <c r="B412" s="1" t="n">
        <v>45817.40178240741</v>
      </c>
      <c r="C412" s="1" t="n">
        <v>45912</v>
      </c>
      <c r="D412" t="inlineStr">
        <is>
          <t>UPPSALA LÄN</t>
        </is>
      </c>
      <c r="E412" t="inlineStr">
        <is>
          <t>ÖSTHAMMAR</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5189-2025</t>
        </is>
      </c>
      <c r="B413" s="1" t="n">
        <v>45691</v>
      </c>
      <c r="C413" s="1" t="n">
        <v>45912</v>
      </c>
      <c r="D413" t="inlineStr">
        <is>
          <t>UPPSALA LÄN</t>
        </is>
      </c>
      <c r="E413" t="inlineStr">
        <is>
          <t>ÖSTHAMMAR</t>
        </is>
      </c>
      <c r="F413" t="inlineStr">
        <is>
          <t>Bergvik skog öst AB</t>
        </is>
      </c>
      <c r="G413" t="n">
        <v>24.4</v>
      </c>
      <c r="H413" t="n">
        <v>0</v>
      </c>
      <c r="I413" t="n">
        <v>0</v>
      </c>
      <c r="J413" t="n">
        <v>0</v>
      </c>
      <c r="K413" t="n">
        <v>0</v>
      </c>
      <c r="L413" t="n">
        <v>0</v>
      </c>
      <c r="M413" t="n">
        <v>0</v>
      </c>
      <c r="N413" t="n">
        <v>0</v>
      </c>
      <c r="O413" t="n">
        <v>0</v>
      </c>
      <c r="P413" t="n">
        <v>0</v>
      </c>
      <c r="Q413" t="n">
        <v>0</v>
      </c>
      <c r="R413" s="2" t="inlineStr"/>
    </row>
    <row r="414" ht="15" customHeight="1">
      <c r="A414" t="inlineStr">
        <is>
          <t>A 27812-2025</t>
        </is>
      </c>
      <c r="B414" s="1" t="n">
        <v>45817.32150462963</v>
      </c>
      <c r="C414" s="1" t="n">
        <v>45912</v>
      </c>
      <c r="D414" t="inlineStr">
        <is>
          <t>UPPSALA LÄN</t>
        </is>
      </c>
      <c r="E414" t="inlineStr">
        <is>
          <t>ÖSTHAMMAR</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27920-2025</t>
        </is>
      </c>
      <c r="B415" s="1" t="n">
        <v>45817.48454861111</v>
      </c>
      <c r="C415" s="1" t="n">
        <v>45912</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8330-2025</t>
        </is>
      </c>
      <c r="B416" s="1" t="n">
        <v>45708</v>
      </c>
      <c r="C416" s="1" t="n">
        <v>45912</v>
      </c>
      <c r="D416" t="inlineStr">
        <is>
          <t>UPPSALA LÄN</t>
        </is>
      </c>
      <c r="E416" t="inlineStr">
        <is>
          <t>ÖSTHAMMAR</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27509-2025</t>
        </is>
      </c>
      <c r="B417" s="1" t="n">
        <v>45813.4278125</v>
      </c>
      <c r="C417" s="1" t="n">
        <v>45912</v>
      </c>
      <c r="D417" t="inlineStr">
        <is>
          <t>UPPSALA LÄN</t>
        </is>
      </c>
      <c r="E417" t="inlineStr">
        <is>
          <t>ÖSTHAMMAR</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7997-2022</t>
        </is>
      </c>
      <c r="B418" s="1" t="n">
        <v>44609</v>
      </c>
      <c r="C418" s="1" t="n">
        <v>45912</v>
      </c>
      <c r="D418" t="inlineStr">
        <is>
          <t>UPPSALA LÄN</t>
        </is>
      </c>
      <c r="E418" t="inlineStr">
        <is>
          <t>ÖSTHAMMAR</t>
        </is>
      </c>
      <c r="G418" t="n">
        <v>1.8</v>
      </c>
      <c r="H418" t="n">
        <v>0</v>
      </c>
      <c r="I418" t="n">
        <v>0</v>
      </c>
      <c r="J418" t="n">
        <v>0</v>
      </c>
      <c r="K418" t="n">
        <v>0</v>
      </c>
      <c r="L418" t="n">
        <v>0</v>
      </c>
      <c r="M418" t="n">
        <v>0</v>
      </c>
      <c r="N418" t="n">
        <v>0</v>
      </c>
      <c r="O418" t="n">
        <v>0</v>
      </c>
      <c r="P418" t="n">
        <v>0</v>
      </c>
      <c r="Q418" t="n">
        <v>0</v>
      </c>
      <c r="R418" s="2" t="inlineStr"/>
    </row>
    <row r="419" ht="15" customHeight="1">
      <c r="A419" t="inlineStr">
        <is>
          <t>A 28442-2025</t>
        </is>
      </c>
      <c r="B419" s="1" t="n">
        <v>45819</v>
      </c>
      <c r="C419" s="1" t="n">
        <v>45912</v>
      </c>
      <c r="D419" t="inlineStr">
        <is>
          <t>UPPSALA LÄN</t>
        </is>
      </c>
      <c r="E419" t="inlineStr">
        <is>
          <t>ÖSTHAMMAR</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21478-2023</t>
        </is>
      </c>
      <c r="B420" s="1" t="n">
        <v>45063.47773148148</v>
      </c>
      <c r="C420" s="1" t="n">
        <v>45912</v>
      </c>
      <c r="D420" t="inlineStr">
        <is>
          <t>UPPSALA LÄN</t>
        </is>
      </c>
      <c r="E420" t="inlineStr">
        <is>
          <t>ÖSTHAMMAR</t>
        </is>
      </c>
      <c r="G420" t="n">
        <v>0.4</v>
      </c>
      <c r="H420" t="n">
        <v>0</v>
      </c>
      <c r="I420" t="n">
        <v>0</v>
      </c>
      <c r="J420" t="n">
        <v>0</v>
      </c>
      <c r="K420" t="n">
        <v>0</v>
      </c>
      <c r="L420" t="n">
        <v>0</v>
      </c>
      <c r="M420" t="n">
        <v>0</v>
      </c>
      <c r="N420" t="n">
        <v>0</v>
      </c>
      <c r="O420" t="n">
        <v>0</v>
      </c>
      <c r="P420" t="n">
        <v>0</v>
      </c>
      <c r="Q420" t="n">
        <v>0</v>
      </c>
      <c r="R420" s="2" t="inlineStr"/>
    </row>
    <row r="421" ht="15" customHeight="1">
      <c r="A421" t="inlineStr">
        <is>
          <t>A 31137-2022</t>
        </is>
      </c>
      <c r="B421" s="1" t="n">
        <v>44770.42166666667</v>
      </c>
      <c r="C421" s="1" t="n">
        <v>45912</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67199-2021</t>
        </is>
      </c>
      <c r="B422" s="1" t="n">
        <v>44523.46197916667</v>
      </c>
      <c r="C422" s="1" t="n">
        <v>45912</v>
      </c>
      <c r="D422" t="inlineStr">
        <is>
          <t>UPPSALA LÄN</t>
        </is>
      </c>
      <c r="E422" t="inlineStr">
        <is>
          <t>ÖSTHAMMAR</t>
        </is>
      </c>
      <c r="G422" t="n">
        <v>2.3</v>
      </c>
      <c r="H422" t="n">
        <v>0</v>
      </c>
      <c r="I422" t="n">
        <v>0</v>
      </c>
      <c r="J422" t="n">
        <v>0</v>
      </c>
      <c r="K422" t="n">
        <v>0</v>
      </c>
      <c r="L422" t="n">
        <v>0</v>
      </c>
      <c r="M422" t="n">
        <v>0</v>
      </c>
      <c r="N422" t="n">
        <v>0</v>
      </c>
      <c r="O422" t="n">
        <v>0</v>
      </c>
      <c r="P422" t="n">
        <v>0</v>
      </c>
      <c r="Q422" t="n">
        <v>0</v>
      </c>
      <c r="R422" s="2" t="inlineStr"/>
    </row>
    <row r="423" ht="15" customHeight="1">
      <c r="A423" t="inlineStr">
        <is>
          <t>A 28101-2025</t>
        </is>
      </c>
      <c r="B423" s="1" t="n">
        <v>45817.83736111111</v>
      </c>
      <c r="C423" s="1" t="n">
        <v>45912</v>
      </c>
      <c r="D423" t="inlineStr">
        <is>
          <t>UPPSALA LÄN</t>
        </is>
      </c>
      <c r="E423" t="inlineStr">
        <is>
          <t>ÖSTHAMMAR</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15449-2022</t>
        </is>
      </c>
      <c r="B424" s="1" t="n">
        <v>44660.91659722223</v>
      </c>
      <c r="C424" s="1" t="n">
        <v>45912</v>
      </c>
      <c r="D424" t="inlineStr">
        <is>
          <t>UPPSALA LÄN</t>
        </is>
      </c>
      <c r="E424" t="inlineStr">
        <is>
          <t>ÖSTHAMMAR</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74429-2021</t>
        </is>
      </c>
      <c r="B425" s="1" t="n">
        <v>44560.43136574074</v>
      </c>
      <c r="C425" s="1" t="n">
        <v>45912</v>
      </c>
      <c r="D425" t="inlineStr">
        <is>
          <t>UPPSALA LÄN</t>
        </is>
      </c>
      <c r="E425" t="inlineStr">
        <is>
          <t>ÖSTHAMMAR</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28100-2025</t>
        </is>
      </c>
      <c r="B426" s="1" t="n">
        <v>45817.83487268518</v>
      </c>
      <c r="C426" s="1" t="n">
        <v>45912</v>
      </c>
      <c r="D426" t="inlineStr">
        <is>
          <t>UPPSALA LÄN</t>
        </is>
      </c>
      <c r="E426" t="inlineStr">
        <is>
          <t>ÖSTHAMMAR</t>
        </is>
      </c>
      <c r="F426" t="inlineStr">
        <is>
          <t>Bergvik skog öst AB</t>
        </is>
      </c>
      <c r="G426" t="n">
        <v>3.2</v>
      </c>
      <c r="H426" t="n">
        <v>0</v>
      </c>
      <c r="I426" t="n">
        <v>0</v>
      </c>
      <c r="J426" t="n">
        <v>0</v>
      </c>
      <c r="K426" t="n">
        <v>0</v>
      </c>
      <c r="L426" t="n">
        <v>0</v>
      </c>
      <c r="M426" t="n">
        <v>0</v>
      </c>
      <c r="N426" t="n">
        <v>0</v>
      </c>
      <c r="O426" t="n">
        <v>0</v>
      </c>
      <c r="P426" t="n">
        <v>0</v>
      </c>
      <c r="Q426" t="n">
        <v>0</v>
      </c>
      <c r="R426" s="2" t="inlineStr"/>
    </row>
    <row r="427" ht="15" customHeight="1">
      <c r="A427" t="inlineStr">
        <is>
          <t>A 30931-2021</t>
        </is>
      </c>
      <c r="B427" s="1" t="n">
        <v>44365</v>
      </c>
      <c r="C427" s="1" t="n">
        <v>45912</v>
      </c>
      <c r="D427" t="inlineStr">
        <is>
          <t>UPPSALA LÄN</t>
        </is>
      </c>
      <c r="E427" t="inlineStr">
        <is>
          <t>ÖSTHAMMAR</t>
        </is>
      </c>
      <c r="F427" t="inlineStr">
        <is>
          <t>Bergvik skog öst AB</t>
        </is>
      </c>
      <c r="G427" t="n">
        <v>2.3</v>
      </c>
      <c r="H427" t="n">
        <v>0</v>
      </c>
      <c r="I427" t="n">
        <v>0</v>
      </c>
      <c r="J427" t="n">
        <v>0</v>
      </c>
      <c r="K427" t="n">
        <v>0</v>
      </c>
      <c r="L427" t="n">
        <v>0</v>
      </c>
      <c r="M427" t="n">
        <v>0</v>
      </c>
      <c r="N427" t="n">
        <v>0</v>
      </c>
      <c r="O427" t="n">
        <v>0</v>
      </c>
      <c r="P427" t="n">
        <v>0</v>
      </c>
      <c r="Q427" t="n">
        <v>0</v>
      </c>
      <c r="R427" s="2" t="inlineStr"/>
    </row>
    <row r="428" ht="15" customHeight="1">
      <c r="A428" t="inlineStr">
        <is>
          <t>A 28099-2025</t>
        </is>
      </c>
      <c r="B428" s="1" t="n">
        <v>45817.82967592592</v>
      </c>
      <c r="C428" s="1" t="n">
        <v>45912</v>
      </c>
      <c r="D428" t="inlineStr">
        <is>
          <t>UPPSALA LÄN</t>
        </is>
      </c>
      <c r="E428" t="inlineStr">
        <is>
          <t>ÖSTHAMMAR</t>
        </is>
      </c>
      <c r="F428" t="inlineStr">
        <is>
          <t>Bergvik skog öst AB</t>
        </is>
      </c>
      <c r="G428" t="n">
        <v>2.2</v>
      </c>
      <c r="H428" t="n">
        <v>0</v>
      </c>
      <c r="I428" t="n">
        <v>0</v>
      </c>
      <c r="J428" t="n">
        <v>0</v>
      </c>
      <c r="K428" t="n">
        <v>0</v>
      </c>
      <c r="L428" t="n">
        <v>0</v>
      </c>
      <c r="M428" t="n">
        <v>0</v>
      </c>
      <c r="N428" t="n">
        <v>0</v>
      </c>
      <c r="O428" t="n">
        <v>0</v>
      </c>
      <c r="P428" t="n">
        <v>0</v>
      </c>
      <c r="Q428" t="n">
        <v>0</v>
      </c>
      <c r="R428" s="2" t="inlineStr"/>
    </row>
    <row r="429" ht="15" customHeight="1">
      <c r="A429" t="inlineStr">
        <is>
          <t>A 18183-2022</t>
        </is>
      </c>
      <c r="B429" s="1" t="n">
        <v>44684</v>
      </c>
      <c r="C429" s="1" t="n">
        <v>45912</v>
      </c>
      <c r="D429" t="inlineStr">
        <is>
          <t>UPPSALA LÄN</t>
        </is>
      </c>
      <c r="E429" t="inlineStr">
        <is>
          <t>ÖSTHAMMAR</t>
        </is>
      </c>
      <c r="G429" t="n">
        <v>0.2</v>
      </c>
      <c r="H429" t="n">
        <v>0</v>
      </c>
      <c r="I429" t="n">
        <v>0</v>
      </c>
      <c r="J429" t="n">
        <v>0</v>
      </c>
      <c r="K429" t="n">
        <v>0</v>
      </c>
      <c r="L429" t="n">
        <v>0</v>
      </c>
      <c r="M429" t="n">
        <v>0</v>
      </c>
      <c r="N429" t="n">
        <v>0</v>
      </c>
      <c r="O429" t="n">
        <v>0</v>
      </c>
      <c r="P429" t="n">
        <v>0</v>
      </c>
      <c r="Q429" t="n">
        <v>0</v>
      </c>
      <c r="R429" s="2" t="inlineStr"/>
    </row>
    <row r="430" ht="15" customHeight="1">
      <c r="A430" t="inlineStr">
        <is>
          <t>A 23728-2025</t>
        </is>
      </c>
      <c r="B430" s="1" t="n">
        <v>45793.41719907407</v>
      </c>
      <c r="C430" s="1" t="n">
        <v>45912</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28745-2025</t>
        </is>
      </c>
      <c r="B431" s="1" t="n">
        <v>45820.39076388889</v>
      </c>
      <c r="C431" s="1" t="n">
        <v>45912</v>
      </c>
      <c r="D431" t="inlineStr">
        <is>
          <t>UPPSALA LÄN</t>
        </is>
      </c>
      <c r="E431" t="inlineStr">
        <is>
          <t>ÖSTHAMMAR</t>
        </is>
      </c>
      <c r="G431" t="n">
        <v>1.7</v>
      </c>
      <c r="H431" t="n">
        <v>0</v>
      </c>
      <c r="I431" t="n">
        <v>0</v>
      </c>
      <c r="J431" t="n">
        <v>0</v>
      </c>
      <c r="K431" t="n">
        <v>0</v>
      </c>
      <c r="L431" t="n">
        <v>0</v>
      </c>
      <c r="M431" t="n">
        <v>0</v>
      </c>
      <c r="N431" t="n">
        <v>0</v>
      </c>
      <c r="O431" t="n">
        <v>0</v>
      </c>
      <c r="P431" t="n">
        <v>0</v>
      </c>
      <c r="Q431" t="n">
        <v>0</v>
      </c>
      <c r="R431" s="2" t="inlineStr"/>
    </row>
    <row r="432" ht="15" customHeight="1">
      <c r="A432" t="inlineStr">
        <is>
          <t>A 28748-2025</t>
        </is>
      </c>
      <c r="B432" s="1" t="n">
        <v>45820.39540509259</v>
      </c>
      <c r="C432" s="1" t="n">
        <v>45912</v>
      </c>
      <c r="D432" t="inlineStr">
        <is>
          <t>UPPSALA LÄN</t>
        </is>
      </c>
      <c r="E432" t="inlineStr">
        <is>
          <t>ÖSTHAMMAR</t>
        </is>
      </c>
      <c r="G432" t="n">
        <v>2</v>
      </c>
      <c r="H432" t="n">
        <v>0</v>
      </c>
      <c r="I432" t="n">
        <v>0</v>
      </c>
      <c r="J432" t="n">
        <v>0</v>
      </c>
      <c r="K432" t="n">
        <v>0</v>
      </c>
      <c r="L432" t="n">
        <v>0</v>
      </c>
      <c r="M432" t="n">
        <v>0</v>
      </c>
      <c r="N432" t="n">
        <v>0</v>
      </c>
      <c r="O432" t="n">
        <v>0</v>
      </c>
      <c r="P432" t="n">
        <v>0</v>
      </c>
      <c r="Q432" t="n">
        <v>0</v>
      </c>
      <c r="R432" s="2" t="inlineStr"/>
    </row>
    <row r="433" ht="15" customHeight="1">
      <c r="A433" t="inlineStr">
        <is>
          <t>A 29024-2025</t>
        </is>
      </c>
      <c r="B433" s="1" t="n">
        <v>45821.43233796296</v>
      </c>
      <c r="C433" s="1" t="n">
        <v>45912</v>
      </c>
      <c r="D433" t="inlineStr">
        <is>
          <t>UPPSALA LÄN</t>
        </is>
      </c>
      <c r="E433" t="inlineStr">
        <is>
          <t>ÖSTHAMMAR</t>
        </is>
      </c>
      <c r="G433" t="n">
        <v>1</v>
      </c>
      <c r="H433" t="n">
        <v>0</v>
      </c>
      <c r="I433" t="n">
        <v>0</v>
      </c>
      <c r="J433" t="n">
        <v>0</v>
      </c>
      <c r="K433" t="n">
        <v>0</v>
      </c>
      <c r="L433" t="n">
        <v>0</v>
      </c>
      <c r="M433" t="n">
        <v>0</v>
      </c>
      <c r="N433" t="n">
        <v>0</v>
      </c>
      <c r="O433" t="n">
        <v>0</v>
      </c>
      <c r="P433" t="n">
        <v>0</v>
      </c>
      <c r="Q433" t="n">
        <v>0</v>
      </c>
      <c r="R433" s="2" t="inlineStr"/>
    </row>
    <row r="434" ht="15" customHeight="1">
      <c r="A434" t="inlineStr">
        <is>
          <t>A 29031-2025</t>
        </is>
      </c>
      <c r="B434" s="1" t="n">
        <v>45821.44159722222</v>
      </c>
      <c r="C434" s="1" t="n">
        <v>45912</v>
      </c>
      <c r="D434" t="inlineStr">
        <is>
          <t>UPPSALA LÄN</t>
        </is>
      </c>
      <c r="E434" t="inlineStr">
        <is>
          <t>ÖSTHAMMAR</t>
        </is>
      </c>
      <c r="F434" t="inlineStr">
        <is>
          <t>Bergvik skog öst AB</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28739-2025</t>
        </is>
      </c>
      <c r="B435" s="1" t="n">
        <v>45820</v>
      </c>
      <c r="C435" s="1" t="n">
        <v>45912</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29028-2025</t>
        </is>
      </c>
      <c r="B436" s="1" t="n">
        <v>45821.4384375</v>
      </c>
      <c r="C436" s="1" t="n">
        <v>45912</v>
      </c>
      <c r="D436" t="inlineStr">
        <is>
          <t>UPPSALA LÄN</t>
        </is>
      </c>
      <c r="E436" t="inlineStr">
        <is>
          <t>ÖSTHAMMAR</t>
        </is>
      </c>
      <c r="F436" t="inlineStr">
        <is>
          <t>Bergvik skog öst AB</t>
        </is>
      </c>
      <c r="G436" t="n">
        <v>1.7</v>
      </c>
      <c r="H436" t="n">
        <v>0</v>
      </c>
      <c r="I436" t="n">
        <v>0</v>
      </c>
      <c r="J436" t="n">
        <v>0</v>
      </c>
      <c r="K436" t="n">
        <v>0</v>
      </c>
      <c r="L436" t="n">
        <v>0</v>
      </c>
      <c r="M436" t="n">
        <v>0</v>
      </c>
      <c r="N436" t="n">
        <v>0</v>
      </c>
      <c r="O436" t="n">
        <v>0</v>
      </c>
      <c r="P436" t="n">
        <v>0</v>
      </c>
      <c r="Q436" t="n">
        <v>0</v>
      </c>
      <c r="R436" s="2" t="inlineStr"/>
    </row>
    <row r="437" ht="15" customHeight="1">
      <c r="A437" t="inlineStr">
        <is>
          <t>A 17867-2024</t>
        </is>
      </c>
      <c r="B437" s="1" t="n">
        <v>45419.44106481481</v>
      </c>
      <c r="C437" s="1" t="n">
        <v>45912</v>
      </c>
      <c r="D437" t="inlineStr">
        <is>
          <t>UPPSALA LÄN</t>
        </is>
      </c>
      <c r="E437" t="inlineStr">
        <is>
          <t>ÖSTHAMMAR</t>
        </is>
      </c>
      <c r="G437" t="n">
        <v>7.2</v>
      </c>
      <c r="H437" t="n">
        <v>0</v>
      </c>
      <c r="I437" t="n">
        <v>0</v>
      </c>
      <c r="J437" t="n">
        <v>0</v>
      </c>
      <c r="K437" t="n">
        <v>0</v>
      </c>
      <c r="L437" t="n">
        <v>0</v>
      </c>
      <c r="M437" t="n">
        <v>0</v>
      </c>
      <c r="N437" t="n">
        <v>0</v>
      </c>
      <c r="O437" t="n">
        <v>0</v>
      </c>
      <c r="P437" t="n">
        <v>0</v>
      </c>
      <c r="Q437" t="n">
        <v>0</v>
      </c>
      <c r="R437" s="2" t="inlineStr"/>
    </row>
    <row r="438" ht="15" customHeight="1">
      <c r="A438" t="inlineStr">
        <is>
          <t>A 29029-2025</t>
        </is>
      </c>
      <c r="B438" s="1" t="n">
        <v>45821.43973379629</v>
      </c>
      <c r="C438" s="1" t="n">
        <v>45912</v>
      </c>
      <c r="D438" t="inlineStr">
        <is>
          <t>UPPSALA LÄN</t>
        </is>
      </c>
      <c r="E438" t="inlineStr">
        <is>
          <t>ÖSTHAMMAR</t>
        </is>
      </c>
      <c r="F438" t="inlineStr">
        <is>
          <t>Bergvik skog öst AB</t>
        </is>
      </c>
      <c r="G438" t="n">
        <v>4.2</v>
      </c>
      <c r="H438" t="n">
        <v>0</v>
      </c>
      <c r="I438" t="n">
        <v>0</v>
      </c>
      <c r="J438" t="n">
        <v>0</v>
      </c>
      <c r="K438" t="n">
        <v>0</v>
      </c>
      <c r="L438" t="n">
        <v>0</v>
      </c>
      <c r="M438" t="n">
        <v>0</v>
      </c>
      <c r="N438" t="n">
        <v>0</v>
      </c>
      <c r="O438" t="n">
        <v>0</v>
      </c>
      <c r="P438" t="n">
        <v>0</v>
      </c>
      <c r="Q438" t="n">
        <v>0</v>
      </c>
      <c r="R438" s="2" t="inlineStr"/>
    </row>
    <row r="439" ht="15" customHeight="1">
      <c r="A439" t="inlineStr">
        <is>
          <t>A 4228-2023</t>
        </is>
      </c>
      <c r="B439" s="1" t="n">
        <v>44953.48179398148</v>
      </c>
      <c r="C439" s="1" t="n">
        <v>45912</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55389-2020</t>
        </is>
      </c>
      <c r="B440" s="1" t="n">
        <v>44131.38030092593</v>
      </c>
      <c r="C440" s="1" t="n">
        <v>45912</v>
      </c>
      <c r="D440" t="inlineStr">
        <is>
          <t>UPPSALA LÄN</t>
        </is>
      </c>
      <c r="E440" t="inlineStr">
        <is>
          <t>ÖSTHAMMAR</t>
        </is>
      </c>
      <c r="G440" t="n">
        <v>1.3</v>
      </c>
      <c r="H440" t="n">
        <v>0</v>
      </c>
      <c r="I440" t="n">
        <v>0</v>
      </c>
      <c r="J440" t="n">
        <v>0</v>
      </c>
      <c r="K440" t="n">
        <v>0</v>
      </c>
      <c r="L440" t="n">
        <v>0</v>
      </c>
      <c r="M440" t="n">
        <v>0</v>
      </c>
      <c r="N440" t="n">
        <v>0</v>
      </c>
      <c r="O440" t="n">
        <v>0</v>
      </c>
      <c r="P440" t="n">
        <v>0</v>
      </c>
      <c r="Q440" t="n">
        <v>0</v>
      </c>
      <c r="R440" s="2" t="inlineStr"/>
    </row>
    <row r="441" ht="15" customHeight="1">
      <c r="A441" t="inlineStr">
        <is>
          <t>A 6892-2022</t>
        </is>
      </c>
      <c r="B441" s="1" t="n">
        <v>44602</v>
      </c>
      <c r="C441" s="1" t="n">
        <v>45912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36301-2023</t>
        </is>
      </c>
      <c r="B442" s="1" t="n">
        <v>45152.37296296296</v>
      </c>
      <c r="C442" s="1" t="n">
        <v>45912</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62295-2022</t>
        </is>
      </c>
      <c r="B443" s="1" t="n">
        <v>44916</v>
      </c>
      <c r="C443" s="1" t="n">
        <v>45912</v>
      </c>
      <c r="D443" t="inlineStr">
        <is>
          <t>UPPSALA LÄN</t>
        </is>
      </c>
      <c r="E443" t="inlineStr">
        <is>
          <t>ÖSTHAMMAR</t>
        </is>
      </c>
      <c r="G443" t="n">
        <v>3.3</v>
      </c>
      <c r="H443" t="n">
        <v>0</v>
      </c>
      <c r="I443" t="n">
        <v>0</v>
      </c>
      <c r="J443" t="n">
        <v>0</v>
      </c>
      <c r="K443" t="n">
        <v>0</v>
      </c>
      <c r="L443" t="n">
        <v>0</v>
      </c>
      <c r="M443" t="n">
        <v>0</v>
      </c>
      <c r="N443" t="n">
        <v>0</v>
      </c>
      <c r="O443" t="n">
        <v>0</v>
      </c>
      <c r="P443" t="n">
        <v>0</v>
      </c>
      <c r="Q443" t="n">
        <v>0</v>
      </c>
      <c r="R443" s="2" t="inlineStr"/>
    </row>
    <row r="444" ht="15" customHeight="1">
      <c r="A444" t="inlineStr">
        <is>
          <t>A 27494-2025</t>
        </is>
      </c>
      <c r="B444" s="1" t="n">
        <v>45813.39756944445</v>
      </c>
      <c r="C444" s="1" t="n">
        <v>45912</v>
      </c>
      <c r="D444" t="inlineStr">
        <is>
          <t>UPPSALA LÄN</t>
        </is>
      </c>
      <c r="E444" t="inlineStr">
        <is>
          <t>ÖSTHAMMAR</t>
        </is>
      </c>
      <c r="F444" t="inlineStr">
        <is>
          <t>Bergvik skog öst AB</t>
        </is>
      </c>
      <c r="G444" t="n">
        <v>23.4</v>
      </c>
      <c r="H444" t="n">
        <v>0</v>
      </c>
      <c r="I444" t="n">
        <v>0</v>
      </c>
      <c r="J444" t="n">
        <v>0</v>
      </c>
      <c r="K444" t="n">
        <v>0</v>
      </c>
      <c r="L444" t="n">
        <v>0</v>
      </c>
      <c r="M444" t="n">
        <v>0</v>
      </c>
      <c r="N444" t="n">
        <v>0</v>
      </c>
      <c r="O444" t="n">
        <v>0</v>
      </c>
      <c r="P444" t="n">
        <v>0</v>
      </c>
      <c r="Q444" t="n">
        <v>0</v>
      </c>
      <c r="R444" s="2" t="inlineStr"/>
    </row>
    <row r="445" ht="15" customHeight="1">
      <c r="A445" t="inlineStr">
        <is>
          <t>A 29384-2025</t>
        </is>
      </c>
      <c r="B445" s="1" t="n">
        <v>45824</v>
      </c>
      <c r="C445" s="1" t="n">
        <v>45912</v>
      </c>
      <c r="D445" t="inlineStr">
        <is>
          <t>UPPSALA LÄN</t>
        </is>
      </c>
      <c r="E445" t="inlineStr">
        <is>
          <t>ÖSTHAMMAR</t>
        </is>
      </c>
      <c r="G445" t="n">
        <v>3.1</v>
      </c>
      <c r="H445" t="n">
        <v>0</v>
      </c>
      <c r="I445" t="n">
        <v>0</v>
      </c>
      <c r="J445" t="n">
        <v>0</v>
      </c>
      <c r="K445" t="n">
        <v>0</v>
      </c>
      <c r="L445" t="n">
        <v>0</v>
      </c>
      <c r="M445" t="n">
        <v>0</v>
      </c>
      <c r="N445" t="n">
        <v>0</v>
      </c>
      <c r="O445" t="n">
        <v>0</v>
      </c>
      <c r="P445" t="n">
        <v>0</v>
      </c>
      <c r="Q445" t="n">
        <v>0</v>
      </c>
      <c r="R445" s="2" t="inlineStr"/>
    </row>
    <row r="446" ht="15" customHeight="1">
      <c r="A446" t="inlineStr">
        <is>
          <t>A 7195-2023</t>
        </is>
      </c>
      <c r="B446" s="1" t="n">
        <v>44970</v>
      </c>
      <c r="C446" s="1" t="n">
        <v>45912</v>
      </c>
      <c r="D446" t="inlineStr">
        <is>
          <t>UPPSALA LÄN</t>
        </is>
      </c>
      <c r="E446" t="inlineStr">
        <is>
          <t>ÖSTHAMMAR</t>
        </is>
      </c>
      <c r="G446" t="n">
        <v>1.3</v>
      </c>
      <c r="H446" t="n">
        <v>0</v>
      </c>
      <c r="I446" t="n">
        <v>0</v>
      </c>
      <c r="J446" t="n">
        <v>0</v>
      </c>
      <c r="K446" t="n">
        <v>0</v>
      </c>
      <c r="L446" t="n">
        <v>0</v>
      </c>
      <c r="M446" t="n">
        <v>0</v>
      </c>
      <c r="N446" t="n">
        <v>0</v>
      </c>
      <c r="O446" t="n">
        <v>0</v>
      </c>
      <c r="P446" t="n">
        <v>0</v>
      </c>
      <c r="Q446" t="n">
        <v>0</v>
      </c>
      <c r="R446" s="2" t="inlineStr"/>
    </row>
    <row r="447" ht="15" customHeight="1">
      <c r="A447" t="inlineStr">
        <is>
          <t>A 27490-2025</t>
        </is>
      </c>
      <c r="B447" s="1" t="n">
        <v>45813.39273148148</v>
      </c>
      <c r="C447" s="1" t="n">
        <v>45912</v>
      </c>
      <c r="D447" t="inlineStr">
        <is>
          <t>UPPSALA LÄN</t>
        </is>
      </c>
      <c r="E447" t="inlineStr">
        <is>
          <t>ÖSTHAMMAR</t>
        </is>
      </c>
      <c r="F447" t="inlineStr">
        <is>
          <t>Bergvik skog öst AB</t>
        </is>
      </c>
      <c r="G447" t="n">
        <v>6.1</v>
      </c>
      <c r="H447" t="n">
        <v>0</v>
      </c>
      <c r="I447" t="n">
        <v>0</v>
      </c>
      <c r="J447" t="n">
        <v>0</v>
      </c>
      <c r="K447" t="n">
        <v>0</v>
      </c>
      <c r="L447" t="n">
        <v>0</v>
      </c>
      <c r="M447" t="n">
        <v>0</v>
      </c>
      <c r="N447" t="n">
        <v>0</v>
      </c>
      <c r="O447" t="n">
        <v>0</v>
      </c>
      <c r="P447" t="n">
        <v>0</v>
      </c>
      <c r="Q447" t="n">
        <v>0</v>
      </c>
      <c r="R447" s="2" t="inlineStr"/>
    </row>
    <row r="448" ht="15" customHeight="1">
      <c r="A448" t="inlineStr">
        <is>
          <t>A 8830-2023</t>
        </is>
      </c>
      <c r="B448" s="1" t="n">
        <v>44978</v>
      </c>
      <c r="C448" s="1" t="n">
        <v>45912</v>
      </c>
      <c r="D448" t="inlineStr">
        <is>
          <t>UPPSALA LÄN</t>
        </is>
      </c>
      <c r="E448" t="inlineStr">
        <is>
          <t>ÖSTHAMMAR</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26774-2023</t>
        </is>
      </c>
      <c r="B449" s="1" t="n">
        <v>45093.47947916666</v>
      </c>
      <c r="C449" s="1" t="n">
        <v>45912</v>
      </c>
      <c r="D449" t="inlineStr">
        <is>
          <t>UPPSALA LÄN</t>
        </is>
      </c>
      <c r="E449" t="inlineStr">
        <is>
          <t>ÖSTHAMMAR</t>
        </is>
      </c>
      <c r="F449" t="inlineStr">
        <is>
          <t>Bergvik skog öst AB</t>
        </is>
      </c>
      <c r="G449" t="n">
        <v>2.1</v>
      </c>
      <c r="H449" t="n">
        <v>0</v>
      </c>
      <c r="I449" t="n">
        <v>0</v>
      </c>
      <c r="J449" t="n">
        <v>0</v>
      </c>
      <c r="K449" t="n">
        <v>0</v>
      </c>
      <c r="L449" t="n">
        <v>0</v>
      </c>
      <c r="M449" t="n">
        <v>0</v>
      </c>
      <c r="N449" t="n">
        <v>0</v>
      </c>
      <c r="O449" t="n">
        <v>0</v>
      </c>
      <c r="P449" t="n">
        <v>0</v>
      </c>
      <c r="Q449" t="n">
        <v>0</v>
      </c>
      <c r="R449" s="2" t="inlineStr"/>
    </row>
    <row r="450" ht="15" customHeight="1">
      <c r="A450" t="inlineStr">
        <is>
          <t>A 29775-2025</t>
        </is>
      </c>
      <c r="B450" s="1" t="n">
        <v>45825.63803240741</v>
      </c>
      <c r="C450" s="1" t="n">
        <v>45912</v>
      </c>
      <c r="D450" t="inlineStr">
        <is>
          <t>UPPSALA LÄN</t>
        </is>
      </c>
      <c r="E450" t="inlineStr">
        <is>
          <t>ÖSTHAMMAR</t>
        </is>
      </c>
      <c r="G450" t="n">
        <v>0.9</v>
      </c>
      <c r="H450" t="n">
        <v>0</v>
      </c>
      <c r="I450" t="n">
        <v>0</v>
      </c>
      <c r="J450" t="n">
        <v>0</v>
      </c>
      <c r="K450" t="n">
        <v>0</v>
      </c>
      <c r="L450" t="n">
        <v>0</v>
      </c>
      <c r="M450" t="n">
        <v>0</v>
      </c>
      <c r="N450" t="n">
        <v>0</v>
      </c>
      <c r="O450" t="n">
        <v>0</v>
      </c>
      <c r="P450" t="n">
        <v>0</v>
      </c>
      <c r="Q450" t="n">
        <v>0</v>
      </c>
      <c r="R450" s="2" t="inlineStr"/>
    </row>
    <row r="451" ht="15" customHeight="1">
      <c r="A451" t="inlineStr">
        <is>
          <t>A 27486-2025</t>
        </is>
      </c>
      <c r="B451" s="1" t="n">
        <v>45813.38521990741</v>
      </c>
      <c r="C451" s="1" t="n">
        <v>45912</v>
      </c>
      <c r="D451" t="inlineStr">
        <is>
          <t>UPPSALA LÄN</t>
        </is>
      </c>
      <c r="E451" t="inlineStr">
        <is>
          <t>ÖSTHAMMAR</t>
        </is>
      </c>
      <c r="F451" t="inlineStr">
        <is>
          <t>Bergvik skog öst AB</t>
        </is>
      </c>
      <c r="G451" t="n">
        <v>1.7</v>
      </c>
      <c r="H451" t="n">
        <v>0</v>
      </c>
      <c r="I451" t="n">
        <v>0</v>
      </c>
      <c r="J451" t="n">
        <v>0</v>
      </c>
      <c r="K451" t="n">
        <v>0</v>
      </c>
      <c r="L451" t="n">
        <v>0</v>
      </c>
      <c r="M451" t="n">
        <v>0</v>
      </c>
      <c r="N451" t="n">
        <v>0</v>
      </c>
      <c r="O451" t="n">
        <v>0</v>
      </c>
      <c r="P451" t="n">
        <v>0</v>
      </c>
      <c r="Q451" t="n">
        <v>0</v>
      </c>
      <c r="R451" s="2" t="inlineStr"/>
    </row>
    <row r="452" ht="15" customHeight="1">
      <c r="A452" t="inlineStr">
        <is>
          <t>A 5076-2025</t>
        </is>
      </c>
      <c r="B452" s="1" t="n">
        <v>45691</v>
      </c>
      <c r="C452" s="1" t="n">
        <v>45912</v>
      </c>
      <c r="D452" t="inlineStr">
        <is>
          <t>UPPSALA LÄN</t>
        </is>
      </c>
      <c r="E452" t="inlineStr">
        <is>
          <t>ÖSTHAMMAR</t>
        </is>
      </c>
      <c r="G452" t="n">
        <v>5.8</v>
      </c>
      <c r="H452" t="n">
        <v>0</v>
      </c>
      <c r="I452" t="n">
        <v>0</v>
      </c>
      <c r="J452" t="n">
        <v>0</v>
      </c>
      <c r="K452" t="n">
        <v>0</v>
      </c>
      <c r="L452" t="n">
        <v>0</v>
      </c>
      <c r="M452" t="n">
        <v>0</v>
      </c>
      <c r="N452" t="n">
        <v>0</v>
      </c>
      <c r="O452" t="n">
        <v>0</v>
      </c>
      <c r="P452" t="n">
        <v>0</v>
      </c>
      <c r="Q452" t="n">
        <v>0</v>
      </c>
      <c r="R452" s="2" t="inlineStr"/>
    </row>
    <row r="453" ht="15" customHeight="1">
      <c r="A453" t="inlineStr">
        <is>
          <t>A 30244-2025</t>
        </is>
      </c>
      <c r="B453" s="1" t="n">
        <v>45827.40902777778</v>
      </c>
      <c r="C453" s="1" t="n">
        <v>45912</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18091-2023</t>
        </is>
      </c>
      <c r="B454" s="1" t="n">
        <v>45040</v>
      </c>
      <c r="C454" s="1" t="n">
        <v>45912</v>
      </c>
      <c r="D454" t="inlineStr">
        <is>
          <t>UPPSALA LÄN</t>
        </is>
      </c>
      <c r="E454" t="inlineStr">
        <is>
          <t>ÖSTHAMMAR</t>
        </is>
      </c>
      <c r="G454" t="n">
        <v>2.4</v>
      </c>
      <c r="H454" t="n">
        <v>0</v>
      </c>
      <c r="I454" t="n">
        <v>0</v>
      </c>
      <c r="J454" t="n">
        <v>0</v>
      </c>
      <c r="K454" t="n">
        <v>0</v>
      </c>
      <c r="L454" t="n">
        <v>0</v>
      </c>
      <c r="M454" t="n">
        <v>0</v>
      </c>
      <c r="N454" t="n">
        <v>0</v>
      </c>
      <c r="O454" t="n">
        <v>0</v>
      </c>
      <c r="P454" t="n">
        <v>0</v>
      </c>
      <c r="Q454" t="n">
        <v>0</v>
      </c>
      <c r="R454" s="2" t="inlineStr"/>
    </row>
    <row r="455" ht="15" customHeight="1">
      <c r="A455" t="inlineStr">
        <is>
          <t>A 47522-2023</t>
        </is>
      </c>
      <c r="B455" s="1" t="n">
        <v>45203</v>
      </c>
      <c r="C455" s="1" t="n">
        <v>45912</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13358-2024</t>
        </is>
      </c>
      <c r="B456" s="1" t="n">
        <v>45387.3503125</v>
      </c>
      <c r="C456" s="1" t="n">
        <v>45912</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29282-2021</t>
        </is>
      </c>
      <c r="B457" s="1" t="n">
        <v>44361</v>
      </c>
      <c r="C457" s="1" t="n">
        <v>45912</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54366-2023</t>
        </is>
      </c>
      <c r="B458" s="1" t="n">
        <v>45233</v>
      </c>
      <c r="C458" s="1" t="n">
        <v>45912</v>
      </c>
      <c r="D458" t="inlineStr">
        <is>
          <t>UPPSALA LÄN</t>
        </is>
      </c>
      <c r="E458" t="inlineStr">
        <is>
          <t>ÖSTHAMMAR</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17644-2025</t>
        </is>
      </c>
      <c r="B459" s="1" t="n">
        <v>45758.32645833334</v>
      </c>
      <c r="C459" s="1" t="n">
        <v>45912</v>
      </c>
      <c r="D459" t="inlineStr">
        <is>
          <t>UPPSALA LÄN</t>
        </is>
      </c>
      <c r="E459" t="inlineStr">
        <is>
          <t>ÖSTHAMMAR</t>
        </is>
      </c>
      <c r="F459" t="inlineStr">
        <is>
          <t>Bergvik skog väst AB</t>
        </is>
      </c>
      <c r="G459" t="n">
        <v>6.1</v>
      </c>
      <c r="H459" t="n">
        <v>0</v>
      </c>
      <c r="I459" t="n">
        <v>0</v>
      </c>
      <c r="J459" t="n">
        <v>0</v>
      </c>
      <c r="K459" t="n">
        <v>0</v>
      </c>
      <c r="L459" t="n">
        <v>0</v>
      </c>
      <c r="M459" t="n">
        <v>0</v>
      </c>
      <c r="N459" t="n">
        <v>0</v>
      </c>
      <c r="O459" t="n">
        <v>0</v>
      </c>
      <c r="P459" t="n">
        <v>0</v>
      </c>
      <c r="Q459" t="n">
        <v>0</v>
      </c>
      <c r="R459" s="2" t="inlineStr"/>
    </row>
    <row r="460" ht="15" customHeight="1">
      <c r="A460" t="inlineStr">
        <is>
          <t>A 20324-2021</t>
        </is>
      </c>
      <c r="B460" s="1" t="n">
        <v>44308</v>
      </c>
      <c r="C460" s="1" t="n">
        <v>45912</v>
      </c>
      <c r="D460" t="inlineStr">
        <is>
          <t>UPPSALA LÄN</t>
        </is>
      </c>
      <c r="E460" t="inlineStr">
        <is>
          <t>ÖSTHAMMAR</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17652-2025</t>
        </is>
      </c>
      <c r="B461" s="1" t="n">
        <v>45758.33583333333</v>
      </c>
      <c r="C461" s="1" t="n">
        <v>45912</v>
      </c>
      <c r="D461" t="inlineStr">
        <is>
          <t>UPPSALA LÄN</t>
        </is>
      </c>
      <c r="E461" t="inlineStr">
        <is>
          <t>ÖSTHAMMAR</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52694-2023</t>
        </is>
      </c>
      <c r="B462" s="1" t="n">
        <v>45225.76836805556</v>
      </c>
      <c r="C462" s="1" t="n">
        <v>45912</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6120-2024</t>
        </is>
      </c>
      <c r="B463" s="1" t="n">
        <v>45337.41784722222</v>
      </c>
      <c r="C463" s="1" t="n">
        <v>45912</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12528-2024</t>
        </is>
      </c>
      <c r="B464" s="1" t="n">
        <v>45379.61878472222</v>
      </c>
      <c r="C464" s="1" t="n">
        <v>45912</v>
      </c>
      <c r="D464" t="inlineStr">
        <is>
          <t>UPPSALA LÄN</t>
        </is>
      </c>
      <c r="E464" t="inlineStr">
        <is>
          <t>ÖSTHAMMAR</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23120-2021</t>
        </is>
      </c>
      <c r="B465" s="1" t="n">
        <v>44330</v>
      </c>
      <c r="C465" s="1" t="n">
        <v>45912</v>
      </c>
      <c r="D465" t="inlineStr">
        <is>
          <t>UPPSALA LÄN</t>
        </is>
      </c>
      <c r="E465" t="inlineStr">
        <is>
          <t>ÖSTHAMMAR</t>
        </is>
      </c>
      <c r="G465" t="n">
        <v>0.5</v>
      </c>
      <c r="H465" t="n">
        <v>0</v>
      </c>
      <c r="I465" t="n">
        <v>0</v>
      </c>
      <c r="J465" t="n">
        <v>0</v>
      </c>
      <c r="K465" t="n">
        <v>0</v>
      </c>
      <c r="L465" t="n">
        <v>0</v>
      </c>
      <c r="M465" t="n">
        <v>0</v>
      </c>
      <c r="N465" t="n">
        <v>0</v>
      </c>
      <c r="O465" t="n">
        <v>0</v>
      </c>
      <c r="P465" t="n">
        <v>0</v>
      </c>
      <c r="Q465" t="n">
        <v>0</v>
      </c>
      <c r="R465" s="2" t="inlineStr"/>
    </row>
    <row r="466" ht="15" customHeight="1">
      <c r="A466" t="inlineStr">
        <is>
          <t>A 30610-2025</t>
        </is>
      </c>
      <c r="B466" s="1" t="n">
        <v>45831.45965277778</v>
      </c>
      <c r="C466" s="1" t="n">
        <v>45912</v>
      </c>
      <c r="D466" t="inlineStr">
        <is>
          <t>UPPSALA LÄN</t>
        </is>
      </c>
      <c r="E466" t="inlineStr">
        <is>
          <t>ÖSTHAMMAR</t>
        </is>
      </c>
      <c r="G466" t="n">
        <v>0.2</v>
      </c>
      <c r="H466" t="n">
        <v>0</v>
      </c>
      <c r="I466" t="n">
        <v>0</v>
      </c>
      <c r="J466" t="n">
        <v>0</v>
      </c>
      <c r="K466" t="n">
        <v>0</v>
      </c>
      <c r="L466" t="n">
        <v>0</v>
      </c>
      <c r="M466" t="n">
        <v>0</v>
      </c>
      <c r="N466" t="n">
        <v>0</v>
      </c>
      <c r="O466" t="n">
        <v>0</v>
      </c>
      <c r="P466" t="n">
        <v>0</v>
      </c>
      <c r="Q466" t="n">
        <v>0</v>
      </c>
      <c r="R466" s="2" t="inlineStr"/>
    </row>
    <row r="467" ht="15" customHeight="1">
      <c r="A467" t="inlineStr">
        <is>
          <t>A 36643-2025</t>
        </is>
      </c>
      <c r="B467" s="1" t="n">
        <v>45872.47782407407</v>
      </c>
      <c r="C467" s="1" t="n">
        <v>45912</v>
      </c>
      <c r="D467" t="inlineStr">
        <is>
          <t>UPPSALA LÄN</t>
        </is>
      </c>
      <c r="E467" t="inlineStr">
        <is>
          <t>ÖSTHAMMAR</t>
        </is>
      </c>
      <c r="F467" t="inlineStr">
        <is>
          <t>Bergvik skog öst AB</t>
        </is>
      </c>
      <c r="G467" t="n">
        <v>15.1</v>
      </c>
      <c r="H467" t="n">
        <v>0</v>
      </c>
      <c r="I467" t="n">
        <v>0</v>
      </c>
      <c r="J467" t="n">
        <v>0</v>
      </c>
      <c r="K467" t="n">
        <v>0</v>
      </c>
      <c r="L467" t="n">
        <v>0</v>
      </c>
      <c r="M467" t="n">
        <v>0</v>
      </c>
      <c r="N467" t="n">
        <v>0</v>
      </c>
      <c r="O467" t="n">
        <v>0</v>
      </c>
      <c r="P467" t="n">
        <v>0</v>
      </c>
      <c r="Q467" t="n">
        <v>0</v>
      </c>
      <c r="R467" s="2" t="inlineStr"/>
    </row>
    <row r="468" ht="15" customHeight="1">
      <c r="A468" t="inlineStr">
        <is>
          <t>A 36644-2025</t>
        </is>
      </c>
      <c r="B468" s="1" t="n">
        <v>45872.48738425926</v>
      </c>
      <c r="C468" s="1" t="n">
        <v>45912</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357-2025</t>
        </is>
      </c>
      <c r="B469" s="1" t="n">
        <v>45659</v>
      </c>
      <c r="C469" s="1" t="n">
        <v>45912</v>
      </c>
      <c r="D469" t="inlineStr">
        <is>
          <t>UPPSALA LÄN</t>
        </is>
      </c>
      <c r="E469" t="inlineStr">
        <is>
          <t>ÖSTHAMMAR</t>
        </is>
      </c>
      <c r="G469" t="n">
        <v>15.8</v>
      </c>
      <c r="H469" t="n">
        <v>0</v>
      </c>
      <c r="I469" t="n">
        <v>0</v>
      </c>
      <c r="J469" t="n">
        <v>0</v>
      </c>
      <c r="K469" t="n">
        <v>0</v>
      </c>
      <c r="L469" t="n">
        <v>0</v>
      </c>
      <c r="M469" t="n">
        <v>0</v>
      </c>
      <c r="N469" t="n">
        <v>0</v>
      </c>
      <c r="O469" t="n">
        <v>0</v>
      </c>
      <c r="P469" t="n">
        <v>0</v>
      </c>
      <c r="Q469" t="n">
        <v>0</v>
      </c>
      <c r="R469" s="2" t="inlineStr"/>
    </row>
    <row r="470" ht="15" customHeight="1">
      <c r="A470" t="inlineStr">
        <is>
          <t>A 30504-2025</t>
        </is>
      </c>
      <c r="B470" s="1" t="n">
        <v>45830.8558912037</v>
      </c>
      <c r="C470" s="1" t="n">
        <v>45912</v>
      </c>
      <c r="D470" t="inlineStr">
        <is>
          <t>UPPSALA LÄN</t>
        </is>
      </c>
      <c r="E470" t="inlineStr">
        <is>
          <t>ÖSTHAMMAR</t>
        </is>
      </c>
      <c r="G470" t="n">
        <v>0.6</v>
      </c>
      <c r="H470" t="n">
        <v>0</v>
      </c>
      <c r="I470" t="n">
        <v>0</v>
      </c>
      <c r="J470" t="n">
        <v>0</v>
      </c>
      <c r="K470" t="n">
        <v>0</v>
      </c>
      <c r="L470" t="n">
        <v>0</v>
      </c>
      <c r="M470" t="n">
        <v>0</v>
      </c>
      <c r="N470" t="n">
        <v>0</v>
      </c>
      <c r="O470" t="n">
        <v>0</v>
      </c>
      <c r="P470" t="n">
        <v>0</v>
      </c>
      <c r="Q470" t="n">
        <v>0</v>
      </c>
      <c r="R470" s="2" t="inlineStr"/>
    </row>
    <row r="471" ht="15" customHeight="1">
      <c r="A471" t="inlineStr">
        <is>
          <t>A 30503-2025</t>
        </is>
      </c>
      <c r="B471" s="1" t="n">
        <v>45830.8500462963</v>
      </c>
      <c r="C471" s="1" t="n">
        <v>45912</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9267-2024</t>
        </is>
      </c>
      <c r="B472" s="1" t="n">
        <v>45358</v>
      </c>
      <c r="C472" s="1" t="n">
        <v>45912</v>
      </c>
      <c r="D472" t="inlineStr">
        <is>
          <t>UPPSALA LÄN</t>
        </is>
      </c>
      <c r="E472" t="inlineStr">
        <is>
          <t>ÖSTHAMMAR</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36873-2022</t>
        </is>
      </c>
      <c r="B473" s="1" t="n">
        <v>44805.63708333333</v>
      </c>
      <c r="C473" s="1" t="n">
        <v>45912</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33601-2024</t>
        </is>
      </c>
      <c r="B474" s="1" t="n">
        <v>45520</v>
      </c>
      <c r="C474" s="1" t="n">
        <v>45912</v>
      </c>
      <c r="D474" t="inlineStr">
        <is>
          <t>UPPSALA LÄN</t>
        </is>
      </c>
      <c r="E474" t="inlineStr">
        <is>
          <t>ÖSTHAMMAR</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54666-2022</t>
        </is>
      </c>
      <c r="B475" s="1" t="n">
        <v>44883</v>
      </c>
      <c r="C475" s="1" t="n">
        <v>45912</v>
      </c>
      <c r="D475" t="inlineStr">
        <is>
          <t>UPPSALA LÄN</t>
        </is>
      </c>
      <c r="E475" t="inlineStr">
        <is>
          <t>ÖSTHAMMAR</t>
        </is>
      </c>
      <c r="G475" t="n">
        <v>14.3</v>
      </c>
      <c r="H475" t="n">
        <v>0</v>
      </c>
      <c r="I475" t="n">
        <v>0</v>
      </c>
      <c r="J475" t="n">
        <v>0</v>
      </c>
      <c r="K475" t="n">
        <v>0</v>
      </c>
      <c r="L475" t="n">
        <v>0</v>
      </c>
      <c r="M475" t="n">
        <v>0</v>
      </c>
      <c r="N475" t="n">
        <v>0</v>
      </c>
      <c r="O475" t="n">
        <v>0</v>
      </c>
      <c r="P475" t="n">
        <v>0</v>
      </c>
      <c r="Q475" t="n">
        <v>0</v>
      </c>
      <c r="R475" s="2" t="inlineStr"/>
    </row>
    <row r="476" ht="15" customHeight="1">
      <c r="A476" t="inlineStr">
        <is>
          <t>A 61817-2021</t>
        </is>
      </c>
      <c r="B476" s="1" t="n">
        <v>44501.76855324074</v>
      </c>
      <c r="C476" s="1" t="n">
        <v>45912</v>
      </c>
      <c r="D476" t="inlineStr">
        <is>
          <t>UPPSALA LÄN</t>
        </is>
      </c>
      <c r="E476" t="inlineStr">
        <is>
          <t>ÖSTHAMMAR</t>
        </is>
      </c>
      <c r="F476" t="inlineStr">
        <is>
          <t>Bergvik skog öst AB</t>
        </is>
      </c>
      <c r="G476" t="n">
        <v>2.3</v>
      </c>
      <c r="H476" t="n">
        <v>0</v>
      </c>
      <c r="I476" t="n">
        <v>0</v>
      </c>
      <c r="J476" t="n">
        <v>0</v>
      </c>
      <c r="K476" t="n">
        <v>0</v>
      </c>
      <c r="L476" t="n">
        <v>0</v>
      </c>
      <c r="M476" t="n">
        <v>0</v>
      </c>
      <c r="N476" t="n">
        <v>0</v>
      </c>
      <c r="O476" t="n">
        <v>0</v>
      </c>
      <c r="P476" t="n">
        <v>0</v>
      </c>
      <c r="Q476" t="n">
        <v>0</v>
      </c>
      <c r="R476" s="2" t="inlineStr"/>
    </row>
    <row r="477" ht="15" customHeight="1">
      <c r="A477" t="inlineStr">
        <is>
          <t>A 31249-2025</t>
        </is>
      </c>
      <c r="B477" s="1" t="n">
        <v>45832.89476851852</v>
      </c>
      <c r="C477" s="1" t="n">
        <v>45912</v>
      </c>
      <c r="D477" t="inlineStr">
        <is>
          <t>UPPSALA LÄN</t>
        </is>
      </c>
      <c r="E477" t="inlineStr">
        <is>
          <t>ÖSTHAMMAR</t>
        </is>
      </c>
      <c r="G477" t="n">
        <v>0.6</v>
      </c>
      <c r="H477" t="n">
        <v>0</v>
      </c>
      <c r="I477" t="n">
        <v>0</v>
      </c>
      <c r="J477" t="n">
        <v>0</v>
      </c>
      <c r="K477" t="n">
        <v>0</v>
      </c>
      <c r="L477" t="n">
        <v>0</v>
      </c>
      <c r="M477" t="n">
        <v>0</v>
      </c>
      <c r="N477" t="n">
        <v>0</v>
      </c>
      <c r="O477" t="n">
        <v>0</v>
      </c>
      <c r="P477" t="n">
        <v>0</v>
      </c>
      <c r="Q477" t="n">
        <v>0</v>
      </c>
      <c r="R477" s="2" t="inlineStr"/>
    </row>
    <row r="478" ht="15" customHeight="1">
      <c r="A478" t="inlineStr">
        <is>
          <t>A 31579-2025</t>
        </is>
      </c>
      <c r="B478" s="1" t="n">
        <v>45833.68211805556</v>
      </c>
      <c r="C478" s="1" t="n">
        <v>45912</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31360-2025</t>
        </is>
      </c>
      <c r="B479" s="1" t="n">
        <v>45833.43527777777</v>
      </c>
      <c r="C479" s="1" t="n">
        <v>45912</v>
      </c>
      <c r="D479" t="inlineStr">
        <is>
          <t>UPPSALA LÄN</t>
        </is>
      </c>
      <c r="E479" t="inlineStr">
        <is>
          <t>ÖSTHAMMAR</t>
        </is>
      </c>
      <c r="G479" t="n">
        <v>1.1</v>
      </c>
      <c r="H479" t="n">
        <v>0</v>
      </c>
      <c r="I479" t="n">
        <v>0</v>
      </c>
      <c r="J479" t="n">
        <v>0</v>
      </c>
      <c r="K479" t="n">
        <v>0</v>
      </c>
      <c r="L479" t="n">
        <v>0</v>
      </c>
      <c r="M479" t="n">
        <v>0</v>
      </c>
      <c r="N479" t="n">
        <v>0</v>
      </c>
      <c r="O479" t="n">
        <v>0</v>
      </c>
      <c r="P479" t="n">
        <v>0</v>
      </c>
      <c r="Q479" t="n">
        <v>0</v>
      </c>
      <c r="R479" s="2" t="inlineStr"/>
    </row>
    <row r="480" ht="15" customHeight="1">
      <c r="A480" t="inlineStr">
        <is>
          <t>A 54437-2024</t>
        </is>
      </c>
      <c r="B480" s="1" t="n">
        <v>45617</v>
      </c>
      <c r="C480" s="1" t="n">
        <v>45912</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9052-2023</t>
        </is>
      </c>
      <c r="B481" s="1" t="n">
        <v>44979</v>
      </c>
      <c r="C481" s="1" t="n">
        <v>45912</v>
      </c>
      <c r="D481" t="inlineStr">
        <is>
          <t>UPPSALA LÄN</t>
        </is>
      </c>
      <c r="E481" t="inlineStr">
        <is>
          <t>ÖSTHAMMAR</t>
        </is>
      </c>
      <c r="F481" t="inlineStr">
        <is>
          <t>Kyrkan</t>
        </is>
      </c>
      <c r="G481" t="n">
        <v>0.2</v>
      </c>
      <c r="H481" t="n">
        <v>0</v>
      </c>
      <c r="I481" t="n">
        <v>0</v>
      </c>
      <c r="J481" t="n">
        <v>0</v>
      </c>
      <c r="K481" t="n">
        <v>0</v>
      </c>
      <c r="L481" t="n">
        <v>0</v>
      </c>
      <c r="M481" t="n">
        <v>0</v>
      </c>
      <c r="N481" t="n">
        <v>0</v>
      </c>
      <c r="O481" t="n">
        <v>0</v>
      </c>
      <c r="P481" t="n">
        <v>0</v>
      </c>
      <c r="Q481" t="n">
        <v>0</v>
      </c>
      <c r="R481" s="2" t="inlineStr"/>
    </row>
    <row r="482" ht="15" customHeight="1">
      <c r="A482" t="inlineStr">
        <is>
          <t>A 23197-2023</t>
        </is>
      </c>
      <c r="B482" s="1" t="n">
        <v>45075</v>
      </c>
      <c r="C482" s="1" t="n">
        <v>45912</v>
      </c>
      <c r="D482" t="inlineStr">
        <is>
          <t>UPPSALA LÄN</t>
        </is>
      </c>
      <c r="E482" t="inlineStr">
        <is>
          <t>ÖSTHAMMAR</t>
        </is>
      </c>
      <c r="G482" t="n">
        <v>0.5</v>
      </c>
      <c r="H482" t="n">
        <v>0</v>
      </c>
      <c r="I482" t="n">
        <v>0</v>
      </c>
      <c r="J482" t="n">
        <v>0</v>
      </c>
      <c r="K482" t="n">
        <v>0</v>
      </c>
      <c r="L482" t="n">
        <v>0</v>
      </c>
      <c r="M482" t="n">
        <v>0</v>
      </c>
      <c r="N482" t="n">
        <v>0</v>
      </c>
      <c r="O482" t="n">
        <v>0</v>
      </c>
      <c r="P482" t="n">
        <v>0</v>
      </c>
      <c r="Q482" t="n">
        <v>0</v>
      </c>
      <c r="R482" s="2" t="inlineStr"/>
    </row>
    <row r="483" ht="15" customHeight="1">
      <c r="A483" t="inlineStr">
        <is>
          <t>A 52478-2024</t>
        </is>
      </c>
      <c r="B483" s="1" t="n">
        <v>45609.55065972222</v>
      </c>
      <c r="C483" s="1" t="n">
        <v>45912</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13044-2022</t>
        </is>
      </c>
      <c r="B484" s="1" t="n">
        <v>44643</v>
      </c>
      <c r="C484" s="1" t="n">
        <v>45912</v>
      </c>
      <c r="D484" t="inlineStr">
        <is>
          <t>UPPSALA LÄN</t>
        </is>
      </c>
      <c r="E484" t="inlineStr">
        <is>
          <t>ÖSTHAMMAR</t>
        </is>
      </c>
      <c r="G484" t="n">
        <v>2.5</v>
      </c>
      <c r="H484" t="n">
        <v>0</v>
      </c>
      <c r="I484" t="n">
        <v>0</v>
      </c>
      <c r="J484" t="n">
        <v>0</v>
      </c>
      <c r="K484" t="n">
        <v>0</v>
      </c>
      <c r="L484" t="n">
        <v>0</v>
      </c>
      <c r="M484" t="n">
        <v>0</v>
      </c>
      <c r="N484" t="n">
        <v>0</v>
      </c>
      <c r="O484" t="n">
        <v>0</v>
      </c>
      <c r="P484" t="n">
        <v>0</v>
      </c>
      <c r="Q484" t="n">
        <v>0</v>
      </c>
      <c r="R484" s="2" t="inlineStr"/>
    </row>
    <row r="485" ht="15" customHeight="1">
      <c r="A485" t="inlineStr">
        <is>
          <t>A 28152-2024</t>
        </is>
      </c>
      <c r="B485" s="1" t="n">
        <v>45476.77056712963</v>
      </c>
      <c r="C485" s="1" t="n">
        <v>45912</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2947-2025</t>
        </is>
      </c>
      <c r="B486" s="1" t="n">
        <v>45678</v>
      </c>
      <c r="C486" s="1" t="n">
        <v>45912</v>
      </c>
      <c r="D486" t="inlineStr">
        <is>
          <t>UPPSALA LÄN</t>
        </is>
      </c>
      <c r="E486" t="inlineStr">
        <is>
          <t>ÖSTHAMMAR</t>
        </is>
      </c>
      <c r="G486" t="n">
        <v>3.6</v>
      </c>
      <c r="H486" t="n">
        <v>0</v>
      </c>
      <c r="I486" t="n">
        <v>0</v>
      </c>
      <c r="J486" t="n">
        <v>0</v>
      </c>
      <c r="K486" t="n">
        <v>0</v>
      </c>
      <c r="L486" t="n">
        <v>0</v>
      </c>
      <c r="M486" t="n">
        <v>0</v>
      </c>
      <c r="N486" t="n">
        <v>0</v>
      </c>
      <c r="O486" t="n">
        <v>0</v>
      </c>
      <c r="P486" t="n">
        <v>0</v>
      </c>
      <c r="Q486" t="n">
        <v>0</v>
      </c>
      <c r="R486" s="2" t="inlineStr"/>
    </row>
    <row r="487" ht="15" customHeight="1">
      <c r="A487" t="inlineStr">
        <is>
          <t>A 17433-2025</t>
        </is>
      </c>
      <c r="B487" s="1" t="n">
        <v>45757.40733796296</v>
      </c>
      <c r="C487" s="1" t="n">
        <v>45912</v>
      </c>
      <c r="D487" t="inlineStr">
        <is>
          <t>UPPSALA LÄN</t>
        </is>
      </c>
      <c r="E487" t="inlineStr">
        <is>
          <t>ÖSTHAMMAR</t>
        </is>
      </c>
      <c r="F487" t="inlineStr">
        <is>
          <t>Övriga Aktiebolag</t>
        </is>
      </c>
      <c r="G487" t="n">
        <v>0.5</v>
      </c>
      <c r="H487" t="n">
        <v>0</v>
      </c>
      <c r="I487" t="n">
        <v>0</v>
      </c>
      <c r="J487" t="n">
        <v>0</v>
      </c>
      <c r="K487" t="n">
        <v>0</v>
      </c>
      <c r="L487" t="n">
        <v>0</v>
      </c>
      <c r="M487" t="n">
        <v>0</v>
      </c>
      <c r="N487" t="n">
        <v>0</v>
      </c>
      <c r="O487" t="n">
        <v>0</v>
      </c>
      <c r="P487" t="n">
        <v>0</v>
      </c>
      <c r="Q487" t="n">
        <v>0</v>
      </c>
      <c r="R487" s="2" t="inlineStr"/>
    </row>
    <row r="488" ht="15" customHeight="1">
      <c r="A488" t="inlineStr">
        <is>
          <t>A 20326-2021</t>
        </is>
      </c>
      <c r="B488" s="1" t="n">
        <v>44308</v>
      </c>
      <c r="C488" s="1" t="n">
        <v>45912</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12756-2024</t>
        </is>
      </c>
      <c r="B489" s="1" t="n">
        <v>45384</v>
      </c>
      <c r="C489" s="1" t="n">
        <v>45912</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15928-2022</t>
        </is>
      </c>
      <c r="B490" s="1" t="n">
        <v>44664</v>
      </c>
      <c r="C490" s="1" t="n">
        <v>45912</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8708-2022</t>
        </is>
      </c>
      <c r="B491" s="1" t="n">
        <v>44613.77238425926</v>
      </c>
      <c r="C491" s="1" t="n">
        <v>45912</v>
      </c>
      <c r="D491" t="inlineStr">
        <is>
          <t>UPPSALA LÄN</t>
        </is>
      </c>
      <c r="E491" t="inlineStr">
        <is>
          <t>ÖSTHAMMAR</t>
        </is>
      </c>
      <c r="G491" t="n">
        <v>4.3</v>
      </c>
      <c r="H491" t="n">
        <v>0</v>
      </c>
      <c r="I491" t="n">
        <v>0</v>
      </c>
      <c r="J491" t="n">
        <v>0</v>
      </c>
      <c r="K491" t="n">
        <v>0</v>
      </c>
      <c r="L491" t="n">
        <v>0</v>
      </c>
      <c r="M491" t="n">
        <v>0</v>
      </c>
      <c r="N491" t="n">
        <v>0</v>
      </c>
      <c r="O491" t="n">
        <v>0</v>
      </c>
      <c r="P491" t="n">
        <v>0</v>
      </c>
      <c r="Q491" t="n">
        <v>0</v>
      </c>
      <c r="R491" s="2" t="inlineStr"/>
    </row>
    <row r="492" ht="15" customHeight="1">
      <c r="A492" t="inlineStr">
        <is>
          <t>A 31896-2025</t>
        </is>
      </c>
      <c r="B492" s="1" t="n">
        <v>45834.67556712963</v>
      </c>
      <c r="C492" s="1" t="n">
        <v>45912</v>
      </c>
      <c r="D492" t="inlineStr">
        <is>
          <t>UPPSALA LÄN</t>
        </is>
      </c>
      <c r="E492" t="inlineStr">
        <is>
          <t>ÖSTHAMMAR</t>
        </is>
      </c>
      <c r="G492" t="n">
        <v>4.1</v>
      </c>
      <c r="H492" t="n">
        <v>0</v>
      </c>
      <c r="I492" t="n">
        <v>0</v>
      </c>
      <c r="J492" t="n">
        <v>0</v>
      </c>
      <c r="K492" t="n">
        <v>0</v>
      </c>
      <c r="L492" t="n">
        <v>0</v>
      </c>
      <c r="M492" t="n">
        <v>0</v>
      </c>
      <c r="N492" t="n">
        <v>0</v>
      </c>
      <c r="O492" t="n">
        <v>0</v>
      </c>
      <c r="P492" t="n">
        <v>0</v>
      </c>
      <c r="Q492" t="n">
        <v>0</v>
      </c>
      <c r="R492" s="2" t="inlineStr"/>
    </row>
    <row r="493" ht="15" customHeight="1">
      <c r="A493" t="inlineStr">
        <is>
          <t>A 17643-2025</t>
        </is>
      </c>
      <c r="B493" s="1" t="n">
        <v>45758.32454861111</v>
      </c>
      <c r="C493" s="1" t="n">
        <v>45912</v>
      </c>
      <c r="D493" t="inlineStr">
        <is>
          <t>UPPSALA LÄN</t>
        </is>
      </c>
      <c r="E493" t="inlineStr">
        <is>
          <t>ÖSTHAMMAR</t>
        </is>
      </c>
      <c r="F493" t="inlineStr">
        <is>
          <t>Bergvik skog väst AB</t>
        </is>
      </c>
      <c r="G493" t="n">
        <v>2.6</v>
      </c>
      <c r="H493" t="n">
        <v>0</v>
      </c>
      <c r="I493" t="n">
        <v>0</v>
      </c>
      <c r="J493" t="n">
        <v>0</v>
      </c>
      <c r="K493" t="n">
        <v>0</v>
      </c>
      <c r="L493" t="n">
        <v>0</v>
      </c>
      <c r="M493" t="n">
        <v>0</v>
      </c>
      <c r="N493" t="n">
        <v>0</v>
      </c>
      <c r="O493" t="n">
        <v>0</v>
      </c>
      <c r="P493" t="n">
        <v>0</v>
      </c>
      <c r="Q493" t="n">
        <v>0</v>
      </c>
      <c r="R493" s="2" t="inlineStr"/>
    </row>
    <row r="494" ht="15" customHeight="1">
      <c r="A494" t="inlineStr">
        <is>
          <t>A 12262-2023</t>
        </is>
      </c>
      <c r="B494" s="1" t="n">
        <v>44998.66662037037</v>
      </c>
      <c r="C494" s="1" t="n">
        <v>45912</v>
      </c>
      <c r="D494" t="inlineStr">
        <is>
          <t>UPPSALA LÄN</t>
        </is>
      </c>
      <c r="E494" t="inlineStr">
        <is>
          <t>ÖSTHAMMAR</t>
        </is>
      </c>
      <c r="G494" t="n">
        <v>4.1</v>
      </c>
      <c r="H494" t="n">
        <v>0</v>
      </c>
      <c r="I494" t="n">
        <v>0</v>
      </c>
      <c r="J494" t="n">
        <v>0</v>
      </c>
      <c r="K494" t="n">
        <v>0</v>
      </c>
      <c r="L494" t="n">
        <v>0</v>
      </c>
      <c r="M494" t="n">
        <v>0</v>
      </c>
      <c r="N494" t="n">
        <v>0</v>
      </c>
      <c r="O494" t="n">
        <v>0</v>
      </c>
      <c r="P494" t="n">
        <v>0</v>
      </c>
      <c r="Q494" t="n">
        <v>0</v>
      </c>
      <c r="R494" s="2" t="inlineStr"/>
    </row>
    <row r="495" ht="15" customHeight="1">
      <c r="A495" t="inlineStr">
        <is>
          <t>A 41478-2024</t>
        </is>
      </c>
      <c r="B495" s="1" t="n">
        <v>45560.44158564815</v>
      </c>
      <c r="C495" s="1" t="n">
        <v>45912</v>
      </c>
      <c r="D495" t="inlineStr">
        <is>
          <t>UPPSALA LÄN</t>
        </is>
      </c>
      <c r="E495" t="inlineStr">
        <is>
          <t>ÖSTHAMMAR</t>
        </is>
      </c>
      <c r="G495" t="n">
        <v>1</v>
      </c>
      <c r="H495" t="n">
        <v>0</v>
      </c>
      <c r="I495" t="n">
        <v>0</v>
      </c>
      <c r="J495" t="n">
        <v>0</v>
      </c>
      <c r="K495" t="n">
        <v>0</v>
      </c>
      <c r="L495" t="n">
        <v>0</v>
      </c>
      <c r="M495" t="n">
        <v>0</v>
      </c>
      <c r="N495" t="n">
        <v>0</v>
      </c>
      <c r="O495" t="n">
        <v>0</v>
      </c>
      <c r="P495" t="n">
        <v>0</v>
      </c>
      <c r="Q495" t="n">
        <v>0</v>
      </c>
      <c r="R495" s="2" t="inlineStr"/>
    </row>
    <row r="496" ht="15" customHeight="1">
      <c r="A496" t="inlineStr">
        <is>
          <t>A 1063-2025</t>
        </is>
      </c>
      <c r="B496" s="1" t="n">
        <v>45666</v>
      </c>
      <c r="C496" s="1" t="n">
        <v>45912</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33760-2024</t>
        </is>
      </c>
      <c r="B497" s="1" t="n">
        <v>45520</v>
      </c>
      <c r="C497" s="1" t="n">
        <v>45912</v>
      </c>
      <c r="D497" t="inlineStr">
        <is>
          <t>UPPSALA LÄN</t>
        </is>
      </c>
      <c r="E497" t="inlineStr">
        <is>
          <t>ÖSTHAMMAR</t>
        </is>
      </c>
      <c r="F497" t="inlineStr">
        <is>
          <t>Övriga Aktiebolag</t>
        </is>
      </c>
      <c r="G497" t="n">
        <v>0.7</v>
      </c>
      <c r="H497" t="n">
        <v>0</v>
      </c>
      <c r="I497" t="n">
        <v>0</v>
      </c>
      <c r="J497" t="n">
        <v>0</v>
      </c>
      <c r="K497" t="n">
        <v>0</v>
      </c>
      <c r="L497" t="n">
        <v>0</v>
      </c>
      <c r="M497" t="n">
        <v>0</v>
      </c>
      <c r="N497" t="n">
        <v>0</v>
      </c>
      <c r="O497" t="n">
        <v>0</v>
      </c>
      <c r="P497" t="n">
        <v>0</v>
      </c>
      <c r="Q497" t="n">
        <v>0</v>
      </c>
      <c r="R497" s="2" t="inlineStr"/>
    </row>
    <row r="498" ht="15" customHeight="1">
      <c r="A498" t="inlineStr">
        <is>
          <t>A 8592-2022</t>
        </is>
      </c>
      <c r="B498" s="1" t="n">
        <v>44613</v>
      </c>
      <c r="C498" s="1" t="n">
        <v>45912</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52629-2023</t>
        </is>
      </c>
      <c r="B499" s="1" t="n">
        <v>45225</v>
      </c>
      <c r="C499" s="1" t="n">
        <v>45912</v>
      </c>
      <c r="D499" t="inlineStr">
        <is>
          <t>UPPSALA LÄN</t>
        </is>
      </c>
      <c r="E499" t="inlineStr">
        <is>
          <t>ÖSTHAMMAR</t>
        </is>
      </c>
      <c r="G499" t="n">
        <v>1.2</v>
      </c>
      <c r="H499" t="n">
        <v>0</v>
      </c>
      <c r="I499" t="n">
        <v>0</v>
      </c>
      <c r="J499" t="n">
        <v>0</v>
      </c>
      <c r="K499" t="n">
        <v>0</v>
      </c>
      <c r="L499" t="n">
        <v>0</v>
      </c>
      <c r="M499" t="n">
        <v>0</v>
      </c>
      <c r="N499" t="n">
        <v>0</v>
      </c>
      <c r="O499" t="n">
        <v>0</v>
      </c>
      <c r="P499" t="n">
        <v>0</v>
      </c>
      <c r="Q499" t="n">
        <v>0</v>
      </c>
      <c r="R499" s="2" t="inlineStr"/>
    </row>
    <row r="500" ht="15" customHeight="1">
      <c r="A500" t="inlineStr">
        <is>
          <t>A 35918-2023</t>
        </is>
      </c>
      <c r="B500" s="1" t="n">
        <v>45148.64976851852</v>
      </c>
      <c r="C500" s="1" t="n">
        <v>45912</v>
      </c>
      <c r="D500" t="inlineStr">
        <is>
          <t>UPPSALA LÄN</t>
        </is>
      </c>
      <c r="E500" t="inlineStr">
        <is>
          <t>ÖSTHAMMAR</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31956-2025</t>
        </is>
      </c>
      <c r="B501" s="1" t="n">
        <v>45835.34184027778</v>
      </c>
      <c r="C501" s="1" t="n">
        <v>45912</v>
      </c>
      <c r="D501" t="inlineStr">
        <is>
          <t>UPPSALA LÄN</t>
        </is>
      </c>
      <c r="E501" t="inlineStr">
        <is>
          <t>ÖSTHAMMAR</t>
        </is>
      </c>
      <c r="F501" t="inlineStr">
        <is>
          <t>Övriga Aktiebolag</t>
        </is>
      </c>
      <c r="G501" t="n">
        <v>4.2</v>
      </c>
      <c r="H501" t="n">
        <v>0</v>
      </c>
      <c r="I501" t="n">
        <v>0</v>
      </c>
      <c r="J501" t="n">
        <v>0</v>
      </c>
      <c r="K501" t="n">
        <v>0</v>
      </c>
      <c r="L501" t="n">
        <v>0</v>
      </c>
      <c r="M501" t="n">
        <v>0</v>
      </c>
      <c r="N501" t="n">
        <v>0</v>
      </c>
      <c r="O501" t="n">
        <v>0</v>
      </c>
      <c r="P501" t="n">
        <v>0</v>
      </c>
      <c r="Q501" t="n">
        <v>0</v>
      </c>
      <c r="R501" s="2" t="inlineStr"/>
    </row>
    <row r="502" ht="15" customHeight="1">
      <c r="A502" t="inlineStr">
        <is>
          <t>A 31977-2025</t>
        </is>
      </c>
      <c r="B502" s="1" t="n">
        <v>45835.3554050926</v>
      </c>
      <c r="C502" s="1" t="n">
        <v>45912</v>
      </c>
      <c r="D502" t="inlineStr">
        <is>
          <t>UPPSALA LÄN</t>
        </is>
      </c>
      <c r="E502" t="inlineStr">
        <is>
          <t>ÖSTHAMMAR</t>
        </is>
      </c>
      <c r="F502" t="inlineStr">
        <is>
          <t>Övriga Aktiebolag</t>
        </is>
      </c>
      <c r="G502" t="n">
        <v>35.3</v>
      </c>
      <c r="H502" t="n">
        <v>0</v>
      </c>
      <c r="I502" t="n">
        <v>0</v>
      </c>
      <c r="J502" t="n">
        <v>0</v>
      </c>
      <c r="K502" t="n">
        <v>0</v>
      </c>
      <c r="L502" t="n">
        <v>0</v>
      </c>
      <c r="M502" t="n">
        <v>0</v>
      </c>
      <c r="N502" t="n">
        <v>0</v>
      </c>
      <c r="O502" t="n">
        <v>0</v>
      </c>
      <c r="P502" t="n">
        <v>0</v>
      </c>
      <c r="Q502" t="n">
        <v>0</v>
      </c>
      <c r="R502" s="2" t="inlineStr"/>
    </row>
    <row r="503" ht="15" customHeight="1">
      <c r="A503" t="inlineStr">
        <is>
          <t>A 16141-2022</t>
        </is>
      </c>
      <c r="B503" s="1" t="n">
        <v>44665</v>
      </c>
      <c r="C503" s="1" t="n">
        <v>45912</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37764-2025</t>
        </is>
      </c>
      <c r="B504" s="1" t="n">
        <v>45880.70917824074</v>
      </c>
      <c r="C504" s="1" t="n">
        <v>45912</v>
      </c>
      <c r="D504" t="inlineStr">
        <is>
          <t>UPPSALA LÄN</t>
        </is>
      </c>
      <c r="E504" t="inlineStr">
        <is>
          <t>ÖSTHAMMAR</t>
        </is>
      </c>
      <c r="G504" t="n">
        <v>4.6</v>
      </c>
      <c r="H504" t="n">
        <v>0</v>
      </c>
      <c r="I504" t="n">
        <v>0</v>
      </c>
      <c r="J504" t="n">
        <v>0</v>
      </c>
      <c r="K504" t="n">
        <v>0</v>
      </c>
      <c r="L504" t="n">
        <v>0</v>
      </c>
      <c r="M504" t="n">
        <v>0</v>
      </c>
      <c r="N504" t="n">
        <v>0</v>
      </c>
      <c r="O504" t="n">
        <v>0</v>
      </c>
      <c r="P504" t="n">
        <v>0</v>
      </c>
      <c r="Q504" t="n">
        <v>0</v>
      </c>
      <c r="R504" s="2" t="inlineStr"/>
    </row>
    <row r="505" ht="15" customHeight="1">
      <c r="A505" t="inlineStr">
        <is>
          <t>A 37770-2025</t>
        </is>
      </c>
      <c r="B505" s="1" t="n">
        <v>45880.7505787037</v>
      </c>
      <c r="C505" s="1" t="n">
        <v>45912</v>
      </c>
      <c r="D505" t="inlineStr">
        <is>
          <t>UPPSALA LÄN</t>
        </is>
      </c>
      <c r="E505" t="inlineStr">
        <is>
          <t>ÖSTHAMMAR</t>
        </is>
      </c>
      <c r="G505" t="n">
        <v>2.9</v>
      </c>
      <c r="H505" t="n">
        <v>0</v>
      </c>
      <c r="I505" t="n">
        <v>0</v>
      </c>
      <c r="J505" t="n">
        <v>0</v>
      </c>
      <c r="K505" t="n">
        <v>0</v>
      </c>
      <c r="L505" t="n">
        <v>0</v>
      </c>
      <c r="M505" t="n">
        <v>0</v>
      </c>
      <c r="N505" t="n">
        <v>0</v>
      </c>
      <c r="O505" t="n">
        <v>0</v>
      </c>
      <c r="P505" t="n">
        <v>0</v>
      </c>
      <c r="Q505" t="n">
        <v>0</v>
      </c>
      <c r="R505" s="2" t="inlineStr"/>
    </row>
    <row r="506" ht="15" customHeight="1">
      <c r="A506" t="inlineStr">
        <is>
          <t>A 34922-2023</t>
        </is>
      </c>
      <c r="B506" s="1" t="n">
        <v>45142.48359953704</v>
      </c>
      <c r="C506" s="1" t="n">
        <v>45912</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27476-2025</t>
        </is>
      </c>
      <c r="B507" s="1" t="n">
        <v>45813.37517361111</v>
      </c>
      <c r="C507" s="1" t="n">
        <v>45912</v>
      </c>
      <c r="D507" t="inlineStr">
        <is>
          <t>UPPSALA LÄN</t>
        </is>
      </c>
      <c r="E507" t="inlineStr">
        <is>
          <t>ÖSTHAMMAR</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4292-2025</t>
        </is>
      </c>
      <c r="B508" s="1" t="n">
        <v>45685.66459490741</v>
      </c>
      <c r="C508" s="1" t="n">
        <v>45912</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4356-2025</t>
        </is>
      </c>
      <c r="B509" s="1" t="n">
        <v>45686</v>
      </c>
      <c r="C509" s="1" t="n">
        <v>45912</v>
      </c>
      <c r="D509" t="inlineStr">
        <is>
          <t>UPPSALA LÄN</t>
        </is>
      </c>
      <c r="E509" t="inlineStr">
        <is>
          <t>ÖSTHAMMAR</t>
        </is>
      </c>
      <c r="F509" t="inlineStr">
        <is>
          <t>Övriga Aktiebolag</t>
        </is>
      </c>
      <c r="G509" t="n">
        <v>24.6</v>
      </c>
      <c r="H509" t="n">
        <v>0</v>
      </c>
      <c r="I509" t="n">
        <v>0</v>
      </c>
      <c r="J509" t="n">
        <v>0</v>
      </c>
      <c r="K509" t="n">
        <v>0</v>
      </c>
      <c r="L509" t="n">
        <v>0</v>
      </c>
      <c r="M509" t="n">
        <v>0</v>
      </c>
      <c r="N509" t="n">
        <v>0</v>
      </c>
      <c r="O509" t="n">
        <v>0</v>
      </c>
      <c r="P509" t="n">
        <v>0</v>
      </c>
      <c r="Q509" t="n">
        <v>0</v>
      </c>
      <c r="R509" s="2" t="inlineStr"/>
    </row>
    <row r="510" ht="15" customHeight="1">
      <c r="A510" t="inlineStr">
        <is>
          <t>A 6661-2024</t>
        </is>
      </c>
      <c r="B510" s="1" t="n">
        <v>45341.70582175926</v>
      </c>
      <c r="C510" s="1" t="n">
        <v>45912</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17646-2025</t>
        </is>
      </c>
      <c r="B511" s="1" t="n">
        <v>45758.32872685185</v>
      </c>
      <c r="C511" s="1" t="n">
        <v>45912</v>
      </c>
      <c r="D511" t="inlineStr">
        <is>
          <t>UPPSALA LÄN</t>
        </is>
      </c>
      <c r="E511" t="inlineStr">
        <is>
          <t>ÖSTHAMMAR</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17648-2025</t>
        </is>
      </c>
      <c r="B512" s="1" t="n">
        <v>45758.33064814815</v>
      </c>
      <c r="C512" s="1" t="n">
        <v>45912</v>
      </c>
      <c r="D512" t="inlineStr">
        <is>
          <t>UPPSALA LÄN</t>
        </is>
      </c>
      <c r="E512" t="inlineStr">
        <is>
          <t>ÖSTHAMMAR</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56903-2023</t>
        </is>
      </c>
      <c r="B513" s="1" t="n">
        <v>45244.56943287037</v>
      </c>
      <c r="C513" s="1" t="n">
        <v>45912</v>
      </c>
      <c r="D513" t="inlineStr">
        <is>
          <t>UPPSALA LÄN</t>
        </is>
      </c>
      <c r="E513" t="inlineStr">
        <is>
          <t>ÖSTHAMMAR</t>
        </is>
      </c>
      <c r="G513" t="n">
        <v>3.1</v>
      </c>
      <c r="H513" t="n">
        <v>0</v>
      </c>
      <c r="I513" t="n">
        <v>0</v>
      </c>
      <c r="J513" t="n">
        <v>0</v>
      </c>
      <c r="K513" t="n">
        <v>0</v>
      </c>
      <c r="L513" t="n">
        <v>0</v>
      </c>
      <c r="M513" t="n">
        <v>0</v>
      </c>
      <c r="N513" t="n">
        <v>0</v>
      </c>
      <c r="O513" t="n">
        <v>0</v>
      </c>
      <c r="P513" t="n">
        <v>0</v>
      </c>
      <c r="Q513" t="n">
        <v>0</v>
      </c>
      <c r="R513" s="2" t="inlineStr"/>
    </row>
    <row r="514" ht="15" customHeight="1">
      <c r="A514" t="inlineStr">
        <is>
          <t>A 28420-2023</t>
        </is>
      </c>
      <c r="B514" s="1" t="n">
        <v>45102.33054398148</v>
      </c>
      <c r="C514" s="1" t="n">
        <v>45912</v>
      </c>
      <c r="D514" t="inlineStr">
        <is>
          <t>UPPSALA LÄN</t>
        </is>
      </c>
      <c r="E514" t="inlineStr">
        <is>
          <t>ÖSTHAMMAR</t>
        </is>
      </c>
      <c r="F514" t="inlineStr">
        <is>
          <t>Bergvik skog öst AB</t>
        </is>
      </c>
      <c r="G514" t="n">
        <v>3.2</v>
      </c>
      <c r="H514" t="n">
        <v>0</v>
      </c>
      <c r="I514" t="n">
        <v>0</v>
      </c>
      <c r="J514" t="n">
        <v>0</v>
      </c>
      <c r="K514" t="n">
        <v>0</v>
      </c>
      <c r="L514" t="n">
        <v>0</v>
      </c>
      <c r="M514" t="n">
        <v>0</v>
      </c>
      <c r="N514" t="n">
        <v>0</v>
      </c>
      <c r="O514" t="n">
        <v>0</v>
      </c>
      <c r="P514" t="n">
        <v>0</v>
      </c>
      <c r="Q514" t="n">
        <v>0</v>
      </c>
      <c r="R514" s="2" t="inlineStr"/>
    </row>
    <row r="515" ht="15" customHeight="1">
      <c r="A515" t="inlineStr">
        <is>
          <t>A 28432-2023</t>
        </is>
      </c>
      <c r="B515" s="1" t="n">
        <v>45102.59896990741</v>
      </c>
      <c r="C515" s="1" t="n">
        <v>45912</v>
      </c>
      <c r="D515" t="inlineStr">
        <is>
          <t>UPPSALA LÄN</t>
        </is>
      </c>
      <c r="E515" t="inlineStr">
        <is>
          <t>ÖSTHAMMAR</t>
        </is>
      </c>
      <c r="F515" t="inlineStr">
        <is>
          <t>Bergvik skog öst AB</t>
        </is>
      </c>
      <c r="G515" t="n">
        <v>3.9</v>
      </c>
      <c r="H515" t="n">
        <v>0</v>
      </c>
      <c r="I515" t="n">
        <v>0</v>
      </c>
      <c r="J515" t="n">
        <v>0</v>
      </c>
      <c r="K515" t="n">
        <v>0</v>
      </c>
      <c r="L515" t="n">
        <v>0</v>
      </c>
      <c r="M515" t="n">
        <v>0</v>
      </c>
      <c r="N515" t="n">
        <v>0</v>
      </c>
      <c r="O515" t="n">
        <v>0</v>
      </c>
      <c r="P515" t="n">
        <v>0</v>
      </c>
      <c r="Q515" t="n">
        <v>0</v>
      </c>
      <c r="R515" s="2" t="inlineStr"/>
    </row>
    <row r="516" ht="15" customHeight="1">
      <c r="A516" t="inlineStr">
        <is>
          <t>A 32718-2025</t>
        </is>
      </c>
      <c r="B516" s="1" t="n">
        <v>45839.37740740741</v>
      </c>
      <c r="C516" s="1" t="n">
        <v>45912</v>
      </c>
      <c r="D516" t="inlineStr">
        <is>
          <t>UPPSALA LÄN</t>
        </is>
      </c>
      <c r="E516" t="inlineStr">
        <is>
          <t>ÖSTHAMMAR</t>
        </is>
      </c>
      <c r="G516" t="n">
        <v>10.4</v>
      </c>
      <c r="H516" t="n">
        <v>0</v>
      </c>
      <c r="I516" t="n">
        <v>0</v>
      </c>
      <c r="J516" t="n">
        <v>0</v>
      </c>
      <c r="K516" t="n">
        <v>0</v>
      </c>
      <c r="L516" t="n">
        <v>0</v>
      </c>
      <c r="M516" t="n">
        <v>0</v>
      </c>
      <c r="N516" t="n">
        <v>0</v>
      </c>
      <c r="O516" t="n">
        <v>0</v>
      </c>
      <c r="P516" t="n">
        <v>0</v>
      </c>
      <c r="Q516" t="n">
        <v>0</v>
      </c>
      <c r="R516" s="2" t="inlineStr"/>
    </row>
    <row r="517" ht="15" customHeight="1">
      <c r="A517" t="inlineStr">
        <is>
          <t>A 56969-2022</t>
        </is>
      </c>
      <c r="B517" s="1" t="n">
        <v>44894.68043981482</v>
      </c>
      <c r="C517" s="1" t="n">
        <v>45912</v>
      </c>
      <c r="D517" t="inlineStr">
        <is>
          <t>UPPSALA LÄN</t>
        </is>
      </c>
      <c r="E517" t="inlineStr">
        <is>
          <t>ÖSTHAMMAR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23495-2023</t>
        </is>
      </c>
      <c r="B518" s="1" t="n">
        <v>45076.71652777777</v>
      </c>
      <c r="C518" s="1" t="n">
        <v>45912</v>
      </c>
      <c r="D518" t="inlineStr">
        <is>
          <t>UPPSALA LÄN</t>
        </is>
      </c>
      <c r="E518" t="inlineStr">
        <is>
          <t>ÖSTHAMMAR</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38233-2024</t>
        </is>
      </c>
      <c r="B519" s="1" t="n">
        <v>45545</v>
      </c>
      <c r="C519" s="1" t="n">
        <v>45912</v>
      </c>
      <c r="D519" t="inlineStr">
        <is>
          <t>UPPSALA LÄN</t>
        </is>
      </c>
      <c r="E519" t="inlineStr">
        <is>
          <t>ÖSTHAMMAR</t>
        </is>
      </c>
      <c r="G519" t="n">
        <v>3.4</v>
      </c>
      <c r="H519" t="n">
        <v>0</v>
      </c>
      <c r="I519" t="n">
        <v>0</v>
      </c>
      <c r="J519" t="n">
        <v>0</v>
      </c>
      <c r="K519" t="n">
        <v>0</v>
      </c>
      <c r="L519" t="n">
        <v>0</v>
      </c>
      <c r="M519" t="n">
        <v>0</v>
      </c>
      <c r="N519" t="n">
        <v>0</v>
      </c>
      <c r="O519" t="n">
        <v>0</v>
      </c>
      <c r="P519" t="n">
        <v>0</v>
      </c>
      <c r="Q519" t="n">
        <v>0</v>
      </c>
      <c r="R519" s="2" t="inlineStr"/>
    </row>
    <row r="520" ht="15" customHeight="1">
      <c r="A520" t="inlineStr">
        <is>
          <t>A 17947-2022</t>
        </is>
      </c>
      <c r="B520" s="1" t="n">
        <v>44683</v>
      </c>
      <c r="C520" s="1" t="n">
        <v>45912</v>
      </c>
      <c r="D520" t="inlineStr">
        <is>
          <t>UPPSALA LÄN</t>
        </is>
      </c>
      <c r="E520" t="inlineStr">
        <is>
          <t>ÖSTHAMMAR</t>
        </is>
      </c>
      <c r="G520" t="n">
        <v>5.5</v>
      </c>
      <c r="H520" t="n">
        <v>0</v>
      </c>
      <c r="I520" t="n">
        <v>0</v>
      </c>
      <c r="J520" t="n">
        <v>0</v>
      </c>
      <c r="K520" t="n">
        <v>0</v>
      </c>
      <c r="L520" t="n">
        <v>0</v>
      </c>
      <c r="M520" t="n">
        <v>0</v>
      </c>
      <c r="N520" t="n">
        <v>0</v>
      </c>
      <c r="O520" t="n">
        <v>0</v>
      </c>
      <c r="P520" t="n">
        <v>0</v>
      </c>
      <c r="Q520" t="n">
        <v>0</v>
      </c>
      <c r="R520" s="2" t="inlineStr"/>
    </row>
    <row r="521" ht="15" customHeight="1">
      <c r="A521" t="inlineStr">
        <is>
          <t>A 60584-2021</t>
        </is>
      </c>
      <c r="B521" s="1" t="n">
        <v>44496</v>
      </c>
      <c r="C521" s="1" t="n">
        <v>45912</v>
      </c>
      <c r="D521" t="inlineStr">
        <is>
          <t>UPPSALA LÄN</t>
        </is>
      </c>
      <c r="E521" t="inlineStr">
        <is>
          <t>ÖSTHAMMAR</t>
        </is>
      </c>
      <c r="G521" t="n">
        <v>1.4</v>
      </c>
      <c r="H521" t="n">
        <v>0</v>
      </c>
      <c r="I521" t="n">
        <v>0</v>
      </c>
      <c r="J521" t="n">
        <v>0</v>
      </c>
      <c r="K521" t="n">
        <v>0</v>
      </c>
      <c r="L521" t="n">
        <v>0</v>
      </c>
      <c r="M521" t="n">
        <v>0</v>
      </c>
      <c r="N521" t="n">
        <v>0</v>
      </c>
      <c r="O521" t="n">
        <v>0</v>
      </c>
      <c r="P521" t="n">
        <v>0</v>
      </c>
      <c r="Q521" t="n">
        <v>0</v>
      </c>
      <c r="R521" s="2" t="inlineStr"/>
    </row>
    <row r="522" ht="15" customHeight="1">
      <c r="A522" t="inlineStr">
        <is>
          <t>A 44152-2024</t>
        </is>
      </c>
      <c r="B522" s="1" t="n">
        <v>45572</v>
      </c>
      <c r="C522" s="1" t="n">
        <v>45912</v>
      </c>
      <c r="D522" t="inlineStr">
        <is>
          <t>UPPSALA LÄN</t>
        </is>
      </c>
      <c r="E522" t="inlineStr">
        <is>
          <t>ÖSTHAMMAR</t>
        </is>
      </c>
      <c r="G522" t="n">
        <v>1.6</v>
      </c>
      <c r="H522" t="n">
        <v>0</v>
      </c>
      <c r="I522" t="n">
        <v>0</v>
      </c>
      <c r="J522" t="n">
        <v>0</v>
      </c>
      <c r="K522" t="n">
        <v>0</v>
      </c>
      <c r="L522" t="n">
        <v>0</v>
      </c>
      <c r="M522" t="n">
        <v>0</v>
      </c>
      <c r="N522" t="n">
        <v>0</v>
      </c>
      <c r="O522" t="n">
        <v>0</v>
      </c>
      <c r="P522" t="n">
        <v>0</v>
      </c>
      <c r="Q522" t="n">
        <v>0</v>
      </c>
      <c r="R522" s="2" t="inlineStr"/>
    </row>
    <row r="523" ht="15" customHeight="1">
      <c r="A523" t="inlineStr">
        <is>
          <t>A 33529-2025</t>
        </is>
      </c>
      <c r="B523" s="1" t="n">
        <v>45841.55199074074</v>
      </c>
      <c r="C523" s="1" t="n">
        <v>45912</v>
      </c>
      <c r="D523" t="inlineStr">
        <is>
          <t>UPPSALA LÄN</t>
        </is>
      </c>
      <c r="E523" t="inlineStr">
        <is>
          <t>ÖSTHAMMAR</t>
        </is>
      </c>
      <c r="F523" t="inlineStr">
        <is>
          <t>Bergvik skog öst AB</t>
        </is>
      </c>
      <c r="G523" t="n">
        <v>11.8</v>
      </c>
      <c r="H523" t="n">
        <v>0</v>
      </c>
      <c r="I523" t="n">
        <v>0</v>
      </c>
      <c r="J523" t="n">
        <v>0</v>
      </c>
      <c r="K523" t="n">
        <v>0</v>
      </c>
      <c r="L523" t="n">
        <v>0</v>
      </c>
      <c r="M523" t="n">
        <v>0</v>
      </c>
      <c r="N523" t="n">
        <v>0</v>
      </c>
      <c r="O523" t="n">
        <v>0</v>
      </c>
      <c r="P523" t="n">
        <v>0</v>
      </c>
      <c r="Q523" t="n">
        <v>0</v>
      </c>
      <c r="R523" s="2" t="inlineStr"/>
    </row>
    <row r="524" ht="15" customHeight="1">
      <c r="A524" t="inlineStr">
        <is>
          <t>A 33048-2025</t>
        </is>
      </c>
      <c r="B524" s="1" t="n">
        <v>45840.41451388889</v>
      </c>
      <c r="C524" s="1" t="n">
        <v>45912</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22798-2023</t>
        </is>
      </c>
      <c r="B525" s="1" t="n">
        <v>45072</v>
      </c>
      <c r="C525" s="1" t="n">
        <v>45912</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33271-2025</t>
        </is>
      </c>
      <c r="B526" s="1" t="n">
        <v>45840.68381944444</v>
      </c>
      <c r="C526" s="1" t="n">
        <v>45912</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11547-2022</t>
        </is>
      </c>
      <c r="B527" s="1" t="n">
        <v>44631.43116898148</v>
      </c>
      <c r="C527" s="1" t="n">
        <v>45912</v>
      </c>
      <c r="D527" t="inlineStr">
        <is>
          <t>UPPSALA LÄN</t>
        </is>
      </c>
      <c r="E527" t="inlineStr">
        <is>
          <t>ÖSTHAMMAR</t>
        </is>
      </c>
      <c r="G527" t="n">
        <v>4.4</v>
      </c>
      <c r="H527" t="n">
        <v>0</v>
      </c>
      <c r="I527" t="n">
        <v>0</v>
      </c>
      <c r="J527" t="n">
        <v>0</v>
      </c>
      <c r="K527" t="n">
        <v>0</v>
      </c>
      <c r="L527" t="n">
        <v>0</v>
      </c>
      <c r="M527" t="n">
        <v>0</v>
      </c>
      <c r="N527" t="n">
        <v>0</v>
      </c>
      <c r="O527" t="n">
        <v>0</v>
      </c>
      <c r="P527" t="n">
        <v>0</v>
      </c>
      <c r="Q527" t="n">
        <v>0</v>
      </c>
      <c r="R527" s="2" t="inlineStr"/>
    </row>
    <row r="528" ht="15" customHeight="1">
      <c r="A528" t="inlineStr">
        <is>
          <t>A 4561-2022</t>
        </is>
      </c>
      <c r="B528" s="1" t="n">
        <v>44591.59170138889</v>
      </c>
      <c r="C528" s="1" t="n">
        <v>45912</v>
      </c>
      <c r="D528" t="inlineStr">
        <is>
          <t>UPPSALA LÄN</t>
        </is>
      </c>
      <c r="E528" t="inlineStr">
        <is>
          <t>ÖSTHAMMAR</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48856-2024</t>
        </is>
      </c>
      <c r="B529" s="1" t="n">
        <v>45593</v>
      </c>
      <c r="C529" s="1" t="n">
        <v>45912</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47390-2023</t>
        </is>
      </c>
      <c r="B530" s="1" t="n">
        <v>45202</v>
      </c>
      <c r="C530" s="1" t="n">
        <v>45912</v>
      </c>
      <c r="D530" t="inlineStr">
        <is>
          <t>UPPSALA LÄN</t>
        </is>
      </c>
      <c r="E530" t="inlineStr">
        <is>
          <t>ÖSTHAMMAR</t>
        </is>
      </c>
      <c r="G530" t="n">
        <v>3.7</v>
      </c>
      <c r="H530" t="n">
        <v>0</v>
      </c>
      <c r="I530" t="n">
        <v>0</v>
      </c>
      <c r="J530" t="n">
        <v>0</v>
      </c>
      <c r="K530" t="n">
        <v>0</v>
      </c>
      <c r="L530" t="n">
        <v>0</v>
      </c>
      <c r="M530" t="n">
        <v>0</v>
      </c>
      <c r="N530" t="n">
        <v>0</v>
      </c>
      <c r="O530" t="n">
        <v>0</v>
      </c>
      <c r="P530" t="n">
        <v>0</v>
      </c>
      <c r="Q530" t="n">
        <v>0</v>
      </c>
      <c r="R530" s="2" t="inlineStr"/>
    </row>
    <row r="531" ht="15" customHeight="1">
      <c r="A531" t="inlineStr">
        <is>
          <t>A 23741-2024</t>
        </is>
      </c>
      <c r="B531" s="1" t="n">
        <v>45455</v>
      </c>
      <c r="C531" s="1" t="n">
        <v>45912</v>
      </c>
      <c r="D531" t="inlineStr">
        <is>
          <t>UPPSALA LÄN</t>
        </is>
      </c>
      <c r="E531" t="inlineStr">
        <is>
          <t>ÖSTHAMMAR</t>
        </is>
      </c>
      <c r="F531" t="inlineStr">
        <is>
          <t>Bergvik skog öst AB</t>
        </is>
      </c>
      <c r="G531" t="n">
        <v>1.9</v>
      </c>
      <c r="H531" t="n">
        <v>0</v>
      </c>
      <c r="I531" t="n">
        <v>0</v>
      </c>
      <c r="J531" t="n">
        <v>0</v>
      </c>
      <c r="K531" t="n">
        <v>0</v>
      </c>
      <c r="L531" t="n">
        <v>0</v>
      </c>
      <c r="M531" t="n">
        <v>0</v>
      </c>
      <c r="N531" t="n">
        <v>0</v>
      </c>
      <c r="O531" t="n">
        <v>0</v>
      </c>
      <c r="P531" t="n">
        <v>0</v>
      </c>
      <c r="Q531" t="n">
        <v>0</v>
      </c>
      <c r="R531" s="2" t="inlineStr"/>
    </row>
    <row r="532" ht="15" customHeight="1">
      <c r="A532" t="inlineStr">
        <is>
          <t>A 5877-2023</t>
        </is>
      </c>
      <c r="B532" s="1" t="n">
        <v>44963.62001157407</v>
      </c>
      <c r="C532" s="1" t="n">
        <v>45912</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26612-2023</t>
        </is>
      </c>
      <c r="B533" s="1" t="n">
        <v>45089</v>
      </c>
      <c r="C533" s="1" t="n">
        <v>45912</v>
      </c>
      <c r="D533" t="inlineStr">
        <is>
          <t>UPPSALA LÄN</t>
        </is>
      </c>
      <c r="E533" t="inlineStr">
        <is>
          <t>ÖSTHAMMAR</t>
        </is>
      </c>
      <c r="G533" t="n">
        <v>2.1</v>
      </c>
      <c r="H533" t="n">
        <v>0</v>
      </c>
      <c r="I533" t="n">
        <v>0</v>
      </c>
      <c r="J533" t="n">
        <v>0</v>
      </c>
      <c r="K533" t="n">
        <v>0</v>
      </c>
      <c r="L533" t="n">
        <v>0</v>
      </c>
      <c r="M533" t="n">
        <v>0</v>
      </c>
      <c r="N533" t="n">
        <v>0</v>
      </c>
      <c r="O533" t="n">
        <v>0</v>
      </c>
      <c r="P533" t="n">
        <v>0</v>
      </c>
      <c r="Q533" t="n">
        <v>0</v>
      </c>
      <c r="R533" s="2" t="inlineStr"/>
    </row>
    <row r="534" ht="15" customHeight="1">
      <c r="A534" t="inlineStr">
        <is>
          <t>A 52389-2022</t>
        </is>
      </c>
      <c r="B534" s="1" t="n">
        <v>44874.38325231482</v>
      </c>
      <c r="C534" s="1" t="n">
        <v>45912</v>
      </c>
      <c r="D534" t="inlineStr">
        <is>
          <t>UPPSALA LÄN</t>
        </is>
      </c>
      <c r="E534" t="inlineStr">
        <is>
          <t>ÖSTHAMMAR</t>
        </is>
      </c>
      <c r="G534" t="n">
        <v>3.1</v>
      </c>
      <c r="H534" t="n">
        <v>0</v>
      </c>
      <c r="I534" t="n">
        <v>0</v>
      </c>
      <c r="J534" t="n">
        <v>0</v>
      </c>
      <c r="K534" t="n">
        <v>0</v>
      </c>
      <c r="L534" t="n">
        <v>0</v>
      </c>
      <c r="M534" t="n">
        <v>0</v>
      </c>
      <c r="N534" t="n">
        <v>0</v>
      </c>
      <c r="O534" t="n">
        <v>0</v>
      </c>
      <c r="P534" t="n">
        <v>0</v>
      </c>
      <c r="Q534" t="n">
        <v>0</v>
      </c>
      <c r="R534" s="2" t="inlineStr"/>
    </row>
    <row r="535" ht="15" customHeight="1">
      <c r="A535" t="inlineStr">
        <is>
          <t>A 25033-2021</t>
        </is>
      </c>
      <c r="B535" s="1" t="n">
        <v>44341.590625</v>
      </c>
      <c r="C535" s="1" t="n">
        <v>45912</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57453-2022</t>
        </is>
      </c>
      <c r="B536" s="1" t="n">
        <v>44896.56266203704</v>
      </c>
      <c r="C536" s="1" t="n">
        <v>45912</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57462-2022</t>
        </is>
      </c>
      <c r="B537" s="1" t="n">
        <v>44896.57527777777</v>
      </c>
      <c r="C537" s="1" t="n">
        <v>45912</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26395-2025</t>
        </is>
      </c>
      <c r="B538" s="1" t="n">
        <v>45807</v>
      </c>
      <c r="C538" s="1" t="n">
        <v>45912</v>
      </c>
      <c r="D538" t="inlineStr">
        <is>
          <t>UPPSALA LÄN</t>
        </is>
      </c>
      <c r="E538" t="inlineStr">
        <is>
          <t>ÖSTHAMMAR</t>
        </is>
      </c>
      <c r="G538" t="n">
        <v>7</v>
      </c>
      <c r="H538" t="n">
        <v>0</v>
      </c>
      <c r="I538" t="n">
        <v>0</v>
      </c>
      <c r="J538" t="n">
        <v>0</v>
      </c>
      <c r="K538" t="n">
        <v>0</v>
      </c>
      <c r="L538" t="n">
        <v>0</v>
      </c>
      <c r="M538" t="n">
        <v>0</v>
      </c>
      <c r="N538" t="n">
        <v>0</v>
      </c>
      <c r="O538" t="n">
        <v>0</v>
      </c>
      <c r="P538" t="n">
        <v>0</v>
      </c>
      <c r="Q538" t="n">
        <v>0</v>
      </c>
      <c r="R538" s="2" t="inlineStr"/>
    </row>
    <row r="539" ht="15" customHeight="1">
      <c r="A539" t="inlineStr">
        <is>
          <t>A 33927-2025</t>
        </is>
      </c>
      <c r="B539" s="1" t="n">
        <v>45842.62363425926</v>
      </c>
      <c r="C539" s="1" t="n">
        <v>45912</v>
      </c>
      <c r="D539" t="inlineStr">
        <is>
          <t>UPPSALA LÄN</t>
        </is>
      </c>
      <c r="E539" t="inlineStr">
        <is>
          <t>ÖSTHAMMAR</t>
        </is>
      </c>
      <c r="G539" t="n">
        <v>3.5</v>
      </c>
      <c r="H539" t="n">
        <v>0</v>
      </c>
      <c r="I539" t="n">
        <v>0</v>
      </c>
      <c r="J539" t="n">
        <v>0</v>
      </c>
      <c r="K539" t="n">
        <v>0</v>
      </c>
      <c r="L539" t="n">
        <v>0</v>
      </c>
      <c r="M539" t="n">
        <v>0</v>
      </c>
      <c r="N539" t="n">
        <v>0</v>
      </c>
      <c r="O539" t="n">
        <v>0</v>
      </c>
      <c r="P539" t="n">
        <v>0</v>
      </c>
      <c r="Q539" t="n">
        <v>0</v>
      </c>
      <c r="R539" s="2" t="inlineStr"/>
    </row>
    <row r="540" ht="15" customHeight="1">
      <c r="A540" t="inlineStr">
        <is>
          <t>A 6039-2025</t>
        </is>
      </c>
      <c r="B540" s="1" t="n">
        <v>45695</v>
      </c>
      <c r="C540" s="1" t="n">
        <v>45912</v>
      </c>
      <c r="D540" t="inlineStr">
        <is>
          <t>UPPSALA LÄN</t>
        </is>
      </c>
      <c r="E540" t="inlineStr">
        <is>
          <t>ÖSTHAMMAR</t>
        </is>
      </c>
      <c r="G540" t="n">
        <v>2.3</v>
      </c>
      <c r="H540" t="n">
        <v>0</v>
      </c>
      <c r="I540" t="n">
        <v>0</v>
      </c>
      <c r="J540" t="n">
        <v>0</v>
      </c>
      <c r="K540" t="n">
        <v>0</v>
      </c>
      <c r="L540" t="n">
        <v>0</v>
      </c>
      <c r="M540" t="n">
        <v>0</v>
      </c>
      <c r="N540" t="n">
        <v>0</v>
      </c>
      <c r="O540" t="n">
        <v>0</v>
      </c>
      <c r="P540" t="n">
        <v>0</v>
      </c>
      <c r="Q540" t="n">
        <v>0</v>
      </c>
      <c r="R540" s="2" t="inlineStr"/>
    </row>
    <row r="541" ht="15" customHeight="1">
      <c r="A541" t="inlineStr">
        <is>
          <t>A 32244-2021</t>
        </is>
      </c>
      <c r="B541" s="1" t="n">
        <v>44371.45335648148</v>
      </c>
      <c r="C541" s="1" t="n">
        <v>45912</v>
      </c>
      <c r="D541" t="inlineStr">
        <is>
          <t>UPPSALA LÄN</t>
        </is>
      </c>
      <c r="E541" t="inlineStr">
        <is>
          <t>ÖSTHAMMAR</t>
        </is>
      </c>
      <c r="F541" t="inlineStr">
        <is>
          <t>Bergvik skog öst AB</t>
        </is>
      </c>
      <c r="G541" t="n">
        <v>2.6</v>
      </c>
      <c r="H541" t="n">
        <v>0</v>
      </c>
      <c r="I541" t="n">
        <v>0</v>
      </c>
      <c r="J541" t="n">
        <v>0</v>
      </c>
      <c r="K541" t="n">
        <v>0</v>
      </c>
      <c r="L541" t="n">
        <v>0</v>
      </c>
      <c r="M541" t="n">
        <v>0</v>
      </c>
      <c r="N541" t="n">
        <v>0</v>
      </c>
      <c r="O541" t="n">
        <v>0</v>
      </c>
      <c r="P541" t="n">
        <v>0</v>
      </c>
      <c r="Q541" t="n">
        <v>0</v>
      </c>
      <c r="R541" s="2" t="inlineStr"/>
    </row>
    <row r="542" ht="15" customHeight="1">
      <c r="A542" t="inlineStr">
        <is>
          <t>A 33972-2025</t>
        </is>
      </c>
      <c r="B542" s="1" t="n">
        <v>45842.97236111111</v>
      </c>
      <c r="C542" s="1" t="n">
        <v>45912</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51364-2021</t>
        </is>
      </c>
      <c r="B543" s="1" t="n">
        <v>44461</v>
      </c>
      <c r="C543" s="1" t="n">
        <v>45912</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33973-2025</t>
        </is>
      </c>
      <c r="B544" s="1" t="n">
        <v>45842.98429398148</v>
      </c>
      <c r="C544" s="1" t="n">
        <v>45912</v>
      </c>
      <c r="D544" t="inlineStr">
        <is>
          <t>UPPSALA LÄN</t>
        </is>
      </c>
      <c r="E544" t="inlineStr">
        <is>
          <t>ÖSTHAMMAR</t>
        </is>
      </c>
      <c r="G544" t="n">
        <v>1.9</v>
      </c>
      <c r="H544" t="n">
        <v>0</v>
      </c>
      <c r="I544" t="n">
        <v>0</v>
      </c>
      <c r="J544" t="n">
        <v>0</v>
      </c>
      <c r="K544" t="n">
        <v>0</v>
      </c>
      <c r="L544" t="n">
        <v>0</v>
      </c>
      <c r="M544" t="n">
        <v>0</v>
      </c>
      <c r="N544" t="n">
        <v>0</v>
      </c>
      <c r="O544" t="n">
        <v>0</v>
      </c>
      <c r="P544" t="n">
        <v>0</v>
      </c>
      <c r="Q544" t="n">
        <v>0</v>
      </c>
      <c r="R544" s="2" t="inlineStr"/>
    </row>
    <row r="545" ht="15" customHeight="1">
      <c r="A545" t="inlineStr">
        <is>
          <t>A 43915-2023</t>
        </is>
      </c>
      <c r="B545" s="1" t="n">
        <v>45187.71274305556</v>
      </c>
      <c r="C545" s="1" t="n">
        <v>45912</v>
      </c>
      <c r="D545" t="inlineStr">
        <is>
          <t>UPPSALA LÄN</t>
        </is>
      </c>
      <c r="E545" t="inlineStr">
        <is>
          <t>ÖSTHAMMAR</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19501-2025</t>
        </is>
      </c>
      <c r="B546" s="1" t="n">
        <v>45770.4015625</v>
      </c>
      <c r="C546" s="1" t="n">
        <v>45912</v>
      </c>
      <c r="D546" t="inlineStr">
        <is>
          <t>UPPSALA LÄN</t>
        </is>
      </c>
      <c r="E546" t="inlineStr">
        <is>
          <t>ÖSTHAMMAR</t>
        </is>
      </c>
      <c r="F546" t="inlineStr">
        <is>
          <t>Övriga Aktiebolag</t>
        </is>
      </c>
      <c r="G546" t="n">
        <v>17.3</v>
      </c>
      <c r="H546" t="n">
        <v>0</v>
      </c>
      <c r="I546" t="n">
        <v>0</v>
      </c>
      <c r="J546" t="n">
        <v>0</v>
      </c>
      <c r="K546" t="n">
        <v>0</v>
      </c>
      <c r="L546" t="n">
        <v>0</v>
      </c>
      <c r="M546" t="n">
        <v>0</v>
      </c>
      <c r="N546" t="n">
        <v>0</v>
      </c>
      <c r="O546" t="n">
        <v>0</v>
      </c>
      <c r="P546" t="n">
        <v>0</v>
      </c>
      <c r="Q546" t="n">
        <v>0</v>
      </c>
      <c r="R546" s="2" t="inlineStr"/>
    </row>
    <row r="547" ht="15" customHeight="1">
      <c r="A547" t="inlineStr">
        <is>
          <t>A 60079-2022</t>
        </is>
      </c>
      <c r="B547" s="1" t="n">
        <v>44909</v>
      </c>
      <c r="C547" s="1" t="n">
        <v>45912</v>
      </c>
      <c r="D547" t="inlineStr">
        <is>
          <t>UPPSALA LÄN</t>
        </is>
      </c>
      <c r="E547" t="inlineStr">
        <is>
          <t>ÖSTHAMMAR</t>
        </is>
      </c>
      <c r="G547" t="n">
        <v>9.6</v>
      </c>
      <c r="H547" t="n">
        <v>0</v>
      </c>
      <c r="I547" t="n">
        <v>0</v>
      </c>
      <c r="J547" t="n">
        <v>0</v>
      </c>
      <c r="K547" t="n">
        <v>0</v>
      </c>
      <c r="L547" t="n">
        <v>0</v>
      </c>
      <c r="M547" t="n">
        <v>0</v>
      </c>
      <c r="N547" t="n">
        <v>0</v>
      </c>
      <c r="O547" t="n">
        <v>0</v>
      </c>
      <c r="P547" t="n">
        <v>0</v>
      </c>
      <c r="Q547" t="n">
        <v>0</v>
      </c>
      <c r="R547" s="2" t="inlineStr"/>
    </row>
    <row r="548" ht="15" customHeight="1">
      <c r="A548" t="inlineStr">
        <is>
          <t>A 3119-2025</t>
        </is>
      </c>
      <c r="B548" s="1" t="n">
        <v>45678</v>
      </c>
      <c r="C548" s="1" t="n">
        <v>45912</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36645-2025</t>
        </is>
      </c>
      <c r="B549" s="1" t="n">
        <v>45872</v>
      </c>
      <c r="C549" s="1" t="n">
        <v>45912</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28421-2023</t>
        </is>
      </c>
      <c r="B550" s="1" t="n">
        <v>45102</v>
      </c>
      <c r="C550" s="1" t="n">
        <v>45912</v>
      </c>
      <c r="D550" t="inlineStr">
        <is>
          <t>UPPSALA LÄN</t>
        </is>
      </c>
      <c r="E550" t="inlineStr">
        <is>
          <t>ÖSTHAMMAR</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17931-2025</t>
        </is>
      </c>
      <c r="B551" s="1" t="n">
        <v>45759.56894675926</v>
      </c>
      <c r="C551" s="1" t="n">
        <v>45912</v>
      </c>
      <c r="D551" t="inlineStr">
        <is>
          <t>UPPSALA LÄN</t>
        </is>
      </c>
      <c r="E551" t="inlineStr">
        <is>
          <t>ÖSTHAMMAR</t>
        </is>
      </c>
      <c r="G551" t="n">
        <v>2.1</v>
      </c>
      <c r="H551" t="n">
        <v>0</v>
      </c>
      <c r="I551" t="n">
        <v>0</v>
      </c>
      <c r="J551" t="n">
        <v>0</v>
      </c>
      <c r="K551" t="n">
        <v>0</v>
      </c>
      <c r="L551" t="n">
        <v>0</v>
      </c>
      <c r="M551" t="n">
        <v>0</v>
      </c>
      <c r="N551" t="n">
        <v>0</v>
      </c>
      <c r="O551" t="n">
        <v>0</v>
      </c>
      <c r="P551" t="n">
        <v>0</v>
      </c>
      <c r="Q551" t="n">
        <v>0</v>
      </c>
      <c r="R551" s="2" t="inlineStr"/>
    </row>
    <row r="552" ht="15" customHeight="1">
      <c r="A552" t="inlineStr">
        <is>
          <t>A 17938-2025</t>
        </is>
      </c>
      <c r="B552" s="1" t="n">
        <v>45760.55626157407</v>
      </c>
      <c r="C552" s="1" t="n">
        <v>45912</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40637-2022</t>
        </is>
      </c>
      <c r="B553" s="1" t="n">
        <v>44824</v>
      </c>
      <c r="C553" s="1" t="n">
        <v>45912</v>
      </c>
      <c r="D553" t="inlineStr">
        <is>
          <t>UPPSALA LÄN</t>
        </is>
      </c>
      <c r="E553" t="inlineStr">
        <is>
          <t>ÖSTHAMMAR</t>
        </is>
      </c>
      <c r="F553" t="inlineStr">
        <is>
          <t>Övriga Aktiebolag</t>
        </is>
      </c>
      <c r="G553" t="n">
        <v>3.7</v>
      </c>
      <c r="H553" t="n">
        <v>0</v>
      </c>
      <c r="I553" t="n">
        <v>0</v>
      </c>
      <c r="J553" t="n">
        <v>0</v>
      </c>
      <c r="K553" t="n">
        <v>0</v>
      </c>
      <c r="L553" t="n">
        <v>0</v>
      </c>
      <c r="M553" t="n">
        <v>0</v>
      </c>
      <c r="N553" t="n">
        <v>0</v>
      </c>
      <c r="O553" t="n">
        <v>0</v>
      </c>
      <c r="P553" t="n">
        <v>0</v>
      </c>
      <c r="Q553" t="n">
        <v>0</v>
      </c>
      <c r="R553" s="2" t="inlineStr"/>
    </row>
    <row r="554" ht="15" customHeight="1">
      <c r="A554" t="inlineStr">
        <is>
          <t>A 8763-2025</t>
        </is>
      </c>
      <c r="B554" s="1" t="n">
        <v>45712.57872685185</v>
      </c>
      <c r="C554" s="1" t="n">
        <v>45912</v>
      </c>
      <c r="D554" t="inlineStr">
        <is>
          <t>UPPSALA LÄN</t>
        </is>
      </c>
      <c r="E554" t="inlineStr">
        <is>
          <t>ÖSTHAMMAR</t>
        </is>
      </c>
      <c r="G554" t="n">
        <v>0.6</v>
      </c>
      <c r="H554" t="n">
        <v>0</v>
      </c>
      <c r="I554" t="n">
        <v>0</v>
      </c>
      <c r="J554" t="n">
        <v>0</v>
      </c>
      <c r="K554" t="n">
        <v>0</v>
      </c>
      <c r="L554" t="n">
        <v>0</v>
      </c>
      <c r="M554" t="n">
        <v>0</v>
      </c>
      <c r="N554" t="n">
        <v>0</v>
      </c>
      <c r="O554" t="n">
        <v>0</v>
      </c>
      <c r="P554" t="n">
        <v>0</v>
      </c>
      <c r="Q554" t="n">
        <v>0</v>
      </c>
      <c r="R554" s="2" t="inlineStr"/>
    </row>
    <row r="555" ht="15" customHeight="1">
      <c r="A555" t="inlineStr">
        <is>
          <t>A 36646-2025</t>
        </is>
      </c>
      <c r="B555" s="1" t="n">
        <v>45872</v>
      </c>
      <c r="C555" s="1" t="n">
        <v>45912</v>
      </c>
      <c r="D555" t="inlineStr">
        <is>
          <t>UPPSALA LÄN</t>
        </is>
      </c>
      <c r="E555" t="inlineStr">
        <is>
          <t>ÖSTHAMMAR</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56260-2022</t>
        </is>
      </c>
      <c r="B556" s="1" t="n">
        <v>44890</v>
      </c>
      <c r="C556" s="1" t="n">
        <v>45912</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54368-2023</t>
        </is>
      </c>
      <c r="B557" s="1" t="n">
        <v>45233.33221064815</v>
      </c>
      <c r="C557" s="1" t="n">
        <v>45912</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32815-2024</t>
        </is>
      </c>
      <c r="B558" s="1" t="n">
        <v>45516.57682870371</v>
      </c>
      <c r="C558" s="1" t="n">
        <v>45912</v>
      </c>
      <c r="D558" t="inlineStr">
        <is>
          <t>UPPSALA LÄN</t>
        </is>
      </c>
      <c r="E558" t="inlineStr">
        <is>
          <t>ÖSTHAMMAR</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37656-2025</t>
        </is>
      </c>
      <c r="B559" s="1" t="n">
        <v>45880</v>
      </c>
      <c r="C559" s="1" t="n">
        <v>45912</v>
      </c>
      <c r="D559" t="inlineStr">
        <is>
          <t>UPPSALA LÄN</t>
        </is>
      </c>
      <c r="E559" t="inlineStr">
        <is>
          <t>ÖSTHAMMAR</t>
        </is>
      </c>
      <c r="G559" t="n">
        <v>4.3</v>
      </c>
      <c r="H559" t="n">
        <v>0</v>
      </c>
      <c r="I559" t="n">
        <v>0</v>
      </c>
      <c r="J559" t="n">
        <v>0</v>
      </c>
      <c r="K559" t="n">
        <v>0</v>
      </c>
      <c r="L559" t="n">
        <v>0</v>
      </c>
      <c r="M559" t="n">
        <v>0</v>
      </c>
      <c r="N559" t="n">
        <v>0</v>
      </c>
      <c r="O559" t="n">
        <v>0</v>
      </c>
      <c r="P559" t="n">
        <v>0</v>
      </c>
      <c r="Q559" t="n">
        <v>0</v>
      </c>
      <c r="R559" s="2" t="inlineStr"/>
    </row>
    <row r="560" ht="15" customHeight="1">
      <c r="A560" t="inlineStr">
        <is>
          <t>A 62394-2022</t>
        </is>
      </c>
      <c r="B560" s="1" t="n">
        <v>44923.82017361111</v>
      </c>
      <c r="C560" s="1" t="n">
        <v>45912</v>
      </c>
      <c r="D560" t="inlineStr">
        <is>
          <t>UPPSALA LÄN</t>
        </is>
      </c>
      <c r="E560" t="inlineStr">
        <is>
          <t>ÖSTHAMMAR</t>
        </is>
      </c>
      <c r="F560" t="inlineStr">
        <is>
          <t>Bergvik skog öst AB</t>
        </is>
      </c>
      <c r="G560" t="n">
        <v>0.5</v>
      </c>
      <c r="H560" t="n">
        <v>0</v>
      </c>
      <c r="I560" t="n">
        <v>0</v>
      </c>
      <c r="J560" t="n">
        <v>0</v>
      </c>
      <c r="K560" t="n">
        <v>0</v>
      </c>
      <c r="L560" t="n">
        <v>0</v>
      </c>
      <c r="M560" t="n">
        <v>0</v>
      </c>
      <c r="N560" t="n">
        <v>0</v>
      </c>
      <c r="O560" t="n">
        <v>0</v>
      </c>
      <c r="P560" t="n">
        <v>0</v>
      </c>
      <c r="Q560" t="n">
        <v>0</v>
      </c>
      <c r="R560" s="2" t="inlineStr"/>
    </row>
    <row r="561" ht="15" customHeight="1">
      <c r="A561" t="inlineStr">
        <is>
          <t>A 5429-2023</t>
        </is>
      </c>
      <c r="B561" s="1" t="n">
        <v>44959.83037037037</v>
      </c>
      <c r="C561" s="1" t="n">
        <v>45912</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25859-2024</t>
        </is>
      </c>
      <c r="B562" s="1" t="n">
        <v>45467</v>
      </c>
      <c r="C562" s="1" t="n">
        <v>45912</v>
      </c>
      <c r="D562" t="inlineStr">
        <is>
          <t>UPPSALA LÄN</t>
        </is>
      </c>
      <c r="E562" t="inlineStr">
        <is>
          <t>ÖSTHAMMAR</t>
        </is>
      </c>
      <c r="G562" t="n">
        <v>7.9</v>
      </c>
      <c r="H562" t="n">
        <v>0</v>
      </c>
      <c r="I562" t="n">
        <v>0</v>
      </c>
      <c r="J562" t="n">
        <v>0</v>
      </c>
      <c r="K562" t="n">
        <v>0</v>
      </c>
      <c r="L562" t="n">
        <v>0</v>
      </c>
      <c r="M562" t="n">
        <v>0</v>
      </c>
      <c r="N562" t="n">
        <v>0</v>
      </c>
      <c r="O562" t="n">
        <v>0</v>
      </c>
      <c r="P562" t="n">
        <v>0</v>
      </c>
      <c r="Q562" t="n">
        <v>0</v>
      </c>
      <c r="R562" s="2" t="inlineStr"/>
    </row>
    <row r="563" ht="15" customHeight="1">
      <c r="A563" t="inlineStr">
        <is>
          <t>A 11008-2023</t>
        </is>
      </c>
      <c r="B563" s="1" t="n">
        <v>44991</v>
      </c>
      <c r="C563" s="1" t="n">
        <v>45912</v>
      </c>
      <c r="D563" t="inlineStr">
        <is>
          <t>UPPSALA LÄN</t>
        </is>
      </c>
      <c r="E563" t="inlineStr">
        <is>
          <t>ÖSTHAMMAR</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22709-2021</t>
        </is>
      </c>
      <c r="B564" s="1" t="n">
        <v>44327.61518518518</v>
      </c>
      <c r="C564" s="1" t="n">
        <v>45912</v>
      </c>
      <c r="D564" t="inlineStr">
        <is>
          <t>UPPSALA LÄN</t>
        </is>
      </c>
      <c r="E564" t="inlineStr">
        <is>
          <t>ÖSTHAMMAR</t>
        </is>
      </c>
      <c r="F564" t="inlineStr">
        <is>
          <t>Bergvik skog öst AB</t>
        </is>
      </c>
      <c r="G564" t="n">
        <v>0.6</v>
      </c>
      <c r="H564" t="n">
        <v>0</v>
      </c>
      <c r="I564" t="n">
        <v>0</v>
      </c>
      <c r="J564" t="n">
        <v>0</v>
      </c>
      <c r="K564" t="n">
        <v>0</v>
      </c>
      <c r="L564" t="n">
        <v>0</v>
      </c>
      <c r="M564" t="n">
        <v>0</v>
      </c>
      <c r="N564" t="n">
        <v>0</v>
      </c>
      <c r="O564" t="n">
        <v>0</v>
      </c>
      <c r="P564" t="n">
        <v>0</v>
      </c>
      <c r="Q564" t="n">
        <v>0</v>
      </c>
      <c r="R564" s="2" t="inlineStr"/>
    </row>
    <row r="565" ht="15" customHeight="1">
      <c r="A565" t="inlineStr">
        <is>
          <t>A 8616-2023</t>
        </is>
      </c>
      <c r="B565" s="1" t="n">
        <v>44977</v>
      </c>
      <c r="C565" s="1" t="n">
        <v>45912</v>
      </c>
      <c r="D565" t="inlineStr">
        <is>
          <t>UPPSALA LÄN</t>
        </is>
      </c>
      <c r="E565" t="inlineStr">
        <is>
          <t>ÖSTHAMMAR</t>
        </is>
      </c>
      <c r="F565" t="inlineStr">
        <is>
          <t>Bergvik skog öst AB</t>
        </is>
      </c>
      <c r="G565" t="n">
        <v>0.2</v>
      </c>
      <c r="H565" t="n">
        <v>0</v>
      </c>
      <c r="I565" t="n">
        <v>0</v>
      </c>
      <c r="J565" t="n">
        <v>0</v>
      </c>
      <c r="K565" t="n">
        <v>0</v>
      </c>
      <c r="L565" t="n">
        <v>0</v>
      </c>
      <c r="M565" t="n">
        <v>0</v>
      </c>
      <c r="N565" t="n">
        <v>0</v>
      </c>
      <c r="O565" t="n">
        <v>0</v>
      </c>
      <c r="P565" t="n">
        <v>0</v>
      </c>
      <c r="Q565" t="n">
        <v>0</v>
      </c>
      <c r="R565" s="2" t="inlineStr"/>
    </row>
    <row r="566" ht="15" customHeight="1">
      <c r="A566" t="inlineStr">
        <is>
          <t>A 60047-2021</t>
        </is>
      </c>
      <c r="B566" s="1" t="n">
        <v>44495</v>
      </c>
      <c r="C566" s="1" t="n">
        <v>45912</v>
      </c>
      <c r="D566" t="inlineStr">
        <is>
          <t>UPPSALA LÄN</t>
        </is>
      </c>
      <c r="E566" t="inlineStr">
        <is>
          <t>ÖSTHAMMAR</t>
        </is>
      </c>
      <c r="F566" t="inlineStr">
        <is>
          <t>Övriga Aktiebolag</t>
        </is>
      </c>
      <c r="G566" t="n">
        <v>1.8</v>
      </c>
      <c r="H566" t="n">
        <v>0</v>
      </c>
      <c r="I566" t="n">
        <v>0</v>
      </c>
      <c r="J566" t="n">
        <v>0</v>
      </c>
      <c r="K566" t="n">
        <v>0</v>
      </c>
      <c r="L566" t="n">
        <v>0</v>
      </c>
      <c r="M566" t="n">
        <v>0</v>
      </c>
      <c r="N566" t="n">
        <v>0</v>
      </c>
      <c r="O566" t="n">
        <v>0</v>
      </c>
      <c r="P566" t="n">
        <v>0</v>
      </c>
      <c r="Q566" t="n">
        <v>0</v>
      </c>
      <c r="R566" s="2" t="inlineStr"/>
    </row>
    <row r="567" ht="15" customHeight="1">
      <c r="A567" t="inlineStr">
        <is>
          <t>A 10117-2025</t>
        </is>
      </c>
      <c r="B567" s="1" t="n">
        <v>45719.59866898148</v>
      </c>
      <c r="C567" s="1" t="n">
        <v>45912</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38886-2025</t>
        </is>
      </c>
      <c r="B568" s="1" t="n">
        <v>45887.58370370371</v>
      </c>
      <c r="C568" s="1" t="n">
        <v>45912</v>
      </c>
      <c r="D568" t="inlineStr">
        <is>
          <t>UPPSALA LÄN</t>
        </is>
      </c>
      <c r="E568" t="inlineStr">
        <is>
          <t>ÖSTHAMMAR</t>
        </is>
      </c>
      <c r="F568" t="inlineStr">
        <is>
          <t>Bergvik skog öst AB</t>
        </is>
      </c>
      <c r="G568" t="n">
        <v>4.7</v>
      </c>
      <c r="H568" t="n">
        <v>0</v>
      </c>
      <c r="I568" t="n">
        <v>0</v>
      </c>
      <c r="J568" t="n">
        <v>0</v>
      </c>
      <c r="K568" t="n">
        <v>0</v>
      </c>
      <c r="L568" t="n">
        <v>0</v>
      </c>
      <c r="M568" t="n">
        <v>0</v>
      </c>
      <c r="N568" t="n">
        <v>0</v>
      </c>
      <c r="O568" t="n">
        <v>0</v>
      </c>
      <c r="P568" t="n">
        <v>0</v>
      </c>
      <c r="Q568" t="n">
        <v>0</v>
      </c>
      <c r="R568" s="2" t="inlineStr"/>
    </row>
    <row r="569" ht="15" customHeight="1">
      <c r="A569" t="inlineStr">
        <is>
          <t>A 50927-2024</t>
        </is>
      </c>
      <c r="B569" s="1" t="n">
        <v>45602</v>
      </c>
      <c r="C569" s="1" t="n">
        <v>45912</v>
      </c>
      <c r="D569" t="inlineStr">
        <is>
          <t>UPPSALA LÄN</t>
        </is>
      </c>
      <c r="E569" t="inlineStr">
        <is>
          <t>ÖSTHAMMAR</t>
        </is>
      </c>
      <c r="F569" t="inlineStr">
        <is>
          <t>Bergvik skog öst AB</t>
        </is>
      </c>
      <c r="G569" t="n">
        <v>45.4</v>
      </c>
      <c r="H569" t="n">
        <v>0</v>
      </c>
      <c r="I569" t="n">
        <v>0</v>
      </c>
      <c r="J569" t="n">
        <v>0</v>
      </c>
      <c r="K569" t="n">
        <v>0</v>
      </c>
      <c r="L569" t="n">
        <v>0</v>
      </c>
      <c r="M569" t="n">
        <v>0</v>
      </c>
      <c r="N569" t="n">
        <v>0</v>
      </c>
      <c r="O569" t="n">
        <v>0</v>
      </c>
      <c r="P569" t="n">
        <v>0</v>
      </c>
      <c r="Q569" t="n">
        <v>0</v>
      </c>
      <c r="R569" s="2" t="inlineStr"/>
    </row>
    <row r="570" ht="15" customHeight="1">
      <c r="A570" t="inlineStr">
        <is>
          <t>A 8623-2025</t>
        </is>
      </c>
      <c r="B570" s="1" t="n">
        <v>45711.51902777778</v>
      </c>
      <c r="C570" s="1" t="n">
        <v>45912</v>
      </c>
      <c r="D570" t="inlineStr">
        <is>
          <t>UPPSALA LÄN</t>
        </is>
      </c>
      <c r="E570" t="inlineStr">
        <is>
          <t>ÖSTHAMMAR</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8626-2025</t>
        </is>
      </c>
      <c r="B571" s="1" t="n">
        <v>45711.53565972222</v>
      </c>
      <c r="C571" s="1" t="n">
        <v>45912</v>
      </c>
      <c r="D571" t="inlineStr">
        <is>
          <t>UPPSALA LÄN</t>
        </is>
      </c>
      <c r="E571" t="inlineStr">
        <is>
          <t>ÖSTHAMMAR</t>
        </is>
      </c>
      <c r="F571" t="inlineStr">
        <is>
          <t>Bergvik skog väst AB</t>
        </is>
      </c>
      <c r="G571" t="n">
        <v>1.3</v>
      </c>
      <c r="H571" t="n">
        <v>0</v>
      </c>
      <c r="I571" t="n">
        <v>0</v>
      </c>
      <c r="J571" t="n">
        <v>0</v>
      </c>
      <c r="K571" t="n">
        <v>0</v>
      </c>
      <c r="L571" t="n">
        <v>0</v>
      </c>
      <c r="M571" t="n">
        <v>0</v>
      </c>
      <c r="N571" t="n">
        <v>0</v>
      </c>
      <c r="O571" t="n">
        <v>0</v>
      </c>
      <c r="P571" t="n">
        <v>0</v>
      </c>
      <c r="Q571" t="n">
        <v>0</v>
      </c>
      <c r="R571" s="2" t="inlineStr"/>
    </row>
    <row r="572" ht="15" customHeight="1">
      <c r="A572" t="inlineStr">
        <is>
          <t>A 41538-2021</t>
        </is>
      </c>
      <c r="B572" s="1" t="n">
        <v>44425.35016203704</v>
      </c>
      <c r="C572" s="1" t="n">
        <v>45912</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34742-2022</t>
        </is>
      </c>
      <c r="B573" s="1" t="n">
        <v>44795.61990740741</v>
      </c>
      <c r="C573" s="1" t="n">
        <v>45912</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40406-2025</t>
        </is>
      </c>
      <c r="B574" s="1" t="n">
        <v>45895.57082175926</v>
      </c>
      <c r="C574" s="1" t="n">
        <v>45912</v>
      </c>
      <c r="D574" t="inlineStr">
        <is>
          <t>UPPSALA LÄN</t>
        </is>
      </c>
      <c r="E574" t="inlineStr">
        <is>
          <t>ÖSTHAMMAR</t>
        </is>
      </c>
      <c r="G574" t="n">
        <v>2</v>
      </c>
      <c r="H574" t="n">
        <v>0</v>
      </c>
      <c r="I574" t="n">
        <v>0</v>
      </c>
      <c r="J574" t="n">
        <v>0</v>
      </c>
      <c r="K574" t="n">
        <v>0</v>
      </c>
      <c r="L574" t="n">
        <v>0</v>
      </c>
      <c r="M574" t="n">
        <v>0</v>
      </c>
      <c r="N574" t="n">
        <v>0</v>
      </c>
      <c r="O574" t="n">
        <v>0</v>
      </c>
      <c r="P574" t="n">
        <v>0</v>
      </c>
      <c r="Q574" t="n">
        <v>0</v>
      </c>
      <c r="R574" s="2" t="inlineStr"/>
    </row>
    <row r="575" ht="15" customHeight="1">
      <c r="A575" t="inlineStr">
        <is>
          <t>A 3514-2023</t>
        </is>
      </c>
      <c r="B575" s="1" t="n">
        <v>44950</v>
      </c>
      <c r="C575" s="1" t="n">
        <v>45912</v>
      </c>
      <c r="D575" t="inlineStr">
        <is>
          <t>UPPSALA LÄN</t>
        </is>
      </c>
      <c r="E575" t="inlineStr">
        <is>
          <t>ÖSTHAMMAR</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19748-2025</t>
        </is>
      </c>
      <c r="B576" s="1" t="n">
        <v>45771.38465277778</v>
      </c>
      <c r="C576" s="1" t="n">
        <v>45912</v>
      </c>
      <c r="D576" t="inlineStr">
        <is>
          <t>UPPSALA LÄN</t>
        </is>
      </c>
      <c r="E576" t="inlineStr">
        <is>
          <t>ÖSTHAMMAR</t>
        </is>
      </c>
      <c r="F576" t="inlineStr">
        <is>
          <t>Övriga Aktiebolag</t>
        </is>
      </c>
      <c r="G576" t="n">
        <v>6.8</v>
      </c>
      <c r="H576" t="n">
        <v>0</v>
      </c>
      <c r="I576" t="n">
        <v>0</v>
      </c>
      <c r="J576" t="n">
        <v>0</v>
      </c>
      <c r="K576" t="n">
        <v>0</v>
      </c>
      <c r="L576" t="n">
        <v>0</v>
      </c>
      <c r="M576" t="n">
        <v>0</v>
      </c>
      <c r="N576" t="n">
        <v>0</v>
      </c>
      <c r="O576" t="n">
        <v>0</v>
      </c>
      <c r="P576" t="n">
        <v>0</v>
      </c>
      <c r="Q576" t="n">
        <v>0</v>
      </c>
      <c r="R576" s="2" t="inlineStr"/>
    </row>
    <row r="577" ht="15" customHeight="1">
      <c r="A577" t="inlineStr">
        <is>
          <t>A 40460-2025</t>
        </is>
      </c>
      <c r="B577" s="1" t="n">
        <v>45895.65013888889</v>
      </c>
      <c r="C577" s="1" t="n">
        <v>45912</v>
      </c>
      <c r="D577" t="inlineStr">
        <is>
          <t>UPPSALA LÄN</t>
        </is>
      </c>
      <c r="E577" t="inlineStr">
        <is>
          <t>ÖSTHAMMAR</t>
        </is>
      </c>
      <c r="G577" t="n">
        <v>2.7</v>
      </c>
      <c r="H577" t="n">
        <v>0</v>
      </c>
      <c r="I577" t="n">
        <v>0</v>
      </c>
      <c r="J577" t="n">
        <v>0</v>
      </c>
      <c r="K577" t="n">
        <v>0</v>
      </c>
      <c r="L577" t="n">
        <v>0</v>
      </c>
      <c r="M577" t="n">
        <v>0</v>
      </c>
      <c r="N577" t="n">
        <v>0</v>
      </c>
      <c r="O577" t="n">
        <v>0</v>
      </c>
      <c r="P577" t="n">
        <v>0</v>
      </c>
      <c r="Q577" t="n">
        <v>0</v>
      </c>
      <c r="R577" s="2" t="inlineStr"/>
    </row>
    <row r="578" ht="15" customHeight="1">
      <c r="A578" t="inlineStr">
        <is>
          <t>A 40462-2025</t>
        </is>
      </c>
      <c r="B578" s="1" t="n">
        <v>45895.65179398148</v>
      </c>
      <c r="C578" s="1" t="n">
        <v>45912</v>
      </c>
      <c r="D578" t="inlineStr">
        <is>
          <t>UPPSALA LÄN</t>
        </is>
      </c>
      <c r="E578" t="inlineStr">
        <is>
          <t>ÖSTHAMMAR</t>
        </is>
      </c>
      <c r="G578" t="n">
        <v>4.5</v>
      </c>
      <c r="H578" t="n">
        <v>0</v>
      </c>
      <c r="I578" t="n">
        <v>0</v>
      </c>
      <c r="J578" t="n">
        <v>0</v>
      </c>
      <c r="K578" t="n">
        <v>0</v>
      </c>
      <c r="L578" t="n">
        <v>0</v>
      </c>
      <c r="M578" t="n">
        <v>0</v>
      </c>
      <c r="N578" t="n">
        <v>0</v>
      </c>
      <c r="O578" t="n">
        <v>0</v>
      </c>
      <c r="P578" t="n">
        <v>0</v>
      </c>
      <c r="Q578" t="n">
        <v>0</v>
      </c>
      <c r="R578" s="2" t="inlineStr"/>
    </row>
    <row r="579" ht="15" customHeight="1">
      <c r="A579" t="inlineStr">
        <is>
          <t>A 40016-2025</t>
        </is>
      </c>
      <c r="B579" s="1" t="n">
        <v>45894.34747685185</v>
      </c>
      <c r="C579" s="1" t="n">
        <v>45912</v>
      </c>
      <c r="D579" t="inlineStr">
        <is>
          <t>UPPSALA LÄN</t>
        </is>
      </c>
      <c r="E579" t="inlineStr">
        <is>
          <t>ÖSTHAMMAR</t>
        </is>
      </c>
      <c r="F579" t="inlineStr">
        <is>
          <t>Kyrkan</t>
        </is>
      </c>
      <c r="G579" t="n">
        <v>6.6</v>
      </c>
      <c r="H579" t="n">
        <v>0</v>
      </c>
      <c r="I579" t="n">
        <v>0</v>
      </c>
      <c r="J579" t="n">
        <v>0</v>
      </c>
      <c r="K579" t="n">
        <v>0</v>
      </c>
      <c r="L579" t="n">
        <v>0</v>
      </c>
      <c r="M579" t="n">
        <v>0</v>
      </c>
      <c r="N579" t="n">
        <v>0</v>
      </c>
      <c r="O579" t="n">
        <v>0</v>
      </c>
      <c r="P579" t="n">
        <v>0</v>
      </c>
      <c r="Q579" t="n">
        <v>0</v>
      </c>
      <c r="R579" s="2" t="inlineStr"/>
    </row>
    <row r="580" ht="15" customHeight="1">
      <c r="A580" t="inlineStr">
        <is>
          <t>A 19640-2025</t>
        </is>
      </c>
      <c r="B580" s="1" t="n">
        <v>45770.65739583333</v>
      </c>
      <c r="C580" s="1" t="n">
        <v>45912</v>
      </c>
      <c r="D580" t="inlineStr">
        <is>
          <t>UPPSALA LÄN</t>
        </is>
      </c>
      <c r="E580" t="inlineStr">
        <is>
          <t>ÖSTHAMMAR</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4096-2025</t>
        </is>
      </c>
      <c r="B581" s="1" t="n">
        <v>45684</v>
      </c>
      <c r="C581" s="1" t="n">
        <v>45912</v>
      </c>
      <c r="D581" t="inlineStr">
        <is>
          <t>UPPSALA LÄN</t>
        </is>
      </c>
      <c r="E581" t="inlineStr">
        <is>
          <t>ÖSTHAMMAR</t>
        </is>
      </c>
      <c r="G581" t="n">
        <v>2</v>
      </c>
      <c r="H581" t="n">
        <v>0</v>
      </c>
      <c r="I581" t="n">
        <v>0</v>
      </c>
      <c r="J581" t="n">
        <v>0</v>
      </c>
      <c r="K581" t="n">
        <v>0</v>
      </c>
      <c r="L581" t="n">
        <v>0</v>
      </c>
      <c r="M581" t="n">
        <v>0</v>
      </c>
      <c r="N581" t="n">
        <v>0</v>
      </c>
      <c r="O581" t="n">
        <v>0</v>
      </c>
      <c r="P581" t="n">
        <v>0</v>
      </c>
      <c r="Q581" t="n">
        <v>0</v>
      </c>
      <c r="R581" s="2" t="inlineStr"/>
    </row>
    <row r="582" ht="15" customHeight="1">
      <c r="A582" t="inlineStr">
        <is>
          <t>A 40044-2025</t>
        </is>
      </c>
      <c r="B582" s="1" t="n">
        <v>45894.40133101852</v>
      </c>
      <c r="C582" s="1" t="n">
        <v>45912</v>
      </c>
      <c r="D582" t="inlineStr">
        <is>
          <t>UPPSALA LÄN</t>
        </is>
      </c>
      <c r="E582" t="inlineStr">
        <is>
          <t>ÖSTHAMMAR</t>
        </is>
      </c>
      <c r="F582" t="inlineStr">
        <is>
          <t>Kyrkan</t>
        </is>
      </c>
      <c r="G582" t="n">
        <v>8.9</v>
      </c>
      <c r="H582" t="n">
        <v>0</v>
      </c>
      <c r="I582" t="n">
        <v>0</v>
      </c>
      <c r="J582" t="n">
        <v>0</v>
      </c>
      <c r="K582" t="n">
        <v>0</v>
      </c>
      <c r="L582" t="n">
        <v>0</v>
      </c>
      <c r="M582" t="n">
        <v>0</v>
      </c>
      <c r="N582" t="n">
        <v>0</v>
      </c>
      <c r="O582" t="n">
        <v>0</v>
      </c>
      <c r="P582" t="n">
        <v>0</v>
      </c>
      <c r="Q582" t="n">
        <v>0</v>
      </c>
      <c r="R582" s="2" t="inlineStr"/>
    </row>
    <row r="583" ht="15" customHeight="1">
      <c r="A583" t="inlineStr">
        <is>
          <t>A 55090-2024</t>
        </is>
      </c>
      <c r="B583" s="1" t="n">
        <v>45621.4350462963</v>
      </c>
      <c r="C583" s="1" t="n">
        <v>45912</v>
      </c>
      <c r="D583" t="inlineStr">
        <is>
          <t>UPPSALA LÄN</t>
        </is>
      </c>
      <c r="E583" t="inlineStr">
        <is>
          <t>ÖSTHAMMAR</t>
        </is>
      </c>
      <c r="F583" t="inlineStr">
        <is>
          <t>Sveaskog</t>
        </is>
      </c>
      <c r="G583" t="n">
        <v>4.4</v>
      </c>
      <c r="H583" t="n">
        <v>0</v>
      </c>
      <c r="I583" t="n">
        <v>0</v>
      </c>
      <c r="J583" t="n">
        <v>0</v>
      </c>
      <c r="K583" t="n">
        <v>0</v>
      </c>
      <c r="L583" t="n">
        <v>0</v>
      </c>
      <c r="M583" t="n">
        <v>0</v>
      </c>
      <c r="N583" t="n">
        <v>0</v>
      </c>
      <c r="O583" t="n">
        <v>0</v>
      </c>
      <c r="P583" t="n">
        <v>0</v>
      </c>
      <c r="Q583" t="n">
        <v>0</v>
      </c>
      <c r="R583" s="2" t="inlineStr"/>
    </row>
    <row r="584" ht="15" customHeight="1">
      <c r="A584" t="inlineStr">
        <is>
          <t>A 55093-2024</t>
        </is>
      </c>
      <c r="B584" s="1" t="n">
        <v>45621.43712962963</v>
      </c>
      <c r="C584" s="1" t="n">
        <v>45912</v>
      </c>
      <c r="D584" t="inlineStr">
        <is>
          <t>UPPSALA LÄN</t>
        </is>
      </c>
      <c r="E584" t="inlineStr">
        <is>
          <t>ÖSTHAMMAR</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55097-2024</t>
        </is>
      </c>
      <c r="B585" s="1" t="n">
        <v>45621.43855324074</v>
      </c>
      <c r="C585" s="1" t="n">
        <v>45912</v>
      </c>
      <c r="D585" t="inlineStr">
        <is>
          <t>UPPSALA LÄN</t>
        </is>
      </c>
      <c r="E585" t="inlineStr">
        <is>
          <t>ÖSTHAMMAR</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40377-2025</t>
        </is>
      </c>
      <c r="B586" s="1" t="n">
        <v>45895.53020833333</v>
      </c>
      <c r="C586" s="1" t="n">
        <v>45912</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24128-2023</t>
        </is>
      </c>
      <c r="B587" s="1" t="n">
        <v>45079.50289351852</v>
      </c>
      <c r="C587" s="1" t="n">
        <v>45912</v>
      </c>
      <c r="D587" t="inlineStr">
        <is>
          <t>UPPSALA LÄN</t>
        </is>
      </c>
      <c r="E587" t="inlineStr">
        <is>
          <t>ÖSTHAMMAR</t>
        </is>
      </c>
      <c r="G587" t="n">
        <v>0.6</v>
      </c>
      <c r="H587" t="n">
        <v>0</v>
      </c>
      <c r="I587" t="n">
        <v>0</v>
      </c>
      <c r="J587" t="n">
        <v>0</v>
      </c>
      <c r="K587" t="n">
        <v>0</v>
      </c>
      <c r="L587" t="n">
        <v>0</v>
      </c>
      <c r="M587" t="n">
        <v>0</v>
      </c>
      <c r="N587" t="n">
        <v>0</v>
      </c>
      <c r="O587" t="n">
        <v>0</v>
      </c>
      <c r="P587" t="n">
        <v>0</v>
      </c>
      <c r="Q587" t="n">
        <v>0</v>
      </c>
      <c r="R587" s="2" t="inlineStr"/>
    </row>
    <row r="588" ht="15" customHeight="1">
      <c r="A588" t="inlineStr">
        <is>
          <t>A 33552-2024</t>
        </is>
      </c>
      <c r="B588" s="1" t="n">
        <v>45519</v>
      </c>
      <c r="C588" s="1" t="n">
        <v>45912</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33553-2024</t>
        </is>
      </c>
      <c r="B589" s="1" t="n">
        <v>45519</v>
      </c>
      <c r="C589" s="1" t="n">
        <v>45912</v>
      </c>
      <c r="D589" t="inlineStr">
        <is>
          <t>UPPSALA LÄN</t>
        </is>
      </c>
      <c r="E589" t="inlineStr">
        <is>
          <t>ÖSTHAMMAR</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40416-2025</t>
        </is>
      </c>
      <c r="B590" s="1" t="n">
        <v>45895.57736111111</v>
      </c>
      <c r="C590" s="1" t="n">
        <v>45912</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40384-2025</t>
        </is>
      </c>
      <c r="B591" s="1" t="n">
        <v>45895.54085648148</v>
      </c>
      <c r="C591" s="1" t="n">
        <v>45912</v>
      </c>
      <c r="D591" t="inlineStr">
        <is>
          <t>UPPSALA LÄN</t>
        </is>
      </c>
      <c r="E591" t="inlineStr">
        <is>
          <t>ÖSTHAMMAR</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24181-2022</t>
        </is>
      </c>
      <c r="B592" s="1" t="n">
        <v>44725</v>
      </c>
      <c r="C592" s="1" t="n">
        <v>45912</v>
      </c>
      <c r="D592" t="inlineStr">
        <is>
          <t>UPPSALA LÄN</t>
        </is>
      </c>
      <c r="E592" t="inlineStr">
        <is>
          <t>ÖSTHAMMAR</t>
        </is>
      </c>
      <c r="G592" t="n">
        <v>1.4</v>
      </c>
      <c r="H592" t="n">
        <v>0</v>
      </c>
      <c r="I592" t="n">
        <v>0</v>
      </c>
      <c r="J592" t="n">
        <v>0</v>
      </c>
      <c r="K592" t="n">
        <v>0</v>
      </c>
      <c r="L592" t="n">
        <v>0</v>
      </c>
      <c r="M592" t="n">
        <v>0</v>
      </c>
      <c r="N592" t="n">
        <v>0</v>
      </c>
      <c r="O592" t="n">
        <v>0</v>
      </c>
      <c r="P592" t="n">
        <v>0</v>
      </c>
      <c r="Q592" t="n">
        <v>0</v>
      </c>
      <c r="R592" s="2" t="inlineStr"/>
    </row>
    <row r="593" ht="15" customHeight="1">
      <c r="A593" t="inlineStr">
        <is>
          <t>A 19947-2024</t>
        </is>
      </c>
      <c r="B593" s="1" t="n">
        <v>45433</v>
      </c>
      <c r="C593" s="1" t="n">
        <v>45912</v>
      </c>
      <c r="D593" t="inlineStr">
        <is>
          <t>UPPSALA LÄN</t>
        </is>
      </c>
      <c r="E593" t="inlineStr">
        <is>
          <t>ÖSTHAMMAR</t>
        </is>
      </c>
      <c r="G593" t="n">
        <v>0.3</v>
      </c>
      <c r="H593" t="n">
        <v>0</v>
      </c>
      <c r="I593" t="n">
        <v>0</v>
      </c>
      <c r="J593" t="n">
        <v>0</v>
      </c>
      <c r="K593" t="n">
        <v>0</v>
      </c>
      <c r="L593" t="n">
        <v>0</v>
      </c>
      <c r="M593" t="n">
        <v>0</v>
      </c>
      <c r="N593" t="n">
        <v>0</v>
      </c>
      <c r="O593" t="n">
        <v>0</v>
      </c>
      <c r="P593" t="n">
        <v>0</v>
      </c>
      <c r="Q593" t="n">
        <v>0</v>
      </c>
      <c r="R593" s="2" t="inlineStr"/>
    </row>
    <row r="594" ht="15" customHeight="1">
      <c r="A594" t="inlineStr">
        <is>
          <t>A 16240-2025</t>
        </is>
      </c>
      <c r="B594" s="1" t="n">
        <v>45746</v>
      </c>
      <c r="C594" s="1" t="n">
        <v>45912</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40570-2025</t>
        </is>
      </c>
      <c r="B595" s="1" t="n">
        <v>45896.47878472223</v>
      </c>
      <c r="C595" s="1" t="n">
        <v>45912</v>
      </c>
      <c r="D595" t="inlineStr">
        <is>
          <t>UPPSALA LÄN</t>
        </is>
      </c>
      <c r="E595" t="inlineStr">
        <is>
          <t>ÖSTHAMMAR</t>
        </is>
      </c>
      <c r="F595" t="inlineStr">
        <is>
          <t>Övriga Aktiebolag</t>
        </is>
      </c>
      <c r="G595" t="n">
        <v>4.8</v>
      </c>
      <c r="H595" t="n">
        <v>0</v>
      </c>
      <c r="I595" t="n">
        <v>0</v>
      </c>
      <c r="J595" t="n">
        <v>0</v>
      </c>
      <c r="K595" t="n">
        <v>0</v>
      </c>
      <c r="L595" t="n">
        <v>0</v>
      </c>
      <c r="M595" t="n">
        <v>0</v>
      </c>
      <c r="N595" t="n">
        <v>0</v>
      </c>
      <c r="O595" t="n">
        <v>0</v>
      </c>
      <c r="P595" t="n">
        <v>0</v>
      </c>
      <c r="Q595" t="n">
        <v>0</v>
      </c>
      <c r="R595" s="2" t="inlineStr"/>
    </row>
    <row r="596" ht="15" customHeight="1">
      <c r="A596" t="inlineStr">
        <is>
          <t>A 41519-2025</t>
        </is>
      </c>
      <c r="B596" s="1" t="n">
        <v>45901.54751157408</v>
      </c>
      <c r="C596" s="1" t="n">
        <v>45912</v>
      </c>
      <c r="D596" t="inlineStr">
        <is>
          <t>UPPSALA LÄN</t>
        </is>
      </c>
      <c r="E596" t="inlineStr">
        <is>
          <t>ÖSTHAMMAR</t>
        </is>
      </c>
      <c r="F596" t="inlineStr">
        <is>
          <t>Övriga Aktiebolag</t>
        </is>
      </c>
      <c r="G596" t="n">
        <v>17.1</v>
      </c>
      <c r="H596" t="n">
        <v>0</v>
      </c>
      <c r="I596" t="n">
        <v>0</v>
      </c>
      <c r="J596" t="n">
        <v>0</v>
      </c>
      <c r="K596" t="n">
        <v>0</v>
      </c>
      <c r="L596" t="n">
        <v>0</v>
      </c>
      <c r="M596" t="n">
        <v>0</v>
      </c>
      <c r="N596" t="n">
        <v>0</v>
      </c>
      <c r="O596" t="n">
        <v>0</v>
      </c>
      <c r="P596" t="n">
        <v>0</v>
      </c>
      <c r="Q596" t="n">
        <v>0</v>
      </c>
      <c r="R596" s="2" t="inlineStr"/>
    </row>
    <row r="597" ht="15" customHeight="1">
      <c r="A597" t="inlineStr">
        <is>
          <t>A 8902-2025</t>
        </is>
      </c>
      <c r="B597" s="1" t="n">
        <v>45713.41503472222</v>
      </c>
      <c r="C597" s="1" t="n">
        <v>45912</v>
      </c>
      <c r="D597" t="inlineStr">
        <is>
          <t>UPPSALA LÄN</t>
        </is>
      </c>
      <c r="E597" t="inlineStr">
        <is>
          <t>ÖSTHAMMAR</t>
        </is>
      </c>
      <c r="F597" t="inlineStr">
        <is>
          <t>Bergvik skog öst AB</t>
        </is>
      </c>
      <c r="G597" t="n">
        <v>1</v>
      </c>
      <c r="H597" t="n">
        <v>0</v>
      </c>
      <c r="I597" t="n">
        <v>0</v>
      </c>
      <c r="J597" t="n">
        <v>0</v>
      </c>
      <c r="K597" t="n">
        <v>0</v>
      </c>
      <c r="L597" t="n">
        <v>0</v>
      </c>
      <c r="M597" t="n">
        <v>0</v>
      </c>
      <c r="N597" t="n">
        <v>0</v>
      </c>
      <c r="O597" t="n">
        <v>0</v>
      </c>
      <c r="P597" t="n">
        <v>0</v>
      </c>
      <c r="Q597" t="n">
        <v>0</v>
      </c>
      <c r="R597" s="2" t="inlineStr"/>
    </row>
    <row r="598" ht="15" customHeight="1">
      <c r="A598" t="inlineStr">
        <is>
          <t>A 57-2023</t>
        </is>
      </c>
      <c r="B598" s="1" t="n">
        <v>44928.40917824074</v>
      </c>
      <c r="C598" s="1" t="n">
        <v>45912</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59-2023</t>
        </is>
      </c>
      <c r="B599" s="1" t="n">
        <v>44928.41822916667</v>
      </c>
      <c r="C599" s="1" t="n">
        <v>45912</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55079-2024</t>
        </is>
      </c>
      <c r="B600" s="1" t="n">
        <v>45621.42747685185</v>
      </c>
      <c r="C600" s="1" t="n">
        <v>45912</v>
      </c>
      <c r="D600" t="inlineStr">
        <is>
          <t>UPPSALA LÄN</t>
        </is>
      </c>
      <c r="E600" t="inlineStr">
        <is>
          <t>ÖSTHAMMAR</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3327-2023</t>
        </is>
      </c>
      <c r="B601" s="1" t="n">
        <v>44949.4377662037</v>
      </c>
      <c r="C601" s="1" t="n">
        <v>45912</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41821-2023</t>
        </is>
      </c>
      <c r="B602" s="1" t="n">
        <v>45176</v>
      </c>
      <c r="C602" s="1" t="n">
        <v>45912</v>
      </c>
      <c r="D602" t="inlineStr">
        <is>
          <t>UPPSALA LÄN</t>
        </is>
      </c>
      <c r="E602" t="inlineStr">
        <is>
          <t>ÖSTHAMMAR</t>
        </is>
      </c>
      <c r="G602" t="n">
        <v>0.9</v>
      </c>
      <c r="H602" t="n">
        <v>0</v>
      </c>
      <c r="I602" t="n">
        <v>0</v>
      </c>
      <c r="J602" t="n">
        <v>0</v>
      </c>
      <c r="K602" t="n">
        <v>0</v>
      </c>
      <c r="L602" t="n">
        <v>0</v>
      </c>
      <c r="M602" t="n">
        <v>0</v>
      </c>
      <c r="N602" t="n">
        <v>0</v>
      </c>
      <c r="O602" t="n">
        <v>0</v>
      </c>
      <c r="P602" t="n">
        <v>0</v>
      </c>
      <c r="Q602" t="n">
        <v>0</v>
      </c>
      <c r="R602" s="2" t="inlineStr"/>
    </row>
    <row r="603" ht="15" customHeight="1">
      <c r="A603" t="inlineStr">
        <is>
          <t>A 33680-2024</t>
        </is>
      </c>
      <c r="B603" s="1" t="n">
        <v>45520.50712962963</v>
      </c>
      <c r="C603" s="1" t="n">
        <v>45912</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33550-2024</t>
        </is>
      </c>
      <c r="B604" s="1" t="n">
        <v>45519.81043981481</v>
      </c>
      <c r="C604" s="1" t="n">
        <v>45912</v>
      </c>
      <c r="D604" t="inlineStr">
        <is>
          <t>UPPSALA LÄN</t>
        </is>
      </c>
      <c r="E604" t="inlineStr">
        <is>
          <t>ÖSTHAMMAR</t>
        </is>
      </c>
      <c r="F604" t="inlineStr">
        <is>
          <t>Bergvik skog öst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35309-2023</t>
        </is>
      </c>
      <c r="B605" s="1" t="n">
        <v>45146</v>
      </c>
      <c r="C605" s="1" t="n">
        <v>45912</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14272-2025</t>
        </is>
      </c>
      <c r="B606" s="1" t="n">
        <v>45740.64327546296</v>
      </c>
      <c r="C606" s="1" t="n">
        <v>45912</v>
      </c>
      <c r="D606" t="inlineStr">
        <is>
          <t>UPPSALA LÄN</t>
        </is>
      </c>
      <c r="E606" t="inlineStr">
        <is>
          <t>ÖSTHAMMAR</t>
        </is>
      </c>
      <c r="G606" t="n">
        <v>5.7</v>
      </c>
      <c r="H606" t="n">
        <v>0</v>
      </c>
      <c r="I606" t="n">
        <v>0</v>
      </c>
      <c r="J606" t="n">
        <v>0</v>
      </c>
      <c r="K606" t="n">
        <v>0</v>
      </c>
      <c r="L606" t="n">
        <v>0</v>
      </c>
      <c r="M606" t="n">
        <v>0</v>
      </c>
      <c r="N606" t="n">
        <v>0</v>
      </c>
      <c r="O606" t="n">
        <v>0</v>
      </c>
      <c r="P606" t="n">
        <v>0</v>
      </c>
      <c r="Q606" t="n">
        <v>0</v>
      </c>
      <c r="R606" s="2" t="inlineStr"/>
    </row>
    <row r="607" ht="15" customHeight="1">
      <c r="A607" t="inlineStr">
        <is>
          <t>A 30811-2023</t>
        </is>
      </c>
      <c r="B607" s="1" t="n">
        <v>45112.86422453704</v>
      </c>
      <c r="C607" s="1" t="n">
        <v>45912</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17940-2025</t>
        </is>
      </c>
      <c r="B608" s="1" t="n">
        <v>45760.55842592593</v>
      </c>
      <c r="C608" s="1" t="n">
        <v>45912</v>
      </c>
      <c r="D608" t="inlineStr">
        <is>
          <t>UPPSALA LÄN</t>
        </is>
      </c>
      <c r="E608" t="inlineStr">
        <is>
          <t>ÖSTHAMMAR</t>
        </is>
      </c>
      <c r="F608" t="inlineStr">
        <is>
          <t>Bergvik skog öst AB</t>
        </is>
      </c>
      <c r="G608" t="n">
        <v>5.6</v>
      </c>
      <c r="H608" t="n">
        <v>0</v>
      </c>
      <c r="I608" t="n">
        <v>0</v>
      </c>
      <c r="J608" t="n">
        <v>0</v>
      </c>
      <c r="K608" t="n">
        <v>0</v>
      </c>
      <c r="L608" t="n">
        <v>0</v>
      </c>
      <c r="M608" t="n">
        <v>0</v>
      </c>
      <c r="N608" t="n">
        <v>0</v>
      </c>
      <c r="O608" t="n">
        <v>0</v>
      </c>
      <c r="P608" t="n">
        <v>0</v>
      </c>
      <c r="Q608" t="n">
        <v>0</v>
      </c>
      <c r="R608" s="2" t="inlineStr"/>
    </row>
    <row r="609" ht="15" customHeight="1">
      <c r="A609" t="inlineStr">
        <is>
          <t>A 12215-2023</t>
        </is>
      </c>
      <c r="B609" s="1" t="n">
        <v>44998</v>
      </c>
      <c r="C609" s="1" t="n">
        <v>45912</v>
      </c>
      <c r="D609" t="inlineStr">
        <is>
          <t>UPPSALA LÄN</t>
        </is>
      </c>
      <c r="E609" t="inlineStr">
        <is>
          <t>ÖSTHAMMAR</t>
        </is>
      </c>
      <c r="G609" t="n">
        <v>5.1</v>
      </c>
      <c r="H609" t="n">
        <v>0</v>
      </c>
      <c r="I609" t="n">
        <v>0</v>
      </c>
      <c r="J609" t="n">
        <v>0</v>
      </c>
      <c r="K609" t="n">
        <v>0</v>
      </c>
      <c r="L609" t="n">
        <v>0</v>
      </c>
      <c r="M609" t="n">
        <v>0</v>
      </c>
      <c r="N609" t="n">
        <v>0</v>
      </c>
      <c r="O609" t="n">
        <v>0</v>
      </c>
      <c r="P609" t="n">
        <v>0</v>
      </c>
      <c r="Q609" t="n">
        <v>0</v>
      </c>
      <c r="R609" s="2" t="inlineStr"/>
    </row>
    <row r="610" ht="15" customHeight="1">
      <c r="A610" t="inlineStr">
        <is>
          <t>A 55646-2021</t>
        </is>
      </c>
      <c r="B610" s="1" t="n">
        <v>44476.3632175926</v>
      </c>
      <c r="C610" s="1" t="n">
        <v>45912</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61443-2024</t>
        </is>
      </c>
      <c r="B611" s="1" t="n">
        <v>45646.47936342593</v>
      </c>
      <c r="C611" s="1" t="n">
        <v>45912</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13279-2022</t>
        </is>
      </c>
      <c r="B612" s="1" t="n">
        <v>44644</v>
      </c>
      <c r="C612" s="1" t="n">
        <v>45912</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6046-2025</t>
        </is>
      </c>
      <c r="B613" s="1" t="n">
        <v>45695</v>
      </c>
      <c r="C613" s="1" t="n">
        <v>45912</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c r="U613">
        <f>HYPERLINK("https://klasma.github.io/Logging_0382/knärot/A 6046-2025 karta knärot.png", "A 6046-2025")</f>
        <v/>
      </c>
      <c r="V613">
        <f>HYPERLINK("https://klasma.github.io/Logging_0382/klagomål/A 6046-2025 FSC-klagomål.docx", "A 6046-2025")</f>
        <v/>
      </c>
      <c r="W613">
        <f>HYPERLINK("https://klasma.github.io/Logging_0382/klagomålsmail/A 6046-2025 FSC-klagomål mail.docx", "A 6046-2025")</f>
        <v/>
      </c>
      <c r="X613">
        <f>HYPERLINK("https://klasma.github.io/Logging_0382/tillsyn/A 6046-2025 tillsynsbegäran.docx", "A 6046-2025")</f>
        <v/>
      </c>
      <c r="Y613">
        <f>HYPERLINK("https://klasma.github.io/Logging_0382/tillsynsmail/A 6046-2025 tillsynsbegäran mail.docx", "A 6046-2025")</f>
        <v/>
      </c>
    </row>
    <row r="614" ht="15" customHeight="1">
      <c r="A614" t="inlineStr">
        <is>
          <t>A 45102-2024</t>
        </is>
      </c>
      <c r="B614" s="1" t="n">
        <v>45575.58836805556</v>
      </c>
      <c r="C614" s="1" t="n">
        <v>45912</v>
      </c>
      <c r="D614" t="inlineStr">
        <is>
          <t>UPPSALA LÄN</t>
        </is>
      </c>
      <c r="E614" t="inlineStr">
        <is>
          <t>ÖSTHAMMAR</t>
        </is>
      </c>
      <c r="G614" t="n">
        <v>8.6</v>
      </c>
      <c r="H614" t="n">
        <v>0</v>
      </c>
      <c r="I614" t="n">
        <v>0</v>
      </c>
      <c r="J614" t="n">
        <v>0</v>
      </c>
      <c r="K614" t="n">
        <v>0</v>
      </c>
      <c r="L614" t="n">
        <v>0</v>
      </c>
      <c r="M614" t="n">
        <v>0</v>
      </c>
      <c r="N614" t="n">
        <v>0</v>
      </c>
      <c r="O614" t="n">
        <v>0</v>
      </c>
      <c r="P614" t="n">
        <v>0</v>
      </c>
      <c r="Q614" t="n">
        <v>0</v>
      </c>
      <c r="R614" s="2" t="inlineStr"/>
    </row>
    <row r="615" ht="15" customHeight="1">
      <c r="A615" t="inlineStr">
        <is>
          <t>A 66779-2021</t>
        </is>
      </c>
      <c r="B615" s="1" t="n">
        <v>44522.31700231481</v>
      </c>
      <c r="C615" s="1" t="n">
        <v>45912</v>
      </c>
      <c r="D615" t="inlineStr">
        <is>
          <t>UPPSALA LÄN</t>
        </is>
      </c>
      <c r="E615" t="inlineStr">
        <is>
          <t>ÖSTHAMMAR</t>
        </is>
      </c>
      <c r="G615" t="n">
        <v>2</v>
      </c>
      <c r="H615" t="n">
        <v>0</v>
      </c>
      <c r="I615" t="n">
        <v>0</v>
      </c>
      <c r="J615" t="n">
        <v>0</v>
      </c>
      <c r="K615" t="n">
        <v>0</v>
      </c>
      <c r="L615" t="n">
        <v>0</v>
      </c>
      <c r="M615" t="n">
        <v>0</v>
      </c>
      <c r="N615" t="n">
        <v>0</v>
      </c>
      <c r="O615" t="n">
        <v>0</v>
      </c>
      <c r="P615" t="n">
        <v>0</v>
      </c>
      <c r="Q615" t="n">
        <v>0</v>
      </c>
      <c r="R615" s="2" t="inlineStr"/>
    </row>
    <row r="616" ht="15" customHeight="1">
      <c r="A616" t="inlineStr">
        <is>
          <t>A 18731-2022</t>
        </is>
      </c>
      <c r="B616" s="1" t="n">
        <v>44687.78673611111</v>
      </c>
      <c r="C616" s="1" t="n">
        <v>45912</v>
      </c>
      <c r="D616" t="inlineStr">
        <is>
          <t>UPPSALA LÄN</t>
        </is>
      </c>
      <c r="E616" t="inlineStr">
        <is>
          <t>ÖSTHAMMAR</t>
        </is>
      </c>
      <c r="G616" t="n">
        <v>4.9</v>
      </c>
      <c r="H616" t="n">
        <v>0</v>
      </c>
      <c r="I616" t="n">
        <v>0</v>
      </c>
      <c r="J616" t="n">
        <v>0</v>
      </c>
      <c r="K616" t="n">
        <v>0</v>
      </c>
      <c r="L616" t="n">
        <v>0</v>
      </c>
      <c r="M616" t="n">
        <v>0</v>
      </c>
      <c r="N616" t="n">
        <v>0</v>
      </c>
      <c r="O616" t="n">
        <v>0</v>
      </c>
      <c r="P616" t="n">
        <v>0</v>
      </c>
      <c r="Q616" t="n">
        <v>0</v>
      </c>
      <c r="R616" s="2" t="inlineStr"/>
    </row>
    <row r="617" ht="15" customHeight="1">
      <c r="A617" t="inlineStr">
        <is>
          <t>A 11385-2024</t>
        </is>
      </c>
      <c r="B617" s="1" t="n">
        <v>45372</v>
      </c>
      <c r="C617" s="1" t="n">
        <v>45912</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9642-2024</t>
        </is>
      </c>
      <c r="B618" s="1" t="n">
        <v>45362.36296296296</v>
      </c>
      <c r="C618" s="1" t="n">
        <v>45912</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42213-2025</t>
        </is>
      </c>
      <c r="B619" s="1" t="n">
        <v>45904.50652777778</v>
      </c>
      <c r="C619" s="1" t="n">
        <v>45912</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33062-2021</t>
        </is>
      </c>
      <c r="B620" s="1" t="n">
        <v>44376</v>
      </c>
      <c r="C620" s="1" t="n">
        <v>45912</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24033-2023</t>
        </is>
      </c>
      <c r="B621" s="1" t="n">
        <v>45078</v>
      </c>
      <c r="C621" s="1" t="n">
        <v>45912</v>
      </c>
      <c r="D621" t="inlineStr">
        <is>
          <t>UPPSALA LÄN</t>
        </is>
      </c>
      <c r="E621" t="inlineStr">
        <is>
          <t>ÖSTHAMMAR</t>
        </is>
      </c>
      <c r="F621" t="inlineStr">
        <is>
          <t>Bergvik skog öst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40382-2025</t>
        </is>
      </c>
      <c r="B622" s="1" t="n">
        <v>45895.53689814815</v>
      </c>
      <c r="C622" s="1" t="n">
        <v>45912</v>
      </c>
      <c r="D622" t="inlineStr">
        <is>
          <t>UPPSALA LÄN</t>
        </is>
      </c>
      <c r="E622" t="inlineStr">
        <is>
          <t>ÖSTHAMMAR</t>
        </is>
      </c>
      <c r="G622" t="n">
        <v>2.2</v>
      </c>
      <c r="H622" t="n">
        <v>0</v>
      </c>
      <c r="I622" t="n">
        <v>0</v>
      </c>
      <c r="J622" t="n">
        <v>0</v>
      </c>
      <c r="K622" t="n">
        <v>0</v>
      </c>
      <c r="L622" t="n">
        <v>0</v>
      </c>
      <c r="M622" t="n">
        <v>0</v>
      </c>
      <c r="N622" t="n">
        <v>0</v>
      </c>
      <c r="O622" t="n">
        <v>0</v>
      </c>
      <c r="P622" t="n">
        <v>0</v>
      </c>
      <c r="Q622" t="n">
        <v>0</v>
      </c>
      <c r="R622" s="2" t="inlineStr"/>
    </row>
    <row r="623" ht="15" customHeight="1">
      <c r="A623" t="inlineStr">
        <is>
          <t>A 18401-2025</t>
        </is>
      </c>
      <c r="B623" s="1" t="n">
        <v>45762.5966087963</v>
      </c>
      <c r="C623" s="1" t="n">
        <v>45912</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17939-2025</t>
        </is>
      </c>
      <c r="B624" s="1" t="n">
        <v>45760.55671296296</v>
      </c>
      <c r="C624" s="1" t="n">
        <v>45912</v>
      </c>
      <c r="D624" t="inlineStr">
        <is>
          <t>UPPSALA LÄN</t>
        </is>
      </c>
      <c r="E624" t="inlineStr">
        <is>
          <t>ÖSTHAMMAR</t>
        </is>
      </c>
      <c r="F624" t="inlineStr">
        <is>
          <t>Bergvik skog öst AB</t>
        </is>
      </c>
      <c r="G624" t="n">
        <v>5.4</v>
      </c>
      <c r="H624" t="n">
        <v>0</v>
      </c>
      <c r="I624" t="n">
        <v>0</v>
      </c>
      <c r="J624" t="n">
        <v>0</v>
      </c>
      <c r="K624" t="n">
        <v>0</v>
      </c>
      <c r="L624" t="n">
        <v>0</v>
      </c>
      <c r="M624" t="n">
        <v>0</v>
      </c>
      <c r="N624" t="n">
        <v>0</v>
      </c>
      <c r="O624" t="n">
        <v>0</v>
      </c>
      <c r="P624" t="n">
        <v>0</v>
      </c>
      <c r="Q624" t="n">
        <v>0</v>
      </c>
      <c r="R624" s="2" t="inlineStr"/>
    </row>
    <row r="625" ht="15" customHeight="1">
      <c r="A625" t="inlineStr">
        <is>
          <t>A 3638-2022</t>
        </is>
      </c>
      <c r="B625" s="1" t="n">
        <v>44578</v>
      </c>
      <c r="C625" s="1" t="n">
        <v>45912</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5344-2025</t>
        </is>
      </c>
      <c r="B626" s="1" t="n">
        <v>45692</v>
      </c>
      <c r="C626" s="1" t="n">
        <v>45912</v>
      </c>
      <c r="D626" t="inlineStr">
        <is>
          <t>UPPSALA LÄN</t>
        </is>
      </c>
      <c r="E626" t="inlineStr">
        <is>
          <t>ÖSTHAMMAR</t>
        </is>
      </c>
      <c r="F626" t="inlineStr">
        <is>
          <t>Bergvik skog öst AB</t>
        </is>
      </c>
      <c r="G626" t="n">
        <v>3.2</v>
      </c>
      <c r="H626" t="n">
        <v>0</v>
      </c>
      <c r="I626" t="n">
        <v>0</v>
      </c>
      <c r="J626" t="n">
        <v>0</v>
      </c>
      <c r="K626" t="n">
        <v>0</v>
      </c>
      <c r="L626" t="n">
        <v>0</v>
      </c>
      <c r="M626" t="n">
        <v>0</v>
      </c>
      <c r="N626" t="n">
        <v>0</v>
      </c>
      <c r="O626" t="n">
        <v>0</v>
      </c>
      <c r="P626" t="n">
        <v>0</v>
      </c>
      <c r="Q626" t="n">
        <v>0</v>
      </c>
      <c r="R626" s="2" t="inlineStr"/>
    </row>
    <row r="627" ht="15" customHeight="1">
      <c r="A627" t="inlineStr">
        <is>
          <t>A 49897-2023</t>
        </is>
      </c>
      <c r="B627" s="1" t="n">
        <v>45213.84846064815</v>
      </c>
      <c r="C627" s="1" t="n">
        <v>45912</v>
      </c>
      <c r="D627" t="inlineStr">
        <is>
          <t>UPPSALA LÄN</t>
        </is>
      </c>
      <c r="E627" t="inlineStr">
        <is>
          <t>ÖSTHAMMAR</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45912</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56089-2020</t>
        </is>
      </c>
      <c r="B629" s="1" t="n">
        <v>44133</v>
      </c>
      <c r="C629" s="1" t="n">
        <v>45912</v>
      </c>
      <c r="D629" t="inlineStr">
        <is>
          <t>UPPSALA LÄN</t>
        </is>
      </c>
      <c r="E629" t="inlineStr">
        <is>
          <t>ÖSTHAMMAR</t>
        </is>
      </c>
      <c r="F629" t="inlineStr">
        <is>
          <t>Bergvik skog öst AB</t>
        </is>
      </c>
      <c r="G629" t="n">
        <v>0.9</v>
      </c>
      <c r="H629" t="n">
        <v>0</v>
      </c>
      <c r="I629" t="n">
        <v>0</v>
      </c>
      <c r="J629" t="n">
        <v>0</v>
      </c>
      <c r="K629" t="n">
        <v>0</v>
      </c>
      <c r="L629" t="n">
        <v>0</v>
      </c>
      <c r="M629" t="n">
        <v>0</v>
      </c>
      <c r="N629" t="n">
        <v>0</v>
      </c>
      <c r="O629" t="n">
        <v>0</v>
      </c>
      <c r="P629" t="n">
        <v>0</v>
      </c>
      <c r="Q629" t="n">
        <v>0</v>
      </c>
      <c r="R629" s="2" t="inlineStr"/>
    </row>
    <row r="630" ht="15" customHeight="1">
      <c r="A630" t="inlineStr">
        <is>
          <t>A 28429-2023</t>
        </is>
      </c>
      <c r="B630" s="1" t="n">
        <v>45102.58728009259</v>
      </c>
      <c r="C630" s="1" t="n">
        <v>45912</v>
      </c>
      <c r="D630" t="inlineStr">
        <is>
          <t>UPPSALA LÄN</t>
        </is>
      </c>
      <c r="E630" t="inlineStr">
        <is>
          <t>ÖSTHAMMAR</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63637-2020</t>
        </is>
      </c>
      <c r="B631" s="1" t="n">
        <v>44162</v>
      </c>
      <c r="C631" s="1" t="n">
        <v>45912</v>
      </c>
      <c r="D631" t="inlineStr">
        <is>
          <t>UPPSALA LÄN</t>
        </is>
      </c>
      <c r="E631" t="inlineStr">
        <is>
          <t>ÖSTHAMMAR</t>
        </is>
      </c>
      <c r="G631" t="n">
        <v>4</v>
      </c>
      <c r="H631" t="n">
        <v>0</v>
      </c>
      <c r="I631" t="n">
        <v>0</v>
      </c>
      <c r="J631" t="n">
        <v>0</v>
      </c>
      <c r="K631" t="n">
        <v>0</v>
      </c>
      <c r="L631" t="n">
        <v>0</v>
      </c>
      <c r="M631" t="n">
        <v>0</v>
      </c>
      <c r="N631" t="n">
        <v>0</v>
      </c>
      <c r="O631" t="n">
        <v>0</v>
      </c>
      <c r="P631" t="n">
        <v>0</v>
      </c>
      <c r="Q631" t="n">
        <v>0</v>
      </c>
      <c r="R631" s="2" t="inlineStr"/>
    </row>
    <row r="632" ht="15" customHeight="1">
      <c r="A632" t="inlineStr">
        <is>
          <t>A 58878-2022</t>
        </is>
      </c>
      <c r="B632" s="1" t="n">
        <v>44903</v>
      </c>
      <c r="C632" s="1" t="n">
        <v>45912</v>
      </c>
      <c r="D632" t="inlineStr">
        <is>
          <t>UPPSALA LÄN</t>
        </is>
      </c>
      <c r="E632" t="inlineStr">
        <is>
          <t>ÖSTHAMMAR</t>
        </is>
      </c>
      <c r="G632" t="n">
        <v>0.8</v>
      </c>
      <c r="H632" t="n">
        <v>0</v>
      </c>
      <c r="I632" t="n">
        <v>0</v>
      </c>
      <c r="J632" t="n">
        <v>0</v>
      </c>
      <c r="K632" t="n">
        <v>0</v>
      </c>
      <c r="L632" t="n">
        <v>0</v>
      </c>
      <c r="M632" t="n">
        <v>0</v>
      </c>
      <c r="N632" t="n">
        <v>0</v>
      </c>
      <c r="O632" t="n">
        <v>0</v>
      </c>
      <c r="P632" t="n">
        <v>0</v>
      </c>
      <c r="Q632" t="n">
        <v>0</v>
      </c>
      <c r="R632" s="2" t="inlineStr"/>
    </row>
    <row r="633" ht="15" customHeight="1">
      <c r="A633" t="inlineStr">
        <is>
          <t>A 30755-2024</t>
        </is>
      </c>
      <c r="B633" s="1" t="n">
        <v>45496</v>
      </c>
      <c r="C633" s="1" t="n">
        <v>45912</v>
      </c>
      <c r="D633" t="inlineStr">
        <is>
          <t>UPPSALA LÄN</t>
        </is>
      </c>
      <c r="E633" t="inlineStr">
        <is>
          <t>ÖSTHAMMAR</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56041-2020</t>
        </is>
      </c>
      <c r="B634" s="1" t="n">
        <v>44133</v>
      </c>
      <c r="C634" s="1" t="n">
        <v>45912</v>
      </c>
      <c r="D634" t="inlineStr">
        <is>
          <t>UPPSALA LÄN</t>
        </is>
      </c>
      <c r="E634" t="inlineStr">
        <is>
          <t>ÖSTHAMMAR</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36092-2025</t>
        </is>
      </c>
      <c r="B635" s="1" t="n">
        <v>45866.48244212963</v>
      </c>
      <c r="C635" s="1" t="n">
        <v>45912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4562-2022</t>
        </is>
      </c>
      <c r="B636" s="1" t="n">
        <v>44591</v>
      </c>
      <c r="C636" s="1" t="n">
        <v>45912</v>
      </c>
      <c r="D636" t="inlineStr">
        <is>
          <t>UPPSALA LÄN</t>
        </is>
      </c>
      <c r="E636" t="inlineStr">
        <is>
          <t>ÖSTHAMMAR</t>
        </is>
      </c>
      <c r="G636" t="n">
        <v>3.4</v>
      </c>
      <c r="H636" t="n">
        <v>0</v>
      </c>
      <c r="I636" t="n">
        <v>0</v>
      </c>
      <c r="J636" t="n">
        <v>0</v>
      </c>
      <c r="K636" t="n">
        <v>0</v>
      </c>
      <c r="L636" t="n">
        <v>0</v>
      </c>
      <c r="M636" t="n">
        <v>0</v>
      </c>
      <c r="N636" t="n">
        <v>0</v>
      </c>
      <c r="O636" t="n">
        <v>0</v>
      </c>
      <c r="P636" t="n">
        <v>0</v>
      </c>
      <c r="Q636" t="n">
        <v>0</v>
      </c>
      <c r="R636" s="2" t="inlineStr"/>
    </row>
    <row r="637" ht="15" customHeight="1">
      <c r="A637" t="inlineStr">
        <is>
          <t>A 42940-2025</t>
        </is>
      </c>
      <c r="B637" s="1" t="n">
        <v>45909.33440972222</v>
      </c>
      <c r="C637" s="1" t="n">
        <v>45912</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53733-2023</t>
        </is>
      </c>
      <c r="B638" s="1" t="n">
        <v>45230.76862268519</v>
      </c>
      <c r="C638" s="1" t="n">
        <v>45912</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17929-2025</t>
        </is>
      </c>
      <c r="B639" s="1" t="n">
        <v>45759.56462962963</v>
      </c>
      <c r="C639" s="1" t="n">
        <v>45912</v>
      </c>
      <c r="D639" t="inlineStr">
        <is>
          <t>UPPSALA LÄN</t>
        </is>
      </c>
      <c r="E639" t="inlineStr">
        <is>
          <t>ÖSTHAMMAR</t>
        </is>
      </c>
      <c r="G639" t="n">
        <v>3.4</v>
      </c>
      <c r="H639" t="n">
        <v>0</v>
      </c>
      <c r="I639" t="n">
        <v>0</v>
      </c>
      <c r="J639" t="n">
        <v>0</v>
      </c>
      <c r="K639" t="n">
        <v>0</v>
      </c>
      <c r="L639" t="n">
        <v>0</v>
      </c>
      <c r="M639" t="n">
        <v>0</v>
      </c>
      <c r="N639" t="n">
        <v>0</v>
      </c>
      <c r="O639" t="n">
        <v>0</v>
      </c>
      <c r="P639" t="n">
        <v>0</v>
      </c>
      <c r="Q639" t="n">
        <v>0</v>
      </c>
      <c r="R639" s="2" t="inlineStr"/>
    </row>
    <row r="640" ht="15" customHeight="1">
      <c r="A640" t="inlineStr">
        <is>
          <t>A 60555-2023</t>
        </is>
      </c>
      <c r="B640" s="1" t="n">
        <v>45259</v>
      </c>
      <c r="C640" s="1" t="n">
        <v>45912</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43011-2025</t>
        </is>
      </c>
      <c r="B641" s="1" t="n">
        <v>45909.48989583334</v>
      </c>
      <c r="C641" s="1" t="n">
        <v>45912</v>
      </c>
      <c r="D641" t="inlineStr">
        <is>
          <t>UPPSALA LÄN</t>
        </is>
      </c>
      <c r="E641" t="inlineStr">
        <is>
          <t>ÖSTHAMMAR</t>
        </is>
      </c>
      <c r="F641" t="inlineStr">
        <is>
          <t>Övriga Aktiebolag</t>
        </is>
      </c>
      <c r="G641" t="n">
        <v>4.7</v>
      </c>
      <c r="H641" t="n">
        <v>0</v>
      </c>
      <c r="I641" t="n">
        <v>0</v>
      </c>
      <c r="J641" t="n">
        <v>0</v>
      </c>
      <c r="K641" t="n">
        <v>0</v>
      </c>
      <c r="L641" t="n">
        <v>0</v>
      </c>
      <c r="M641" t="n">
        <v>0</v>
      </c>
      <c r="N641" t="n">
        <v>0</v>
      </c>
      <c r="O641" t="n">
        <v>0</v>
      </c>
      <c r="P641" t="n">
        <v>0</v>
      </c>
      <c r="Q641" t="n">
        <v>0</v>
      </c>
      <c r="R641" s="2" t="inlineStr"/>
    </row>
    <row r="642" ht="15" customHeight="1">
      <c r="A642" t="inlineStr">
        <is>
          <t>A 41308-2023</t>
        </is>
      </c>
      <c r="B642" s="1" t="n">
        <v>45174.62788194444</v>
      </c>
      <c r="C642" s="1" t="n">
        <v>45912</v>
      </c>
      <c r="D642" t="inlineStr">
        <is>
          <t>UPPSALA LÄN</t>
        </is>
      </c>
      <c r="E642" t="inlineStr">
        <is>
          <t>ÖSTHAMMAR</t>
        </is>
      </c>
      <c r="F642" t="inlineStr">
        <is>
          <t>Övriga Aktiebolag</t>
        </is>
      </c>
      <c r="G642" t="n">
        <v>2.8</v>
      </c>
      <c r="H642" t="n">
        <v>0</v>
      </c>
      <c r="I642" t="n">
        <v>0</v>
      </c>
      <c r="J642" t="n">
        <v>0</v>
      </c>
      <c r="K642" t="n">
        <v>0</v>
      </c>
      <c r="L642" t="n">
        <v>0</v>
      </c>
      <c r="M642" t="n">
        <v>0</v>
      </c>
      <c r="N642" t="n">
        <v>0</v>
      </c>
      <c r="O642" t="n">
        <v>0</v>
      </c>
      <c r="P642" t="n">
        <v>0</v>
      </c>
      <c r="Q642" t="n">
        <v>0</v>
      </c>
      <c r="R642" s="2" t="inlineStr"/>
    </row>
    <row r="643" ht="15" customHeight="1">
      <c r="A643" t="inlineStr">
        <is>
          <t>A 17969-2023</t>
        </is>
      </c>
      <c r="B643" s="1" t="n">
        <v>45040.47081018519</v>
      </c>
      <c r="C643" s="1" t="n">
        <v>45912</v>
      </c>
      <c r="D643" t="inlineStr">
        <is>
          <t>UPPSALA LÄN</t>
        </is>
      </c>
      <c r="E643" t="inlineStr">
        <is>
          <t>ÖSTHAMMAR</t>
        </is>
      </c>
      <c r="G643" t="n">
        <v>5.4</v>
      </c>
      <c r="H643" t="n">
        <v>0</v>
      </c>
      <c r="I643" t="n">
        <v>0</v>
      </c>
      <c r="J643" t="n">
        <v>0</v>
      </c>
      <c r="K643" t="n">
        <v>0</v>
      </c>
      <c r="L643" t="n">
        <v>0</v>
      </c>
      <c r="M643" t="n">
        <v>0</v>
      </c>
      <c r="N643" t="n">
        <v>0</v>
      </c>
      <c r="O643" t="n">
        <v>0</v>
      </c>
      <c r="P643" t="n">
        <v>0</v>
      </c>
      <c r="Q643" t="n">
        <v>0</v>
      </c>
      <c r="R643" s="2" t="inlineStr"/>
    </row>
    <row r="644" ht="15" customHeight="1">
      <c r="A644" t="inlineStr">
        <is>
          <t>A 25969-2023</t>
        </is>
      </c>
      <c r="B644" s="1" t="n">
        <v>45090</v>
      </c>
      <c r="C644" s="1" t="n">
        <v>45912</v>
      </c>
      <c r="D644" t="inlineStr">
        <is>
          <t>UPPSALA LÄN</t>
        </is>
      </c>
      <c r="E644" t="inlineStr">
        <is>
          <t>ÖSTHAMMAR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50998-2023</t>
        </is>
      </c>
      <c r="B645" s="1" t="n">
        <v>45218.5586574074</v>
      </c>
      <c r="C645" s="1" t="n">
        <v>45912</v>
      </c>
      <c r="D645" t="inlineStr">
        <is>
          <t>UPPSALA LÄN</t>
        </is>
      </c>
      <c r="E645" t="inlineStr">
        <is>
          <t>ÖSTHAMMAR</t>
        </is>
      </c>
      <c r="G645" t="n">
        <v>3.6</v>
      </c>
      <c r="H645" t="n">
        <v>0</v>
      </c>
      <c r="I645" t="n">
        <v>0</v>
      </c>
      <c r="J645" t="n">
        <v>0</v>
      </c>
      <c r="K645" t="n">
        <v>0</v>
      </c>
      <c r="L645" t="n">
        <v>0</v>
      </c>
      <c r="M645" t="n">
        <v>0</v>
      </c>
      <c r="N645" t="n">
        <v>0</v>
      </c>
      <c r="O645" t="n">
        <v>0</v>
      </c>
      <c r="P645" t="n">
        <v>0</v>
      </c>
      <c r="Q645" t="n">
        <v>0</v>
      </c>
      <c r="R645" s="2" t="inlineStr"/>
    </row>
    <row r="646" ht="15" customHeight="1">
      <c r="A646" t="inlineStr">
        <is>
          <t>A 55837-2023</t>
        </is>
      </c>
      <c r="B646" s="1" t="n">
        <v>45239</v>
      </c>
      <c r="C646" s="1" t="n">
        <v>45912</v>
      </c>
      <c r="D646" t="inlineStr">
        <is>
          <t>UPPSALA LÄN</t>
        </is>
      </c>
      <c r="E646" t="inlineStr">
        <is>
          <t>ÖSTHAMMAR</t>
        </is>
      </c>
      <c r="G646" t="n">
        <v>0.5</v>
      </c>
      <c r="H646" t="n">
        <v>0</v>
      </c>
      <c r="I646" t="n">
        <v>0</v>
      </c>
      <c r="J646" t="n">
        <v>0</v>
      </c>
      <c r="K646" t="n">
        <v>0</v>
      </c>
      <c r="L646" t="n">
        <v>0</v>
      </c>
      <c r="M646" t="n">
        <v>0</v>
      </c>
      <c r="N646" t="n">
        <v>0</v>
      </c>
      <c r="O646" t="n">
        <v>0</v>
      </c>
      <c r="P646" t="n">
        <v>0</v>
      </c>
      <c r="Q646" t="n">
        <v>0</v>
      </c>
      <c r="R646" s="2" t="inlineStr"/>
    </row>
    <row r="647" ht="15" customHeight="1">
      <c r="A647" t="inlineStr">
        <is>
          <t>A 43604-2025</t>
        </is>
      </c>
      <c r="B647" s="1" t="n">
        <v>45911.66671296296</v>
      </c>
      <c r="C647" s="1" t="n">
        <v>45912</v>
      </c>
      <c r="D647" t="inlineStr">
        <is>
          <t>UPPSALA LÄN</t>
        </is>
      </c>
      <c r="E647" t="inlineStr">
        <is>
          <t>ÖSTHAMMAR</t>
        </is>
      </c>
      <c r="G647" t="n">
        <v>8.5</v>
      </c>
      <c r="H647" t="n">
        <v>0</v>
      </c>
      <c r="I647" t="n">
        <v>0</v>
      </c>
      <c r="J647" t="n">
        <v>0</v>
      </c>
      <c r="K647" t="n">
        <v>0</v>
      </c>
      <c r="L647" t="n">
        <v>0</v>
      </c>
      <c r="M647" t="n">
        <v>0</v>
      </c>
      <c r="N647" t="n">
        <v>0</v>
      </c>
      <c r="O647" t="n">
        <v>0</v>
      </c>
      <c r="P647" t="n">
        <v>0</v>
      </c>
      <c r="Q647" t="n">
        <v>0</v>
      </c>
      <c r="R647" s="2" t="inlineStr"/>
    </row>
    <row r="648" ht="15" customHeight="1">
      <c r="A648" t="inlineStr">
        <is>
          <t>A 18838-2023</t>
        </is>
      </c>
      <c r="B648" s="1" t="n">
        <v>45044</v>
      </c>
      <c r="C648" s="1" t="n">
        <v>45912</v>
      </c>
      <c r="D648" t="inlineStr">
        <is>
          <t>UPPSALA LÄN</t>
        </is>
      </c>
      <c r="E648" t="inlineStr">
        <is>
          <t>ÖSTHAMMAR</t>
        </is>
      </c>
      <c r="G648" t="n">
        <v>2.8</v>
      </c>
      <c r="H648" t="n">
        <v>0</v>
      </c>
      <c r="I648" t="n">
        <v>0</v>
      </c>
      <c r="J648" t="n">
        <v>0</v>
      </c>
      <c r="K648" t="n">
        <v>0</v>
      </c>
      <c r="L648" t="n">
        <v>0</v>
      </c>
      <c r="M648" t="n">
        <v>0</v>
      </c>
      <c r="N648" t="n">
        <v>0</v>
      </c>
      <c r="O648" t="n">
        <v>0</v>
      </c>
      <c r="P648" t="n">
        <v>0</v>
      </c>
      <c r="Q648" t="n">
        <v>0</v>
      </c>
      <c r="R648" s="2" t="inlineStr"/>
    </row>
    <row r="649" ht="15" customHeight="1">
      <c r="A649" t="inlineStr">
        <is>
          <t>A 59382-2022</t>
        </is>
      </c>
      <c r="B649" s="1" t="n">
        <v>44905.50363425926</v>
      </c>
      <c r="C649" s="1" t="n">
        <v>45912</v>
      </c>
      <c r="D649" t="inlineStr">
        <is>
          <t>UPPSALA LÄN</t>
        </is>
      </c>
      <c r="E649" t="inlineStr">
        <is>
          <t>ÖSTHAMMAR</t>
        </is>
      </c>
      <c r="G649" t="n">
        <v>2.9</v>
      </c>
      <c r="H649" t="n">
        <v>0</v>
      </c>
      <c r="I649" t="n">
        <v>0</v>
      </c>
      <c r="J649" t="n">
        <v>0</v>
      </c>
      <c r="K649" t="n">
        <v>0</v>
      </c>
      <c r="L649" t="n">
        <v>0</v>
      </c>
      <c r="M649" t="n">
        <v>0</v>
      </c>
      <c r="N649" t="n">
        <v>0</v>
      </c>
      <c r="O649" t="n">
        <v>0</v>
      </c>
      <c r="P649" t="n">
        <v>0</v>
      </c>
      <c r="Q649" t="n">
        <v>0</v>
      </c>
      <c r="R649" s="2" t="inlineStr"/>
    </row>
    <row r="650" ht="15" customHeight="1">
      <c r="A650" t="inlineStr">
        <is>
          <t>A 43622-2025</t>
        </is>
      </c>
      <c r="B650" s="1" t="n">
        <v>45911.68295138889</v>
      </c>
      <c r="C650" s="1" t="n">
        <v>45912</v>
      </c>
      <c r="D650" t="inlineStr">
        <is>
          <t>UPPSALA LÄN</t>
        </is>
      </c>
      <c r="E650" t="inlineStr">
        <is>
          <t>ÖSTHAMMAR</t>
        </is>
      </c>
      <c r="G650" t="n">
        <v>2.3</v>
      </c>
      <c r="H650" t="n">
        <v>0</v>
      </c>
      <c r="I650" t="n">
        <v>0</v>
      </c>
      <c r="J650" t="n">
        <v>0</v>
      </c>
      <c r="K650" t="n">
        <v>0</v>
      </c>
      <c r="L650" t="n">
        <v>0</v>
      </c>
      <c r="M650" t="n">
        <v>0</v>
      </c>
      <c r="N650" t="n">
        <v>0</v>
      </c>
      <c r="O650" t="n">
        <v>0</v>
      </c>
      <c r="P650" t="n">
        <v>0</v>
      </c>
      <c r="Q650" t="n">
        <v>0</v>
      </c>
      <c r="R650" s="2" t="inlineStr"/>
    </row>
    <row r="651" ht="15" customHeight="1">
      <c r="A651" t="inlineStr">
        <is>
          <t>A 36451-2025</t>
        </is>
      </c>
      <c r="B651" s="1" t="n">
        <v>45869.4290625</v>
      </c>
      <c r="C651" s="1" t="n">
        <v>45912</v>
      </c>
      <c r="D651" t="inlineStr">
        <is>
          <t>UPPSALA LÄN</t>
        </is>
      </c>
      <c r="E651" t="inlineStr">
        <is>
          <t>ÖSTHAMMAR</t>
        </is>
      </c>
      <c r="G651" t="n">
        <v>0.8</v>
      </c>
      <c r="H651" t="n">
        <v>0</v>
      </c>
      <c r="I651" t="n">
        <v>0</v>
      </c>
      <c r="J651" t="n">
        <v>0</v>
      </c>
      <c r="K651" t="n">
        <v>0</v>
      </c>
      <c r="L651" t="n">
        <v>0</v>
      </c>
      <c r="M651" t="n">
        <v>0</v>
      </c>
      <c r="N651" t="n">
        <v>0</v>
      </c>
      <c r="O651" t="n">
        <v>0</v>
      </c>
      <c r="P651" t="n">
        <v>0</v>
      </c>
      <c r="Q651" t="n">
        <v>0</v>
      </c>
      <c r="R651" s="2" t="inlineStr"/>
    </row>
    <row r="652" ht="15" customHeight="1">
      <c r="A652" t="inlineStr">
        <is>
          <t>A 44815-2022</t>
        </is>
      </c>
      <c r="B652" s="1" t="n">
        <v>44841.40452546296</v>
      </c>
      <c r="C652" s="1" t="n">
        <v>45912</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68828-2020</t>
        </is>
      </c>
      <c r="B653" s="1" t="n">
        <v>44186</v>
      </c>
      <c r="C653" s="1" t="n">
        <v>45912</v>
      </c>
      <c r="D653" t="inlineStr">
        <is>
          <t>UPPSALA LÄN</t>
        </is>
      </c>
      <c r="E653" t="inlineStr">
        <is>
          <t>ÖSTHAMMAR</t>
        </is>
      </c>
      <c r="G653" t="n">
        <v>1.5</v>
      </c>
      <c r="H653" t="n">
        <v>0</v>
      </c>
      <c r="I653" t="n">
        <v>0</v>
      </c>
      <c r="J653" t="n">
        <v>0</v>
      </c>
      <c r="K653" t="n">
        <v>0</v>
      </c>
      <c r="L653" t="n">
        <v>0</v>
      </c>
      <c r="M653" t="n">
        <v>0</v>
      </c>
      <c r="N653" t="n">
        <v>0</v>
      </c>
      <c r="O653" t="n">
        <v>0</v>
      </c>
      <c r="P653" t="n">
        <v>0</v>
      </c>
      <c r="Q653" t="n">
        <v>0</v>
      </c>
      <c r="R653" s="2" t="inlineStr"/>
    </row>
    <row r="654" ht="15" customHeight="1">
      <c r="A654" t="inlineStr">
        <is>
          <t>A 73483-2021</t>
        </is>
      </c>
      <c r="B654" s="1" t="n">
        <v>44550</v>
      </c>
      <c r="C654" s="1" t="n">
        <v>45912</v>
      </c>
      <c r="D654" t="inlineStr">
        <is>
          <t>UPPSALA LÄN</t>
        </is>
      </c>
      <c r="E654" t="inlineStr">
        <is>
          <t>ÖSTHAMMAR</t>
        </is>
      </c>
      <c r="G654" t="n">
        <v>2.8</v>
      </c>
      <c r="H654" t="n">
        <v>0</v>
      </c>
      <c r="I654" t="n">
        <v>0</v>
      </c>
      <c r="J654" t="n">
        <v>0</v>
      </c>
      <c r="K654" t="n">
        <v>0</v>
      </c>
      <c r="L654" t="n">
        <v>0</v>
      </c>
      <c r="M654" t="n">
        <v>0</v>
      </c>
      <c r="N654" t="n">
        <v>0</v>
      </c>
      <c r="O654" t="n">
        <v>0</v>
      </c>
      <c r="P654" t="n">
        <v>0</v>
      </c>
      <c r="Q654" t="n">
        <v>0</v>
      </c>
      <c r="R654" s="2" t="inlineStr"/>
    </row>
    <row r="655" ht="15" customHeight="1">
      <c r="A655" t="inlineStr">
        <is>
          <t>A 17085-2025</t>
        </is>
      </c>
      <c r="B655" s="1" t="n">
        <v>45755.64612268518</v>
      </c>
      <c r="C655" s="1" t="n">
        <v>45912</v>
      </c>
      <c r="D655" t="inlineStr">
        <is>
          <t>UPPSALA LÄN</t>
        </is>
      </c>
      <c r="E655" t="inlineStr">
        <is>
          <t>ÖSTHAMMAR</t>
        </is>
      </c>
      <c r="F655" t="inlineStr">
        <is>
          <t>Bergvik skog öst AB</t>
        </is>
      </c>
      <c r="G655" t="n">
        <v>0.6</v>
      </c>
      <c r="H655" t="n">
        <v>0</v>
      </c>
      <c r="I655" t="n">
        <v>0</v>
      </c>
      <c r="J655" t="n">
        <v>0</v>
      </c>
      <c r="K655" t="n">
        <v>0</v>
      </c>
      <c r="L655" t="n">
        <v>0</v>
      </c>
      <c r="M655" t="n">
        <v>0</v>
      </c>
      <c r="N655" t="n">
        <v>0</v>
      </c>
      <c r="O655" t="n">
        <v>0</v>
      </c>
      <c r="P655" t="n">
        <v>0</v>
      </c>
      <c r="Q655" t="n">
        <v>0</v>
      </c>
      <c r="R655" s="2" t="inlineStr"/>
    </row>
    <row r="656" ht="15" customHeight="1">
      <c r="A656" t="inlineStr">
        <is>
          <t>A 4151-2021</t>
        </is>
      </c>
      <c r="B656" s="1" t="n">
        <v>44221</v>
      </c>
      <c r="C656" s="1" t="n">
        <v>45912</v>
      </c>
      <c r="D656" t="inlineStr">
        <is>
          <t>UPPSALA LÄN</t>
        </is>
      </c>
      <c r="E656" t="inlineStr">
        <is>
          <t>ÖSTHAMMAR</t>
        </is>
      </c>
      <c r="G656" t="n">
        <v>2.9</v>
      </c>
      <c r="H656" t="n">
        <v>0</v>
      </c>
      <c r="I656" t="n">
        <v>0</v>
      </c>
      <c r="J656" t="n">
        <v>0</v>
      </c>
      <c r="K656" t="n">
        <v>0</v>
      </c>
      <c r="L656" t="n">
        <v>0</v>
      </c>
      <c r="M656" t="n">
        <v>0</v>
      </c>
      <c r="N656" t="n">
        <v>0</v>
      </c>
      <c r="O656" t="n">
        <v>0</v>
      </c>
      <c r="P656" t="n">
        <v>0</v>
      </c>
      <c r="Q656" t="n">
        <v>0</v>
      </c>
      <c r="R656" s="2" t="inlineStr"/>
    </row>
    <row r="657" ht="15" customHeight="1">
      <c r="A657" t="inlineStr">
        <is>
          <t>A 29231-2024</t>
        </is>
      </c>
      <c r="B657" s="1" t="n">
        <v>45482</v>
      </c>
      <c r="C657" s="1" t="n">
        <v>45912</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6121-2024</t>
        </is>
      </c>
      <c r="B658" s="1" t="n">
        <v>45337.4219212963</v>
      </c>
      <c r="C658" s="1" t="n">
        <v>45912</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44184-2024</t>
        </is>
      </c>
      <c r="B659" s="1" t="n">
        <v>45572</v>
      </c>
      <c r="C659" s="1" t="n">
        <v>45912</v>
      </c>
      <c r="D659" t="inlineStr">
        <is>
          <t>UPPSALA LÄN</t>
        </is>
      </c>
      <c r="E659" t="inlineStr">
        <is>
          <t>ÖSTHAMMAR</t>
        </is>
      </c>
      <c r="G659" t="n">
        <v>0.6</v>
      </c>
      <c r="H659" t="n">
        <v>0</v>
      </c>
      <c r="I659" t="n">
        <v>0</v>
      </c>
      <c r="J659" t="n">
        <v>0</v>
      </c>
      <c r="K659" t="n">
        <v>0</v>
      </c>
      <c r="L659" t="n">
        <v>0</v>
      </c>
      <c r="M659" t="n">
        <v>0</v>
      </c>
      <c r="N659" t="n">
        <v>0</v>
      </c>
      <c r="O659" t="n">
        <v>0</v>
      </c>
      <c r="P659" t="n">
        <v>0</v>
      </c>
      <c r="Q659" t="n">
        <v>0</v>
      </c>
      <c r="R659" s="2" t="inlineStr"/>
    </row>
    <row r="660" ht="15" customHeight="1">
      <c r="A660" t="inlineStr">
        <is>
          <t>A 62391-2022</t>
        </is>
      </c>
      <c r="B660" s="1" t="n">
        <v>44923.7849537037</v>
      </c>
      <c r="C660" s="1" t="n">
        <v>45912</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54314-2023</t>
        </is>
      </c>
      <c r="B661" s="1" t="n">
        <v>45225</v>
      </c>
      <c r="C661" s="1" t="n">
        <v>45912</v>
      </c>
      <c r="D661" t="inlineStr">
        <is>
          <t>UPPSALA LÄN</t>
        </is>
      </c>
      <c r="E661" t="inlineStr">
        <is>
          <t>ÖSTHAMMAR</t>
        </is>
      </c>
      <c r="G661" t="n">
        <v>5.1</v>
      </c>
      <c r="H661" t="n">
        <v>0</v>
      </c>
      <c r="I661" t="n">
        <v>0</v>
      </c>
      <c r="J661" t="n">
        <v>0</v>
      </c>
      <c r="K661" t="n">
        <v>0</v>
      </c>
      <c r="L661" t="n">
        <v>0</v>
      </c>
      <c r="M661" t="n">
        <v>0</v>
      </c>
      <c r="N661" t="n">
        <v>0</v>
      </c>
      <c r="O661" t="n">
        <v>0</v>
      </c>
      <c r="P661" t="n">
        <v>0</v>
      </c>
      <c r="Q661" t="n">
        <v>0</v>
      </c>
      <c r="R661" s="2" t="inlineStr"/>
    </row>
    <row r="662" ht="15" customHeight="1">
      <c r="A662" t="inlineStr">
        <is>
          <t>A 9264-2024</t>
        </is>
      </c>
      <c r="B662" s="1" t="n">
        <v>45358</v>
      </c>
      <c r="C662" s="1" t="n">
        <v>45912</v>
      </c>
      <c r="D662" t="inlineStr">
        <is>
          <t>UPPSALA LÄN</t>
        </is>
      </c>
      <c r="E662" t="inlineStr">
        <is>
          <t>ÖSTHAMMAR</t>
        </is>
      </c>
      <c r="F662" t="inlineStr">
        <is>
          <t>Bergvik skog öst AB</t>
        </is>
      </c>
      <c r="G662" t="n">
        <v>0.4</v>
      </c>
      <c r="H662" t="n">
        <v>0</v>
      </c>
      <c r="I662" t="n">
        <v>0</v>
      </c>
      <c r="J662" t="n">
        <v>0</v>
      </c>
      <c r="K662" t="n">
        <v>0</v>
      </c>
      <c r="L662" t="n">
        <v>0</v>
      </c>
      <c r="M662" t="n">
        <v>0</v>
      </c>
      <c r="N662" t="n">
        <v>0</v>
      </c>
      <c r="O662" t="n">
        <v>0</v>
      </c>
      <c r="P662" t="n">
        <v>0</v>
      </c>
      <c r="Q662" t="n">
        <v>0</v>
      </c>
      <c r="R662" s="2" t="inlineStr"/>
    </row>
    <row r="663" ht="15" customHeight="1">
      <c r="A663" t="inlineStr">
        <is>
          <t>A 33784-2024</t>
        </is>
      </c>
      <c r="B663" s="1" t="n">
        <v>45520</v>
      </c>
      <c r="C663" s="1" t="n">
        <v>45912</v>
      </c>
      <c r="D663" t="inlineStr">
        <is>
          <t>UPPSALA LÄN</t>
        </is>
      </c>
      <c r="E663" t="inlineStr">
        <is>
          <t>ÖSTHAMMAR</t>
        </is>
      </c>
      <c r="F663" t="inlineStr">
        <is>
          <t>Naturvårdsverket</t>
        </is>
      </c>
      <c r="G663" t="n">
        <v>0.6</v>
      </c>
      <c r="H663" t="n">
        <v>0</v>
      </c>
      <c r="I663" t="n">
        <v>0</v>
      </c>
      <c r="J663" t="n">
        <v>0</v>
      </c>
      <c r="K663" t="n">
        <v>0</v>
      </c>
      <c r="L663" t="n">
        <v>0</v>
      </c>
      <c r="M663" t="n">
        <v>0</v>
      </c>
      <c r="N663" t="n">
        <v>0</v>
      </c>
      <c r="O663" t="n">
        <v>0</v>
      </c>
      <c r="P663" t="n">
        <v>0</v>
      </c>
      <c r="Q663" t="n">
        <v>0</v>
      </c>
      <c r="R663" s="2" t="inlineStr"/>
    </row>
    <row r="664" ht="15" customHeight="1">
      <c r="A664" t="inlineStr">
        <is>
          <t>A 23363-2023</t>
        </is>
      </c>
      <c r="B664" s="1" t="n">
        <v>45076</v>
      </c>
      <c r="C664" s="1" t="n">
        <v>45912</v>
      </c>
      <c r="D664" t="inlineStr">
        <is>
          <t>UPPSALA LÄN</t>
        </is>
      </c>
      <c r="E664" t="inlineStr">
        <is>
          <t>ÖSTHAMMAR</t>
        </is>
      </c>
      <c r="G664" t="n">
        <v>3</v>
      </c>
      <c r="H664" t="n">
        <v>0</v>
      </c>
      <c r="I664" t="n">
        <v>0</v>
      </c>
      <c r="J664" t="n">
        <v>0</v>
      </c>
      <c r="K664" t="n">
        <v>0</v>
      </c>
      <c r="L664" t="n">
        <v>0</v>
      </c>
      <c r="M664" t="n">
        <v>0</v>
      </c>
      <c r="N664" t="n">
        <v>0</v>
      </c>
      <c r="O664" t="n">
        <v>0</v>
      </c>
      <c r="P664" t="n">
        <v>0</v>
      </c>
      <c r="Q664" t="n">
        <v>0</v>
      </c>
      <c r="R664" s="2" t="inlineStr"/>
    </row>
    <row r="665" ht="15" customHeight="1">
      <c r="A665" t="inlineStr">
        <is>
          <t>A 11643-2022</t>
        </is>
      </c>
      <c r="B665" s="1" t="n">
        <v>44631.92662037037</v>
      </c>
      <c r="C665" s="1" t="n">
        <v>45912</v>
      </c>
      <c r="D665" t="inlineStr">
        <is>
          <t>UPPSALA LÄN</t>
        </is>
      </c>
      <c r="E665" t="inlineStr">
        <is>
          <t>ÖSTHAMMAR</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4233-2023</t>
        </is>
      </c>
      <c r="B666" s="1" t="n">
        <v>44953.48619212963</v>
      </c>
      <c r="C666" s="1" t="n">
        <v>45912</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37865-2023</t>
        </is>
      </c>
      <c r="B667" s="1" t="n">
        <v>45160</v>
      </c>
      <c r="C667" s="1" t="n">
        <v>45912</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34607-2023</t>
        </is>
      </c>
      <c r="B668" s="1" t="n">
        <v>45138</v>
      </c>
      <c r="C668" s="1" t="n">
        <v>45912</v>
      </c>
      <c r="D668" t="inlineStr">
        <is>
          <t>UPPSALA LÄN</t>
        </is>
      </c>
      <c r="E668" t="inlineStr">
        <is>
          <t>ÖSTHAMMAR</t>
        </is>
      </c>
      <c r="G668" t="n">
        <v>4.7</v>
      </c>
      <c r="H668" t="n">
        <v>0</v>
      </c>
      <c r="I668" t="n">
        <v>0</v>
      </c>
      <c r="J668" t="n">
        <v>0</v>
      </c>
      <c r="K668" t="n">
        <v>0</v>
      </c>
      <c r="L668" t="n">
        <v>0</v>
      </c>
      <c r="M668" t="n">
        <v>0</v>
      </c>
      <c r="N668" t="n">
        <v>0</v>
      </c>
      <c r="O668" t="n">
        <v>0</v>
      </c>
      <c r="P668" t="n">
        <v>0</v>
      </c>
      <c r="Q668" t="n">
        <v>0</v>
      </c>
      <c r="R668" s="2" t="inlineStr"/>
    </row>
    <row r="669" ht="15" customHeight="1">
      <c r="A669" t="inlineStr">
        <is>
          <t>A 58270-2023</t>
        </is>
      </c>
      <c r="B669" s="1" t="n">
        <v>45250.49961805555</v>
      </c>
      <c r="C669" s="1" t="n">
        <v>45912</v>
      </c>
      <c r="D669" t="inlineStr">
        <is>
          <t>UPPSALA LÄN</t>
        </is>
      </c>
      <c r="E669" t="inlineStr">
        <is>
          <t>ÖSTHAMMAR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5215-2025</t>
        </is>
      </c>
      <c r="B670" s="1" t="n">
        <v>45691</v>
      </c>
      <c r="C670" s="1" t="n">
        <v>45912</v>
      </c>
      <c r="D670" t="inlineStr">
        <is>
          <t>UPPSALA LÄN</t>
        </is>
      </c>
      <c r="E670" t="inlineStr">
        <is>
          <t>ÖSTHAMMAR</t>
        </is>
      </c>
      <c r="G670" t="n">
        <v>0.5</v>
      </c>
      <c r="H670" t="n">
        <v>0</v>
      </c>
      <c r="I670" t="n">
        <v>0</v>
      </c>
      <c r="J670" t="n">
        <v>0</v>
      </c>
      <c r="K670" t="n">
        <v>0</v>
      </c>
      <c r="L670" t="n">
        <v>0</v>
      </c>
      <c r="M670" t="n">
        <v>0</v>
      </c>
      <c r="N670" t="n">
        <v>0</v>
      </c>
      <c r="O670" t="n">
        <v>0</v>
      </c>
      <c r="P670" t="n">
        <v>0</v>
      </c>
      <c r="Q670" t="n">
        <v>0</v>
      </c>
      <c r="R670" s="2" t="inlineStr"/>
    </row>
    <row r="671" ht="15" customHeight="1">
      <c r="A671" t="inlineStr">
        <is>
          <t>A 2733-2023</t>
        </is>
      </c>
      <c r="B671" s="1" t="n">
        <v>44943</v>
      </c>
      <c r="C671" s="1" t="n">
        <v>45912</v>
      </c>
      <c r="D671" t="inlineStr">
        <is>
          <t>UPPSALA LÄN</t>
        </is>
      </c>
      <c r="E671" t="inlineStr">
        <is>
          <t>ÖSTHAMMAR</t>
        </is>
      </c>
      <c r="G671" t="n">
        <v>2.6</v>
      </c>
      <c r="H671" t="n">
        <v>0</v>
      </c>
      <c r="I671" t="n">
        <v>0</v>
      </c>
      <c r="J671" t="n">
        <v>0</v>
      </c>
      <c r="K671" t="n">
        <v>0</v>
      </c>
      <c r="L671" t="n">
        <v>0</v>
      </c>
      <c r="M671" t="n">
        <v>0</v>
      </c>
      <c r="N671" t="n">
        <v>0</v>
      </c>
      <c r="O671" t="n">
        <v>0</v>
      </c>
      <c r="P671" t="n">
        <v>0</v>
      </c>
      <c r="Q671" t="n">
        <v>0</v>
      </c>
      <c r="R671" s="2" t="inlineStr"/>
    </row>
    <row r="672" ht="15" customHeight="1">
      <c r="A672" t="inlineStr">
        <is>
          <t>A 73592-2021</t>
        </is>
      </c>
      <c r="B672" s="1" t="n">
        <v>44552.36974537037</v>
      </c>
      <c r="C672" s="1" t="n">
        <v>45912</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8769-2025</t>
        </is>
      </c>
      <c r="B673" s="1" t="n">
        <v>45712.59412037037</v>
      </c>
      <c r="C673" s="1" t="n">
        <v>45912</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25938-2024</t>
        </is>
      </c>
      <c r="B674" s="1" t="n">
        <v>45467.63127314814</v>
      </c>
      <c r="C674" s="1" t="n">
        <v>45912</v>
      </c>
      <c r="D674" t="inlineStr">
        <is>
          <t>UPPSALA LÄN</t>
        </is>
      </c>
      <c r="E674" t="inlineStr">
        <is>
          <t>ÖSTHAMMAR</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34971-2022</t>
        </is>
      </c>
      <c r="B675" s="1" t="n">
        <v>44796.66613425926</v>
      </c>
      <c r="C675" s="1" t="n">
        <v>45912</v>
      </c>
      <c r="D675" t="inlineStr">
        <is>
          <t>UPPSALA LÄN</t>
        </is>
      </c>
      <c r="E675" t="inlineStr">
        <is>
          <t>ÖSTHAMMAR</t>
        </is>
      </c>
      <c r="F675" t="inlineStr">
        <is>
          <t>Bergvik skog öst AB</t>
        </is>
      </c>
      <c r="G675" t="n">
        <v>2.3</v>
      </c>
      <c r="H675" t="n">
        <v>0</v>
      </c>
      <c r="I675" t="n">
        <v>0</v>
      </c>
      <c r="J675" t="n">
        <v>0</v>
      </c>
      <c r="K675" t="n">
        <v>0</v>
      </c>
      <c r="L675" t="n">
        <v>0</v>
      </c>
      <c r="M675" t="n">
        <v>0</v>
      </c>
      <c r="N675" t="n">
        <v>0</v>
      </c>
      <c r="O675" t="n">
        <v>0</v>
      </c>
      <c r="P675" t="n">
        <v>0</v>
      </c>
      <c r="Q675" t="n">
        <v>0</v>
      </c>
      <c r="R675" s="2" t="inlineStr"/>
    </row>
    <row r="676" ht="15" customHeight="1">
      <c r="A676" t="inlineStr">
        <is>
          <t>A 3725-2022</t>
        </is>
      </c>
      <c r="B676" s="1" t="n">
        <v>44586</v>
      </c>
      <c r="C676" s="1" t="n">
        <v>45912</v>
      </c>
      <c r="D676" t="inlineStr">
        <is>
          <t>UPPSALA LÄN</t>
        </is>
      </c>
      <c r="E676" t="inlineStr">
        <is>
          <t>ÖSTHAMMAR</t>
        </is>
      </c>
      <c r="G676" t="n">
        <v>2</v>
      </c>
      <c r="H676" t="n">
        <v>0</v>
      </c>
      <c r="I676" t="n">
        <v>0</v>
      </c>
      <c r="J676" t="n">
        <v>0</v>
      </c>
      <c r="K676" t="n">
        <v>0</v>
      </c>
      <c r="L676" t="n">
        <v>0</v>
      </c>
      <c r="M676" t="n">
        <v>0</v>
      </c>
      <c r="N676" t="n">
        <v>0</v>
      </c>
      <c r="O676" t="n">
        <v>0</v>
      </c>
      <c r="P676" t="n">
        <v>0</v>
      </c>
      <c r="Q676" t="n">
        <v>0</v>
      </c>
      <c r="R676" s="2" t="inlineStr"/>
    </row>
    <row r="677" ht="15" customHeight="1">
      <c r="A677" t="inlineStr">
        <is>
          <t>A 12812-2024</t>
        </is>
      </c>
      <c r="B677" s="1" t="n">
        <v>45384.65465277778</v>
      </c>
      <c r="C677" s="1" t="n">
        <v>45912</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35539-2023</t>
        </is>
      </c>
      <c r="B678" s="1" t="n">
        <v>45147.37006944444</v>
      </c>
      <c r="C678" s="1" t="n">
        <v>45912</v>
      </c>
      <c r="D678" t="inlineStr">
        <is>
          <t>UPPSALA LÄN</t>
        </is>
      </c>
      <c r="E678" t="inlineStr">
        <is>
          <t>ÖSTHAMMAR</t>
        </is>
      </c>
      <c r="G678" t="n">
        <v>1.4</v>
      </c>
      <c r="H678" t="n">
        <v>0</v>
      </c>
      <c r="I678" t="n">
        <v>0</v>
      </c>
      <c r="J678" t="n">
        <v>0</v>
      </c>
      <c r="K678" t="n">
        <v>0</v>
      </c>
      <c r="L678" t="n">
        <v>0</v>
      </c>
      <c r="M678" t="n">
        <v>0</v>
      </c>
      <c r="N678" t="n">
        <v>0</v>
      </c>
      <c r="O678" t="n">
        <v>0</v>
      </c>
      <c r="P678" t="n">
        <v>0</v>
      </c>
      <c r="Q678" t="n">
        <v>0</v>
      </c>
      <c r="R678" s="2" t="inlineStr"/>
    </row>
    <row r="679" ht="15" customHeight="1">
      <c r="A679" t="inlineStr">
        <is>
          <t>A 32744-2022</t>
        </is>
      </c>
      <c r="B679" s="1" t="n">
        <v>44783.70378472222</v>
      </c>
      <c r="C679" s="1" t="n">
        <v>45912</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28170-2023</t>
        </is>
      </c>
      <c r="B680" s="1" t="n">
        <v>45093</v>
      </c>
      <c r="C680" s="1" t="n">
        <v>45912</v>
      </c>
      <c r="D680" t="inlineStr">
        <is>
          <t>UPPSALA LÄN</t>
        </is>
      </c>
      <c r="E680" t="inlineStr">
        <is>
          <t>ÖSTHAMMAR</t>
        </is>
      </c>
      <c r="G680" t="n">
        <v>7.2</v>
      </c>
      <c r="H680" t="n">
        <v>0</v>
      </c>
      <c r="I680" t="n">
        <v>0</v>
      </c>
      <c r="J680" t="n">
        <v>0</v>
      </c>
      <c r="K680" t="n">
        <v>0</v>
      </c>
      <c r="L680" t="n">
        <v>0</v>
      </c>
      <c r="M680" t="n">
        <v>0</v>
      </c>
      <c r="N680" t="n">
        <v>0</v>
      </c>
      <c r="O680" t="n">
        <v>0</v>
      </c>
      <c r="P680" t="n">
        <v>0</v>
      </c>
      <c r="Q680" t="n">
        <v>0</v>
      </c>
      <c r="R680" s="2" t="inlineStr"/>
    </row>
    <row r="681" ht="15" customHeight="1">
      <c r="A681" t="inlineStr">
        <is>
          <t>A 7876-2023</t>
        </is>
      </c>
      <c r="B681" s="1" t="n">
        <v>44973.57263888889</v>
      </c>
      <c r="C681" s="1" t="n">
        <v>45912</v>
      </c>
      <c r="D681" t="inlineStr">
        <is>
          <t>UPPSALA LÄN</t>
        </is>
      </c>
      <c r="E681" t="inlineStr">
        <is>
          <t>ÖSTHAMMAR</t>
        </is>
      </c>
      <c r="G681" t="n">
        <v>0.9</v>
      </c>
      <c r="H681" t="n">
        <v>0</v>
      </c>
      <c r="I681" t="n">
        <v>0</v>
      </c>
      <c r="J681" t="n">
        <v>0</v>
      </c>
      <c r="K681" t="n">
        <v>0</v>
      </c>
      <c r="L681" t="n">
        <v>0</v>
      </c>
      <c r="M681" t="n">
        <v>0</v>
      </c>
      <c r="N681" t="n">
        <v>0</v>
      </c>
      <c r="O681" t="n">
        <v>0</v>
      </c>
      <c r="P681" t="n">
        <v>0</v>
      </c>
      <c r="Q681" t="n">
        <v>0</v>
      </c>
      <c r="R681" s="2" t="inlineStr"/>
    </row>
    <row r="682" ht="15" customHeight="1">
      <c r="A682" t="inlineStr">
        <is>
          <t>A 18230-2025</t>
        </is>
      </c>
      <c r="B682" s="1" t="n">
        <v>45761.87114583333</v>
      </c>
      <c r="C682" s="1" t="n">
        <v>45912</v>
      </c>
      <c r="D682" t="inlineStr">
        <is>
          <t>UPPSALA LÄN</t>
        </is>
      </c>
      <c r="E682" t="inlineStr">
        <is>
          <t>ÖSTHAMMAR</t>
        </is>
      </c>
      <c r="F682" t="inlineStr">
        <is>
          <t>Bergvik skog öst AB</t>
        </is>
      </c>
      <c r="G682" t="n">
        <v>4.2</v>
      </c>
      <c r="H682" t="n">
        <v>0</v>
      </c>
      <c r="I682" t="n">
        <v>0</v>
      </c>
      <c r="J682" t="n">
        <v>0</v>
      </c>
      <c r="K682" t="n">
        <v>0</v>
      </c>
      <c r="L682" t="n">
        <v>0</v>
      </c>
      <c r="M682" t="n">
        <v>0</v>
      </c>
      <c r="N682" t="n">
        <v>0</v>
      </c>
      <c r="O682" t="n">
        <v>0</v>
      </c>
      <c r="P682" t="n">
        <v>0</v>
      </c>
      <c r="Q682" t="n">
        <v>0</v>
      </c>
      <c r="R682" s="2" t="inlineStr"/>
    </row>
    <row r="683" ht="15" customHeight="1">
      <c r="A683" t="inlineStr">
        <is>
          <t>A 57408-2020</t>
        </is>
      </c>
      <c r="B683" s="1" t="n">
        <v>44140</v>
      </c>
      <c r="C683" s="1" t="n">
        <v>45912</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8006-2023</t>
        </is>
      </c>
      <c r="B684" s="1" t="n">
        <v>44973</v>
      </c>
      <c r="C684" s="1" t="n">
        <v>45912</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14433-2024</t>
        </is>
      </c>
      <c r="B685" s="1" t="n">
        <v>45394.46115740741</v>
      </c>
      <c r="C685" s="1" t="n">
        <v>45912</v>
      </c>
      <c r="D685" t="inlineStr">
        <is>
          <t>UPPSALA LÄN</t>
        </is>
      </c>
      <c r="E685" t="inlineStr">
        <is>
          <t>ÖSTHAMMAR</t>
        </is>
      </c>
      <c r="G685" t="n">
        <v>1.2</v>
      </c>
      <c r="H685" t="n">
        <v>0</v>
      </c>
      <c r="I685" t="n">
        <v>0</v>
      </c>
      <c r="J685" t="n">
        <v>0</v>
      </c>
      <c r="K685" t="n">
        <v>0</v>
      </c>
      <c r="L685" t="n">
        <v>0</v>
      </c>
      <c r="M685" t="n">
        <v>0</v>
      </c>
      <c r="N685" t="n">
        <v>0</v>
      </c>
      <c r="O685" t="n">
        <v>0</v>
      </c>
      <c r="P685" t="n">
        <v>0</v>
      </c>
      <c r="Q685" t="n">
        <v>0</v>
      </c>
      <c r="R685" s="2" t="inlineStr"/>
    </row>
    <row r="686" ht="15" customHeight="1">
      <c r="A686" t="inlineStr">
        <is>
          <t>A 20038-2023</t>
        </is>
      </c>
      <c r="B686" s="1" t="n">
        <v>45054.65834490741</v>
      </c>
      <c r="C686" s="1" t="n">
        <v>45912</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15031-2025</t>
        </is>
      </c>
      <c r="B687" s="1" t="n">
        <v>45743.67333333333</v>
      </c>
      <c r="C687" s="1" t="n">
        <v>45912</v>
      </c>
      <c r="D687" t="inlineStr">
        <is>
          <t>UPPSALA LÄN</t>
        </is>
      </c>
      <c r="E687" t="inlineStr">
        <is>
          <t>ÖSTHAMMAR</t>
        </is>
      </c>
      <c r="G687" t="n">
        <v>9.6</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45007.37081018519</v>
      </c>
      <c r="C688" s="1" t="n">
        <v>45912</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43439-2024</t>
        </is>
      </c>
      <c r="B689" s="1" t="n">
        <v>45568</v>
      </c>
      <c r="C689" s="1" t="n">
        <v>45912</v>
      </c>
      <c r="D689" t="inlineStr">
        <is>
          <t>UPPSALA LÄN</t>
        </is>
      </c>
      <c r="E689" t="inlineStr">
        <is>
          <t>ÖSTHAMMAR</t>
        </is>
      </c>
      <c r="G689" t="n">
        <v>1</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45912</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45912</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10290-2025</t>
        </is>
      </c>
      <c r="B692" s="1" t="n">
        <v>45720.41847222222</v>
      </c>
      <c r="C692" s="1" t="n">
        <v>45912</v>
      </c>
      <c r="D692" t="inlineStr">
        <is>
          <t>UPPSALA LÄN</t>
        </is>
      </c>
      <c r="E692" t="inlineStr">
        <is>
          <t>ÖSTHAMMAR</t>
        </is>
      </c>
      <c r="G692" t="n">
        <v>8.6</v>
      </c>
      <c r="H692" t="n">
        <v>0</v>
      </c>
      <c r="I692" t="n">
        <v>0</v>
      </c>
      <c r="J692" t="n">
        <v>0</v>
      </c>
      <c r="K692" t="n">
        <v>0</v>
      </c>
      <c r="L692" t="n">
        <v>0</v>
      </c>
      <c r="M692" t="n">
        <v>0</v>
      </c>
      <c r="N692" t="n">
        <v>0</v>
      </c>
      <c r="O692" t="n">
        <v>0</v>
      </c>
      <c r="P692" t="n">
        <v>0</v>
      </c>
      <c r="Q692" t="n">
        <v>0</v>
      </c>
      <c r="R692" s="2" t="inlineStr"/>
    </row>
    <row r="693" ht="15" customHeight="1">
      <c r="A693" t="inlineStr">
        <is>
          <t>A 17022-2021</t>
        </is>
      </c>
      <c r="B693" s="1" t="n">
        <v>44295.65875</v>
      </c>
      <c r="C693" s="1" t="n">
        <v>45912</v>
      </c>
      <c r="D693" t="inlineStr">
        <is>
          <t>UPPSALA LÄN</t>
        </is>
      </c>
      <c r="E693" t="inlineStr">
        <is>
          <t>ÖSTHAMMAR</t>
        </is>
      </c>
      <c r="F693" t="inlineStr">
        <is>
          <t>Bergvik skog öst AB</t>
        </is>
      </c>
      <c r="G693" t="n">
        <v>0.3</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44993.60099537037</v>
      </c>
      <c r="C694" s="1" t="n">
        <v>45912</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7543-2023</t>
        </is>
      </c>
      <c r="B695" s="1" t="n">
        <v>44972</v>
      </c>
      <c r="C695" s="1" t="n">
        <v>45912</v>
      </c>
      <c r="D695" t="inlineStr">
        <is>
          <t>UPPSALA LÄN</t>
        </is>
      </c>
      <c r="E695" t="inlineStr">
        <is>
          <t>ÖSTHAMMAR</t>
        </is>
      </c>
      <c r="F695" t="inlineStr">
        <is>
          <t>Bergvik skog öst AB</t>
        </is>
      </c>
      <c r="G695" t="n">
        <v>13.3</v>
      </c>
      <c r="H695" t="n">
        <v>0</v>
      </c>
      <c r="I695" t="n">
        <v>0</v>
      </c>
      <c r="J695" t="n">
        <v>0</v>
      </c>
      <c r="K695" t="n">
        <v>0</v>
      </c>
      <c r="L695" t="n">
        <v>0</v>
      </c>
      <c r="M695" t="n">
        <v>0</v>
      </c>
      <c r="N695" t="n">
        <v>0</v>
      </c>
      <c r="O695" t="n">
        <v>0</v>
      </c>
      <c r="P695" t="n">
        <v>0</v>
      </c>
      <c r="Q695" t="n">
        <v>0</v>
      </c>
      <c r="R695" s="2" t="inlineStr"/>
    </row>
    <row r="696" ht="15" customHeight="1">
      <c r="A696" t="inlineStr">
        <is>
          <t>A 49899-2023</t>
        </is>
      </c>
      <c r="B696" s="1" t="n">
        <v>45213</v>
      </c>
      <c r="C696" s="1" t="n">
        <v>45912</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4676-2025</t>
        </is>
      </c>
      <c r="B697" s="1" t="n">
        <v>45687.8313425926</v>
      </c>
      <c r="C697" s="1" t="n">
        <v>45912</v>
      </c>
      <c r="D697" t="inlineStr">
        <is>
          <t>UPPSALA LÄN</t>
        </is>
      </c>
      <c r="E697" t="inlineStr">
        <is>
          <t>ÖSTHAMMAR</t>
        </is>
      </c>
      <c r="G697" t="n">
        <v>3.7</v>
      </c>
      <c r="H697" t="n">
        <v>0</v>
      </c>
      <c r="I697" t="n">
        <v>0</v>
      </c>
      <c r="J697" t="n">
        <v>0</v>
      </c>
      <c r="K697" t="n">
        <v>0</v>
      </c>
      <c r="L697" t="n">
        <v>0</v>
      </c>
      <c r="M697" t="n">
        <v>0</v>
      </c>
      <c r="N697" t="n">
        <v>0</v>
      </c>
      <c r="O697" t="n">
        <v>0</v>
      </c>
      <c r="P697" t="n">
        <v>0</v>
      </c>
      <c r="Q697" t="n">
        <v>0</v>
      </c>
      <c r="R697" s="2" t="inlineStr"/>
    </row>
    <row r="698" ht="15" customHeight="1">
      <c r="A698" t="inlineStr">
        <is>
          <t>A 25418-2022</t>
        </is>
      </c>
      <c r="B698" s="1" t="n">
        <v>44732.464375</v>
      </c>
      <c r="C698" s="1" t="n">
        <v>45912</v>
      </c>
      <c r="D698" t="inlineStr">
        <is>
          <t>UPPSALA LÄN</t>
        </is>
      </c>
      <c r="E698" t="inlineStr">
        <is>
          <t>ÖSTHAMMAR</t>
        </is>
      </c>
      <c r="G698" t="n">
        <v>2.8</v>
      </c>
      <c r="H698" t="n">
        <v>0</v>
      </c>
      <c r="I698" t="n">
        <v>0</v>
      </c>
      <c r="J698" t="n">
        <v>0</v>
      </c>
      <c r="K698" t="n">
        <v>0</v>
      </c>
      <c r="L698" t="n">
        <v>0</v>
      </c>
      <c r="M698" t="n">
        <v>0</v>
      </c>
      <c r="N698" t="n">
        <v>0</v>
      </c>
      <c r="O698" t="n">
        <v>0</v>
      </c>
      <c r="P698" t="n">
        <v>0</v>
      </c>
      <c r="Q698" t="n">
        <v>0</v>
      </c>
      <c r="R698" s="2" t="inlineStr"/>
    </row>
    <row r="699" ht="15" customHeight="1">
      <c r="A699" t="inlineStr">
        <is>
          <t>A 17009-2021</t>
        </is>
      </c>
      <c r="B699" s="1" t="n">
        <v>44295.63969907408</v>
      </c>
      <c r="C699" s="1" t="n">
        <v>45912</v>
      </c>
      <c r="D699" t="inlineStr">
        <is>
          <t>UPPSALA LÄN</t>
        </is>
      </c>
      <c r="E699" t="inlineStr">
        <is>
          <t>ÖSTHAMMAR</t>
        </is>
      </c>
      <c r="F699" t="inlineStr">
        <is>
          <t>Bergvik skog öst AB</t>
        </is>
      </c>
      <c r="G699" t="n">
        <v>3.2</v>
      </c>
      <c r="H699" t="n">
        <v>0</v>
      </c>
      <c r="I699" t="n">
        <v>0</v>
      </c>
      <c r="J699" t="n">
        <v>0</v>
      </c>
      <c r="K699" t="n">
        <v>0</v>
      </c>
      <c r="L699" t="n">
        <v>0</v>
      </c>
      <c r="M699" t="n">
        <v>0</v>
      </c>
      <c r="N699" t="n">
        <v>0</v>
      </c>
      <c r="O699" t="n">
        <v>0</v>
      </c>
      <c r="P699" t="n">
        <v>0</v>
      </c>
      <c r="Q699" t="n">
        <v>0</v>
      </c>
      <c r="R699" s="2" t="inlineStr"/>
    </row>
    <row r="700" ht="15" customHeight="1">
      <c r="A700" t="inlineStr">
        <is>
          <t>A 33758-2024</t>
        </is>
      </c>
      <c r="B700" s="1" t="n">
        <v>45520.56896990741</v>
      </c>
      <c r="C700" s="1" t="n">
        <v>45912</v>
      </c>
      <c r="D700" t="inlineStr">
        <is>
          <t>UPPSALA LÄN</t>
        </is>
      </c>
      <c r="E700" t="inlineStr">
        <is>
          <t>ÖSTHAMMAR</t>
        </is>
      </c>
      <c r="G700" t="n">
        <v>6.5</v>
      </c>
      <c r="H700" t="n">
        <v>0</v>
      </c>
      <c r="I700" t="n">
        <v>0</v>
      </c>
      <c r="J700" t="n">
        <v>0</v>
      </c>
      <c r="K700" t="n">
        <v>0</v>
      </c>
      <c r="L700" t="n">
        <v>0</v>
      </c>
      <c r="M700" t="n">
        <v>0</v>
      </c>
      <c r="N700" t="n">
        <v>0</v>
      </c>
      <c r="O700" t="n">
        <v>0</v>
      </c>
      <c r="P700" t="n">
        <v>0</v>
      </c>
      <c r="Q700" t="n">
        <v>0</v>
      </c>
      <c r="R700" s="2" t="inlineStr"/>
    </row>
    <row r="701" ht="15" customHeight="1">
      <c r="A701" t="inlineStr">
        <is>
          <t>A 14859-2025</t>
        </is>
      </c>
      <c r="B701" s="1" t="n">
        <v>45743.42427083333</v>
      </c>
      <c r="C701" s="1" t="n">
        <v>45912</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24259-2022</t>
        </is>
      </c>
      <c r="B702" s="1" t="n">
        <v>44725</v>
      </c>
      <c r="C702" s="1" t="n">
        <v>45912</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18113-2023</t>
        </is>
      </c>
      <c r="B703" s="1" t="n">
        <v>45040</v>
      </c>
      <c r="C703" s="1" t="n">
        <v>45912</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61216-2022</t>
        </is>
      </c>
      <c r="B704" s="1" t="n">
        <v>44915.55423611111</v>
      </c>
      <c r="C704" s="1" t="n">
        <v>45912</v>
      </c>
      <c r="D704" t="inlineStr">
        <is>
          <t>UPPSALA LÄN</t>
        </is>
      </c>
      <c r="E704" t="inlineStr">
        <is>
          <t>ÖSTHAMMAR</t>
        </is>
      </c>
      <c r="G704" t="n">
        <v>2.9</v>
      </c>
      <c r="H704" t="n">
        <v>0</v>
      </c>
      <c r="I704" t="n">
        <v>0</v>
      </c>
      <c r="J704" t="n">
        <v>0</v>
      </c>
      <c r="K704" t="n">
        <v>0</v>
      </c>
      <c r="L704" t="n">
        <v>0</v>
      </c>
      <c r="M704" t="n">
        <v>0</v>
      </c>
      <c r="N704" t="n">
        <v>0</v>
      </c>
      <c r="O704" t="n">
        <v>0</v>
      </c>
      <c r="P704" t="n">
        <v>0</v>
      </c>
      <c r="Q704" t="n">
        <v>0</v>
      </c>
      <c r="R704" s="2" t="inlineStr"/>
    </row>
    <row r="705" ht="15" customHeight="1">
      <c r="A705" t="inlineStr">
        <is>
          <t>A 27660-2023</t>
        </is>
      </c>
      <c r="B705" s="1" t="n">
        <v>45097</v>
      </c>
      <c r="C705" s="1" t="n">
        <v>45912</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69411-2021</t>
        </is>
      </c>
      <c r="B706" s="1" t="n">
        <v>44531.61038194445</v>
      </c>
      <c r="C706" s="1" t="n">
        <v>45912</v>
      </c>
      <c r="D706" t="inlineStr">
        <is>
          <t>UPPSALA LÄN</t>
        </is>
      </c>
      <c r="E706" t="inlineStr">
        <is>
          <t>ÖSTHAMMAR</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14671-2022</t>
        </is>
      </c>
      <c r="B707" s="1" t="n">
        <v>44655.80475694445</v>
      </c>
      <c r="C707" s="1" t="n">
        <v>45912</v>
      </c>
      <c r="D707" t="inlineStr">
        <is>
          <t>UPPSALA LÄN</t>
        </is>
      </c>
      <c r="E707" t="inlineStr">
        <is>
          <t>ÖSTHAMMAR</t>
        </is>
      </c>
      <c r="G707" t="n">
        <v>1.9</v>
      </c>
      <c r="H707" t="n">
        <v>0</v>
      </c>
      <c r="I707" t="n">
        <v>0</v>
      </c>
      <c r="J707" t="n">
        <v>0</v>
      </c>
      <c r="K707" t="n">
        <v>0</v>
      </c>
      <c r="L707" t="n">
        <v>0</v>
      </c>
      <c r="M707" t="n">
        <v>0</v>
      </c>
      <c r="N707" t="n">
        <v>0</v>
      </c>
      <c r="O707" t="n">
        <v>0</v>
      </c>
      <c r="P707" t="n">
        <v>0</v>
      </c>
      <c r="Q707" t="n">
        <v>0</v>
      </c>
      <c r="R707" s="2" t="inlineStr"/>
    </row>
    <row r="708" ht="15" customHeight="1">
      <c r="A708" t="inlineStr">
        <is>
          <t>A 26303-2024</t>
        </is>
      </c>
      <c r="B708" s="1" t="n">
        <v>45468</v>
      </c>
      <c r="C708" s="1" t="n">
        <v>45912</v>
      </c>
      <c r="D708" t="inlineStr">
        <is>
          <t>UPPSALA LÄN</t>
        </is>
      </c>
      <c r="E708" t="inlineStr">
        <is>
          <t>ÖSTHAMMAR</t>
        </is>
      </c>
      <c r="G708" t="n">
        <v>1.2</v>
      </c>
      <c r="H708" t="n">
        <v>0</v>
      </c>
      <c r="I708" t="n">
        <v>0</v>
      </c>
      <c r="J708" t="n">
        <v>0</v>
      </c>
      <c r="K708" t="n">
        <v>0</v>
      </c>
      <c r="L708" t="n">
        <v>0</v>
      </c>
      <c r="M708" t="n">
        <v>0</v>
      </c>
      <c r="N708" t="n">
        <v>0</v>
      </c>
      <c r="O708" t="n">
        <v>0</v>
      </c>
      <c r="P708" t="n">
        <v>0</v>
      </c>
      <c r="Q708" t="n">
        <v>0</v>
      </c>
      <c r="R708" s="2" t="inlineStr"/>
    </row>
    <row r="709" ht="15" customHeight="1">
      <c r="A709" t="inlineStr">
        <is>
          <t>A 46785-2023</t>
        </is>
      </c>
      <c r="B709" s="1" t="n">
        <v>45198</v>
      </c>
      <c r="C709" s="1" t="n">
        <v>45912</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46399-2023</t>
        </is>
      </c>
      <c r="B710" s="1" t="n">
        <v>45197.49262731482</v>
      </c>
      <c r="C710" s="1" t="n">
        <v>45912</v>
      </c>
      <c r="D710" t="inlineStr">
        <is>
          <t>UPPSALA LÄN</t>
        </is>
      </c>
      <c r="E710" t="inlineStr">
        <is>
          <t>ÖSTHAMMAR</t>
        </is>
      </c>
      <c r="G710" t="n">
        <v>5.8</v>
      </c>
      <c r="H710" t="n">
        <v>0</v>
      </c>
      <c r="I710" t="n">
        <v>0</v>
      </c>
      <c r="J710" t="n">
        <v>0</v>
      </c>
      <c r="K710" t="n">
        <v>0</v>
      </c>
      <c r="L710" t="n">
        <v>0</v>
      </c>
      <c r="M710" t="n">
        <v>0</v>
      </c>
      <c r="N710" t="n">
        <v>0</v>
      </c>
      <c r="O710" t="n">
        <v>0</v>
      </c>
      <c r="P710" t="n">
        <v>0</v>
      </c>
      <c r="Q710" t="n">
        <v>0</v>
      </c>
      <c r="R710" s="2" t="inlineStr"/>
    </row>
    <row r="711" ht="15" customHeight="1">
      <c r="A711" t="inlineStr">
        <is>
          <t>A 45550-2023</t>
        </is>
      </c>
      <c r="B711" s="1" t="n">
        <v>45194.57125</v>
      </c>
      <c r="C711" s="1" t="n">
        <v>45912</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15445-2022</t>
        </is>
      </c>
      <c r="B712" s="1" t="n">
        <v>44660.4987962963</v>
      </c>
      <c r="C712" s="1" t="n">
        <v>45912</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c r="A713" t="inlineStr">
        <is>
          <t>A 17930-2025</t>
        </is>
      </c>
      <c r="B713" s="1" t="n">
        <v>45759.56738425926</v>
      </c>
      <c r="C713" s="1" t="n">
        <v>45912</v>
      </c>
      <c r="D713" t="inlineStr">
        <is>
          <t>UPPSALA LÄN</t>
        </is>
      </c>
      <c r="E713" t="inlineStr">
        <is>
          <t>ÖSTHAMMAR</t>
        </is>
      </c>
      <c r="G713" t="n">
        <v>2.1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2025-09-12T08:53:55Z</dcterms:created>
  <dcterms:modified xmlns:dcterms="http://purl.org/dc/terms/" xmlns:xsi="http://www.w3.org/2001/XMLSchema-instance" xsi:type="dcterms:W3CDTF">2025-09-12T08:53:55Z</dcterms:modified>
</cp:coreProperties>
</file>