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46200</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46200</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46200</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46200</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46200</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46200</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46200</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46200</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1101-2026</t>
        </is>
      </c>
      <c r="B10" s="1" t="n">
        <v>46030</v>
      </c>
      <c r="C10" s="1" t="n">
        <v>46200</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26552-2026</t>
        </is>
      </c>
      <c r="B11" s="1" t="n">
        <v>46183</v>
      </c>
      <c r="C11" s="1" t="n">
        <v>46200</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46200</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46200</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46200</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46200</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46200</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46200</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46200</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46200</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46200</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221-2025</t>
        </is>
      </c>
      <c r="B21" s="1" t="n">
        <v>45660</v>
      </c>
      <c r="C21" s="1" t="n">
        <v>46200</v>
      </c>
      <c r="D21" t="inlineStr">
        <is>
          <t>UPPSALA LÄN</t>
        </is>
      </c>
      <c r="E21" t="inlineStr">
        <is>
          <t>ÖSTHAMMAR</t>
        </is>
      </c>
      <c r="F21" t="inlineStr">
        <is>
          <t>Bergvik skog öst AB</t>
        </is>
      </c>
      <c r="G21" t="n">
        <v>1.3</v>
      </c>
      <c r="H21" t="n">
        <v>5</v>
      </c>
      <c r="I21" t="n">
        <v>3</v>
      </c>
      <c r="J21" t="n">
        <v>4</v>
      </c>
      <c r="K21" t="n">
        <v>1</v>
      </c>
      <c r="L21" t="n">
        <v>0</v>
      </c>
      <c r="M21" t="n">
        <v>0</v>
      </c>
      <c r="N21" t="n">
        <v>0</v>
      </c>
      <c r="O21" t="n">
        <v>5</v>
      </c>
      <c r="P21" t="n">
        <v>1</v>
      </c>
      <c r="Q21" t="n">
        <v>11</v>
      </c>
      <c r="R21" s="2" t="inlineStr">
        <is>
          <t>Gul taggsvamp
Fjällig taggsvamp s.str.
Motaggsvamp
Talltita
Ullticka
Grön sköldmossa
Korallblylav
Rödgul trumpetsvamp
Blåsippa
Tallbit
Kungsfågel</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23496-2023</t>
        </is>
      </c>
      <c r="B22" s="1" t="n">
        <v>45076</v>
      </c>
      <c r="C22" s="1" t="n">
        <v>46200</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46200</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55518-2024</t>
        </is>
      </c>
      <c r="B24" s="1" t="n">
        <v>45622</v>
      </c>
      <c r="C24" s="1" t="n">
        <v>46200</v>
      </c>
      <c r="D24" t="inlineStr">
        <is>
          <t>UPPSALA LÄN</t>
        </is>
      </c>
      <c r="E24" t="inlineStr">
        <is>
          <t>ÖSTHAMMAR</t>
        </is>
      </c>
      <c r="F24" t="inlineStr">
        <is>
          <t>Bergvik skog öst AB</t>
        </is>
      </c>
      <c r="G24" t="n">
        <v>9.5</v>
      </c>
      <c r="H24" t="n">
        <v>4</v>
      </c>
      <c r="I24" t="n">
        <v>6</v>
      </c>
      <c r="J24" t="n">
        <v>2</v>
      </c>
      <c r="K24" t="n">
        <v>1</v>
      </c>
      <c r="L24" t="n">
        <v>0</v>
      </c>
      <c r="M24" t="n">
        <v>0</v>
      </c>
      <c r="N24" t="n">
        <v>0</v>
      </c>
      <c r="O24" t="n">
        <v>3</v>
      </c>
      <c r="P24" t="n">
        <v>1</v>
      </c>
      <c r="Q24" t="n">
        <v>11</v>
      </c>
      <c r="R24" s="2" t="inlineStr">
        <is>
          <t>Knärot
Ullticka
Vedtrappmossa
Bronshjon
Grön sköldmossa
Gullgröppa
Rödgul trumpetsvamp
Stubbspretmossa
Vågbandad barkbock
Blåsippa
Spillkråka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63054-2025</t>
        </is>
      </c>
      <c r="B25" s="1" t="n">
        <v>46009</v>
      </c>
      <c r="C25" s="1" t="n">
        <v>46200</v>
      </c>
      <c r="D25" t="inlineStr">
        <is>
          <t>UPPSALA LÄN</t>
        </is>
      </c>
      <c r="E25" t="inlineStr">
        <is>
          <t>ÖSTHAMMAR</t>
        </is>
      </c>
      <c r="F25" t="inlineStr">
        <is>
          <t>Kyrkan</t>
        </is>
      </c>
      <c r="G25" t="n">
        <v>6.5</v>
      </c>
      <c r="H25" t="n">
        <v>2</v>
      </c>
      <c r="I25" t="n">
        <v>1</v>
      </c>
      <c r="J25" t="n">
        <v>6</v>
      </c>
      <c r="K25" t="n">
        <v>2</v>
      </c>
      <c r="L25" t="n">
        <v>1</v>
      </c>
      <c r="M25" t="n">
        <v>0</v>
      </c>
      <c r="N25" t="n">
        <v>0</v>
      </c>
      <c r="O25" t="n">
        <v>9</v>
      </c>
      <c r="P25" t="n">
        <v>3</v>
      </c>
      <c r="Q25" t="n">
        <v>11</v>
      </c>
      <c r="R25" s="2" t="inlineStr">
        <is>
          <t>Violgubbe
Knärot
Läderdoftande fingersvamp
Blek fingersvamp
Fjällig taggsvamp s.str.
Gultoppig fingersvamp
Kortskaftad ärgspik
Vedtrappmossa
Vågticka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45111-2021</t>
        </is>
      </c>
      <c r="B26" s="1" t="n">
        <v>44439</v>
      </c>
      <c r="C26" s="1" t="n">
        <v>46200</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31207-2022</t>
        </is>
      </c>
      <c r="B27" s="1" t="n">
        <v>44771</v>
      </c>
      <c r="C27" s="1" t="n">
        <v>46200</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46200</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51154-2025</t>
        </is>
      </c>
      <c r="B29" s="1" t="n">
        <v>45947</v>
      </c>
      <c r="C29" s="1" t="n">
        <v>46200</v>
      </c>
      <c r="D29" t="inlineStr">
        <is>
          <t>UPPSALA LÄN</t>
        </is>
      </c>
      <c r="E29" t="inlineStr">
        <is>
          <t>ÖSTHAMMAR</t>
        </is>
      </c>
      <c r="F29" t="inlineStr">
        <is>
          <t>Allmännings- och besparingsskogar</t>
        </is>
      </c>
      <c r="G29" t="n">
        <v>4.5</v>
      </c>
      <c r="H29" t="n">
        <v>6</v>
      </c>
      <c r="I29" t="n">
        <v>4</v>
      </c>
      <c r="J29" t="n">
        <v>2</v>
      </c>
      <c r="K29" t="n">
        <v>0</v>
      </c>
      <c r="L29" t="n">
        <v>0</v>
      </c>
      <c r="M29" t="n">
        <v>0</v>
      </c>
      <c r="N29" t="n">
        <v>0</v>
      </c>
      <c r="O29" t="n">
        <v>2</v>
      </c>
      <c r="P29" t="n">
        <v>0</v>
      </c>
      <c r="Q29" t="n">
        <v>10</v>
      </c>
      <c r="R29" s="2" t="inlineStr">
        <is>
          <t>Rödvingetrast
Talltita
Bronshjon
Mörk husmossa
Nästrot
Tvåblad
Blåsippa
Brudborste
Ormbär
Nattviol</t>
        </is>
      </c>
      <c r="S29">
        <f>HYPERLINK("https://klasma.github.io/Logging_0382/artfynd/A 51154-2025 artfynd.xlsx", "A 51154-2025")</f>
        <v/>
      </c>
      <c r="T29">
        <f>HYPERLINK("https://klasma.github.io/Logging_0382/kartor/A 51154-2025 karta.png", "A 51154-2025")</f>
        <v/>
      </c>
      <c r="V29">
        <f>HYPERLINK("https://klasma.github.io/Logging_0382/klagomål/A 51154-2025 FSC-klagomål.docx", "A 51154-2025")</f>
        <v/>
      </c>
      <c r="W29">
        <f>HYPERLINK("https://klasma.github.io/Logging_0382/klagomålsmail/A 51154-2025 FSC-klagomål mail.docx", "A 51154-2025")</f>
        <v/>
      </c>
      <c r="X29">
        <f>HYPERLINK("https://klasma.github.io/Logging_0382/tillsyn/A 51154-2025 tillsynsbegäran.docx", "A 51154-2025")</f>
        <v/>
      </c>
      <c r="Y29">
        <f>HYPERLINK("https://klasma.github.io/Logging_0382/tillsynsmail/A 51154-2025 tillsynsbegäran mail.docx", "A 51154-2025")</f>
        <v/>
      </c>
      <c r="Z29">
        <f>HYPERLINK("https://klasma.github.io/Logging_0382/fåglar/A 51154-2025 prioriterade fågelarter.docx", "A 51154-2025")</f>
        <v/>
      </c>
    </row>
    <row r="30" ht="15" customHeight="1">
      <c r="A30" t="inlineStr">
        <is>
          <t>A 52808-2023</t>
        </is>
      </c>
      <c r="B30" s="1" t="n">
        <v>45226</v>
      </c>
      <c r="C30" s="1" t="n">
        <v>46200</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13287-2022</t>
        </is>
      </c>
      <c r="B31" s="1" t="n">
        <v>44644</v>
      </c>
      <c r="C31" s="1" t="n">
        <v>46200</v>
      </c>
      <c r="D31" t="inlineStr">
        <is>
          <t>UPPSALA LÄN</t>
        </is>
      </c>
      <c r="E31" t="inlineStr">
        <is>
          <t>ÖSTHAMMAR</t>
        </is>
      </c>
      <c r="G31" t="n">
        <v>14.6</v>
      </c>
      <c r="H31" t="n">
        <v>0</v>
      </c>
      <c r="I31" t="n">
        <v>4</v>
      </c>
      <c r="J31" t="n">
        <v>2</v>
      </c>
      <c r="K31" t="n">
        <v>3</v>
      </c>
      <c r="L31" t="n">
        <v>0</v>
      </c>
      <c r="M31" t="n">
        <v>0</v>
      </c>
      <c r="N31" t="n">
        <v>0</v>
      </c>
      <c r="O31" t="n">
        <v>5</v>
      </c>
      <c r="P31" t="n">
        <v>3</v>
      </c>
      <c r="Q31" t="n">
        <v>9</v>
      </c>
      <c r="R31" s="2" t="inlineStr">
        <is>
          <t>Bullspindling
Duvspindling
Grangråticka
Blekspindling agg.
Äggspindling
Diskvaxskivling
Olivspindling
Rödgul trumpetsvamp
Svavelriska</t>
        </is>
      </c>
      <c r="S31">
        <f>HYPERLINK("https://klasma.github.io/Logging_0382/artfynd/A 13287-2022 artfynd.xlsx", "A 13287-2022")</f>
        <v/>
      </c>
      <c r="T31">
        <f>HYPERLINK("https://klasma.github.io/Logging_0382/kartor/A 13287-2022 karta.png", "A 13287-2022")</f>
        <v/>
      </c>
      <c r="V31">
        <f>HYPERLINK("https://klasma.github.io/Logging_0382/klagomål/A 13287-2022 FSC-klagomål.docx", "A 13287-2022")</f>
        <v/>
      </c>
      <c r="W31">
        <f>HYPERLINK("https://klasma.github.io/Logging_0382/klagomålsmail/A 13287-2022 FSC-klagomål mail.docx", "A 13287-2022")</f>
        <v/>
      </c>
      <c r="X31">
        <f>HYPERLINK("https://klasma.github.io/Logging_0382/tillsyn/A 13287-2022 tillsynsbegäran.docx", "A 13287-2022")</f>
        <v/>
      </c>
      <c r="Y31">
        <f>HYPERLINK("https://klasma.github.io/Logging_0382/tillsynsmail/A 13287-2022 tillsynsbegäran mail.docx", "A 13287-2022")</f>
        <v/>
      </c>
    </row>
    <row r="32" ht="15" customHeight="1">
      <c r="A32" t="inlineStr">
        <is>
          <t>A 39834-2025</t>
        </is>
      </c>
      <c r="B32" s="1" t="n">
        <v>45891</v>
      </c>
      <c r="C32" s="1" t="n">
        <v>46200</v>
      </c>
      <c r="D32" t="inlineStr">
        <is>
          <t>UPPSALA LÄN</t>
        </is>
      </c>
      <c r="E32" t="inlineStr">
        <is>
          <t>ÖSTHAMMAR</t>
        </is>
      </c>
      <c r="F32" t="inlineStr">
        <is>
          <t>Bergvik skog öst AB</t>
        </is>
      </c>
      <c r="G32" t="n">
        <v>2.5</v>
      </c>
      <c r="H32" t="n">
        <v>5</v>
      </c>
      <c r="I32" t="n">
        <v>2</v>
      </c>
      <c r="J32" t="n">
        <v>1</v>
      </c>
      <c r="K32" t="n">
        <v>2</v>
      </c>
      <c r="L32" t="n">
        <v>0</v>
      </c>
      <c r="M32" t="n">
        <v>0</v>
      </c>
      <c r="N32" t="n">
        <v>0</v>
      </c>
      <c r="O32" t="n">
        <v>3</v>
      </c>
      <c r="P32" t="n">
        <v>2</v>
      </c>
      <c r="Q32" t="n">
        <v>9</v>
      </c>
      <c r="R32" s="2" t="inlineStr">
        <is>
          <t>Garnlav
Knärot
Kattfotslav
Grönpyrola
Vågbandad barkbock
Blåsippa
Spillkråka
Tjäder
Revlummer</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23498-2023</t>
        </is>
      </c>
      <c r="B33" s="1" t="n">
        <v>45076</v>
      </c>
      <c r="C33" s="1" t="n">
        <v>46200</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55051-2021</t>
        </is>
      </c>
      <c r="B34" s="1" t="n">
        <v>44474</v>
      </c>
      <c r="C34" s="1" t="n">
        <v>46200</v>
      </c>
      <c r="D34" t="inlineStr">
        <is>
          <t>UPPSALA LÄN</t>
        </is>
      </c>
      <c r="E34" t="inlineStr">
        <is>
          <t>ÖSTHAMMAR</t>
        </is>
      </c>
      <c r="F34" t="inlineStr">
        <is>
          <t>Bergvik skog öst AB</t>
        </is>
      </c>
      <c r="G34" t="n">
        <v>6.5</v>
      </c>
      <c r="H34" t="n">
        <v>1</v>
      </c>
      <c r="I34" t="n">
        <v>4</v>
      </c>
      <c r="J34" t="n">
        <v>0</v>
      </c>
      <c r="K34" t="n">
        <v>2</v>
      </c>
      <c r="L34" t="n">
        <v>0</v>
      </c>
      <c r="M34" t="n">
        <v>0</v>
      </c>
      <c r="N34" t="n">
        <v>0</v>
      </c>
      <c r="O34" t="n">
        <v>2</v>
      </c>
      <c r="P34" t="n">
        <v>2</v>
      </c>
      <c r="Q34" t="n">
        <v>7</v>
      </c>
      <c r="R34" s="2" t="inlineStr">
        <is>
          <t>Silverblåvinge
Ängsblåvinge
Gulpudrad spiklav
Sotlav
Svart trolldruva
Tibast
Blåsippa</t>
        </is>
      </c>
      <c r="S34">
        <f>HYPERLINK("https://klasma.github.io/Logging_0382/artfynd/A 55051-2021 artfynd.xlsx", "A 55051-2021")</f>
        <v/>
      </c>
      <c r="T34">
        <f>HYPERLINK("https://klasma.github.io/Logging_0382/kartor/A 55051-2021 karta.png", "A 55051-2021")</f>
        <v/>
      </c>
      <c r="V34">
        <f>HYPERLINK("https://klasma.github.io/Logging_0382/klagomål/A 55051-2021 FSC-klagomål.docx", "A 55051-2021")</f>
        <v/>
      </c>
      <c r="W34">
        <f>HYPERLINK("https://klasma.github.io/Logging_0382/klagomålsmail/A 55051-2021 FSC-klagomål mail.docx", "A 55051-2021")</f>
        <v/>
      </c>
      <c r="X34">
        <f>HYPERLINK("https://klasma.github.io/Logging_0382/tillsyn/A 55051-2021 tillsynsbegäran.docx", "A 55051-2021")</f>
        <v/>
      </c>
      <c r="Y34">
        <f>HYPERLINK("https://klasma.github.io/Logging_0382/tillsynsmail/A 55051-2021 tillsynsbegäran mail.docx", "A 55051-2021")</f>
        <v/>
      </c>
    </row>
    <row r="35" ht="15" customHeight="1">
      <c r="A35" t="inlineStr">
        <is>
          <t>A 43992-2022</t>
        </is>
      </c>
      <c r="B35" s="1" t="n">
        <v>44837</v>
      </c>
      <c r="C35" s="1" t="n">
        <v>46200</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46785-2023</t>
        </is>
      </c>
      <c r="B36" s="1" t="n">
        <v>45198</v>
      </c>
      <c r="C36" s="1" t="n">
        <v>46200</v>
      </c>
      <c r="D36" t="inlineStr">
        <is>
          <t>UPPSALA LÄN</t>
        </is>
      </c>
      <c r="E36" t="inlineStr">
        <is>
          <t>ÖSTHAMMAR</t>
        </is>
      </c>
      <c r="G36" t="n">
        <v>1.6</v>
      </c>
      <c r="H36" t="n">
        <v>4</v>
      </c>
      <c r="I36" t="n">
        <v>4</v>
      </c>
      <c r="J36" t="n">
        <v>1</v>
      </c>
      <c r="K36" t="n">
        <v>0</v>
      </c>
      <c r="L36" t="n">
        <v>0</v>
      </c>
      <c r="M36" t="n">
        <v>0</v>
      </c>
      <c r="N36" t="n">
        <v>0</v>
      </c>
      <c r="O36" t="n">
        <v>1</v>
      </c>
      <c r="P36" t="n">
        <v>0</v>
      </c>
      <c r="Q36" t="n">
        <v>7</v>
      </c>
      <c r="R36" s="2" t="inlineStr">
        <is>
          <t>Sårläka
Nästrot
Skogsknipprot
Tibast
Vågbandad barkbock
Blåsippa
Grönvit nattviol</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9569-2026</t>
        </is>
      </c>
      <c r="B37" s="1" t="n">
        <v>46071</v>
      </c>
      <c r="C37" s="1" t="n">
        <v>46200</v>
      </c>
      <c r="D37" t="inlineStr">
        <is>
          <t>UPPSALA LÄN</t>
        </is>
      </c>
      <c r="E37" t="inlineStr">
        <is>
          <t>ÖSTHAMMAR</t>
        </is>
      </c>
      <c r="G37" t="n">
        <v>1.4</v>
      </c>
      <c r="H37" t="n">
        <v>0</v>
      </c>
      <c r="I37" t="n">
        <v>3</v>
      </c>
      <c r="J37" t="n">
        <v>2</v>
      </c>
      <c r="K37" t="n">
        <v>0</v>
      </c>
      <c r="L37" t="n">
        <v>2</v>
      </c>
      <c r="M37" t="n">
        <v>0</v>
      </c>
      <c r="N37" t="n">
        <v>0</v>
      </c>
      <c r="O37" t="n">
        <v>4</v>
      </c>
      <c r="P37" t="n">
        <v>2</v>
      </c>
      <c r="Q37" t="n">
        <v>7</v>
      </c>
      <c r="R37" s="2" t="inlineStr">
        <is>
          <t>Gyllenfingersvamp
Koppartaggsvamp
Skarp dropptaggsvamp
Äggspindling
Anisspindling
Olivspindling
Trådticka</t>
        </is>
      </c>
      <c r="S37">
        <f>HYPERLINK("https://klasma.github.io/Logging_0382/artfynd/A 9569-2026 artfynd.xlsx", "A 9569-2026")</f>
        <v/>
      </c>
      <c r="T37">
        <f>HYPERLINK("https://klasma.github.io/Logging_0382/kartor/A 9569-2026 karta.png", "A 9569-2026")</f>
        <v/>
      </c>
      <c r="V37">
        <f>HYPERLINK("https://klasma.github.io/Logging_0382/klagomål/A 9569-2026 FSC-klagomål.docx", "A 9569-2026")</f>
        <v/>
      </c>
      <c r="W37">
        <f>HYPERLINK("https://klasma.github.io/Logging_0382/klagomålsmail/A 9569-2026 FSC-klagomål mail.docx", "A 9569-2026")</f>
        <v/>
      </c>
      <c r="X37">
        <f>HYPERLINK("https://klasma.github.io/Logging_0382/tillsyn/A 9569-2026 tillsynsbegäran.docx", "A 9569-2026")</f>
        <v/>
      </c>
      <c r="Y37">
        <f>HYPERLINK("https://klasma.github.io/Logging_0382/tillsynsmail/A 9569-2026 tillsynsbegäran mail.docx", "A 9569-2026")</f>
        <v/>
      </c>
    </row>
    <row r="38" ht="15" customHeight="1">
      <c r="A38" t="inlineStr">
        <is>
          <t>A 33269-2025</t>
        </is>
      </c>
      <c r="B38" s="1" t="n">
        <v>45840</v>
      </c>
      <c r="C38" s="1" t="n">
        <v>46200</v>
      </c>
      <c r="D38" t="inlineStr">
        <is>
          <t>UPPSALA LÄN</t>
        </is>
      </c>
      <c r="E38" t="inlineStr">
        <is>
          <t>ÖSTHAMMAR</t>
        </is>
      </c>
      <c r="G38" t="n">
        <v>14.9</v>
      </c>
      <c r="H38" t="n">
        <v>0</v>
      </c>
      <c r="I38" t="n">
        <v>2</v>
      </c>
      <c r="J38" t="n">
        <v>1</v>
      </c>
      <c r="K38" t="n">
        <v>3</v>
      </c>
      <c r="L38" t="n">
        <v>1</v>
      </c>
      <c r="M38" t="n">
        <v>0</v>
      </c>
      <c r="N38" t="n">
        <v>0</v>
      </c>
      <c r="O38" t="n">
        <v>5</v>
      </c>
      <c r="P38" t="n">
        <v>4</v>
      </c>
      <c r="Q38" t="n">
        <v>7</v>
      </c>
      <c r="R38" s="2" t="inlineStr">
        <is>
          <t>Violgubbe
Gul lammticka
Kopparspindling
Läderdoftande fingersvamp
Orange taggsvamp
Kamjordstjärna
Olivspindling</t>
        </is>
      </c>
      <c r="S38">
        <f>HYPERLINK("https://klasma.github.io/Logging_0382/artfynd/A 33269-2025 artfynd.xlsx", "A 33269-2025")</f>
        <v/>
      </c>
      <c r="T38">
        <f>HYPERLINK("https://klasma.github.io/Logging_0382/kartor/A 33269-2025 karta.png", "A 33269-2025")</f>
        <v/>
      </c>
      <c r="V38">
        <f>HYPERLINK("https://klasma.github.io/Logging_0382/klagomål/A 33269-2025 FSC-klagomål.docx", "A 33269-2025")</f>
        <v/>
      </c>
      <c r="W38">
        <f>HYPERLINK("https://klasma.github.io/Logging_0382/klagomålsmail/A 33269-2025 FSC-klagomål mail.docx", "A 33269-2025")</f>
        <v/>
      </c>
      <c r="X38">
        <f>HYPERLINK("https://klasma.github.io/Logging_0382/tillsyn/A 33269-2025 tillsynsbegäran.docx", "A 33269-2025")</f>
        <v/>
      </c>
      <c r="Y38">
        <f>HYPERLINK("https://klasma.github.io/Logging_0382/tillsynsmail/A 33269-2025 tillsynsbegäran mail.docx", "A 33269-2025")</f>
        <v/>
      </c>
    </row>
    <row r="39" ht="15" customHeight="1">
      <c r="A39" t="inlineStr">
        <is>
          <t>A 8753-2022</t>
        </is>
      </c>
      <c r="B39" s="1" t="n">
        <v>44614</v>
      </c>
      <c r="C39" s="1" t="n">
        <v>46200</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46200</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26552-2022</t>
        </is>
      </c>
      <c r="B41" s="1" t="n">
        <v>44739</v>
      </c>
      <c r="C41" s="1" t="n">
        <v>46200</v>
      </c>
      <c r="D41" t="inlineStr">
        <is>
          <t>UPPSALA LÄN</t>
        </is>
      </c>
      <c r="E41" t="inlineStr">
        <is>
          <t>ÖSTHAMMAR</t>
        </is>
      </c>
      <c r="G41" t="n">
        <v>2.2</v>
      </c>
      <c r="H41" t="n">
        <v>6</v>
      </c>
      <c r="I41" t="n">
        <v>0</v>
      </c>
      <c r="J41" t="n">
        <v>3</v>
      </c>
      <c r="K41" t="n">
        <v>0</v>
      </c>
      <c r="L41" t="n">
        <v>0</v>
      </c>
      <c r="M41" t="n">
        <v>0</v>
      </c>
      <c r="N41" t="n">
        <v>0</v>
      </c>
      <c r="O41" t="n">
        <v>3</v>
      </c>
      <c r="P41" t="n">
        <v>0</v>
      </c>
      <c r="Q41" t="n">
        <v>6</v>
      </c>
      <c r="R41" s="2" t="inlineStr">
        <is>
          <t>Grönsångare
Nordfladdermus
Sädesärla
Mindre flugsnappare
Dvärgpipistrell
Vattenfladdermus</t>
        </is>
      </c>
      <c r="S41">
        <f>HYPERLINK("https://klasma.github.io/Logging_0382/artfynd/A 26552-2022 artfynd.xlsx", "A 26552-2022")</f>
        <v/>
      </c>
      <c r="T41">
        <f>HYPERLINK("https://klasma.github.io/Logging_0382/kartor/A 26552-2022 karta.png", "A 26552-2022")</f>
        <v/>
      </c>
      <c r="V41">
        <f>HYPERLINK("https://klasma.github.io/Logging_0382/klagomål/A 26552-2022 FSC-klagomål.docx", "A 26552-2022")</f>
        <v/>
      </c>
      <c r="W41">
        <f>HYPERLINK("https://klasma.github.io/Logging_0382/klagomålsmail/A 26552-2022 FSC-klagomål mail.docx", "A 26552-2022")</f>
        <v/>
      </c>
      <c r="X41">
        <f>HYPERLINK("https://klasma.github.io/Logging_0382/tillsyn/A 26552-2022 tillsynsbegäran.docx", "A 26552-2022")</f>
        <v/>
      </c>
      <c r="Y41">
        <f>HYPERLINK("https://klasma.github.io/Logging_0382/tillsynsmail/A 26552-2022 tillsynsbegäran mail.docx", "A 26552-2022")</f>
        <v/>
      </c>
      <c r="Z41">
        <f>HYPERLINK("https://klasma.github.io/Logging_0382/fåglar/A 26552-2022 prioriterade fågelarter.docx", "A 26552-2022")</f>
        <v/>
      </c>
    </row>
    <row r="42" ht="15" customHeight="1">
      <c r="A42" t="inlineStr">
        <is>
          <t>A 55492-2023</t>
        </is>
      </c>
      <c r="B42" s="1" t="n">
        <v>45238</v>
      </c>
      <c r="C42" s="1" t="n">
        <v>46200</v>
      </c>
      <c r="D42" t="inlineStr">
        <is>
          <t>UPPSALA LÄN</t>
        </is>
      </c>
      <c r="E42" t="inlineStr">
        <is>
          <t>ÖSTHAMMAR</t>
        </is>
      </c>
      <c r="G42" t="n">
        <v>3.1</v>
      </c>
      <c r="H42" t="n">
        <v>4</v>
      </c>
      <c r="I42" t="n">
        <v>2</v>
      </c>
      <c r="J42" t="n">
        <v>1</v>
      </c>
      <c r="K42" t="n">
        <v>1</v>
      </c>
      <c r="L42" t="n">
        <v>1</v>
      </c>
      <c r="M42" t="n">
        <v>0</v>
      </c>
      <c r="N42" t="n">
        <v>0</v>
      </c>
      <c r="O42" t="n">
        <v>3</v>
      </c>
      <c r="P42" t="n">
        <v>2</v>
      </c>
      <c r="Q42" t="n">
        <v>6</v>
      </c>
      <c r="R42" s="2" t="inlineStr">
        <is>
          <t>Violgubbe
Knärot
Orange taggsvamp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48277-2023</t>
        </is>
      </c>
      <c r="B43" s="1" t="n">
        <v>45205</v>
      </c>
      <c r="C43" s="1" t="n">
        <v>46200</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24563-2022</t>
        </is>
      </c>
      <c r="B44" s="1" t="n">
        <v>44727</v>
      </c>
      <c r="C44" s="1" t="n">
        <v>46200</v>
      </c>
      <c r="D44" t="inlineStr">
        <is>
          <t>UPPSALA LÄN</t>
        </is>
      </c>
      <c r="E44" t="inlineStr">
        <is>
          <t>ÖSTHAMMAR</t>
        </is>
      </c>
      <c r="G44" t="n">
        <v>7.4</v>
      </c>
      <c r="H44" t="n">
        <v>0</v>
      </c>
      <c r="I44" t="n">
        <v>4</v>
      </c>
      <c r="J44" t="n">
        <v>0</v>
      </c>
      <c r="K44" t="n">
        <v>1</v>
      </c>
      <c r="L44" t="n">
        <v>1</v>
      </c>
      <c r="M44" t="n">
        <v>0</v>
      </c>
      <c r="N44" t="n">
        <v>0</v>
      </c>
      <c r="O44" t="n">
        <v>2</v>
      </c>
      <c r="P44" t="n">
        <v>2</v>
      </c>
      <c r="Q44" t="n">
        <v>6</v>
      </c>
      <c r="R44" s="2" t="inlineStr">
        <is>
          <t>Koppartaggsvamp
Gul lammticka
Anisspindling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18158-2026</t>
        </is>
      </c>
      <c r="B45" s="1" t="n">
        <v>46125</v>
      </c>
      <c r="C45" s="1" t="n">
        <v>46200</v>
      </c>
      <c r="D45" t="inlineStr">
        <is>
          <t>UPPSALA LÄN</t>
        </is>
      </c>
      <c r="E45" t="inlineStr">
        <is>
          <t>ÖSTHAMMAR</t>
        </is>
      </c>
      <c r="F45" t="inlineStr">
        <is>
          <t>Övriga Aktiebolag</t>
        </is>
      </c>
      <c r="G45" t="n">
        <v>3.7</v>
      </c>
      <c r="H45" t="n">
        <v>4</v>
      </c>
      <c r="I45" t="n">
        <v>2</v>
      </c>
      <c r="J45" t="n">
        <v>2</v>
      </c>
      <c r="K45" t="n">
        <v>0</v>
      </c>
      <c r="L45" t="n">
        <v>0</v>
      </c>
      <c r="M45" t="n">
        <v>0</v>
      </c>
      <c r="N45" t="n">
        <v>0</v>
      </c>
      <c r="O45" t="n">
        <v>2</v>
      </c>
      <c r="P45" t="n">
        <v>0</v>
      </c>
      <c r="Q45" t="n">
        <v>6</v>
      </c>
      <c r="R45" s="2" t="inlineStr">
        <is>
          <t>Gulsparv
Jungfrulin
Nästrot
Tibast
Blåsippa
Gullviva</t>
        </is>
      </c>
      <c r="S45">
        <f>HYPERLINK("https://klasma.github.io/Logging_0382/artfynd/A 18158-2026 artfynd.xlsx", "A 18158-2026")</f>
        <v/>
      </c>
      <c r="T45">
        <f>HYPERLINK("https://klasma.github.io/Logging_0382/kartor/A 18158-2026 karta.png", "A 18158-2026")</f>
        <v/>
      </c>
      <c r="V45">
        <f>HYPERLINK("https://klasma.github.io/Logging_0382/klagomål/A 18158-2026 FSC-klagomål.docx", "A 18158-2026")</f>
        <v/>
      </c>
      <c r="W45">
        <f>HYPERLINK("https://klasma.github.io/Logging_0382/klagomålsmail/A 18158-2026 FSC-klagomål mail.docx", "A 18158-2026")</f>
        <v/>
      </c>
      <c r="X45">
        <f>HYPERLINK("https://klasma.github.io/Logging_0382/tillsyn/A 18158-2026 tillsynsbegäran.docx", "A 18158-2026")</f>
        <v/>
      </c>
      <c r="Y45">
        <f>HYPERLINK("https://klasma.github.io/Logging_0382/tillsynsmail/A 18158-2026 tillsynsbegäran mail.docx", "A 18158-2026")</f>
        <v/>
      </c>
      <c r="Z45">
        <f>HYPERLINK("https://klasma.github.io/Logging_0382/fåglar/A 18158-2026 prioriterade fågelarter.docx", "A 18158-2026")</f>
        <v/>
      </c>
    </row>
    <row r="46" ht="15" customHeight="1">
      <c r="A46" t="inlineStr">
        <is>
          <t>A 39763-2022</t>
        </is>
      </c>
      <c r="B46" s="1" t="n">
        <v>44819</v>
      </c>
      <c r="C46" s="1" t="n">
        <v>46200</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46200</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46200</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52650-2022</t>
        </is>
      </c>
      <c r="B49" s="1" t="n">
        <v>44874</v>
      </c>
      <c r="C49" s="1" t="n">
        <v>46200</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24797-2022</t>
        </is>
      </c>
      <c r="B50" s="1" t="n">
        <v>44728</v>
      </c>
      <c r="C50" s="1" t="n">
        <v>46200</v>
      </c>
      <c r="D50" t="inlineStr">
        <is>
          <t>UPPSALA LÄN</t>
        </is>
      </c>
      <c r="E50" t="inlineStr">
        <is>
          <t>ÖSTHAMMAR</t>
        </is>
      </c>
      <c r="F50" t="inlineStr">
        <is>
          <t>Sveaskog</t>
        </is>
      </c>
      <c r="G50" t="n">
        <v>1.7</v>
      </c>
      <c r="H50" t="n">
        <v>5</v>
      </c>
      <c r="I50" t="n">
        <v>0</v>
      </c>
      <c r="J50" t="n">
        <v>1</v>
      </c>
      <c r="K50" t="n">
        <v>2</v>
      </c>
      <c r="L50" t="n">
        <v>0</v>
      </c>
      <c r="M50" t="n">
        <v>0</v>
      </c>
      <c r="N50" t="n">
        <v>0</v>
      </c>
      <c r="O50" t="n">
        <v>3</v>
      </c>
      <c r="P50" t="n">
        <v>2</v>
      </c>
      <c r="Q50" t="n">
        <v>5</v>
      </c>
      <c r="R50" s="2" t="inlineStr">
        <is>
          <t>Stare
Tofsvipa
Gulsparv
Buskskvätta
Svartvit flugsnappare</t>
        </is>
      </c>
      <c r="S50">
        <f>HYPERLINK("https://klasma.github.io/Logging_0382/artfynd/A 24797-2022 artfynd.xlsx", "A 24797-2022")</f>
        <v/>
      </c>
      <c r="T50">
        <f>HYPERLINK("https://klasma.github.io/Logging_0382/kartor/A 24797-2022 karta.png", "A 24797-2022")</f>
        <v/>
      </c>
      <c r="V50">
        <f>HYPERLINK("https://klasma.github.io/Logging_0382/klagomål/A 24797-2022 FSC-klagomål.docx", "A 24797-2022")</f>
        <v/>
      </c>
      <c r="W50">
        <f>HYPERLINK("https://klasma.github.io/Logging_0382/klagomålsmail/A 24797-2022 FSC-klagomål mail.docx", "A 24797-2022")</f>
        <v/>
      </c>
      <c r="X50">
        <f>HYPERLINK("https://klasma.github.io/Logging_0382/tillsyn/A 24797-2022 tillsynsbegäran.docx", "A 24797-2022")</f>
        <v/>
      </c>
      <c r="Y50">
        <f>HYPERLINK("https://klasma.github.io/Logging_0382/tillsynsmail/A 24797-2022 tillsynsbegäran mail.docx", "A 24797-2022")</f>
        <v/>
      </c>
      <c r="Z50">
        <f>HYPERLINK("https://klasma.github.io/Logging_0382/fåglar/A 24797-2022 prioriterade fågelarter.docx", "A 24797-2022")</f>
        <v/>
      </c>
    </row>
    <row r="51" ht="15" customHeight="1">
      <c r="A51" t="inlineStr">
        <is>
          <t>A 67855-2021</t>
        </is>
      </c>
      <c r="B51" s="1" t="n">
        <v>44525</v>
      </c>
      <c r="C51" s="1" t="n">
        <v>46200</v>
      </c>
      <c r="D51" t="inlineStr">
        <is>
          <t>UPPSALA LÄN</t>
        </is>
      </c>
      <c r="E51" t="inlineStr">
        <is>
          <t>ÖSTHAMMAR</t>
        </is>
      </c>
      <c r="G51" t="n">
        <v>7.5</v>
      </c>
      <c r="H51" t="n">
        <v>0</v>
      </c>
      <c r="I51" t="n">
        <v>5</v>
      </c>
      <c r="J51" t="n">
        <v>0</v>
      </c>
      <c r="K51" t="n">
        <v>0</v>
      </c>
      <c r="L51" t="n">
        <v>0</v>
      </c>
      <c r="M51" t="n">
        <v>0</v>
      </c>
      <c r="N51" t="n">
        <v>0</v>
      </c>
      <c r="O51" t="n">
        <v>0</v>
      </c>
      <c r="P51" t="n">
        <v>0</v>
      </c>
      <c r="Q51" t="n">
        <v>5</v>
      </c>
      <c r="R51" s="2" t="inlineStr">
        <is>
          <t>Fransig jordstjärna
Guldkremla
Kamjordstjärna
Platt fjädermossa
Svavelriska</t>
        </is>
      </c>
      <c r="S51">
        <f>HYPERLINK("https://klasma.github.io/Logging_0382/artfynd/A 67855-2021 artfynd.xlsx", "A 67855-2021")</f>
        <v/>
      </c>
      <c r="T51">
        <f>HYPERLINK("https://klasma.github.io/Logging_0382/kartor/A 67855-2021 karta.png", "A 67855-2021")</f>
        <v/>
      </c>
      <c r="V51">
        <f>HYPERLINK("https://klasma.github.io/Logging_0382/klagomål/A 67855-2021 FSC-klagomål.docx", "A 67855-2021")</f>
        <v/>
      </c>
      <c r="W51">
        <f>HYPERLINK("https://klasma.github.io/Logging_0382/klagomålsmail/A 67855-2021 FSC-klagomål mail.docx", "A 67855-2021")</f>
        <v/>
      </c>
      <c r="X51">
        <f>HYPERLINK("https://klasma.github.io/Logging_0382/tillsyn/A 67855-2021 tillsynsbegäran.docx", "A 67855-2021")</f>
        <v/>
      </c>
      <c r="Y51">
        <f>HYPERLINK("https://klasma.github.io/Logging_0382/tillsynsmail/A 67855-2021 tillsynsbegäran mail.docx", "A 67855-2021")</f>
        <v/>
      </c>
    </row>
    <row r="52" ht="15" customHeight="1">
      <c r="A52" t="inlineStr">
        <is>
          <t>A 29679-2023</t>
        </is>
      </c>
      <c r="B52" s="1" t="n">
        <v>45107</v>
      </c>
      <c r="C52" s="1" t="n">
        <v>46200</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25179-2023</t>
        </is>
      </c>
      <c r="B53" s="1" t="n">
        <v>45078</v>
      </c>
      <c r="C53" s="1" t="n">
        <v>46200</v>
      </c>
      <c r="D53" t="inlineStr">
        <is>
          <t>UPPSALA LÄN</t>
        </is>
      </c>
      <c r="E53" t="inlineStr">
        <is>
          <t>ÖSTHAMMAR</t>
        </is>
      </c>
      <c r="G53" t="n">
        <v>3.2</v>
      </c>
      <c r="H53" t="n">
        <v>0</v>
      </c>
      <c r="I53" t="n">
        <v>1</v>
      </c>
      <c r="J53" t="n">
        <v>2</v>
      </c>
      <c r="K53" t="n">
        <v>1</v>
      </c>
      <c r="L53" t="n">
        <v>1</v>
      </c>
      <c r="M53" t="n">
        <v>0</v>
      </c>
      <c r="N53" t="n">
        <v>0</v>
      </c>
      <c r="O53" t="n">
        <v>4</v>
      </c>
      <c r="P53" t="n">
        <v>2</v>
      </c>
      <c r="Q53" t="n">
        <v>5</v>
      </c>
      <c r="R53" s="2" t="inlineStr">
        <is>
          <t>Spricktaggsvamp
Grangråticka
Dropptaggsvamp
Grantaggsvamp
Brandmusseron</t>
        </is>
      </c>
      <c r="S53">
        <f>HYPERLINK("https://klasma.github.io/Logging_0382/artfynd/A 25179-2023 artfynd.xlsx", "A 25179-2023")</f>
        <v/>
      </c>
      <c r="T53">
        <f>HYPERLINK("https://klasma.github.io/Logging_0382/kartor/A 25179-2023 karta.png", "A 25179-2023")</f>
        <v/>
      </c>
      <c r="V53">
        <f>HYPERLINK("https://klasma.github.io/Logging_0382/klagomål/A 25179-2023 FSC-klagomål.docx", "A 25179-2023")</f>
        <v/>
      </c>
      <c r="W53">
        <f>HYPERLINK("https://klasma.github.io/Logging_0382/klagomålsmail/A 25179-2023 FSC-klagomål mail.docx", "A 25179-2023")</f>
        <v/>
      </c>
      <c r="X53">
        <f>HYPERLINK("https://klasma.github.io/Logging_0382/tillsyn/A 25179-2023 tillsynsbegäran.docx", "A 25179-2023")</f>
        <v/>
      </c>
      <c r="Y53">
        <f>HYPERLINK("https://klasma.github.io/Logging_0382/tillsynsmail/A 25179-2023 tillsynsbegäran mail.docx", "A 25179-2023")</f>
        <v/>
      </c>
    </row>
    <row r="54" ht="15" customHeight="1">
      <c r="A54" t="inlineStr">
        <is>
          <t>A 17004-2024</t>
        </is>
      </c>
      <c r="B54" s="1" t="n">
        <v>45412</v>
      </c>
      <c r="C54" s="1" t="n">
        <v>46200</v>
      </c>
      <c r="D54" t="inlineStr">
        <is>
          <t>UPPSALA LÄN</t>
        </is>
      </c>
      <c r="E54" t="inlineStr">
        <is>
          <t>ÖSTHAMMAR</t>
        </is>
      </c>
      <c r="F54" t="inlineStr">
        <is>
          <t>Bergvik skog öst AB</t>
        </is>
      </c>
      <c r="G54" t="n">
        <v>24.4</v>
      </c>
      <c r="H54" t="n">
        <v>1</v>
      </c>
      <c r="I54" t="n">
        <v>3</v>
      </c>
      <c r="J54" t="n">
        <v>0</v>
      </c>
      <c r="K54" t="n">
        <v>0</v>
      </c>
      <c r="L54" t="n">
        <v>1</v>
      </c>
      <c r="M54" t="n">
        <v>0</v>
      </c>
      <c r="N54" t="n">
        <v>0</v>
      </c>
      <c r="O54" t="n">
        <v>1</v>
      </c>
      <c r="P54" t="n">
        <v>1</v>
      </c>
      <c r="Q54" t="n">
        <v>5</v>
      </c>
      <c r="R54" s="2" t="inlineStr">
        <is>
          <t>Skogsalm
Myskmadra
Strävlosta
Underviol
Blåsippa</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26277-2024</t>
        </is>
      </c>
      <c r="B55" s="1" t="n">
        <v>45468</v>
      </c>
      <c r="C55" s="1" t="n">
        <v>46200</v>
      </c>
      <c r="D55" t="inlineStr">
        <is>
          <t>UPPSALA LÄN</t>
        </is>
      </c>
      <c r="E55" t="inlineStr">
        <is>
          <t>ÖSTHAMMAR</t>
        </is>
      </c>
      <c r="G55" t="n">
        <v>3.5</v>
      </c>
      <c r="H55" t="n">
        <v>2</v>
      </c>
      <c r="I55" t="n">
        <v>2</v>
      </c>
      <c r="J55" t="n">
        <v>3</v>
      </c>
      <c r="K55" t="n">
        <v>0</v>
      </c>
      <c r="L55" t="n">
        <v>0</v>
      </c>
      <c r="M55" t="n">
        <v>0</v>
      </c>
      <c r="N55" t="n">
        <v>0</v>
      </c>
      <c r="O55" t="n">
        <v>3</v>
      </c>
      <c r="P55" t="n">
        <v>0</v>
      </c>
      <c r="Q55" t="n">
        <v>5</v>
      </c>
      <c r="R55" s="2" t="inlineStr">
        <is>
          <t>Sårläka
Ullticka
Vårärt
Nästrot
Skogsknipprot</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33800-2024</t>
        </is>
      </c>
      <c r="B56" s="1" t="n">
        <v>45520</v>
      </c>
      <c r="C56" s="1" t="n">
        <v>46200</v>
      </c>
      <c r="D56" t="inlineStr">
        <is>
          <t>UPPSALA LÄN</t>
        </is>
      </c>
      <c r="E56" t="inlineStr">
        <is>
          <t>ÖSTHAMMAR</t>
        </is>
      </c>
      <c r="F56" t="inlineStr">
        <is>
          <t>Naturvårdsverket</t>
        </is>
      </c>
      <c r="G56" t="n">
        <v>1.5</v>
      </c>
      <c r="H56" t="n">
        <v>2</v>
      </c>
      <c r="I56" t="n">
        <v>2</v>
      </c>
      <c r="J56" t="n">
        <v>0</v>
      </c>
      <c r="K56" t="n">
        <v>0</v>
      </c>
      <c r="L56" t="n">
        <v>0</v>
      </c>
      <c r="M56" t="n">
        <v>0</v>
      </c>
      <c r="N56" t="n">
        <v>0</v>
      </c>
      <c r="O56" t="n">
        <v>0</v>
      </c>
      <c r="P56" t="n">
        <v>0</v>
      </c>
      <c r="Q56" t="n">
        <v>4</v>
      </c>
      <c r="R56" s="2" t="inlineStr">
        <is>
          <t>Granbarkgnagare
Rödgul trumpetsvamp
Tjäder
Fläcknycklar</t>
        </is>
      </c>
      <c r="S56">
        <f>HYPERLINK("https://klasma.github.io/Logging_0382/artfynd/A 33800-2024 artfynd.xlsx", "A 33800-2024")</f>
        <v/>
      </c>
      <c r="T56">
        <f>HYPERLINK("https://klasma.github.io/Logging_0382/kartor/A 33800-2024 karta.png", "A 33800-2024")</f>
        <v/>
      </c>
      <c r="V56">
        <f>HYPERLINK("https://klasma.github.io/Logging_0382/klagomål/A 33800-2024 FSC-klagomål.docx", "A 33800-2024")</f>
        <v/>
      </c>
      <c r="W56">
        <f>HYPERLINK("https://klasma.github.io/Logging_0382/klagomålsmail/A 33800-2024 FSC-klagomål mail.docx", "A 33800-2024")</f>
        <v/>
      </c>
      <c r="X56">
        <f>HYPERLINK("https://klasma.github.io/Logging_0382/tillsyn/A 33800-2024 tillsynsbegäran.docx", "A 33800-2024")</f>
        <v/>
      </c>
      <c r="Y56">
        <f>HYPERLINK("https://klasma.github.io/Logging_0382/tillsynsmail/A 33800-2024 tillsynsbegäran mail.docx", "A 33800-2024")</f>
        <v/>
      </c>
      <c r="Z56">
        <f>HYPERLINK("https://klasma.github.io/Logging_0382/fåglar/A 33800-2024 prioriterade fågelarter.docx", "A 33800-2024")</f>
        <v/>
      </c>
    </row>
    <row r="57" ht="15" customHeight="1">
      <c r="A57" t="inlineStr">
        <is>
          <t>A 9683-2023</t>
        </is>
      </c>
      <c r="B57" s="1" t="n">
        <v>44984</v>
      </c>
      <c r="C57" s="1" t="n">
        <v>46200</v>
      </c>
      <c r="D57" t="inlineStr">
        <is>
          <t>UPPSALA LÄN</t>
        </is>
      </c>
      <c r="E57" t="inlineStr">
        <is>
          <t>ÖSTHAMMAR</t>
        </is>
      </c>
      <c r="G57" t="n">
        <v>4</v>
      </c>
      <c r="H57" t="n">
        <v>3</v>
      </c>
      <c r="I57" t="n">
        <v>1</v>
      </c>
      <c r="J57" t="n">
        <v>1</v>
      </c>
      <c r="K57" t="n">
        <v>0</v>
      </c>
      <c r="L57" t="n">
        <v>0</v>
      </c>
      <c r="M57" t="n">
        <v>0</v>
      </c>
      <c r="N57" t="n">
        <v>0</v>
      </c>
      <c r="O57" t="n">
        <v>1</v>
      </c>
      <c r="P57" t="n">
        <v>0</v>
      </c>
      <c r="Q57" t="n">
        <v>4</v>
      </c>
      <c r="R57" s="2" t="inlineStr">
        <is>
          <t>Solvända
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22287-2023</t>
        </is>
      </c>
      <c r="B58" s="1" t="n">
        <v>45070</v>
      </c>
      <c r="C58" s="1" t="n">
        <v>46200</v>
      </c>
      <c r="D58" t="inlineStr">
        <is>
          <t>UPPSALA LÄN</t>
        </is>
      </c>
      <c r="E58" t="inlineStr">
        <is>
          <t>ÖSTHAMMAR</t>
        </is>
      </c>
      <c r="G58" t="n">
        <v>6.3</v>
      </c>
      <c r="H58" t="n">
        <v>2</v>
      </c>
      <c r="I58" t="n">
        <v>2</v>
      </c>
      <c r="J58" t="n">
        <v>1</v>
      </c>
      <c r="K58" t="n">
        <v>0</v>
      </c>
      <c r="L58" t="n">
        <v>0</v>
      </c>
      <c r="M58" t="n">
        <v>0</v>
      </c>
      <c r="N58" t="n">
        <v>0</v>
      </c>
      <c r="O58" t="n">
        <v>1</v>
      </c>
      <c r="P58" t="n">
        <v>0</v>
      </c>
      <c r="Q58" t="n">
        <v>4</v>
      </c>
      <c r="R58" s="2" t="inlineStr">
        <is>
          <t>Vårärt
Guckusko
Rödgul trumpetsvamp
Blåsippa</t>
        </is>
      </c>
      <c r="S58">
        <f>HYPERLINK("https://klasma.github.io/Logging_0382/artfynd/A 22287-2023 artfynd.xlsx", "A 22287-2023")</f>
        <v/>
      </c>
      <c r="T58">
        <f>HYPERLINK("https://klasma.github.io/Logging_0382/kartor/A 22287-2023 karta.png", "A 22287-2023")</f>
        <v/>
      </c>
      <c r="V58">
        <f>HYPERLINK("https://klasma.github.io/Logging_0382/klagomål/A 22287-2023 FSC-klagomål.docx", "A 22287-2023")</f>
        <v/>
      </c>
      <c r="W58">
        <f>HYPERLINK("https://klasma.github.io/Logging_0382/klagomålsmail/A 22287-2023 FSC-klagomål mail.docx", "A 22287-2023")</f>
        <v/>
      </c>
      <c r="X58">
        <f>HYPERLINK("https://klasma.github.io/Logging_0382/tillsyn/A 22287-2023 tillsynsbegäran.docx", "A 22287-2023")</f>
        <v/>
      </c>
      <c r="Y58">
        <f>HYPERLINK("https://klasma.github.io/Logging_0382/tillsynsmail/A 22287-2023 tillsynsbegäran mail.docx", "A 22287-2023")</f>
        <v/>
      </c>
    </row>
    <row r="59" ht="15" customHeight="1">
      <c r="A59" t="inlineStr">
        <is>
          <t>A 48352-2022</t>
        </is>
      </c>
      <c r="B59" s="1" t="n">
        <v>44858</v>
      </c>
      <c r="C59" s="1" t="n">
        <v>46200</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Skarp dropptaggsvamp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54492-2024</t>
        </is>
      </c>
      <c r="B60" s="1" t="n">
        <v>45617</v>
      </c>
      <c r="C60" s="1" t="n">
        <v>46200</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38233-2024</t>
        </is>
      </c>
      <c r="B61" s="1" t="n">
        <v>45545</v>
      </c>
      <c r="C61" s="1" t="n">
        <v>46200</v>
      </c>
      <c r="D61" t="inlineStr">
        <is>
          <t>UPPSALA LÄN</t>
        </is>
      </c>
      <c r="E61" t="inlineStr">
        <is>
          <t>ÖSTHAMMAR</t>
        </is>
      </c>
      <c r="G61" t="n">
        <v>3.4</v>
      </c>
      <c r="H61" t="n">
        <v>2</v>
      </c>
      <c r="I61" t="n">
        <v>0</v>
      </c>
      <c r="J61" t="n">
        <v>2</v>
      </c>
      <c r="K61" t="n">
        <v>0</v>
      </c>
      <c r="L61" t="n">
        <v>0</v>
      </c>
      <c r="M61" t="n">
        <v>0</v>
      </c>
      <c r="N61" t="n">
        <v>0</v>
      </c>
      <c r="O61" t="n">
        <v>2</v>
      </c>
      <c r="P61" t="n">
        <v>0</v>
      </c>
      <c r="Q61" t="n">
        <v>4</v>
      </c>
      <c r="R61" s="2" t="inlineStr">
        <is>
          <t>Jungfrulin
Solvända
Blåsippa
Gullviva</t>
        </is>
      </c>
      <c r="S61">
        <f>HYPERLINK("https://klasma.github.io/Logging_0382/artfynd/A 38233-2024 artfynd.xlsx", "A 38233-2024")</f>
        <v/>
      </c>
      <c r="T61">
        <f>HYPERLINK("https://klasma.github.io/Logging_0382/kartor/A 38233-2024 karta.png", "A 38233-2024")</f>
        <v/>
      </c>
      <c r="V61">
        <f>HYPERLINK("https://klasma.github.io/Logging_0382/klagomål/A 38233-2024 FSC-klagomål.docx", "A 38233-2024")</f>
        <v/>
      </c>
      <c r="W61">
        <f>HYPERLINK("https://klasma.github.io/Logging_0382/klagomålsmail/A 38233-2024 FSC-klagomål mail.docx", "A 38233-2024")</f>
        <v/>
      </c>
      <c r="X61">
        <f>HYPERLINK("https://klasma.github.io/Logging_0382/tillsyn/A 38233-2024 tillsynsbegäran.docx", "A 38233-2024")</f>
        <v/>
      </c>
      <c r="Y61">
        <f>HYPERLINK("https://klasma.github.io/Logging_0382/tillsynsmail/A 38233-2024 tillsynsbegäran mail.docx", "A 38233-2024")</f>
        <v/>
      </c>
    </row>
    <row r="62" ht="15" customHeight="1">
      <c r="A62" t="inlineStr">
        <is>
          <t>A 60889-2025</t>
        </is>
      </c>
      <c r="B62" s="1" t="n">
        <v>45999</v>
      </c>
      <c r="C62" s="1" t="n">
        <v>46200</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46200</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46200</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26522-2026</t>
        </is>
      </c>
      <c r="B65" s="1" t="n">
        <v>46183</v>
      </c>
      <c r="C65" s="1" t="n">
        <v>46200</v>
      </c>
      <c r="D65" t="inlineStr">
        <is>
          <t>UPPSALA LÄN</t>
        </is>
      </c>
      <c r="E65" t="inlineStr">
        <is>
          <t>ÖSTHAMMAR</t>
        </is>
      </c>
      <c r="G65" t="n">
        <v>0.9</v>
      </c>
      <c r="H65" t="n">
        <v>1</v>
      </c>
      <c r="I65" t="n">
        <v>0</v>
      </c>
      <c r="J65" t="n">
        <v>3</v>
      </c>
      <c r="K65" t="n">
        <v>0</v>
      </c>
      <c r="L65" t="n">
        <v>0</v>
      </c>
      <c r="M65" t="n">
        <v>0</v>
      </c>
      <c r="N65" t="n">
        <v>0</v>
      </c>
      <c r="O65" t="n">
        <v>3</v>
      </c>
      <c r="P65" t="n">
        <v>0</v>
      </c>
      <c r="Q65" t="n">
        <v>4</v>
      </c>
      <c r="R65" s="2" t="inlineStr">
        <is>
          <t>Flentimotej
Solvända
Säfferot
Gullviva</t>
        </is>
      </c>
      <c r="S65">
        <f>HYPERLINK("https://klasma.github.io/Logging_0382/artfynd/A 26522-2026 artfynd.xlsx", "A 26522-2026")</f>
        <v/>
      </c>
      <c r="T65">
        <f>HYPERLINK("https://klasma.github.io/Logging_0382/kartor/A 26522-2026 karta.png", "A 26522-2026")</f>
        <v/>
      </c>
      <c r="V65">
        <f>HYPERLINK("https://klasma.github.io/Logging_0382/klagomål/A 26522-2026 FSC-klagomål.docx", "A 26522-2026")</f>
        <v/>
      </c>
      <c r="W65">
        <f>HYPERLINK("https://klasma.github.io/Logging_0382/klagomålsmail/A 26522-2026 FSC-klagomål mail.docx", "A 26522-2026")</f>
        <v/>
      </c>
      <c r="X65">
        <f>HYPERLINK("https://klasma.github.io/Logging_0382/tillsyn/A 26522-2026 tillsynsbegäran.docx", "A 26522-2026")</f>
        <v/>
      </c>
      <c r="Y65">
        <f>HYPERLINK("https://klasma.github.io/Logging_0382/tillsynsmail/A 26522-2026 tillsynsbegäran mail.docx", "A 26522-2026")</f>
        <v/>
      </c>
    </row>
    <row r="66" ht="15" customHeight="1">
      <c r="A66" t="inlineStr">
        <is>
          <t>A 52651-2022</t>
        </is>
      </c>
      <c r="B66" s="1" t="n">
        <v>44874</v>
      </c>
      <c r="C66" s="1" t="n">
        <v>46200</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46200</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58878-2022</t>
        </is>
      </c>
      <c r="B68" s="1" t="n">
        <v>44903</v>
      </c>
      <c r="C68" s="1" t="n">
        <v>46200</v>
      </c>
      <c r="D68" t="inlineStr">
        <is>
          <t>UPPSALA LÄN</t>
        </is>
      </c>
      <c r="E68" t="inlineStr">
        <is>
          <t>ÖSTHAMMAR</t>
        </is>
      </c>
      <c r="G68" t="n">
        <v>0.8</v>
      </c>
      <c r="H68" t="n">
        <v>2</v>
      </c>
      <c r="I68" t="n">
        <v>1</v>
      </c>
      <c r="J68" t="n">
        <v>1</v>
      </c>
      <c r="K68" t="n">
        <v>0</v>
      </c>
      <c r="L68" t="n">
        <v>0</v>
      </c>
      <c r="M68" t="n">
        <v>0</v>
      </c>
      <c r="N68" t="n">
        <v>0</v>
      </c>
      <c r="O68" t="n">
        <v>1</v>
      </c>
      <c r="P68" t="n">
        <v>0</v>
      </c>
      <c r="Q68" t="n">
        <v>3</v>
      </c>
      <c r="R68" s="2" t="inlineStr">
        <is>
          <t>Solvända
Tvåblad
Gullviva</t>
        </is>
      </c>
      <c r="S68">
        <f>HYPERLINK("https://klasma.github.io/Logging_0382/artfynd/A 58878-2022 artfynd.xlsx", "A 58878-2022")</f>
        <v/>
      </c>
      <c r="T68">
        <f>HYPERLINK("https://klasma.github.io/Logging_0382/kartor/A 58878-2022 karta.png", "A 58878-2022")</f>
        <v/>
      </c>
      <c r="V68">
        <f>HYPERLINK("https://klasma.github.io/Logging_0382/klagomål/A 58878-2022 FSC-klagomål.docx", "A 58878-2022")</f>
        <v/>
      </c>
      <c r="W68">
        <f>HYPERLINK("https://klasma.github.io/Logging_0382/klagomålsmail/A 58878-2022 FSC-klagomål mail.docx", "A 58878-2022")</f>
        <v/>
      </c>
      <c r="X68">
        <f>HYPERLINK("https://klasma.github.io/Logging_0382/tillsyn/A 58878-2022 tillsynsbegäran.docx", "A 58878-2022")</f>
        <v/>
      </c>
      <c r="Y68">
        <f>HYPERLINK("https://klasma.github.io/Logging_0382/tillsynsmail/A 58878-2022 tillsynsbegäran mail.docx", "A 58878-2022")</f>
        <v/>
      </c>
    </row>
    <row r="69" ht="15" customHeight="1">
      <c r="A69" t="inlineStr">
        <is>
          <t>A 30943-2024</t>
        </is>
      </c>
      <c r="B69" s="1" t="n">
        <v>45499</v>
      </c>
      <c r="C69" s="1" t="n">
        <v>46200</v>
      </c>
      <c r="D69" t="inlineStr">
        <is>
          <t>UPPSALA LÄN</t>
        </is>
      </c>
      <c r="E69" t="inlineStr">
        <is>
          <t>ÖSTHAMMAR</t>
        </is>
      </c>
      <c r="G69" t="n">
        <v>4.5</v>
      </c>
      <c r="H69" t="n">
        <v>0</v>
      </c>
      <c r="I69" t="n">
        <v>3</v>
      </c>
      <c r="J69" t="n">
        <v>0</v>
      </c>
      <c r="K69" t="n">
        <v>0</v>
      </c>
      <c r="L69" t="n">
        <v>0</v>
      </c>
      <c r="M69" t="n">
        <v>0</v>
      </c>
      <c r="N69" t="n">
        <v>0</v>
      </c>
      <c r="O69" t="n">
        <v>0</v>
      </c>
      <c r="P69" t="n">
        <v>0</v>
      </c>
      <c r="Q69" t="n">
        <v>3</v>
      </c>
      <c r="R69" s="2" t="inlineStr">
        <is>
          <t>Svart trolldruva
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73981-2021</t>
        </is>
      </c>
      <c r="B70" s="1" t="n">
        <v>44555</v>
      </c>
      <c r="C70" s="1" t="n">
        <v>46200</v>
      </c>
      <c r="D70" t="inlineStr">
        <is>
          <t>UPPSALA LÄN</t>
        </is>
      </c>
      <c r="E70" t="inlineStr">
        <is>
          <t>ÖSTHAMMAR</t>
        </is>
      </c>
      <c r="G70" t="n">
        <v>2.4</v>
      </c>
      <c r="H70" t="n">
        <v>0</v>
      </c>
      <c r="I70" t="n">
        <v>0</v>
      </c>
      <c r="J70" t="n">
        <v>3</v>
      </c>
      <c r="K70" t="n">
        <v>0</v>
      </c>
      <c r="L70" t="n">
        <v>0</v>
      </c>
      <c r="M70" t="n">
        <v>0</v>
      </c>
      <c r="N70" t="n">
        <v>0</v>
      </c>
      <c r="O70" t="n">
        <v>3</v>
      </c>
      <c r="P70" t="n">
        <v>0</v>
      </c>
      <c r="Q70" t="n">
        <v>3</v>
      </c>
      <c r="R70" s="2" t="inlineStr">
        <is>
          <t>Krisslesköldbagge
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17947-2022</t>
        </is>
      </c>
      <c r="B71" s="1" t="n">
        <v>44683</v>
      </c>
      <c r="C71" s="1" t="n">
        <v>46200</v>
      </c>
      <c r="D71" t="inlineStr">
        <is>
          <t>UPPSALA LÄN</t>
        </is>
      </c>
      <c r="E71" t="inlineStr">
        <is>
          <t>ÖSTHAMMAR</t>
        </is>
      </c>
      <c r="G71" t="n">
        <v>5.5</v>
      </c>
      <c r="H71" t="n">
        <v>1</v>
      </c>
      <c r="I71" t="n">
        <v>1</v>
      </c>
      <c r="J71" t="n">
        <v>2</v>
      </c>
      <c r="K71" t="n">
        <v>0</v>
      </c>
      <c r="L71" t="n">
        <v>0</v>
      </c>
      <c r="M71" t="n">
        <v>0</v>
      </c>
      <c r="N71" t="n">
        <v>0</v>
      </c>
      <c r="O71" t="n">
        <v>2</v>
      </c>
      <c r="P71" t="n">
        <v>0</v>
      </c>
      <c r="Q71" t="n">
        <v>3</v>
      </c>
      <c r="R71" s="2" t="inlineStr">
        <is>
          <t>Slåtterfibbla
Solvända
Tvåblad</t>
        </is>
      </c>
      <c r="S71">
        <f>HYPERLINK("https://klasma.github.io/Logging_0382/artfynd/A 17947-2022 artfynd.xlsx", "A 17947-2022")</f>
        <v/>
      </c>
      <c r="T71">
        <f>HYPERLINK("https://klasma.github.io/Logging_0382/kartor/A 17947-2022 karta.png", "A 17947-2022")</f>
        <v/>
      </c>
      <c r="V71">
        <f>HYPERLINK("https://klasma.github.io/Logging_0382/klagomål/A 17947-2022 FSC-klagomål.docx", "A 17947-2022")</f>
        <v/>
      </c>
      <c r="W71">
        <f>HYPERLINK("https://klasma.github.io/Logging_0382/klagomålsmail/A 17947-2022 FSC-klagomål mail.docx", "A 17947-2022")</f>
        <v/>
      </c>
      <c r="X71">
        <f>HYPERLINK("https://klasma.github.io/Logging_0382/tillsyn/A 17947-2022 tillsynsbegäran.docx", "A 17947-2022")</f>
        <v/>
      </c>
      <c r="Y71">
        <f>HYPERLINK("https://klasma.github.io/Logging_0382/tillsynsmail/A 17947-2022 tillsynsbegäran mail.docx", "A 17947-2022")</f>
        <v/>
      </c>
    </row>
    <row r="72" ht="15" customHeight="1">
      <c r="A72" t="inlineStr">
        <is>
          <t>A 25098-2022</t>
        </is>
      </c>
      <c r="B72" s="1" t="n">
        <v>44729</v>
      </c>
      <c r="C72" s="1" t="n">
        <v>46200</v>
      </c>
      <c r="D72" t="inlineStr">
        <is>
          <t>UPPSALA LÄN</t>
        </is>
      </c>
      <c r="E72" t="inlineStr">
        <is>
          <t>ÖSTHAMMAR</t>
        </is>
      </c>
      <c r="G72" t="n">
        <v>2.9</v>
      </c>
      <c r="H72" t="n">
        <v>3</v>
      </c>
      <c r="I72" t="n">
        <v>0</v>
      </c>
      <c r="J72" t="n">
        <v>1</v>
      </c>
      <c r="K72" t="n">
        <v>0</v>
      </c>
      <c r="L72" t="n">
        <v>0</v>
      </c>
      <c r="M72" t="n">
        <v>0</v>
      </c>
      <c r="N72" t="n">
        <v>0</v>
      </c>
      <c r="O72" t="n">
        <v>1</v>
      </c>
      <c r="P72" t="n">
        <v>0</v>
      </c>
      <c r="Q72" t="n">
        <v>3</v>
      </c>
      <c r="R72" s="2" t="inlineStr">
        <is>
          <t>Mindre hackspett
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c r="Z72">
        <f>HYPERLINK("https://klasma.github.io/Logging_0382/fåglar/A 25098-2022 prioriterade fågelarter.docx", "A 25098-2022")</f>
        <v/>
      </c>
    </row>
    <row r="73" ht="15" customHeight="1">
      <c r="A73" t="inlineStr">
        <is>
          <t>A 24606-2024</t>
        </is>
      </c>
      <c r="B73" s="1" t="n">
        <v>45460</v>
      </c>
      <c r="C73" s="1" t="n">
        <v>46200</v>
      </c>
      <c r="D73" t="inlineStr">
        <is>
          <t>UPPSALA LÄN</t>
        </is>
      </c>
      <c r="E73" t="inlineStr">
        <is>
          <t>ÖSTHAMMAR</t>
        </is>
      </c>
      <c r="F73" t="inlineStr">
        <is>
          <t>Bergvik skog öst AB</t>
        </is>
      </c>
      <c r="G73" t="n">
        <v>2.9</v>
      </c>
      <c r="H73" t="n">
        <v>0</v>
      </c>
      <c r="I73" t="n">
        <v>1</v>
      </c>
      <c r="J73" t="n">
        <v>1</v>
      </c>
      <c r="K73" t="n">
        <v>0</v>
      </c>
      <c r="L73" t="n">
        <v>1</v>
      </c>
      <c r="M73" t="n">
        <v>0</v>
      </c>
      <c r="N73" t="n">
        <v>0</v>
      </c>
      <c r="O73" t="n">
        <v>2</v>
      </c>
      <c r="P73" t="n">
        <v>1</v>
      </c>
      <c r="Q73" t="n">
        <v>3</v>
      </c>
      <c r="R73" s="2" t="inlineStr">
        <is>
          <t>Violgubbe
Dofttaggsvamp
Zontaggsvamp</t>
        </is>
      </c>
      <c r="S73">
        <f>HYPERLINK("https://klasma.github.io/Logging_0382/artfynd/A 24606-2024 artfynd.xlsx", "A 24606-2024")</f>
        <v/>
      </c>
      <c r="T73">
        <f>HYPERLINK("https://klasma.github.io/Logging_0382/kartor/A 24606-2024 karta.png", "A 24606-2024")</f>
        <v/>
      </c>
      <c r="V73">
        <f>HYPERLINK("https://klasma.github.io/Logging_0382/klagomål/A 24606-2024 FSC-klagomål.docx", "A 24606-2024")</f>
        <v/>
      </c>
      <c r="W73">
        <f>HYPERLINK("https://klasma.github.io/Logging_0382/klagomålsmail/A 24606-2024 FSC-klagomål mail.docx", "A 24606-2024")</f>
        <v/>
      </c>
      <c r="X73">
        <f>HYPERLINK("https://klasma.github.io/Logging_0382/tillsyn/A 24606-2024 tillsynsbegäran.docx", "A 24606-2024")</f>
        <v/>
      </c>
      <c r="Y73">
        <f>HYPERLINK("https://klasma.github.io/Logging_0382/tillsynsmail/A 24606-2024 tillsynsbegäran mail.docx", "A 24606-2024")</f>
        <v/>
      </c>
    </row>
    <row r="74" ht="15" customHeight="1">
      <c r="A74" t="inlineStr">
        <is>
          <t>A 60898-2025</t>
        </is>
      </c>
      <c r="B74" s="1" t="n">
        <v>45999</v>
      </c>
      <c r="C74" s="1" t="n">
        <v>46200</v>
      </c>
      <c r="D74" t="inlineStr">
        <is>
          <t>UPPSALA LÄN</t>
        </is>
      </c>
      <c r="E74" t="inlineStr">
        <is>
          <t>ÖSTHAMMAR</t>
        </is>
      </c>
      <c r="G74" t="n">
        <v>3.9</v>
      </c>
      <c r="H74" t="n">
        <v>0</v>
      </c>
      <c r="I74" t="n">
        <v>2</v>
      </c>
      <c r="J74" t="n">
        <v>1</v>
      </c>
      <c r="K74" t="n">
        <v>0</v>
      </c>
      <c r="L74" t="n">
        <v>0</v>
      </c>
      <c r="M74" t="n">
        <v>0</v>
      </c>
      <c r="N74" t="n">
        <v>0</v>
      </c>
      <c r="O74" t="n">
        <v>1</v>
      </c>
      <c r="P74" t="n">
        <v>0</v>
      </c>
      <c r="Q74" t="n">
        <v>3</v>
      </c>
      <c r="R74" s="2" t="inlineStr">
        <is>
          <t>Gullpudra
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23125-2026</t>
        </is>
      </c>
      <c r="B75" s="1" t="n">
        <v>46161</v>
      </c>
      <c r="C75" s="1" t="n">
        <v>46200</v>
      </c>
      <c r="D75" t="inlineStr">
        <is>
          <t>UPPSALA LÄN</t>
        </is>
      </c>
      <c r="E75" t="inlineStr">
        <is>
          <t>ÖSTHAMMAR</t>
        </is>
      </c>
      <c r="F75" t="inlineStr">
        <is>
          <t>Övriga Aktiebolag</t>
        </is>
      </c>
      <c r="G75" t="n">
        <v>4.4</v>
      </c>
      <c r="H75" t="n">
        <v>1</v>
      </c>
      <c r="I75" t="n">
        <v>2</v>
      </c>
      <c r="J75" t="n">
        <v>0</v>
      </c>
      <c r="K75" t="n">
        <v>0</v>
      </c>
      <c r="L75" t="n">
        <v>0</v>
      </c>
      <c r="M75" t="n">
        <v>0</v>
      </c>
      <c r="N75" t="n">
        <v>0</v>
      </c>
      <c r="O75" t="n">
        <v>0</v>
      </c>
      <c r="P75" t="n">
        <v>0</v>
      </c>
      <c r="Q75" t="n">
        <v>3</v>
      </c>
      <c r="R75" s="2" t="inlineStr">
        <is>
          <t>Blek stjärnmossa
Bårdlav
Blåsippa</t>
        </is>
      </c>
      <c r="S75">
        <f>HYPERLINK("https://klasma.github.io/Logging_0382/artfynd/A 23125-2026 artfynd.xlsx", "A 23125-2026")</f>
        <v/>
      </c>
      <c r="T75">
        <f>HYPERLINK("https://klasma.github.io/Logging_0382/kartor/A 23125-2026 karta.png", "A 23125-2026")</f>
        <v/>
      </c>
      <c r="V75">
        <f>HYPERLINK("https://klasma.github.io/Logging_0382/klagomål/A 23125-2026 FSC-klagomål.docx", "A 23125-2026")</f>
        <v/>
      </c>
      <c r="W75">
        <f>HYPERLINK("https://klasma.github.io/Logging_0382/klagomålsmail/A 23125-2026 FSC-klagomål mail.docx", "A 23125-2026")</f>
        <v/>
      </c>
      <c r="X75">
        <f>HYPERLINK("https://klasma.github.io/Logging_0382/tillsyn/A 23125-2026 tillsynsbegäran.docx", "A 23125-2026")</f>
        <v/>
      </c>
      <c r="Y75">
        <f>HYPERLINK("https://klasma.github.io/Logging_0382/tillsynsmail/A 23125-2026 tillsynsbegäran mail.docx", "A 23125-2026")</f>
        <v/>
      </c>
    </row>
    <row r="76" ht="15" customHeight="1">
      <c r="A76" t="inlineStr">
        <is>
          <t>A 17694-2026</t>
        </is>
      </c>
      <c r="B76" s="1" t="n">
        <v>46121</v>
      </c>
      <c r="C76" s="1" t="n">
        <v>46200</v>
      </c>
      <c r="D76" t="inlineStr">
        <is>
          <t>UPPSALA LÄN</t>
        </is>
      </c>
      <c r="E76" t="inlineStr">
        <is>
          <t>ÖSTHAMMAR</t>
        </is>
      </c>
      <c r="G76" t="n">
        <v>3.4</v>
      </c>
      <c r="H76" t="n">
        <v>1</v>
      </c>
      <c r="I76" t="n">
        <v>1</v>
      </c>
      <c r="J76" t="n">
        <v>1</v>
      </c>
      <c r="K76" t="n">
        <v>0</v>
      </c>
      <c r="L76" t="n">
        <v>1</v>
      </c>
      <c r="M76" t="n">
        <v>0</v>
      </c>
      <c r="N76" t="n">
        <v>0</v>
      </c>
      <c r="O76" t="n">
        <v>2</v>
      </c>
      <c r="P76" t="n">
        <v>1</v>
      </c>
      <c r="Q76" t="n">
        <v>3</v>
      </c>
      <c r="R76" s="2" t="inlineStr">
        <is>
          <t>Ask
Ängsstarr
Guckusko</t>
        </is>
      </c>
      <c r="S76">
        <f>HYPERLINK("https://klasma.github.io/Logging_0382/artfynd/A 17694-2026 artfynd.xlsx", "A 17694-2026")</f>
        <v/>
      </c>
      <c r="T76">
        <f>HYPERLINK("https://klasma.github.io/Logging_0382/kartor/A 17694-2026 karta.png", "A 17694-2026")</f>
        <v/>
      </c>
      <c r="V76">
        <f>HYPERLINK("https://klasma.github.io/Logging_0382/klagomål/A 17694-2026 FSC-klagomål.docx", "A 17694-2026")</f>
        <v/>
      </c>
      <c r="W76">
        <f>HYPERLINK("https://klasma.github.io/Logging_0382/klagomålsmail/A 17694-2026 FSC-klagomål mail.docx", "A 17694-2026")</f>
        <v/>
      </c>
      <c r="X76">
        <f>HYPERLINK("https://klasma.github.io/Logging_0382/tillsyn/A 17694-2026 tillsynsbegäran.docx", "A 17694-2026")</f>
        <v/>
      </c>
      <c r="Y76">
        <f>HYPERLINK("https://klasma.github.io/Logging_0382/tillsynsmail/A 17694-2026 tillsynsbegäran mail.docx", "A 17694-2026")</f>
        <v/>
      </c>
    </row>
    <row r="77" ht="15" customHeight="1">
      <c r="A77" t="inlineStr">
        <is>
          <t>A 60078-2021</t>
        </is>
      </c>
      <c r="B77" s="1" t="n">
        <v>44495</v>
      </c>
      <c r="C77" s="1" t="n">
        <v>46200</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46200</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46200</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46200</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21862-2023</t>
        </is>
      </c>
      <c r="B81" s="1" t="n">
        <v>45068</v>
      </c>
      <c r="C81" s="1" t="n">
        <v>46200</v>
      </c>
      <c r="D81" t="inlineStr">
        <is>
          <t>UPPSALA LÄN</t>
        </is>
      </c>
      <c r="E81" t="inlineStr">
        <is>
          <t>ÖSTHAMMAR</t>
        </is>
      </c>
      <c r="G81" t="n">
        <v>0.5</v>
      </c>
      <c r="H81" t="n">
        <v>2</v>
      </c>
      <c r="I81" t="n">
        <v>0</v>
      </c>
      <c r="J81" t="n">
        <v>1</v>
      </c>
      <c r="K81" t="n">
        <v>0</v>
      </c>
      <c r="L81" t="n">
        <v>0</v>
      </c>
      <c r="M81" t="n">
        <v>0</v>
      </c>
      <c r="N81" t="n">
        <v>0</v>
      </c>
      <c r="O81" t="n">
        <v>1</v>
      </c>
      <c r="P81" t="n">
        <v>0</v>
      </c>
      <c r="Q81" t="n">
        <v>2</v>
      </c>
      <c r="R81" s="2" t="inlineStr">
        <is>
          <t>Nordfladdermus
Vattenfladdermus</t>
        </is>
      </c>
      <c r="S81">
        <f>HYPERLINK("https://klasma.github.io/Logging_0382/artfynd/A 21862-2023 artfynd.xlsx", "A 21862-2023")</f>
        <v/>
      </c>
      <c r="T81">
        <f>HYPERLINK("https://klasma.github.io/Logging_0382/kartor/A 21862-2023 karta.png", "A 21862-2023")</f>
        <v/>
      </c>
      <c r="V81">
        <f>HYPERLINK("https://klasma.github.io/Logging_0382/klagomål/A 21862-2023 FSC-klagomål.docx", "A 21862-2023")</f>
        <v/>
      </c>
      <c r="W81">
        <f>HYPERLINK("https://klasma.github.io/Logging_0382/klagomålsmail/A 21862-2023 FSC-klagomål mail.docx", "A 21862-2023")</f>
        <v/>
      </c>
      <c r="X81">
        <f>HYPERLINK("https://klasma.github.io/Logging_0382/tillsyn/A 21862-2023 tillsynsbegäran.docx", "A 21862-2023")</f>
        <v/>
      </c>
      <c r="Y81">
        <f>HYPERLINK("https://klasma.github.io/Logging_0382/tillsynsmail/A 21862-2023 tillsynsbegäran mail.docx", "A 21862-2023")</f>
        <v/>
      </c>
    </row>
    <row r="82" ht="15" customHeight="1">
      <c r="A82" t="inlineStr">
        <is>
          <t>A 20553-2025</t>
        </is>
      </c>
      <c r="B82" s="1" t="n">
        <v>45775</v>
      </c>
      <c r="C82" s="1" t="n">
        <v>46200</v>
      </c>
      <c r="D82" t="inlineStr">
        <is>
          <t>UPPSALA LÄN</t>
        </is>
      </c>
      <c r="E82" t="inlineStr">
        <is>
          <t>ÖSTHAMMAR</t>
        </is>
      </c>
      <c r="G82" t="n">
        <v>0.4</v>
      </c>
      <c r="H82" t="n">
        <v>0</v>
      </c>
      <c r="I82" t="n">
        <v>2</v>
      </c>
      <c r="J82" t="n">
        <v>0</v>
      </c>
      <c r="K82" t="n">
        <v>0</v>
      </c>
      <c r="L82" t="n">
        <v>0</v>
      </c>
      <c r="M82" t="n">
        <v>0</v>
      </c>
      <c r="N82" t="n">
        <v>0</v>
      </c>
      <c r="O82" t="n">
        <v>0</v>
      </c>
      <c r="P82" t="n">
        <v>0</v>
      </c>
      <c r="Q82" t="n">
        <v>2</v>
      </c>
      <c r="R82" s="2" t="inlineStr">
        <is>
          <t>Jättesvampmal
Robust tickgnagare</t>
        </is>
      </c>
      <c r="S82">
        <f>HYPERLINK("https://klasma.github.io/Logging_0382/artfynd/A 20553-2025 artfynd.xlsx", "A 20553-2025")</f>
        <v/>
      </c>
      <c r="T82">
        <f>HYPERLINK("https://klasma.github.io/Logging_0382/kartor/A 20553-2025 karta.png", "A 20553-2025")</f>
        <v/>
      </c>
      <c r="V82">
        <f>HYPERLINK("https://klasma.github.io/Logging_0382/klagomål/A 20553-2025 FSC-klagomål.docx", "A 20553-2025")</f>
        <v/>
      </c>
      <c r="W82">
        <f>HYPERLINK("https://klasma.github.io/Logging_0382/klagomålsmail/A 20553-2025 FSC-klagomål mail.docx", "A 20553-2025")</f>
        <v/>
      </c>
      <c r="X82">
        <f>HYPERLINK("https://klasma.github.io/Logging_0382/tillsyn/A 20553-2025 tillsynsbegäran.docx", "A 20553-2025")</f>
        <v/>
      </c>
      <c r="Y82">
        <f>HYPERLINK("https://klasma.github.io/Logging_0382/tillsynsmail/A 20553-2025 tillsynsbegäran mail.docx", "A 20553-2025")</f>
        <v/>
      </c>
    </row>
    <row r="83" ht="15" customHeight="1">
      <c r="A83" t="inlineStr">
        <is>
          <t>A 19009-2023</t>
        </is>
      </c>
      <c r="B83" s="1" t="n">
        <v>45045</v>
      </c>
      <c r="C83" s="1" t="n">
        <v>46200</v>
      </c>
      <c r="D83" t="inlineStr">
        <is>
          <t>UPPSALA LÄN</t>
        </is>
      </c>
      <c r="E83" t="inlineStr">
        <is>
          <t>ÖSTHAMMAR</t>
        </is>
      </c>
      <c r="F83" t="inlineStr">
        <is>
          <t>Bergvik skog öst AB</t>
        </is>
      </c>
      <c r="G83" t="n">
        <v>0.2</v>
      </c>
      <c r="H83" t="n">
        <v>1</v>
      </c>
      <c r="I83" t="n">
        <v>0</v>
      </c>
      <c r="J83" t="n">
        <v>1</v>
      </c>
      <c r="K83" t="n">
        <v>0</v>
      </c>
      <c r="L83" t="n">
        <v>0</v>
      </c>
      <c r="M83" t="n">
        <v>0</v>
      </c>
      <c r="N83" t="n">
        <v>0</v>
      </c>
      <c r="O83" t="n">
        <v>1</v>
      </c>
      <c r="P83" t="n">
        <v>0</v>
      </c>
      <c r="Q83" t="n">
        <v>2</v>
      </c>
      <c r="R83" s="2" t="inlineStr">
        <is>
          <t>Slåtterfibbla
Gullviva</t>
        </is>
      </c>
      <c r="S83">
        <f>HYPERLINK("https://klasma.github.io/Logging_0382/artfynd/A 19009-2023 artfynd.xlsx", "A 19009-2023")</f>
        <v/>
      </c>
      <c r="T83">
        <f>HYPERLINK("https://klasma.github.io/Logging_0382/kartor/A 19009-2023 karta.png", "A 19009-2023")</f>
        <v/>
      </c>
      <c r="V83">
        <f>HYPERLINK("https://klasma.github.io/Logging_0382/klagomål/A 19009-2023 FSC-klagomål.docx", "A 19009-2023")</f>
        <v/>
      </c>
      <c r="W83">
        <f>HYPERLINK("https://klasma.github.io/Logging_0382/klagomålsmail/A 19009-2023 FSC-klagomål mail.docx", "A 19009-2023")</f>
        <v/>
      </c>
      <c r="X83">
        <f>HYPERLINK("https://klasma.github.io/Logging_0382/tillsyn/A 19009-2023 tillsynsbegäran.docx", "A 19009-2023")</f>
        <v/>
      </c>
      <c r="Y83">
        <f>HYPERLINK("https://klasma.github.io/Logging_0382/tillsynsmail/A 19009-2023 tillsynsbegäran mail.docx", "A 19009-2023")</f>
        <v/>
      </c>
    </row>
    <row r="84" ht="15" customHeight="1">
      <c r="A84" t="inlineStr">
        <is>
          <t>A 46629-2024</t>
        </is>
      </c>
      <c r="B84" s="1" t="n">
        <v>45583</v>
      </c>
      <c r="C84" s="1" t="n">
        <v>46200</v>
      </c>
      <c r="D84" t="inlineStr">
        <is>
          <t>UPPSALA LÄN</t>
        </is>
      </c>
      <c r="E84" t="inlineStr">
        <is>
          <t>ÖSTHAMMAR</t>
        </is>
      </c>
      <c r="F84" t="inlineStr">
        <is>
          <t>Bergvik skog öst AB</t>
        </is>
      </c>
      <c r="G84" t="n">
        <v>0.7</v>
      </c>
      <c r="H84" t="n">
        <v>0</v>
      </c>
      <c r="I84" t="n">
        <v>0</v>
      </c>
      <c r="J84" t="n">
        <v>1</v>
      </c>
      <c r="K84" t="n">
        <v>1</v>
      </c>
      <c r="L84" t="n">
        <v>0</v>
      </c>
      <c r="M84" t="n">
        <v>0</v>
      </c>
      <c r="N84" t="n">
        <v>0</v>
      </c>
      <c r="O84" t="n">
        <v>2</v>
      </c>
      <c r="P84" t="n">
        <v>1</v>
      </c>
      <c r="Q84" t="n">
        <v>2</v>
      </c>
      <c r="R84" s="2" t="inlineStr">
        <is>
          <t>Sexfläckig bastardsvärmare
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32064-2022</t>
        </is>
      </c>
      <c r="B85" s="1" t="n">
        <v>44778</v>
      </c>
      <c r="C85" s="1" t="n">
        <v>46200</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13279-2022</t>
        </is>
      </c>
      <c r="B86" s="1" t="n">
        <v>44644</v>
      </c>
      <c r="C86" s="1" t="n">
        <v>46200</v>
      </c>
      <c r="D86" t="inlineStr">
        <is>
          <t>UPPSALA LÄN</t>
        </is>
      </c>
      <c r="E86" t="inlineStr">
        <is>
          <t>ÖSTHAMMAR</t>
        </is>
      </c>
      <c r="G86" t="n">
        <v>1.4</v>
      </c>
      <c r="H86" t="n">
        <v>2</v>
      </c>
      <c r="I86" t="n">
        <v>1</v>
      </c>
      <c r="J86" t="n">
        <v>0</v>
      </c>
      <c r="K86" t="n">
        <v>0</v>
      </c>
      <c r="L86" t="n">
        <v>0</v>
      </c>
      <c r="M86" t="n">
        <v>0</v>
      </c>
      <c r="N86" t="n">
        <v>0</v>
      </c>
      <c r="O86" t="n">
        <v>0</v>
      </c>
      <c r="P86" t="n">
        <v>0</v>
      </c>
      <c r="Q86" t="n">
        <v>2</v>
      </c>
      <c r="R86" s="2" t="inlineStr">
        <is>
          <t>Tvåblad
Gullviva</t>
        </is>
      </c>
      <c r="S86">
        <f>HYPERLINK("https://klasma.github.io/Logging_0382/artfynd/A 13279-2022 artfynd.xlsx", "A 13279-2022")</f>
        <v/>
      </c>
      <c r="T86">
        <f>HYPERLINK("https://klasma.github.io/Logging_0382/kartor/A 13279-2022 karta.png", "A 13279-2022")</f>
        <v/>
      </c>
      <c r="V86">
        <f>HYPERLINK("https://klasma.github.io/Logging_0382/klagomål/A 13279-2022 FSC-klagomål.docx", "A 13279-2022")</f>
        <v/>
      </c>
      <c r="W86">
        <f>HYPERLINK("https://klasma.github.io/Logging_0382/klagomålsmail/A 13279-2022 FSC-klagomål mail.docx", "A 13279-2022")</f>
        <v/>
      </c>
      <c r="X86">
        <f>HYPERLINK("https://klasma.github.io/Logging_0382/tillsyn/A 13279-2022 tillsynsbegäran.docx", "A 13279-2022")</f>
        <v/>
      </c>
      <c r="Y86">
        <f>HYPERLINK("https://klasma.github.io/Logging_0382/tillsynsmail/A 13279-2022 tillsynsbegäran mail.docx", "A 13279-2022")</f>
        <v/>
      </c>
    </row>
    <row r="87" ht="15" customHeight="1">
      <c r="A87" t="inlineStr">
        <is>
          <t>A 18539-2024</t>
        </is>
      </c>
      <c r="B87" s="1" t="n">
        <v>45425</v>
      </c>
      <c r="C87" s="1" t="n">
        <v>46200</v>
      </c>
      <c r="D87" t="inlineStr">
        <is>
          <t>UPPSALA LÄN</t>
        </is>
      </c>
      <c r="E87" t="inlineStr">
        <is>
          <t>ÖSTHAMMAR</t>
        </is>
      </c>
      <c r="G87" t="n">
        <v>4.7</v>
      </c>
      <c r="H87" t="n">
        <v>0</v>
      </c>
      <c r="I87" t="n">
        <v>2</v>
      </c>
      <c r="J87" t="n">
        <v>0</v>
      </c>
      <c r="K87" t="n">
        <v>0</v>
      </c>
      <c r="L87" t="n">
        <v>0</v>
      </c>
      <c r="M87" t="n">
        <v>0</v>
      </c>
      <c r="N87" t="n">
        <v>0</v>
      </c>
      <c r="O87" t="n">
        <v>0</v>
      </c>
      <c r="P87" t="n">
        <v>0</v>
      </c>
      <c r="Q87" t="n">
        <v>2</v>
      </c>
      <c r="R87" s="2" t="inlineStr">
        <is>
          <t>Bronshjon
Vågbandad barkbock</t>
        </is>
      </c>
      <c r="S87">
        <f>HYPERLINK("https://klasma.github.io/Logging_0382/artfynd/A 18539-2024 artfynd.xlsx", "A 18539-2024")</f>
        <v/>
      </c>
      <c r="T87">
        <f>HYPERLINK("https://klasma.github.io/Logging_0382/kartor/A 18539-2024 karta.png", "A 18539-2024")</f>
        <v/>
      </c>
      <c r="V87">
        <f>HYPERLINK("https://klasma.github.io/Logging_0382/klagomål/A 18539-2024 FSC-klagomål.docx", "A 18539-2024")</f>
        <v/>
      </c>
      <c r="W87">
        <f>HYPERLINK("https://klasma.github.io/Logging_0382/klagomålsmail/A 18539-2024 FSC-klagomål mail.docx", "A 18539-2024")</f>
        <v/>
      </c>
      <c r="X87">
        <f>HYPERLINK("https://klasma.github.io/Logging_0382/tillsyn/A 18539-2024 tillsynsbegäran.docx", "A 18539-2024")</f>
        <v/>
      </c>
      <c r="Y87">
        <f>HYPERLINK("https://klasma.github.io/Logging_0382/tillsynsmail/A 18539-2024 tillsynsbegäran mail.docx", "A 18539-2024")</f>
        <v/>
      </c>
    </row>
    <row r="88" ht="15" customHeight="1">
      <c r="A88" t="inlineStr">
        <is>
          <t>A 21453-2023</t>
        </is>
      </c>
      <c r="B88" s="1" t="n">
        <v>45063</v>
      </c>
      <c r="C88" s="1" t="n">
        <v>46200</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14859-2025</t>
        </is>
      </c>
      <c r="B89" s="1" t="n">
        <v>45743</v>
      </c>
      <c r="C89" s="1" t="n">
        <v>46200</v>
      </c>
      <c r="D89" t="inlineStr">
        <is>
          <t>UPPSALA LÄN</t>
        </is>
      </c>
      <c r="E89" t="inlineStr">
        <is>
          <t>ÖSTHAMMAR</t>
        </is>
      </c>
      <c r="G89" t="n">
        <v>1.1</v>
      </c>
      <c r="H89" t="n">
        <v>0</v>
      </c>
      <c r="I89" t="n">
        <v>0</v>
      </c>
      <c r="J89" t="n">
        <v>2</v>
      </c>
      <c r="K89" t="n">
        <v>0</v>
      </c>
      <c r="L89" t="n">
        <v>0</v>
      </c>
      <c r="M89" t="n">
        <v>0</v>
      </c>
      <c r="N89" t="n">
        <v>0</v>
      </c>
      <c r="O89" t="n">
        <v>2</v>
      </c>
      <c r="P89" t="n">
        <v>0</v>
      </c>
      <c r="Q89" t="n">
        <v>2</v>
      </c>
      <c r="R89" s="2" t="inlineStr">
        <is>
          <t>Klasefibbla
Solvända</t>
        </is>
      </c>
      <c r="S89">
        <f>HYPERLINK("https://klasma.github.io/Logging_0382/artfynd/A 14859-2025 artfynd.xlsx", "A 14859-2025")</f>
        <v/>
      </c>
      <c r="T89">
        <f>HYPERLINK("https://klasma.github.io/Logging_0382/kartor/A 14859-2025 karta.png", "A 14859-2025")</f>
        <v/>
      </c>
      <c r="V89">
        <f>HYPERLINK("https://klasma.github.io/Logging_0382/klagomål/A 14859-2025 FSC-klagomål.docx", "A 14859-2025")</f>
        <v/>
      </c>
      <c r="W89">
        <f>HYPERLINK("https://klasma.github.io/Logging_0382/klagomålsmail/A 14859-2025 FSC-klagomål mail.docx", "A 14859-2025")</f>
        <v/>
      </c>
      <c r="X89">
        <f>HYPERLINK("https://klasma.github.io/Logging_0382/tillsyn/A 14859-2025 tillsynsbegäran.docx", "A 14859-2025")</f>
        <v/>
      </c>
      <c r="Y89">
        <f>HYPERLINK("https://klasma.github.io/Logging_0382/tillsynsmail/A 14859-2025 tillsynsbegäran mail.docx", "A 14859-2025")</f>
        <v/>
      </c>
    </row>
    <row r="90" ht="15" customHeight="1">
      <c r="A90" t="inlineStr">
        <is>
          <t>A 9646-2024</t>
        </is>
      </c>
      <c r="B90" s="1" t="n">
        <v>45362</v>
      </c>
      <c r="C90" s="1" t="n">
        <v>46200</v>
      </c>
      <c r="D90" t="inlineStr">
        <is>
          <t>UPPSALA LÄN</t>
        </is>
      </c>
      <c r="E90" t="inlineStr">
        <is>
          <t>ÖSTHAMMAR</t>
        </is>
      </c>
      <c r="G90" t="n">
        <v>1.6</v>
      </c>
      <c r="H90" t="n">
        <v>0</v>
      </c>
      <c r="I90" t="n">
        <v>0</v>
      </c>
      <c r="J90" t="n">
        <v>1</v>
      </c>
      <c r="K90" t="n">
        <v>0</v>
      </c>
      <c r="L90" t="n">
        <v>1</v>
      </c>
      <c r="M90" t="n">
        <v>0</v>
      </c>
      <c r="N90" t="n">
        <v>0</v>
      </c>
      <c r="O90" t="n">
        <v>2</v>
      </c>
      <c r="P90" t="n">
        <v>1</v>
      </c>
      <c r="Q90" t="n">
        <v>2</v>
      </c>
      <c r="R90" s="2" t="inlineStr">
        <is>
          <t>Violgubbe
Gultoppig fingersvamp</t>
        </is>
      </c>
      <c r="S90">
        <f>HYPERLINK("https://klasma.github.io/Logging_0382/artfynd/A 9646-2024 artfynd.xlsx", "A 9646-2024")</f>
        <v/>
      </c>
      <c r="T90">
        <f>HYPERLINK("https://klasma.github.io/Logging_0382/kartor/A 9646-2024 karta.png", "A 9646-2024")</f>
        <v/>
      </c>
      <c r="V90">
        <f>HYPERLINK("https://klasma.github.io/Logging_0382/klagomål/A 9646-2024 FSC-klagomål.docx", "A 9646-2024")</f>
        <v/>
      </c>
      <c r="W90">
        <f>HYPERLINK("https://klasma.github.io/Logging_0382/klagomålsmail/A 9646-2024 FSC-klagomål mail.docx", "A 9646-2024")</f>
        <v/>
      </c>
      <c r="X90">
        <f>HYPERLINK("https://klasma.github.io/Logging_0382/tillsyn/A 9646-2024 tillsynsbegäran.docx", "A 9646-2024")</f>
        <v/>
      </c>
      <c r="Y90">
        <f>HYPERLINK("https://klasma.github.io/Logging_0382/tillsynsmail/A 9646-2024 tillsynsbegäran mail.docx", "A 9646-2024")</f>
        <v/>
      </c>
    </row>
    <row r="91" ht="15" customHeight="1">
      <c r="A91" t="inlineStr">
        <is>
          <t>A 54666-2022</t>
        </is>
      </c>
      <c r="B91" s="1" t="n">
        <v>44883</v>
      </c>
      <c r="C91" s="1" t="n">
        <v>46200</v>
      </c>
      <c r="D91" t="inlineStr">
        <is>
          <t>UPPSALA LÄN</t>
        </is>
      </c>
      <c r="E91" t="inlineStr">
        <is>
          <t>ÖSTHAMMAR</t>
        </is>
      </c>
      <c r="G91" t="n">
        <v>14.3</v>
      </c>
      <c r="H91" t="n">
        <v>0</v>
      </c>
      <c r="I91" t="n">
        <v>1</v>
      </c>
      <c r="J91" t="n">
        <v>0</v>
      </c>
      <c r="K91" t="n">
        <v>0</v>
      </c>
      <c r="L91" t="n">
        <v>0</v>
      </c>
      <c r="M91" t="n">
        <v>0</v>
      </c>
      <c r="N91" t="n">
        <v>0</v>
      </c>
      <c r="O91" t="n">
        <v>0</v>
      </c>
      <c r="P91" t="n">
        <v>0</v>
      </c>
      <c r="Q91" t="n">
        <v>2</v>
      </c>
      <c r="R91" s="2" t="inlineStr">
        <is>
          <t>Kamjordstjärna
Repestarr</t>
        </is>
      </c>
      <c r="S91">
        <f>HYPERLINK("https://klasma.github.io/Logging_0382/artfynd/A 54666-2022 artfynd.xlsx", "A 54666-2022")</f>
        <v/>
      </c>
      <c r="T91">
        <f>HYPERLINK("https://klasma.github.io/Logging_0382/kartor/A 54666-2022 karta.png", "A 54666-2022")</f>
        <v/>
      </c>
      <c r="V91">
        <f>HYPERLINK("https://klasma.github.io/Logging_0382/klagomål/A 54666-2022 FSC-klagomål.docx", "A 54666-2022")</f>
        <v/>
      </c>
      <c r="W91">
        <f>HYPERLINK("https://klasma.github.io/Logging_0382/klagomålsmail/A 54666-2022 FSC-klagomål mail.docx", "A 54666-2022")</f>
        <v/>
      </c>
      <c r="X91">
        <f>HYPERLINK("https://klasma.github.io/Logging_0382/tillsyn/A 54666-2022 tillsynsbegäran.docx", "A 54666-2022")</f>
        <v/>
      </c>
      <c r="Y91">
        <f>HYPERLINK("https://klasma.github.io/Logging_0382/tillsynsmail/A 54666-2022 tillsynsbegäran mail.docx", "A 54666-2022")</f>
        <v/>
      </c>
    </row>
    <row r="92" ht="15" customHeight="1">
      <c r="A92" t="inlineStr">
        <is>
          <t>A 21422-2023</t>
        </is>
      </c>
      <c r="B92" s="1" t="n">
        <v>45063</v>
      </c>
      <c r="C92" s="1" t="n">
        <v>46200</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51708-2025</t>
        </is>
      </c>
      <c r="B93" s="1" t="n">
        <v>45951</v>
      </c>
      <c r="C93" s="1" t="n">
        <v>46200</v>
      </c>
      <c r="D93" t="inlineStr">
        <is>
          <t>UPPSALA LÄN</t>
        </is>
      </c>
      <c r="E93" t="inlineStr">
        <is>
          <t>ÖSTHAMMAR</t>
        </is>
      </c>
      <c r="F93" t="inlineStr">
        <is>
          <t>Bergvik skog öst AB</t>
        </is>
      </c>
      <c r="G93" t="n">
        <v>1.3</v>
      </c>
      <c r="H93" t="n">
        <v>2</v>
      </c>
      <c r="I93" t="n">
        <v>0</v>
      </c>
      <c r="J93" t="n">
        <v>0</v>
      </c>
      <c r="K93" t="n">
        <v>1</v>
      </c>
      <c r="L93" t="n">
        <v>0</v>
      </c>
      <c r="M93" t="n">
        <v>0</v>
      </c>
      <c r="N93" t="n">
        <v>0</v>
      </c>
      <c r="O93" t="n">
        <v>1</v>
      </c>
      <c r="P93" t="n">
        <v>1</v>
      </c>
      <c r="Q93" t="n">
        <v>2</v>
      </c>
      <c r="R93" s="2" t="inlineStr">
        <is>
          <t>Tofsvipa
Grönsiska</t>
        </is>
      </c>
      <c r="S93">
        <f>HYPERLINK("https://klasma.github.io/Logging_0382/artfynd/A 51708-2025 artfynd.xlsx", "A 51708-2025")</f>
        <v/>
      </c>
      <c r="T93">
        <f>HYPERLINK("https://klasma.github.io/Logging_0382/kartor/A 51708-2025 karta.png", "A 51708-2025")</f>
        <v/>
      </c>
      <c r="V93">
        <f>HYPERLINK("https://klasma.github.io/Logging_0382/klagomål/A 51708-2025 FSC-klagomål.docx", "A 51708-2025")</f>
        <v/>
      </c>
      <c r="W93">
        <f>HYPERLINK("https://klasma.github.io/Logging_0382/klagomålsmail/A 51708-2025 FSC-klagomål mail.docx", "A 51708-2025")</f>
        <v/>
      </c>
      <c r="X93">
        <f>HYPERLINK("https://klasma.github.io/Logging_0382/tillsyn/A 51708-2025 tillsynsbegäran.docx", "A 51708-2025")</f>
        <v/>
      </c>
      <c r="Y93">
        <f>HYPERLINK("https://klasma.github.io/Logging_0382/tillsynsmail/A 51708-2025 tillsynsbegäran mail.docx", "A 51708-2025")</f>
        <v/>
      </c>
    </row>
    <row r="94" ht="15" customHeight="1">
      <c r="A94" t="inlineStr">
        <is>
          <t>A 14203-2024</t>
        </is>
      </c>
      <c r="B94" s="1" t="n">
        <v>45393</v>
      </c>
      <c r="C94" s="1" t="n">
        <v>46200</v>
      </c>
      <c r="D94" t="inlineStr">
        <is>
          <t>UPPSALA LÄN</t>
        </is>
      </c>
      <c r="E94" t="inlineStr">
        <is>
          <t>ÖSTHAMMAR</t>
        </is>
      </c>
      <c r="G94" t="n">
        <v>1.4</v>
      </c>
      <c r="H94" t="n">
        <v>0</v>
      </c>
      <c r="I94" t="n">
        <v>1</v>
      </c>
      <c r="J94" t="n">
        <v>1</v>
      </c>
      <c r="K94" t="n">
        <v>0</v>
      </c>
      <c r="L94" t="n">
        <v>0</v>
      </c>
      <c r="M94" t="n">
        <v>0</v>
      </c>
      <c r="N94" t="n">
        <v>0</v>
      </c>
      <c r="O94" t="n">
        <v>1</v>
      </c>
      <c r="P94" t="n">
        <v>0</v>
      </c>
      <c r="Q94" t="n">
        <v>2</v>
      </c>
      <c r="R94" s="2" t="inlineStr">
        <is>
          <t>Scharlakansvaxing
Blodvaxing</t>
        </is>
      </c>
      <c r="S94">
        <f>HYPERLINK("https://klasma.github.io/Logging_0382/artfynd/A 14203-2024 artfynd.xlsx", "A 14203-2024")</f>
        <v/>
      </c>
      <c r="T94">
        <f>HYPERLINK("https://klasma.github.io/Logging_0382/kartor/A 14203-2024 karta.png", "A 14203-2024")</f>
        <v/>
      </c>
      <c r="V94">
        <f>HYPERLINK("https://klasma.github.io/Logging_0382/klagomål/A 14203-2024 FSC-klagomål.docx", "A 14203-2024")</f>
        <v/>
      </c>
      <c r="W94">
        <f>HYPERLINK("https://klasma.github.io/Logging_0382/klagomålsmail/A 14203-2024 FSC-klagomål mail.docx", "A 14203-2024")</f>
        <v/>
      </c>
      <c r="X94">
        <f>HYPERLINK("https://klasma.github.io/Logging_0382/tillsyn/A 14203-2024 tillsynsbegäran.docx", "A 14203-2024")</f>
        <v/>
      </c>
      <c r="Y94">
        <f>HYPERLINK("https://klasma.github.io/Logging_0382/tillsynsmail/A 14203-2024 tillsynsbegäran mail.docx", "A 14203-2024")</f>
        <v/>
      </c>
    </row>
    <row r="95" ht="15" customHeight="1">
      <c r="A95" t="inlineStr">
        <is>
          <t>A 22375-2024</t>
        </is>
      </c>
      <c r="B95" s="1" t="n">
        <v>45446</v>
      </c>
      <c r="C95" s="1" t="n">
        <v>46200</v>
      </c>
      <c r="D95" t="inlineStr">
        <is>
          <t>UPPSALA LÄN</t>
        </is>
      </c>
      <c r="E95" t="inlineStr">
        <is>
          <t>ÖSTHAMMAR</t>
        </is>
      </c>
      <c r="F95" t="inlineStr">
        <is>
          <t>Bergvik skog öst AB</t>
        </is>
      </c>
      <c r="G95" t="n">
        <v>2.2</v>
      </c>
      <c r="H95" t="n">
        <v>0</v>
      </c>
      <c r="I95" t="n">
        <v>0</v>
      </c>
      <c r="J95" t="n">
        <v>1</v>
      </c>
      <c r="K95" t="n">
        <v>1</v>
      </c>
      <c r="L95" t="n">
        <v>0</v>
      </c>
      <c r="M95" t="n">
        <v>0</v>
      </c>
      <c r="N95" t="n">
        <v>0</v>
      </c>
      <c r="O95" t="n">
        <v>2</v>
      </c>
      <c r="P95" t="n">
        <v>1</v>
      </c>
      <c r="Q95" t="n">
        <v>2</v>
      </c>
      <c r="R95" s="2" t="inlineStr">
        <is>
          <t>Stortimjan
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61400-2025</t>
        </is>
      </c>
      <c r="B96" s="1" t="n">
        <v>46001</v>
      </c>
      <c r="C96" s="1" t="n">
        <v>46200</v>
      </c>
      <c r="D96" t="inlineStr">
        <is>
          <t>UPPSALA LÄN</t>
        </is>
      </c>
      <c r="E96" t="inlineStr">
        <is>
          <t>ÖSTHAMMAR</t>
        </is>
      </c>
      <c r="F96" t="inlineStr">
        <is>
          <t>Naturvårdsverket</t>
        </is>
      </c>
      <c r="G96" t="n">
        <v>10.9</v>
      </c>
      <c r="H96" t="n">
        <v>0</v>
      </c>
      <c r="I96" t="n">
        <v>1</v>
      </c>
      <c r="J96" t="n">
        <v>1</v>
      </c>
      <c r="K96" t="n">
        <v>0</v>
      </c>
      <c r="L96" t="n">
        <v>0</v>
      </c>
      <c r="M96" t="n">
        <v>0</v>
      </c>
      <c r="N96" t="n">
        <v>0</v>
      </c>
      <c r="O96" t="n">
        <v>1</v>
      </c>
      <c r="P96" t="n">
        <v>0</v>
      </c>
      <c r="Q96" t="n">
        <v>2</v>
      </c>
      <c r="R96" s="2" t="inlineStr">
        <is>
          <t>Kattfotslav
Granbarkgnagare</t>
        </is>
      </c>
      <c r="S96">
        <f>HYPERLINK("https://klasma.github.io/Logging_0382/artfynd/A 61400-2025 artfynd.xlsx", "A 61400-2025")</f>
        <v/>
      </c>
      <c r="T96">
        <f>HYPERLINK("https://klasma.github.io/Logging_0382/kartor/A 61400-2025 karta.png", "A 61400-2025")</f>
        <v/>
      </c>
      <c r="V96">
        <f>HYPERLINK("https://klasma.github.io/Logging_0382/klagomål/A 61400-2025 FSC-klagomål.docx", "A 61400-2025")</f>
        <v/>
      </c>
      <c r="W96">
        <f>HYPERLINK("https://klasma.github.io/Logging_0382/klagomålsmail/A 61400-2025 FSC-klagomål mail.docx", "A 61400-2025")</f>
        <v/>
      </c>
      <c r="X96">
        <f>HYPERLINK("https://klasma.github.io/Logging_0382/tillsyn/A 61400-2025 tillsynsbegäran.docx", "A 61400-2025")</f>
        <v/>
      </c>
      <c r="Y96">
        <f>HYPERLINK("https://klasma.github.io/Logging_0382/tillsynsmail/A 61400-2025 tillsynsbegäran mail.docx", "A 61400-2025")</f>
        <v/>
      </c>
    </row>
    <row r="97" ht="15" customHeight="1">
      <c r="A97" t="inlineStr">
        <is>
          <t>A 20871-2026</t>
        </is>
      </c>
      <c r="B97" s="1" t="n">
        <v>46142</v>
      </c>
      <c r="C97" s="1" t="n">
        <v>46200</v>
      </c>
      <c r="D97" t="inlineStr">
        <is>
          <t>UPPSALA LÄN</t>
        </is>
      </c>
      <c r="E97" t="inlineStr">
        <is>
          <t>ÖSTHAMMAR</t>
        </is>
      </c>
      <c r="F97" t="inlineStr">
        <is>
          <t>Övriga Aktiebolag</t>
        </is>
      </c>
      <c r="G97" t="n">
        <v>6.2</v>
      </c>
      <c r="H97" t="n">
        <v>0</v>
      </c>
      <c r="I97" t="n">
        <v>0</v>
      </c>
      <c r="J97" t="n">
        <v>2</v>
      </c>
      <c r="K97" t="n">
        <v>0</v>
      </c>
      <c r="L97" t="n">
        <v>0</v>
      </c>
      <c r="M97" t="n">
        <v>0</v>
      </c>
      <c r="N97" t="n">
        <v>0</v>
      </c>
      <c r="O97" t="n">
        <v>2</v>
      </c>
      <c r="P97" t="n">
        <v>0</v>
      </c>
      <c r="Q97" t="n">
        <v>2</v>
      </c>
      <c r="R97" s="2" t="inlineStr">
        <is>
          <t>Klasefibbla
Slåtterfibbla</t>
        </is>
      </c>
      <c r="S97">
        <f>HYPERLINK("https://klasma.github.io/Logging_0382/artfynd/A 20871-2026 artfynd.xlsx", "A 20871-2026")</f>
        <v/>
      </c>
      <c r="T97">
        <f>HYPERLINK("https://klasma.github.io/Logging_0382/kartor/A 20871-2026 karta.png", "A 20871-2026")</f>
        <v/>
      </c>
      <c r="V97">
        <f>HYPERLINK("https://klasma.github.io/Logging_0382/klagomål/A 20871-2026 FSC-klagomål.docx", "A 20871-2026")</f>
        <v/>
      </c>
      <c r="W97">
        <f>HYPERLINK("https://klasma.github.io/Logging_0382/klagomålsmail/A 20871-2026 FSC-klagomål mail.docx", "A 20871-2026")</f>
        <v/>
      </c>
      <c r="X97">
        <f>HYPERLINK("https://klasma.github.io/Logging_0382/tillsyn/A 20871-2026 tillsynsbegäran.docx", "A 20871-2026")</f>
        <v/>
      </c>
      <c r="Y97">
        <f>HYPERLINK("https://klasma.github.io/Logging_0382/tillsynsmail/A 20871-2026 tillsynsbegäran mail.docx", "A 20871-2026")</f>
        <v/>
      </c>
    </row>
    <row r="98" ht="15" customHeight="1">
      <c r="A98" t="inlineStr">
        <is>
          <t>A 21451-2026</t>
        </is>
      </c>
      <c r="B98" s="1" t="n">
        <v>46146</v>
      </c>
      <c r="C98" s="1" t="n">
        <v>46200</v>
      </c>
      <c r="D98" t="inlineStr">
        <is>
          <t>UPPSALA LÄN</t>
        </is>
      </c>
      <c r="E98" t="inlineStr">
        <is>
          <t>ÖSTHAMMAR</t>
        </is>
      </c>
      <c r="G98" t="n">
        <v>0.7</v>
      </c>
      <c r="H98" t="n">
        <v>0</v>
      </c>
      <c r="I98" t="n">
        <v>0</v>
      </c>
      <c r="J98" t="n">
        <v>2</v>
      </c>
      <c r="K98" t="n">
        <v>0</v>
      </c>
      <c r="L98" t="n">
        <v>0</v>
      </c>
      <c r="M98" t="n">
        <v>0</v>
      </c>
      <c r="N98" t="n">
        <v>0</v>
      </c>
      <c r="O98" t="n">
        <v>2</v>
      </c>
      <c r="P98" t="n">
        <v>0</v>
      </c>
      <c r="Q98" t="n">
        <v>2</v>
      </c>
      <c r="R98" s="2" t="inlineStr">
        <is>
          <t>Slåtterfibbla
Vårärt</t>
        </is>
      </c>
      <c r="S98">
        <f>HYPERLINK("https://klasma.github.io/Logging_0382/artfynd/A 21451-2026 artfynd.xlsx", "A 21451-2026")</f>
        <v/>
      </c>
      <c r="T98">
        <f>HYPERLINK("https://klasma.github.io/Logging_0382/kartor/A 21451-2026 karta.png", "A 21451-2026")</f>
        <v/>
      </c>
      <c r="V98">
        <f>HYPERLINK("https://klasma.github.io/Logging_0382/klagomål/A 21451-2026 FSC-klagomål.docx", "A 21451-2026")</f>
        <v/>
      </c>
      <c r="W98">
        <f>HYPERLINK("https://klasma.github.io/Logging_0382/klagomålsmail/A 21451-2026 FSC-klagomål mail.docx", "A 21451-2026")</f>
        <v/>
      </c>
      <c r="X98">
        <f>HYPERLINK("https://klasma.github.io/Logging_0382/tillsyn/A 21451-2026 tillsynsbegäran.docx", "A 21451-2026")</f>
        <v/>
      </c>
      <c r="Y98">
        <f>HYPERLINK("https://klasma.github.io/Logging_0382/tillsynsmail/A 21451-2026 tillsynsbegäran mail.docx", "A 21451-2026")</f>
        <v/>
      </c>
    </row>
    <row r="99" ht="15" customHeight="1">
      <c r="A99" t="inlineStr">
        <is>
          <t>A 18732-2022</t>
        </is>
      </c>
      <c r="B99" s="1" t="n">
        <v>44687</v>
      </c>
      <c r="C99" s="1" t="n">
        <v>46200</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46200</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46200</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46200</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46200</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46200</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2947-2025</t>
        </is>
      </c>
      <c r="B105" s="1" t="n">
        <v>45678</v>
      </c>
      <c r="C105" s="1" t="n">
        <v>46200</v>
      </c>
      <c r="D105" t="inlineStr">
        <is>
          <t>UPPSALA LÄN</t>
        </is>
      </c>
      <c r="E105" t="inlineStr">
        <is>
          <t>ÖSTHAMMAR</t>
        </is>
      </c>
      <c r="G105" t="n">
        <v>3.6</v>
      </c>
      <c r="H105" t="n">
        <v>0</v>
      </c>
      <c r="I105" t="n">
        <v>0</v>
      </c>
      <c r="J105" t="n">
        <v>1</v>
      </c>
      <c r="K105" t="n">
        <v>0</v>
      </c>
      <c r="L105" t="n">
        <v>0</v>
      </c>
      <c r="M105" t="n">
        <v>0</v>
      </c>
      <c r="N105" t="n">
        <v>0</v>
      </c>
      <c r="O105" t="n">
        <v>1</v>
      </c>
      <c r="P105" t="n">
        <v>0</v>
      </c>
      <c r="Q105" t="n">
        <v>1</v>
      </c>
      <c r="R105" s="2" t="inlineStr">
        <is>
          <t>Vedtrappmossa</t>
        </is>
      </c>
      <c r="S105">
        <f>HYPERLINK("https://klasma.github.io/Logging_0382/artfynd/A 2947-2025 artfynd.xlsx", "A 2947-2025")</f>
        <v/>
      </c>
      <c r="T105">
        <f>HYPERLINK("https://klasma.github.io/Logging_0382/kartor/A 2947-2025 karta.png", "A 2947-2025")</f>
        <v/>
      </c>
      <c r="V105">
        <f>HYPERLINK("https://klasma.github.io/Logging_0382/klagomål/A 2947-2025 FSC-klagomål.docx", "A 2947-2025")</f>
        <v/>
      </c>
      <c r="W105">
        <f>HYPERLINK("https://klasma.github.io/Logging_0382/klagomålsmail/A 2947-2025 FSC-klagomål mail.docx", "A 2947-2025")</f>
        <v/>
      </c>
      <c r="X105">
        <f>HYPERLINK("https://klasma.github.io/Logging_0382/tillsyn/A 2947-2025 tillsynsbegäran.docx", "A 2947-2025")</f>
        <v/>
      </c>
      <c r="Y105">
        <f>HYPERLINK("https://klasma.github.io/Logging_0382/tillsynsmail/A 2947-2025 tillsynsbegäran mail.docx", "A 2947-2025")</f>
        <v/>
      </c>
    </row>
    <row r="106" ht="15" customHeight="1">
      <c r="A106" t="inlineStr">
        <is>
          <t>A 14706-2023</t>
        </is>
      </c>
      <c r="B106" s="1" t="n">
        <v>45013</v>
      </c>
      <c r="C106" s="1" t="n">
        <v>46200</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7446-2022</t>
        </is>
      </c>
      <c r="B107" s="1" t="n">
        <v>44606</v>
      </c>
      <c r="C107" s="1" t="n">
        <v>46200</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1227-2022</t>
        </is>
      </c>
      <c r="B108" s="1" t="n">
        <v>44572</v>
      </c>
      <c r="C108" s="1" t="n">
        <v>46200</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46200</v>
      </c>
      <c r="D109" t="inlineStr">
        <is>
          <t>UPPSALA LÄN</t>
        </is>
      </c>
      <c r="E109" t="inlineStr">
        <is>
          <t>ÖSTHAMMAR</t>
        </is>
      </c>
      <c r="F109" t="inlineStr">
        <is>
          <t>Bergvik skog öst AB</t>
        </is>
      </c>
      <c r="G109" t="n">
        <v>5.7</v>
      </c>
      <c r="H109" t="n">
        <v>1</v>
      </c>
      <c r="I109" t="n">
        <v>0</v>
      </c>
      <c r="J109" t="n">
        <v>0</v>
      </c>
      <c r="K109" t="n">
        <v>0</v>
      </c>
      <c r="L109" t="n">
        <v>0</v>
      </c>
      <c r="M109" t="n">
        <v>0</v>
      </c>
      <c r="N109" t="n">
        <v>0</v>
      </c>
      <c r="O109" t="n">
        <v>0</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36904-2023</t>
        </is>
      </c>
      <c r="B110" s="1" t="n">
        <v>45154</v>
      </c>
      <c r="C110" s="1" t="n">
        <v>46200</v>
      </c>
      <c r="D110" t="inlineStr">
        <is>
          <t>UPPSALA LÄN</t>
        </is>
      </c>
      <c r="E110" t="inlineStr">
        <is>
          <t>ÖSTHAMMAR</t>
        </is>
      </c>
      <c r="F110" t="inlineStr">
        <is>
          <t>Övriga Aktiebolag</t>
        </is>
      </c>
      <c r="G110" t="n">
        <v>1.5</v>
      </c>
      <c r="H110" t="n">
        <v>1</v>
      </c>
      <c r="I110" t="n">
        <v>0</v>
      </c>
      <c r="J110" t="n">
        <v>0</v>
      </c>
      <c r="K110" t="n">
        <v>1</v>
      </c>
      <c r="L110" t="n">
        <v>0</v>
      </c>
      <c r="M110" t="n">
        <v>0</v>
      </c>
      <c r="N110" t="n">
        <v>0</v>
      </c>
      <c r="O110" t="n">
        <v>1</v>
      </c>
      <c r="P110" t="n">
        <v>1</v>
      </c>
      <c r="Q110" t="n">
        <v>1</v>
      </c>
      <c r="R110" s="2" t="inlineStr">
        <is>
          <t>Hällebräcka</t>
        </is>
      </c>
      <c r="S110">
        <f>HYPERLINK("https://klasma.github.io/Logging_0382/artfynd/A 36904-2023 artfynd.xlsx", "A 36904-2023")</f>
        <v/>
      </c>
      <c r="T110">
        <f>HYPERLINK("https://klasma.github.io/Logging_0382/kartor/A 36904-2023 karta.png", "A 36904-2023")</f>
        <v/>
      </c>
      <c r="V110">
        <f>HYPERLINK("https://klasma.github.io/Logging_0382/klagomål/A 36904-2023 FSC-klagomål.docx", "A 36904-2023")</f>
        <v/>
      </c>
      <c r="W110">
        <f>HYPERLINK("https://klasma.github.io/Logging_0382/klagomålsmail/A 36904-2023 FSC-klagomål mail.docx", "A 36904-2023")</f>
        <v/>
      </c>
      <c r="X110">
        <f>HYPERLINK("https://klasma.github.io/Logging_0382/tillsyn/A 36904-2023 tillsynsbegäran.docx", "A 36904-2023")</f>
        <v/>
      </c>
      <c r="Y110">
        <f>HYPERLINK("https://klasma.github.io/Logging_0382/tillsynsmail/A 36904-2023 tillsynsbegäran mail.docx", "A 36904-2023")</f>
        <v/>
      </c>
    </row>
    <row r="111" ht="15" customHeight="1">
      <c r="A111" t="inlineStr">
        <is>
          <t>A 11017-2023</t>
        </is>
      </c>
      <c r="B111" s="1" t="n">
        <v>44991</v>
      </c>
      <c r="C111" s="1" t="n">
        <v>46200</v>
      </c>
      <c r="D111" t="inlineStr">
        <is>
          <t>UPPSALA LÄN</t>
        </is>
      </c>
      <c r="E111" t="inlineStr">
        <is>
          <t>ÖSTHAMMAR</t>
        </is>
      </c>
      <c r="G111" t="n">
        <v>1.9</v>
      </c>
      <c r="H111" t="n">
        <v>1</v>
      </c>
      <c r="I111" t="n">
        <v>0</v>
      </c>
      <c r="J111" t="n">
        <v>0</v>
      </c>
      <c r="K111" t="n">
        <v>0</v>
      </c>
      <c r="L111" t="n">
        <v>1</v>
      </c>
      <c r="M111" t="n">
        <v>0</v>
      </c>
      <c r="N111" t="n">
        <v>0</v>
      </c>
      <c r="O111" t="n">
        <v>1</v>
      </c>
      <c r="P111" t="n">
        <v>1</v>
      </c>
      <c r="Q111" t="n">
        <v>1</v>
      </c>
      <c r="R111" s="2" t="inlineStr">
        <is>
          <t>Kornknarr</t>
        </is>
      </c>
      <c r="S111">
        <f>HYPERLINK("https://klasma.github.io/Logging_0382/artfynd/A 11017-2023 artfynd.xlsx", "A 11017-2023")</f>
        <v/>
      </c>
      <c r="T111">
        <f>HYPERLINK("https://klasma.github.io/Logging_0382/kartor/A 11017-2023 karta.png", "A 11017-2023")</f>
        <v/>
      </c>
      <c r="V111">
        <f>HYPERLINK("https://klasma.github.io/Logging_0382/klagomål/A 11017-2023 FSC-klagomål.docx", "A 11017-2023")</f>
        <v/>
      </c>
      <c r="W111">
        <f>HYPERLINK("https://klasma.github.io/Logging_0382/klagomålsmail/A 11017-2023 FSC-klagomål mail.docx", "A 11017-2023")</f>
        <v/>
      </c>
      <c r="X111">
        <f>HYPERLINK("https://klasma.github.io/Logging_0382/tillsyn/A 11017-2023 tillsynsbegäran.docx", "A 11017-2023")</f>
        <v/>
      </c>
      <c r="Y111">
        <f>HYPERLINK("https://klasma.github.io/Logging_0382/tillsynsmail/A 11017-2023 tillsynsbegäran mail.docx", "A 11017-2023")</f>
        <v/>
      </c>
    </row>
    <row r="112" ht="15" customHeight="1">
      <c r="A112" t="inlineStr">
        <is>
          <t>A 24033-2023</t>
        </is>
      </c>
      <c r="B112" s="1" t="n">
        <v>45078</v>
      </c>
      <c r="C112" s="1" t="n">
        <v>46200</v>
      </c>
      <c r="D112" t="inlineStr">
        <is>
          <t>UPPSALA LÄN</t>
        </is>
      </c>
      <c r="E112" t="inlineStr">
        <is>
          <t>ÖSTHAMMAR</t>
        </is>
      </c>
      <c r="F112" t="inlineStr">
        <is>
          <t>Bergvik skog öst AB</t>
        </is>
      </c>
      <c r="G112" t="n">
        <v>0.7</v>
      </c>
      <c r="H112" t="n">
        <v>1</v>
      </c>
      <c r="I112" t="n">
        <v>0</v>
      </c>
      <c r="J112" t="n">
        <v>0</v>
      </c>
      <c r="K112" t="n">
        <v>0</v>
      </c>
      <c r="L112" t="n">
        <v>0</v>
      </c>
      <c r="M112" t="n">
        <v>0</v>
      </c>
      <c r="N112" t="n">
        <v>0</v>
      </c>
      <c r="O112" t="n">
        <v>0</v>
      </c>
      <c r="P112" t="n">
        <v>0</v>
      </c>
      <c r="Q112" t="n">
        <v>1</v>
      </c>
      <c r="R112" s="2" t="inlineStr">
        <is>
          <t>Vattenfladdermus</t>
        </is>
      </c>
      <c r="S112">
        <f>HYPERLINK("https://klasma.github.io/Logging_0382/artfynd/A 24033-2023 artfynd.xlsx", "A 24033-2023")</f>
        <v/>
      </c>
      <c r="T112">
        <f>HYPERLINK("https://klasma.github.io/Logging_0382/kartor/A 24033-2023 karta.png", "A 24033-2023")</f>
        <v/>
      </c>
      <c r="V112">
        <f>HYPERLINK("https://klasma.github.io/Logging_0382/klagomål/A 24033-2023 FSC-klagomål.docx", "A 24033-2023")</f>
        <v/>
      </c>
      <c r="W112">
        <f>HYPERLINK("https://klasma.github.io/Logging_0382/klagomålsmail/A 24033-2023 FSC-klagomål mail.docx", "A 24033-2023")</f>
        <v/>
      </c>
      <c r="X112">
        <f>HYPERLINK("https://klasma.github.io/Logging_0382/tillsyn/A 24033-2023 tillsynsbegäran.docx", "A 24033-2023")</f>
        <v/>
      </c>
      <c r="Y112">
        <f>HYPERLINK("https://klasma.github.io/Logging_0382/tillsynsmail/A 24033-2023 tillsynsbegäran mail.docx", "A 24033-2023")</f>
        <v/>
      </c>
    </row>
    <row r="113" ht="15" customHeight="1">
      <c r="A113" t="inlineStr">
        <is>
          <t>A 52818-2022</t>
        </is>
      </c>
      <c r="B113" s="1" t="n">
        <v>44875</v>
      </c>
      <c r="C113" s="1" t="n">
        <v>46200</v>
      </c>
      <c r="D113" t="inlineStr">
        <is>
          <t>UPPSALA LÄN</t>
        </is>
      </c>
      <c r="E113" t="inlineStr">
        <is>
          <t>ÖSTHAMMAR</t>
        </is>
      </c>
      <c r="G113" t="n">
        <v>0.9</v>
      </c>
      <c r="H113" t="n">
        <v>1</v>
      </c>
      <c r="I113" t="n">
        <v>1</v>
      </c>
      <c r="J113" t="n">
        <v>0</v>
      </c>
      <c r="K113" t="n">
        <v>0</v>
      </c>
      <c r="L113" t="n">
        <v>0</v>
      </c>
      <c r="M113" t="n">
        <v>0</v>
      </c>
      <c r="N113" t="n">
        <v>0</v>
      </c>
      <c r="O113" t="n">
        <v>0</v>
      </c>
      <c r="P113" t="n">
        <v>0</v>
      </c>
      <c r="Q113" t="n">
        <v>1</v>
      </c>
      <c r="R113" s="2" t="inlineStr">
        <is>
          <t>Guckusko</t>
        </is>
      </c>
      <c r="S113">
        <f>HYPERLINK("https://klasma.github.io/Logging_0382/artfynd/A 52818-2022 artfynd.xlsx", "A 52818-2022")</f>
        <v/>
      </c>
      <c r="T113">
        <f>HYPERLINK("https://klasma.github.io/Logging_0382/kartor/A 52818-2022 karta.png", "A 52818-2022")</f>
        <v/>
      </c>
      <c r="V113">
        <f>HYPERLINK("https://klasma.github.io/Logging_0382/klagomål/A 52818-2022 FSC-klagomål.docx", "A 52818-2022")</f>
        <v/>
      </c>
      <c r="W113">
        <f>HYPERLINK("https://klasma.github.io/Logging_0382/klagomålsmail/A 52818-2022 FSC-klagomål mail.docx", "A 52818-2022")</f>
        <v/>
      </c>
      <c r="X113">
        <f>HYPERLINK("https://klasma.github.io/Logging_0382/tillsyn/A 52818-2022 tillsynsbegäran.docx", "A 52818-2022")</f>
        <v/>
      </c>
      <c r="Y113">
        <f>HYPERLINK("https://klasma.github.io/Logging_0382/tillsynsmail/A 52818-2022 tillsynsbegäran mail.docx", "A 52818-2022")</f>
        <v/>
      </c>
    </row>
    <row r="114" ht="15" customHeight="1">
      <c r="A114" t="inlineStr">
        <is>
          <t>A 38600-2023</t>
        </is>
      </c>
      <c r="B114" s="1" t="n">
        <v>45162</v>
      </c>
      <c r="C114" s="1" t="n">
        <v>46200</v>
      </c>
      <c r="D114" t="inlineStr">
        <is>
          <t>UPPSALA LÄN</t>
        </is>
      </c>
      <c r="E114" t="inlineStr">
        <is>
          <t>ÖSTHAMMAR</t>
        </is>
      </c>
      <c r="F114" t="inlineStr">
        <is>
          <t>Bergvik skog väst AB</t>
        </is>
      </c>
      <c r="G114" t="n">
        <v>0.1</v>
      </c>
      <c r="H114" t="n">
        <v>1</v>
      </c>
      <c r="I114" t="n">
        <v>0</v>
      </c>
      <c r="J114" t="n">
        <v>0</v>
      </c>
      <c r="K114" t="n">
        <v>0</v>
      </c>
      <c r="L114" t="n">
        <v>0</v>
      </c>
      <c r="M114" t="n">
        <v>0</v>
      </c>
      <c r="N114" t="n">
        <v>0</v>
      </c>
      <c r="O114" t="n">
        <v>0</v>
      </c>
      <c r="P114" t="n">
        <v>0</v>
      </c>
      <c r="Q114" t="n">
        <v>1</v>
      </c>
      <c r="R114" s="2" t="inlineStr">
        <is>
          <t>Blåsippa</t>
        </is>
      </c>
      <c r="S114">
        <f>HYPERLINK("https://klasma.github.io/Logging_0382/artfynd/A 38600-2023 artfynd.xlsx", "A 38600-2023")</f>
        <v/>
      </c>
      <c r="T114">
        <f>HYPERLINK("https://klasma.github.io/Logging_0382/kartor/A 38600-2023 karta.png", "A 38600-2023")</f>
        <v/>
      </c>
      <c r="V114">
        <f>HYPERLINK("https://klasma.github.io/Logging_0382/klagomål/A 38600-2023 FSC-klagomål.docx", "A 38600-2023")</f>
        <v/>
      </c>
      <c r="W114">
        <f>HYPERLINK("https://klasma.github.io/Logging_0382/klagomålsmail/A 38600-2023 FSC-klagomål mail.docx", "A 38600-2023")</f>
        <v/>
      </c>
      <c r="X114">
        <f>HYPERLINK("https://klasma.github.io/Logging_0382/tillsyn/A 38600-2023 tillsynsbegäran.docx", "A 38600-2023")</f>
        <v/>
      </c>
      <c r="Y114">
        <f>HYPERLINK("https://klasma.github.io/Logging_0382/tillsynsmail/A 38600-2023 tillsynsbegäran mail.docx", "A 38600-2023")</f>
        <v/>
      </c>
    </row>
    <row r="115" ht="15" customHeight="1">
      <c r="A115" t="inlineStr">
        <is>
          <t>A 6046-2025</t>
        </is>
      </c>
      <c r="B115" s="1" t="n">
        <v>45695</v>
      </c>
      <c r="C115" s="1" t="n">
        <v>46200</v>
      </c>
      <c r="D115" t="inlineStr">
        <is>
          <t>UPPSALA LÄN</t>
        </is>
      </c>
      <c r="E115" t="inlineStr">
        <is>
          <t>ÖSTHAMMAR</t>
        </is>
      </c>
      <c r="G115" t="n">
        <v>0.8</v>
      </c>
      <c r="H115" t="n">
        <v>1</v>
      </c>
      <c r="I115" t="n">
        <v>0</v>
      </c>
      <c r="J115" t="n">
        <v>0</v>
      </c>
      <c r="K115" t="n">
        <v>1</v>
      </c>
      <c r="L115" t="n">
        <v>0</v>
      </c>
      <c r="M115" t="n">
        <v>0</v>
      </c>
      <c r="N115" t="n">
        <v>0</v>
      </c>
      <c r="O115" t="n">
        <v>1</v>
      </c>
      <c r="P115" t="n">
        <v>1</v>
      </c>
      <c r="Q115" t="n">
        <v>1</v>
      </c>
      <c r="R115" s="2" t="inlineStr">
        <is>
          <t>Knärot</t>
        </is>
      </c>
      <c r="S115">
        <f>HYPERLINK("https://klasma.github.io/Logging_0382/artfynd/A 6046-2025 artfynd.xlsx", "A 6046-2025")</f>
        <v/>
      </c>
      <c r="T115">
        <f>HYPERLINK("https://klasma.github.io/Logging_0382/kartor/A 6046-2025 karta.png", "A 6046-2025")</f>
        <v/>
      </c>
      <c r="U115">
        <f>HYPERLINK("https://klasma.github.io/Logging_0382/knärot/A 6046-2025 karta knärot.png", "A 6046-2025")</f>
        <v/>
      </c>
      <c r="V115">
        <f>HYPERLINK("https://klasma.github.io/Logging_0382/klagomål/A 6046-2025 FSC-klagomål.docx", "A 6046-2025")</f>
        <v/>
      </c>
      <c r="W115">
        <f>HYPERLINK("https://klasma.github.io/Logging_0382/klagomålsmail/A 6046-2025 FSC-klagomål mail.docx", "A 6046-2025")</f>
        <v/>
      </c>
      <c r="X115">
        <f>HYPERLINK("https://klasma.github.io/Logging_0382/tillsyn/A 6046-2025 tillsynsbegäran.docx", "A 6046-2025")</f>
        <v/>
      </c>
      <c r="Y115">
        <f>HYPERLINK("https://klasma.github.io/Logging_0382/tillsynsmail/A 6046-2025 tillsynsbegäran mail.docx", "A 6046-2025")</f>
        <v/>
      </c>
    </row>
    <row r="116" ht="15" customHeight="1">
      <c r="A116" t="inlineStr">
        <is>
          <t>A 7470-2022</t>
        </is>
      </c>
      <c r="B116" s="1" t="n">
        <v>44607</v>
      </c>
      <c r="C116" s="1" t="n">
        <v>46200</v>
      </c>
      <c r="D116" t="inlineStr">
        <is>
          <t>UPPSALA LÄN</t>
        </is>
      </c>
      <c r="E116" t="inlineStr">
        <is>
          <t>ÖSTHAMMAR</t>
        </is>
      </c>
      <c r="G116" t="n">
        <v>2.6</v>
      </c>
      <c r="H116" t="n">
        <v>1</v>
      </c>
      <c r="I116" t="n">
        <v>1</v>
      </c>
      <c r="J116" t="n">
        <v>0</v>
      </c>
      <c r="K116" t="n">
        <v>0</v>
      </c>
      <c r="L116" t="n">
        <v>0</v>
      </c>
      <c r="M116" t="n">
        <v>0</v>
      </c>
      <c r="N116" t="n">
        <v>0</v>
      </c>
      <c r="O116" t="n">
        <v>0</v>
      </c>
      <c r="P116" t="n">
        <v>0</v>
      </c>
      <c r="Q116" t="n">
        <v>1</v>
      </c>
      <c r="R116" s="2" t="inlineStr">
        <is>
          <t>Grön sköldmossa</t>
        </is>
      </c>
      <c r="S116">
        <f>HYPERLINK("https://klasma.github.io/Logging_0382/artfynd/A 7470-2022 artfynd.xlsx", "A 7470-2022")</f>
        <v/>
      </c>
      <c r="T116">
        <f>HYPERLINK("https://klasma.github.io/Logging_0382/kartor/A 7470-2022 karta.png", "A 7470-2022")</f>
        <v/>
      </c>
      <c r="V116">
        <f>HYPERLINK("https://klasma.github.io/Logging_0382/klagomål/A 7470-2022 FSC-klagomål.docx", "A 7470-2022")</f>
        <v/>
      </c>
      <c r="W116">
        <f>HYPERLINK("https://klasma.github.io/Logging_0382/klagomålsmail/A 7470-2022 FSC-klagomål mail.docx", "A 7470-2022")</f>
        <v/>
      </c>
      <c r="X116">
        <f>HYPERLINK("https://klasma.github.io/Logging_0382/tillsyn/A 7470-2022 tillsynsbegäran.docx", "A 7470-2022")</f>
        <v/>
      </c>
      <c r="Y116">
        <f>HYPERLINK("https://klasma.github.io/Logging_0382/tillsynsmail/A 7470-2022 tillsynsbegäran mail.docx", "A 7470-2022")</f>
        <v/>
      </c>
    </row>
    <row r="117" ht="15" customHeight="1">
      <c r="A117" t="inlineStr">
        <is>
          <t>A 4984-2024</t>
        </is>
      </c>
      <c r="B117" s="1" t="n">
        <v>45329</v>
      </c>
      <c r="C117" s="1" t="n">
        <v>46200</v>
      </c>
      <c r="D117" t="inlineStr">
        <is>
          <t>UPPSALA LÄN</t>
        </is>
      </c>
      <c r="E117" t="inlineStr">
        <is>
          <t>ÖSTHAMMAR</t>
        </is>
      </c>
      <c r="G117" t="n">
        <v>2.2</v>
      </c>
      <c r="H117" t="n">
        <v>1</v>
      </c>
      <c r="I117" t="n">
        <v>1</v>
      </c>
      <c r="J117" t="n">
        <v>0</v>
      </c>
      <c r="K117" t="n">
        <v>0</v>
      </c>
      <c r="L117" t="n">
        <v>0</v>
      </c>
      <c r="M117" t="n">
        <v>0</v>
      </c>
      <c r="N117" t="n">
        <v>0</v>
      </c>
      <c r="O117" t="n">
        <v>0</v>
      </c>
      <c r="P117" t="n">
        <v>0</v>
      </c>
      <c r="Q117" t="n">
        <v>1</v>
      </c>
      <c r="R117" s="2" t="inlineStr">
        <is>
          <t>Guckusko</t>
        </is>
      </c>
      <c r="S117">
        <f>HYPERLINK("https://klasma.github.io/Logging_0382/artfynd/A 4984-2024 artfynd.xlsx", "A 4984-2024")</f>
        <v/>
      </c>
      <c r="T117">
        <f>HYPERLINK("https://klasma.github.io/Logging_0382/kartor/A 4984-2024 karta.png", "A 4984-2024")</f>
        <v/>
      </c>
      <c r="V117">
        <f>HYPERLINK("https://klasma.github.io/Logging_0382/klagomål/A 4984-2024 FSC-klagomål.docx", "A 4984-2024")</f>
        <v/>
      </c>
      <c r="W117">
        <f>HYPERLINK("https://klasma.github.io/Logging_0382/klagomålsmail/A 4984-2024 FSC-klagomål mail.docx", "A 4984-2024")</f>
        <v/>
      </c>
      <c r="X117">
        <f>HYPERLINK("https://klasma.github.io/Logging_0382/tillsyn/A 4984-2024 tillsynsbegäran.docx", "A 4984-2024")</f>
        <v/>
      </c>
      <c r="Y117">
        <f>HYPERLINK("https://klasma.github.io/Logging_0382/tillsynsmail/A 4984-2024 tillsynsbegäran mail.docx", "A 4984-2024")</f>
        <v/>
      </c>
    </row>
    <row r="118" ht="15" customHeight="1">
      <c r="A118" t="inlineStr">
        <is>
          <t>A 22209-2022</t>
        </is>
      </c>
      <c r="B118" s="1" t="n">
        <v>44712</v>
      </c>
      <c r="C118" s="1" t="n">
        <v>46200</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12753-2024</t>
        </is>
      </c>
      <c r="B119" s="1" t="n">
        <v>45384</v>
      </c>
      <c r="C119" s="1" t="n">
        <v>46200</v>
      </c>
      <c r="D119" t="inlineStr">
        <is>
          <t>UPPSALA LÄN</t>
        </is>
      </c>
      <c r="E119" t="inlineStr">
        <is>
          <t>ÖSTHAMMAR</t>
        </is>
      </c>
      <c r="G119" t="n">
        <v>1.7</v>
      </c>
      <c r="H119" t="n">
        <v>0</v>
      </c>
      <c r="I119" t="n">
        <v>0</v>
      </c>
      <c r="J119" t="n">
        <v>1</v>
      </c>
      <c r="K119" t="n">
        <v>0</v>
      </c>
      <c r="L119" t="n">
        <v>0</v>
      </c>
      <c r="M119" t="n">
        <v>0</v>
      </c>
      <c r="N119" t="n">
        <v>0</v>
      </c>
      <c r="O119" t="n">
        <v>1</v>
      </c>
      <c r="P119" t="n">
        <v>0</v>
      </c>
      <c r="Q119" t="n">
        <v>1</v>
      </c>
      <c r="R119" s="2" t="inlineStr">
        <is>
          <t>Flattoppad klubbsvamp</t>
        </is>
      </c>
      <c r="S119">
        <f>HYPERLINK("https://klasma.github.io/Logging_0382/artfynd/A 12753-2024 artfynd.xlsx", "A 12753-2024")</f>
        <v/>
      </c>
      <c r="T119">
        <f>HYPERLINK("https://klasma.github.io/Logging_0382/kartor/A 12753-2024 karta.png", "A 12753-2024")</f>
        <v/>
      </c>
      <c r="V119">
        <f>HYPERLINK("https://klasma.github.io/Logging_0382/klagomål/A 12753-2024 FSC-klagomål.docx", "A 12753-2024")</f>
        <v/>
      </c>
      <c r="W119">
        <f>HYPERLINK("https://klasma.github.io/Logging_0382/klagomålsmail/A 12753-2024 FSC-klagomål mail.docx", "A 12753-2024")</f>
        <v/>
      </c>
      <c r="X119">
        <f>HYPERLINK("https://klasma.github.io/Logging_0382/tillsyn/A 12753-2024 tillsynsbegäran.docx", "A 12753-2024")</f>
        <v/>
      </c>
      <c r="Y119">
        <f>HYPERLINK("https://klasma.github.io/Logging_0382/tillsynsmail/A 12753-2024 tillsynsbegäran mail.docx", "A 12753-2024")</f>
        <v/>
      </c>
    </row>
    <row r="120" ht="15" customHeight="1">
      <c r="A120" t="inlineStr">
        <is>
          <t>A 37865-2023</t>
        </is>
      </c>
      <c r="B120" s="1" t="n">
        <v>45160</v>
      </c>
      <c r="C120" s="1" t="n">
        <v>46200</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37296-2023</t>
        </is>
      </c>
      <c r="B121" s="1" t="n">
        <v>45156</v>
      </c>
      <c r="C121" s="1" t="n">
        <v>46200</v>
      </c>
      <c r="D121" t="inlineStr">
        <is>
          <t>UPPSALA LÄN</t>
        </is>
      </c>
      <c r="E121" t="inlineStr">
        <is>
          <t>ÖSTHAMMAR</t>
        </is>
      </c>
      <c r="G121" t="n">
        <v>4.7</v>
      </c>
      <c r="H121" t="n">
        <v>1</v>
      </c>
      <c r="I121" t="n">
        <v>0</v>
      </c>
      <c r="J121" t="n">
        <v>0</v>
      </c>
      <c r="K121" t="n">
        <v>1</v>
      </c>
      <c r="L121" t="n">
        <v>0</v>
      </c>
      <c r="M121" t="n">
        <v>0</v>
      </c>
      <c r="N121" t="n">
        <v>0</v>
      </c>
      <c r="O121" t="n">
        <v>1</v>
      </c>
      <c r="P121" t="n">
        <v>1</v>
      </c>
      <c r="Q121" t="n">
        <v>1</v>
      </c>
      <c r="R121" s="2" t="inlineStr">
        <is>
          <t>Backsippa</t>
        </is>
      </c>
      <c r="S121">
        <f>HYPERLINK("https://klasma.github.io/Logging_0382/artfynd/A 37296-2023 artfynd.xlsx", "A 37296-2023")</f>
        <v/>
      </c>
      <c r="T121">
        <f>HYPERLINK("https://klasma.github.io/Logging_0382/kartor/A 37296-2023 karta.png", "A 37296-2023")</f>
        <v/>
      </c>
      <c r="V121">
        <f>HYPERLINK("https://klasma.github.io/Logging_0382/klagomål/A 37296-2023 FSC-klagomål.docx", "A 37296-2023")</f>
        <v/>
      </c>
      <c r="W121">
        <f>HYPERLINK("https://klasma.github.io/Logging_0382/klagomålsmail/A 37296-2023 FSC-klagomål mail.docx", "A 37296-2023")</f>
        <v/>
      </c>
      <c r="X121">
        <f>HYPERLINK("https://klasma.github.io/Logging_0382/tillsyn/A 37296-2023 tillsynsbegäran.docx", "A 37296-2023")</f>
        <v/>
      </c>
      <c r="Y121">
        <f>HYPERLINK("https://klasma.github.io/Logging_0382/tillsynsmail/A 37296-2023 tillsynsbegäran mail.docx", "A 37296-2023")</f>
        <v/>
      </c>
    </row>
    <row r="122" ht="15" customHeight="1">
      <c r="A122" t="inlineStr">
        <is>
          <t>A 58270-2023</t>
        </is>
      </c>
      <c r="B122" s="1" t="n">
        <v>45250</v>
      </c>
      <c r="C122" s="1" t="n">
        <v>46200</v>
      </c>
      <c r="D122" t="inlineStr">
        <is>
          <t>UPPSALA LÄN</t>
        </is>
      </c>
      <c r="E122" t="inlineStr">
        <is>
          <t>ÖSTHAMMAR</t>
        </is>
      </c>
      <c r="G122" t="n">
        <v>1.3</v>
      </c>
      <c r="H122" t="n">
        <v>1</v>
      </c>
      <c r="I122" t="n">
        <v>0</v>
      </c>
      <c r="J122" t="n">
        <v>0</v>
      </c>
      <c r="K122" t="n">
        <v>0</v>
      </c>
      <c r="L122" t="n">
        <v>0</v>
      </c>
      <c r="M122" t="n">
        <v>0</v>
      </c>
      <c r="N122" t="n">
        <v>0</v>
      </c>
      <c r="O122" t="n">
        <v>0</v>
      </c>
      <c r="P122" t="n">
        <v>0</v>
      </c>
      <c r="Q122" t="n">
        <v>1</v>
      </c>
      <c r="R122" s="2" t="inlineStr">
        <is>
          <t>Gullviva</t>
        </is>
      </c>
      <c r="S122">
        <f>HYPERLINK("https://klasma.github.io/Logging_0382/artfynd/A 58270-2023 artfynd.xlsx", "A 58270-2023")</f>
        <v/>
      </c>
      <c r="T122">
        <f>HYPERLINK("https://klasma.github.io/Logging_0382/kartor/A 58270-2023 karta.png", "A 58270-2023")</f>
        <v/>
      </c>
      <c r="V122">
        <f>HYPERLINK("https://klasma.github.io/Logging_0382/klagomål/A 58270-2023 FSC-klagomål.docx", "A 58270-2023")</f>
        <v/>
      </c>
      <c r="W122">
        <f>HYPERLINK("https://klasma.github.io/Logging_0382/klagomålsmail/A 58270-2023 FSC-klagomål mail.docx", "A 58270-2023")</f>
        <v/>
      </c>
      <c r="X122">
        <f>HYPERLINK("https://klasma.github.io/Logging_0382/tillsyn/A 58270-2023 tillsynsbegäran.docx", "A 58270-2023")</f>
        <v/>
      </c>
      <c r="Y122">
        <f>HYPERLINK("https://klasma.github.io/Logging_0382/tillsynsmail/A 58270-2023 tillsynsbegäran mail.docx", "A 58270-2023")</f>
        <v/>
      </c>
    </row>
    <row r="123" ht="15" customHeight="1">
      <c r="A123" t="inlineStr">
        <is>
          <t>A 13358-2024</t>
        </is>
      </c>
      <c r="B123" s="1" t="n">
        <v>45387</v>
      </c>
      <c r="C123" s="1" t="n">
        <v>46200</v>
      </c>
      <c r="D123" t="inlineStr">
        <is>
          <t>UPPSALA LÄN</t>
        </is>
      </c>
      <c r="E123" t="inlineStr">
        <is>
          <t>ÖSTHAMMAR</t>
        </is>
      </c>
      <c r="G123" t="n">
        <v>2.2</v>
      </c>
      <c r="H123" t="n">
        <v>1</v>
      </c>
      <c r="I123" t="n">
        <v>0</v>
      </c>
      <c r="J123" t="n">
        <v>0</v>
      </c>
      <c r="K123" t="n">
        <v>0</v>
      </c>
      <c r="L123" t="n">
        <v>1</v>
      </c>
      <c r="M123" t="n">
        <v>0</v>
      </c>
      <c r="N123" t="n">
        <v>0</v>
      </c>
      <c r="O123" t="n">
        <v>1</v>
      </c>
      <c r="P123" t="n">
        <v>1</v>
      </c>
      <c r="Q123" t="n">
        <v>1</v>
      </c>
      <c r="R123" s="2" t="inlineStr">
        <is>
          <t>Kornknarr</t>
        </is>
      </c>
      <c r="S123">
        <f>HYPERLINK("https://klasma.github.io/Logging_0382/artfynd/A 13358-2024 artfynd.xlsx", "A 13358-2024")</f>
        <v/>
      </c>
      <c r="T123">
        <f>HYPERLINK("https://klasma.github.io/Logging_0382/kartor/A 13358-2024 karta.png", "A 13358-2024")</f>
        <v/>
      </c>
      <c r="V123">
        <f>HYPERLINK("https://klasma.github.io/Logging_0382/klagomål/A 13358-2024 FSC-klagomål.docx", "A 13358-2024")</f>
        <v/>
      </c>
      <c r="W123">
        <f>HYPERLINK("https://klasma.github.io/Logging_0382/klagomålsmail/A 13358-2024 FSC-klagomål mail.docx", "A 13358-2024")</f>
        <v/>
      </c>
      <c r="X123">
        <f>HYPERLINK("https://klasma.github.io/Logging_0382/tillsyn/A 13358-2024 tillsynsbegäran.docx", "A 13358-2024")</f>
        <v/>
      </c>
      <c r="Y123">
        <f>HYPERLINK("https://klasma.github.io/Logging_0382/tillsynsmail/A 13358-2024 tillsynsbegäran mail.docx", "A 13358-2024")</f>
        <v/>
      </c>
    </row>
    <row r="124" ht="15" customHeight="1">
      <c r="A124" t="inlineStr">
        <is>
          <t>A 13755-2023</t>
        </is>
      </c>
      <c r="B124" s="1" t="n">
        <v>45007</v>
      </c>
      <c r="C124" s="1" t="n">
        <v>46200</v>
      </c>
      <c r="D124" t="inlineStr">
        <is>
          <t>UPPSALA LÄN</t>
        </is>
      </c>
      <c r="E124" t="inlineStr">
        <is>
          <t>ÖSTHAMMAR</t>
        </is>
      </c>
      <c r="G124" t="n">
        <v>2.4</v>
      </c>
      <c r="H124" t="n">
        <v>1</v>
      </c>
      <c r="I124" t="n">
        <v>1</v>
      </c>
      <c r="J124" t="n">
        <v>0</v>
      </c>
      <c r="K124" t="n">
        <v>0</v>
      </c>
      <c r="L124" t="n">
        <v>0</v>
      </c>
      <c r="M124" t="n">
        <v>0</v>
      </c>
      <c r="N124" t="n">
        <v>0</v>
      </c>
      <c r="O124" t="n">
        <v>0</v>
      </c>
      <c r="P124" t="n">
        <v>0</v>
      </c>
      <c r="Q124" t="n">
        <v>1</v>
      </c>
      <c r="R124" s="2" t="inlineStr">
        <is>
          <t>Guckusko</t>
        </is>
      </c>
      <c r="S124">
        <f>HYPERLINK("https://klasma.github.io/Logging_0382/artfynd/A 13755-2023 artfynd.xlsx", "A 13755-2023")</f>
        <v/>
      </c>
      <c r="T124">
        <f>HYPERLINK("https://klasma.github.io/Logging_0382/kartor/A 13755-2023 karta.png", "A 13755-2023")</f>
        <v/>
      </c>
      <c r="V124">
        <f>HYPERLINK("https://klasma.github.io/Logging_0382/klagomål/A 13755-2023 FSC-klagomål.docx", "A 13755-2023")</f>
        <v/>
      </c>
      <c r="W124">
        <f>HYPERLINK("https://klasma.github.io/Logging_0382/klagomålsmail/A 13755-2023 FSC-klagomål mail.docx", "A 13755-2023")</f>
        <v/>
      </c>
      <c r="X124">
        <f>HYPERLINK("https://klasma.github.io/Logging_0382/tillsyn/A 13755-2023 tillsynsbegäran.docx", "A 13755-2023")</f>
        <v/>
      </c>
      <c r="Y124">
        <f>HYPERLINK("https://klasma.github.io/Logging_0382/tillsynsmail/A 13755-2023 tillsynsbegäran mail.docx", "A 13755-2023")</f>
        <v/>
      </c>
    </row>
    <row r="125" ht="15" customHeight="1">
      <c r="A125" t="inlineStr">
        <is>
          <t>A 20634-2024</t>
        </is>
      </c>
      <c r="B125" s="1" t="n">
        <v>45436</v>
      </c>
      <c r="C125" s="1" t="n">
        <v>46200</v>
      </c>
      <c r="D125" t="inlineStr">
        <is>
          <t>UPPSALA LÄN</t>
        </is>
      </c>
      <c r="E125" t="inlineStr">
        <is>
          <t>ÖSTHAMMAR</t>
        </is>
      </c>
      <c r="G125" t="n">
        <v>6.5</v>
      </c>
      <c r="H125" t="n">
        <v>0</v>
      </c>
      <c r="I125" t="n">
        <v>0</v>
      </c>
      <c r="J125" t="n">
        <v>1</v>
      </c>
      <c r="K125" t="n">
        <v>0</v>
      </c>
      <c r="L125" t="n">
        <v>0</v>
      </c>
      <c r="M125" t="n">
        <v>0</v>
      </c>
      <c r="N125" t="n">
        <v>0</v>
      </c>
      <c r="O125" t="n">
        <v>1</v>
      </c>
      <c r="P125" t="n">
        <v>0</v>
      </c>
      <c r="Q125" t="n">
        <v>1</v>
      </c>
      <c r="R125" s="2" t="inlineStr">
        <is>
          <t>Skarp dropptaggsvamp</t>
        </is>
      </c>
      <c r="S125">
        <f>HYPERLINK("https://klasma.github.io/Logging_0382/artfynd/A 20634-2024 artfynd.xlsx", "A 20634-2024")</f>
        <v/>
      </c>
      <c r="T125">
        <f>HYPERLINK("https://klasma.github.io/Logging_0382/kartor/A 20634-2024 karta.png", "A 20634-2024")</f>
        <v/>
      </c>
      <c r="V125">
        <f>HYPERLINK("https://klasma.github.io/Logging_0382/klagomål/A 20634-2024 FSC-klagomål.docx", "A 20634-2024")</f>
        <v/>
      </c>
      <c r="W125">
        <f>HYPERLINK("https://klasma.github.io/Logging_0382/klagomålsmail/A 20634-2024 FSC-klagomål mail.docx", "A 20634-2024")</f>
        <v/>
      </c>
      <c r="X125">
        <f>HYPERLINK("https://klasma.github.io/Logging_0382/tillsyn/A 20634-2024 tillsynsbegäran.docx", "A 20634-2024")</f>
        <v/>
      </c>
      <c r="Y125">
        <f>HYPERLINK("https://klasma.github.io/Logging_0382/tillsynsmail/A 20634-2024 tillsynsbegäran mail.docx", "A 20634-2024")</f>
        <v/>
      </c>
    </row>
    <row r="126" ht="15" customHeight="1">
      <c r="A126" t="inlineStr">
        <is>
          <t>A 61257-2022</t>
        </is>
      </c>
      <c r="B126" s="1" t="n">
        <v>44915</v>
      </c>
      <c r="C126" s="1" t="n">
        <v>46200</v>
      </c>
      <c r="D126" t="inlineStr">
        <is>
          <t>UPPSALA LÄN</t>
        </is>
      </c>
      <c r="E126" t="inlineStr">
        <is>
          <t>ÖSTHAMMAR</t>
        </is>
      </c>
      <c r="G126" t="n">
        <v>1</v>
      </c>
      <c r="H126" t="n">
        <v>1</v>
      </c>
      <c r="I126" t="n">
        <v>0</v>
      </c>
      <c r="J126" t="n">
        <v>0</v>
      </c>
      <c r="K126" t="n">
        <v>1</v>
      </c>
      <c r="L126" t="n">
        <v>0</v>
      </c>
      <c r="M126" t="n">
        <v>0</v>
      </c>
      <c r="N126" t="n">
        <v>0</v>
      </c>
      <c r="O126" t="n">
        <v>1</v>
      </c>
      <c r="P126" t="n">
        <v>1</v>
      </c>
      <c r="Q126" t="n">
        <v>1</v>
      </c>
      <c r="R126" s="2" t="inlineStr">
        <is>
          <t>Hällebräcka</t>
        </is>
      </c>
      <c r="S126">
        <f>HYPERLINK("https://klasma.github.io/Logging_0382/artfynd/A 61257-2022 artfynd.xlsx", "A 61257-2022")</f>
        <v/>
      </c>
      <c r="T126">
        <f>HYPERLINK("https://klasma.github.io/Logging_0382/kartor/A 61257-2022 karta.png", "A 61257-2022")</f>
        <v/>
      </c>
      <c r="V126">
        <f>HYPERLINK("https://klasma.github.io/Logging_0382/klagomål/A 61257-2022 FSC-klagomål.docx", "A 61257-2022")</f>
        <v/>
      </c>
      <c r="W126">
        <f>HYPERLINK("https://klasma.github.io/Logging_0382/klagomålsmail/A 61257-2022 FSC-klagomål mail.docx", "A 61257-2022")</f>
        <v/>
      </c>
      <c r="X126">
        <f>HYPERLINK("https://klasma.github.io/Logging_0382/tillsyn/A 61257-2022 tillsynsbegäran.docx", "A 61257-2022")</f>
        <v/>
      </c>
      <c r="Y126">
        <f>HYPERLINK("https://klasma.github.io/Logging_0382/tillsynsmail/A 61257-2022 tillsynsbegäran mail.docx", "A 61257-2022")</f>
        <v/>
      </c>
    </row>
    <row r="127" ht="15" customHeight="1">
      <c r="A127" t="inlineStr">
        <is>
          <t>A 9052-2023</t>
        </is>
      </c>
      <c r="B127" s="1" t="n">
        <v>44979</v>
      </c>
      <c r="C127" s="1" t="n">
        <v>46200</v>
      </c>
      <c r="D127" t="inlineStr">
        <is>
          <t>UPPSALA LÄN</t>
        </is>
      </c>
      <c r="E127" t="inlineStr">
        <is>
          <t>ÖSTHAMMAR</t>
        </is>
      </c>
      <c r="F127" t="inlineStr">
        <is>
          <t>Kyrkan</t>
        </is>
      </c>
      <c r="G127" t="n">
        <v>0.2</v>
      </c>
      <c r="H127" t="n">
        <v>0</v>
      </c>
      <c r="I127" t="n">
        <v>0</v>
      </c>
      <c r="J127" t="n">
        <v>1</v>
      </c>
      <c r="K127" t="n">
        <v>0</v>
      </c>
      <c r="L127" t="n">
        <v>0</v>
      </c>
      <c r="M127" t="n">
        <v>0</v>
      </c>
      <c r="N127" t="n">
        <v>0</v>
      </c>
      <c r="O127" t="n">
        <v>1</v>
      </c>
      <c r="P127" t="n">
        <v>0</v>
      </c>
      <c r="Q127" t="n">
        <v>1</v>
      </c>
      <c r="R127" s="2" t="inlineStr">
        <is>
          <t>Slåtterfibbla</t>
        </is>
      </c>
      <c r="S127">
        <f>HYPERLINK("https://klasma.github.io/Logging_0382/artfynd/A 9052-2023 artfynd.xlsx", "A 9052-2023")</f>
        <v/>
      </c>
      <c r="T127">
        <f>HYPERLINK("https://klasma.github.io/Logging_0382/kartor/A 9052-2023 karta.png", "A 9052-2023")</f>
        <v/>
      </c>
      <c r="V127">
        <f>HYPERLINK("https://klasma.github.io/Logging_0382/klagomål/A 9052-2023 FSC-klagomål.docx", "A 9052-2023")</f>
        <v/>
      </c>
      <c r="W127">
        <f>HYPERLINK("https://klasma.github.io/Logging_0382/klagomålsmail/A 9052-2023 FSC-klagomål mail.docx", "A 9052-2023")</f>
        <v/>
      </c>
      <c r="X127">
        <f>HYPERLINK("https://klasma.github.io/Logging_0382/tillsyn/A 9052-2023 tillsynsbegäran.docx", "A 9052-2023")</f>
        <v/>
      </c>
      <c r="Y127">
        <f>HYPERLINK("https://klasma.github.io/Logging_0382/tillsynsmail/A 9052-2023 tillsynsbegäran mail.docx", "A 9052-2023")</f>
        <v/>
      </c>
    </row>
    <row r="128" ht="15" customHeight="1">
      <c r="A128" t="inlineStr">
        <is>
          <t>A 49899-2023</t>
        </is>
      </c>
      <c r="B128" s="1" t="n">
        <v>45213</v>
      </c>
      <c r="C128" s="1" t="n">
        <v>46200</v>
      </c>
      <c r="D128" t="inlineStr">
        <is>
          <t>UPPSALA LÄN</t>
        </is>
      </c>
      <c r="E128" t="inlineStr">
        <is>
          <t>ÖSTHAMMAR</t>
        </is>
      </c>
      <c r="G128" t="n">
        <v>6.2</v>
      </c>
      <c r="H128" t="n">
        <v>1</v>
      </c>
      <c r="I128" t="n">
        <v>0</v>
      </c>
      <c r="J128" t="n">
        <v>0</v>
      </c>
      <c r="K128" t="n">
        <v>0</v>
      </c>
      <c r="L128" t="n">
        <v>0</v>
      </c>
      <c r="M128" t="n">
        <v>0</v>
      </c>
      <c r="N128" t="n">
        <v>0</v>
      </c>
      <c r="O128" t="n">
        <v>0</v>
      </c>
      <c r="P128" t="n">
        <v>0</v>
      </c>
      <c r="Q128" t="n">
        <v>1</v>
      </c>
      <c r="R128" s="2" t="inlineStr">
        <is>
          <t>Grönvit nattviol</t>
        </is>
      </c>
      <c r="S128">
        <f>HYPERLINK("https://klasma.github.io/Logging_0382/artfynd/A 49899-2023 artfynd.xlsx", "A 49899-2023")</f>
        <v/>
      </c>
      <c r="T128">
        <f>HYPERLINK("https://klasma.github.io/Logging_0382/kartor/A 49899-2023 karta.png", "A 49899-2023")</f>
        <v/>
      </c>
      <c r="V128">
        <f>HYPERLINK("https://klasma.github.io/Logging_0382/klagomål/A 49899-2023 FSC-klagomål.docx", "A 49899-2023")</f>
        <v/>
      </c>
      <c r="W128">
        <f>HYPERLINK("https://klasma.github.io/Logging_0382/klagomålsmail/A 49899-2023 FSC-klagomål mail.docx", "A 49899-2023")</f>
        <v/>
      </c>
      <c r="X128">
        <f>HYPERLINK("https://klasma.github.io/Logging_0382/tillsyn/A 49899-2023 tillsynsbegäran.docx", "A 49899-2023")</f>
        <v/>
      </c>
      <c r="Y128">
        <f>HYPERLINK("https://klasma.github.io/Logging_0382/tillsynsmail/A 49899-2023 tillsynsbegäran mail.docx", "A 49899-2023")</f>
        <v/>
      </c>
    </row>
    <row r="129" ht="15" customHeight="1">
      <c r="A129" t="inlineStr">
        <is>
          <t>A 12262-2023</t>
        </is>
      </c>
      <c r="B129" s="1" t="n">
        <v>44998</v>
      </c>
      <c r="C129" s="1" t="n">
        <v>46200</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Vårärt</t>
        </is>
      </c>
      <c r="S129">
        <f>HYPERLINK("https://klasma.github.io/Logging_0382/artfynd/A 12262-2023 artfynd.xlsx", "A 12262-2023")</f>
        <v/>
      </c>
      <c r="T129">
        <f>HYPERLINK("https://klasma.github.io/Logging_0382/kartor/A 12262-2023 karta.png", "A 12262-2023")</f>
        <v/>
      </c>
      <c r="V129">
        <f>HYPERLINK("https://klasma.github.io/Logging_0382/klagomål/A 12262-2023 FSC-klagomål.docx", "A 12262-2023")</f>
        <v/>
      </c>
      <c r="W129">
        <f>HYPERLINK("https://klasma.github.io/Logging_0382/klagomålsmail/A 12262-2023 FSC-klagomål mail.docx", "A 12262-2023")</f>
        <v/>
      </c>
      <c r="X129">
        <f>HYPERLINK("https://klasma.github.io/Logging_0382/tillsyn/A 12262-2023 tillsynsbegäran.docx", "A 12262-2023")</f>
        <v/>
      </c>
      <c r="Y129">
        <f>HYPERLINK("https://klasma.github.io/Logging_0382/tillsynsmail/A 12262-2023 tillsynsbegäran mail.docx", "A 12262-2023")</f>
        <v/>
      </c>
    </row>
    <row r="130" ht="15" customHeight="1">
      <c r="A130" t="inlineStr">
        <is>
          <t>A 65989-2021</t>
        </is>
      </c>
      <c r="B130" s="1" t="n">
        <v>44517</v>
      </c>
      <c r="C130" s="1" t="n">
        <v>46200</v>
      </c>
      <c r="D130" t="inlineStr">
        <is>
          <t>UPPSALA LÄN</t>
        </is>
      </c>
      <c r="E130" t="inlineStr">
        <is>
          <t>ÖSTHAMMAR</t>
        </is>
      </c>
      <c r="G130" t="n">
        <v>6.9</v>
      </c>
      <c r="H130" t="n">
        <v>1</v>
      </c>
      <c r="I130" t="n">
        <v>1</v>
      </c>
      <c r="J130" t="n">
        <v>0</v>
      </c>
      <c r="K130" t="n">
        <v>0</v>
      </c>
      <c r="L130" t="n">
        <v>0</v>
      </c>
      <c r="M130" t="n">
        <v>0</v>
      </c>
      <c r="N130" t="n">
        <v>0</v>
      </c>
      <c r="O130" t="n">
        <v>0</v>
      </c>
      <c r="P130" t="n">
        <v>0</v>
      </c>
      <c r="Q130" t="n">
        <v>1</v>
      </c>
      <c r="R130" s="2" t="inlineStr">
        <is>
          <t>Skogsknipprot</t>
        </is>
      </c>
      <c r="S130">
        <f>HYPERLINK("https://klasma.github.io/Logging_0382/artfynd/A 65989-2021 artfynd.xlsx", "A 65989-2021")</f>
        <v/>
      </c>
      <c r="T130">
        <f>HYPERLINK("https://klasma.github.io/Logging_0382/kartor/A 65989-2021 karta.png", "A 65989-2021")</f>
        <v/>
      </c>
      <c r="V130">
        <f>HYPERLINK("https://klasma.github.io/Logging_0382/klagomål/A 65989-2021 FSC-klagomål.docx", "A 65989-2021")</f>
        <v/>
      </c>
      <c r="W130">
        <f>HYPERLINK("https://klasma.github.io/Logging_0382/klagomålsmail/A 65989-2021 FSC-klagomål mail.docx", "A 65989-2021")</f>
        <v/>
      </c>
      <c r="X130">
        <f>HYPERLINK("https://klasma.github.io/Logging_0382/tillsyn/A 65989-2021 tillsynsbegäran.docx", "A 65989-2021")</f>
        <v/>
      </c>
      <c r="Y130">
        <f>HYPERLINK("https://klasma.github.io/Logging_0382/tillsynsmail/A 65989-2021 tillsynsbegäran mail.docx", "A 65989-2021")</f>
        <v/>
      </c>
    </row>
    <row r="131" ht="15" customHeight="1">
      <c r="A131" t="inlineStr">
        <is>
          <t>A 32483-2024</t>
        </is>
      </c>
      <c r="B131" s="1" t="n">
        <v>45513</v>
      </c>
      <c r="C131" s="1" t="n">
        <v>46200</v>
      </c>
      <c r="D131" t="inlineStr">
        <is>
          <t>UPPSALA LÄN</t>
        </is>
      </c>
      <c r="E131" t="inlineStr">
        <is>
          <t>ÖSTHAMMAR</t>
        </is>
      </c>
      <c r="F131" t="inlineStr">
        <is>
          <t>Kyrkan</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HYPERLINK("https://klasma.github.io/Logging_0382/artfynd/A 32483-2024 artfynd.xlsx", "A 32483-2024")</f>
        <v/>
      </c>
      <c r="T131">
        <f>HYPERLINK("https://klasma.github.io/Logging_0382/kartor/A 32483-2024 karta.png", "A 32483-2024")</f>
        <v/>
      </c>
      <c r="V131">
        <f>HYPERLINK("https://klasma.github.io/Logging_0382/klagomål/A 32483-2024 FSC-klagomål.docx", "A 32483-2024")</f>
        <v/>
      </c>
      <c r="W131">
        <f>HYPERLINK("https://klasma.github.io/Logging_0382/klagomålsmail/A 32483-2024 FSC-klagomål mail.docx", "A 32483-2024")</f>
        <v/>
      </c>
      <c r="X131">
        <f>HYPERLINK("https://klasma.github.io/Logging_0382/tillsyn/A 32483-2024 tillsynsbegäran.docx", "A 32483-2024")</f>
        <v/>
      </c>
      <c r="Y131">
        <f>HYPERLINK("https://klasma.github.io/Logging_0382/tillsynsmail/A 32483-2024 tillsynsbegäran mail.docx", "A 32483-2024")</f>
        <v/>
      </c>
    </row>
    <row r="132" ht="15" customHeight="1">
      <c r="A132" t="inlineStr">
        <is>
          <t>A 63615-2021</t>
        </is>
      </c>
      <c r="B132" s="1" t="n">
        <v>44509</v>
      </c>
      <c r="C132" s="1" t="n">
        <v>46200</v>
      </c>
      <c r="D132" t="inlineStr">
        <is>
          <t>UPPSALA LÄN</t>
        </is>
      </c>
      <c r="E132" t="inlineStr">
        <is>
          <t>ÖSTHAMMAR</t>
        </is>
      </c>
      <c r="G132" t="n">
        <v>1.9</v>
      </c>
      <c r="H132" t="n">
        <v>0</v>
      </c>
      <c r="I132" t="n">
        <v>0</v>
      </c>
      <c r="J132" t="n">
        <v>0</v>
      </c>
      <c r="K132" t="n">
        <v>1</v>
      </c>
      <c r="L132" t="n">
        <v>0</v>
      </c>
      <c r="M132" t="n">
        <v>0</v>
      </c>
      <c r="N132" t="n">
        <v>0</v>
      </c>
      <c r="O132" t="n">
        <v>1</v>
      </c>
      <c r="P132" t="n">
        <v>1</v>
      </c>
      <c r="Q132" t="n">
        <v>1</v>
      </c>
      <c r="R132" s="2" t="inlineStr">
        <is>
          <t>Gul taggsvamp</t>
        </is>
      </c>
      <c r="S132">
        <f>HYPERLINK("https://klasma.github.io/Logging_0382/artfynd/A 63615-2021 artfynd.xlsx", "A 63615-2021")</f>
        <v/>
      </c>
      <c r="T132">
        <f>HYPERLINK("https://klasma.github.io/Logging_0382/kartor/A 63615-2021 karta.png", "A 63615-2021")</f>
        <v/>
      </c>
      <c r="V132">
        <f>HYPERLINK("https://klasma.github.io/Logging_0382/klagomål/A 63615-2021 FSC-klagomål.docx", "A 63615-2021")</f>
        <v/>
      </c>
      <c r="W132">
        <f>HYPERLINK("https://klasma.github.io/Logging_0382/klagomålsmail/A 63615-2021 FSC-klagomål mail.docx", "A 63615-2021")</f>
        <v/>
      </c>
      <c r="X132">
        <f>HYPERLINK("https://klasma.github.io/Logging_0382/tillsyn/A 63615-2021 tillsynsbegäran.docx", "A 63615-2021")</f>
        <v/>
      </c>
      <c r="Y132">
        <f>HYPERLINK("https://klasma.github.io/Logging_0382/tillsynsmail/A 63615-2021 tillsynsbegäran mail.docx", "A 63615-2021")</f>
        <v/>
      </c>
    </row>
    <row r="133" ht="15" customHeight="1">
      <c r="A133" t="inlineStr">
        <is>
          <t>A 40570-2025</t>
        </is>
      </c>
      <c r="B133" s="1" t="n">
        <v>45896</v>
      </c>
      <c r="C133" s="1" t="n">
        <v>46200</v>
      </c>
      <c r="D133" t="inlineStr">
        <is>
          <t>UPPSALA LÄN</t>
        </is>
      </c>
      <c r="E133" t="inlineStr">
        <is>
          <t>ÖSTHAMMAR</t>
        </is>
      </c>
      <c r="F133" t="inlineStr">
        <is>
          <t>Övriga Aktiebolag</t>
        </is>
      </c>
      <c r="G133" t="n">
        <v>4.8</v>
      </c>
      <c r="H133" t="n">
        <v>0</v>
      </c>
      <c r="I133" t="n">
        <v>0</v>
      </c>
      <c r="J133" t="n">
        <v>0</v>
      </c>
      <c r="K133" t="n">
        <v>1</v>
      </c>
      <c r="L133" t="n">
        <v>0</v>
      </c>
      <c r="M133" t="n">
        <v>0</v>
      </c>
      <c r="N133" t="n">
        <v>0</v>
      </c>
      <c r="O133" t="n">
        <v>1</v>
      </c>
      <c r="P133" t="n">
        <v>1</v>
      </c>
      <c r="Q133" t="n">
        <v>1</v>
      </c>
      <c r="R133" s="2" t="inlineStr">
        <is>
          <t>Skogskorn</t>
        </is>
      </c>
      <c r="S133">
        <f>HYPERLINK("https://klasma.github.io/Logging_0382/artfynd/A 40570-2025 artfynd.xlsx", "A 40570-2025")</f>
        <v/>
      </c>
      <c r="T133">
        <f>HYPERLINK("https://klasma.github.io/Logging_0382/kartor/A 40570-2025 karta.png", "A 40570-2025")</f>
        <v/>
      </c>
      <c r="V133">
        <f>HYPERLINK("https://klasma.github.io/Logging_0382/klagomål/A 40570-2025 FSC-klagomål.docx", "A 40570-2025")</f>
        <v/>
      </c>
      <c r="W133">
        <f>HYPERLINK("https://klasma.github.io/Logging_0382/klagomålsmail/A 40570-2025 FSC-klagomål mail.docx", "A 40570-2025")</f>
        <v/>
      </c>
      <c r="X133">
        <f>HYPERLINK("https://klasma.github.io/Logging_0382/tillsyn/A 40570-2025 tillsynsbegäran.docx", "A 40570-2025")</f>
        <v/>
      </c>
      <c r="Y133">
        <f>HYPERLINK("https://klasma.github.io/Logging_0382/tillsynsmail/A 40570-2025 tillsynsbegäran mail.docx", "A 40570-2025")</f>
        <v/>
      </c>
    </row>
    <row r="134" ht="15" customHeight="1">
      <c r="A134" t="inlineStr">
        <is>
          <t>A 6507-2026</t>
        </is>
      </c>
      <c r="B134" s="1" t="n">
        <v>46056</v>
      </c>
      <c r="C134" s="1" t="n">
        <v>46200</v>
      </c>
      <c r="D134" t="inlineStr">
        <is>
          <t>UPPSALA LÄN</t>
        </is>
      </c>
      <c r="E134" t="inlineStr">
        <is>
          <t>ÖSTHAMMAR</t>
        </is>
      </c>
      <c r="F134" t="inlineStr">
        <is>
          <t>Bergvik skog öst AB</t>
        </is>
      </c>
      <c r="G134" t="n">
        <v>1.5</v>
      </c>
      <c r="H134" t="n">
        <v>0</v>
      </c>
      <c r="I134" t="n">
        <v>1</v>
      </c>
      <c r="J134" t="n">
        <v>0</v>
      </c>
      <c r="K134" t="n">
        <v>0</v>
      </c>
      <c r="L134" t="n">
        <v>0</v>
      </c>
      <c r="M134" t="n">
        <v>0</v>
      </c>
      <c r="N134" t="n">
        <v>0</v>
      </c>
      <c r="O134" t="n">
        <v>0</v>
      </c>
      <c r="P134" t="n">
        <v>0</v>
      </c>
      <c r="Q134" t="n">
        <v>1</v>
      </c>
      <c r="R134" s="2" t="inlineStr">
        <is>
          <t>Tibast</t>
        </is>
      </c>
      <c r="S134">
        <f>HYPERLINK("https://klasma.github.io/Logging_0382/artfynd/A 6507-2026 artfynd.xlsx", "A 6507-2026")</f>
        <v/>
      </c>
      <c r="T134">
        <f>HYPERLINK("https://klasma.github.io/Logging_0382/kartor/A 6507-2026 karta.png", "A 6507-2026")</f>
        <v/>
      </c>
      <c r="V134">
        <f>HYPERLINK("https://klasma.github.io/Logging_0382/klagomål/A 6507-2026 FSC-klagomål.docx", "A 6507-2026")</f>
        <v/>
      </c>
      <c r="W134">
        <f>HYPERLINK("https://klasma.github.io/Logging_0382/klagomålsmail/A 6507-2026 FSC-klagomål mail.docx", "A 6507-2026")</f>
        <v/>
      </c>
      <c r="X134">
        <f>HYPERLINK("https://klasma.github.io/Logging_0382/tillsyn/A 6507-2026 tillsynsbegäran.docx", "A 6507-2026")</f>
        <v/>
      </c>
      <c r="Y134">
        <f>HYPERLINK("https://klasma.github.io/Logging_0382/tillsynsmail/A 6507-2026 tillsynsbegäran mail.docx", "A 6507-2026")</f>
        <v/>
      </c>
    </row>
    <row r="135" ht="15" customHeight="1">
      <c r="A135" t="inlineStr">
        <is>
          <t>A 7855-2026</t>
        </is>
      </c>
      <c r="B135" s="1" t="n">
        <v>46062</v>
      </c>
      <c r="C135" s="1" t="n">
        <v>46200</v>
      </c>
      <c r="D135" t="inlineStr">
        <is>
          <t>UPPSALA LÄN</t>
        </is>
      </c>
      <c r="E135" t="inlineStr">
        <is>
          <t>ÖSTHAMMAR</t>
        </is>
      </c>
      <c r="G135" t="n">
        <v>3.8</v>
      </c>
      <c r="H135" t="n">
        <v>0</v>
      </c>
      <c r="I135" t="n">
        <v>0</v>
      </c>
      <c r="J135" t="n">
        <v>1</v>
      </c>
      <c r="K135" t="n">
        <v>0</v>
      </c>
      <c r="L135" t="n">
        <v>0</v>
      </c>
      <c r="M135" t="n">
        <v>0</v>
      </c>
      <c r="N135" t="n">
        <v>0</v>
      </c>
      <c r="O135" t="n">
        <v>1</v>
      </c>
      <c r="P135" t="n">
        <v>0</v>
      </c>
      <c r="Q135" t="n">
        <v>1</v>
      </c>
      <c r="R135" s="2" t="inlineStr">
        <is>
          <t>Skogsklocka</t>
        </is>
      </c>
      <c r="S135">
        <f>HYPERLINK("https://klasma.github.io/Logging_0382/artfynd/A 7855-2026 artfynd.xlsx", "A 7855-2026")</f>
        <v/>
      </c>
      <c r="T135">
        <f>HYPERLINK("https://klasma.github.io/Logging_0382/kartor/A 7855-2026 karta.png", "A 7855-2026")</f>
        <v/>
      </c>
      <c r="V135">
        <f>HYPERLINK("https://klasma.github.io/Logging_0382/klagomål/A 7855-2026 FSC-klagomål.docx", "A 7855-2026")</f>
        <v/>
      </c>
      <c r="W135">
        <f>HYPERLINK("https://klasma.github.io/Logging_0382/klagomålsmail/A 7855-2026 FSC-klagomål mail.docx", "A 7855-2026")</f>
        <v/>
      </c>
      <c r="X135">
        <f>HYPERLINK("https://klasma.github.io/Logging_0382/tillsyn/A 7855-2026 tillsynsbegäran.docx", "A 7855-2026")</f>
        <v/>
      </c>
      <c r="Y135">
        <f>HYPERLINK("https://klasma.github.io/Logging_0382/tillsynsmail/A 7855-2026 tillsynsbegäran mail.docx", "A 7855-2026")</f>
        <v/>
      </c>
    </row>
    <row r="136" ht="15" customHeight="1">
      <c r="A136" t="inlineStr">
        <is>
          <t>A 14006-2026</t>
        </is>
      </c>
      <c r="B136" s="1" t="n">
        <v>46098</v>
      </c>
      <c r="C136" s="1" t="n">
        <v>46200</v>
      </c>
      <c r="D136" t="inlineStr">
        <is>
          <t>UPPSALA LÄN</t>
        </is>
      </c>
      <c r="E136" t="inlineStr">
        <is>
          <t>ÖSTHAMMAR</t>
        </is>
      </c>
      <c r="G136" t="n">
        <v>2</v>
      </c>
      <c r="H136" t="n">
        <v>0</v>
      </c>
      <c r="I136" t="n">
        <v>0</v>
      </c>
      <c r="J136" t="n">
        <v>0</v>
      </c>
      <c r="K136" t="n">
        <v>1</v>
      </c>
      <c r="L136" t="n">
        <v>0</v>
      </c>
      <c r="M136" t="n">
        <v>0</v>
      </c>
      <c r="N136" t="n">
        <v>0</v>
      </c>
      <c r="O136" t="n">
        <v>1</v>
      </c>
      <c r="P136" t="n">
        <v>1</v>
      </c>
      <c r="Q136" t="n">
        <v>1</v>
      </c>
      <c r="R136" s="2" t="inlineStr">
        <is>
          <t>Igelkott</t>
        </is>
      </c>
      <c r="S136">
        <f>HYPERLINK("https://klasma.github.io/Logging_0382/artfynd/A 14006-2026 artfynd.xlsx", "A 14006-2026")</f>
        <v/>
      </c>
      <c r="T136">
        <f>HYPERLINK("https://klasma.github.io/Logging_0382/kartor/A 14006-2026 karta.png", "A 14006-2026")</f>
        <v/>
      </c>
      <c r="V136">
        <f>HYPERLINK("https://klasma.github.io/Logging_0382/klagomål/A 14006-2026 FSC-klagomål.docx", "A 14006-2026")</f>
        <v/>
      </c>
      <c r="W136">
        <f>HYPERLINK("https://klasma.github.io/Logging_0382/klagomålsmail/A 14006-2026 FSC-klagomål mail.docx", "A 14006-2026")</f>
        <v/>
      </c>
      <c r="X136">
        <f>HYPERLINK("https://klasma.github.io/Logging_0382/tillsyn/A 14006-2026 tillsynsbegäran.docx", "A 14006-2026")</f>
        <v/>
      </c>
      <c r="Y136">
        <f>HYPERLINK("https://klasma.github.io/Logging_0382/tillsynsmail/A 14006-2026 tillsynsbegäran mail.docx", "A 14006-2026")</f>
        <v/>
      </c>
    </row>
    <row r="137" ht="15" customHeight="1">
      <c r="A137" t="inlineStr">
        <is>
          <t>A 15248-2026</t>
        </is>
      </c>
      <c r="B137" s="1" t="n">
        <v>46105</v>
      </c>
      <c r="C137" s="1" t="n">
        <v>46200</v>
      </c>
      <c r="D137" t="inlineStr">
        <is>
          <t>UPPSALA LÄN</t>
        </is>
      </c>
      <c r="E137" t="inlineStr">
        <is>
          <t>ÖSTHAMMAR</t>
        </is>
      </c>
      <c r="F137" t="inlineStr">
        <is>
          <t>Övriga Aktiebolag</t>
        </is>
      </c>
      <c r="G137" t="n">
        <v>3.1</v>
      </c>
      <c r="H137" t="n">
        <v>1</v>
      </c>
      <c r="I137" t="n">
        <v>0</v>
      </c>
      <c r="J137" t="n">
        <v>0</v>
      </c>
      <c r="K137" t="n">
        <v>1</v>
      </c>
      <c r="L137" t="n">
        <v>0</v>
      </c>
      <c r="M137" t="n">
        <v>0</v>
      </c>
      <c r="N137" t="n">
        <v>0</v>
      </c>
      <c r="O137" t="n">
        <v>1</v>
      </c>
      <c r="P137" t="n">
        <v>1</v>
      </c>
      <c r="Q137" t="n">
        <v>1</v>
      </c>
      <c r="R137" s="2" t="inlineStr">
        <is>
          <t>Hällebräcka</t>
        </is>
      </c>
      <c r="S137">
        <f>HYPERLINK("https://klasma.github.io/Logging_0382/artfynd/A 15248-2026 artfynd.xlsx", "A 15248-2026")</f>
        <v/>
      </c>
      <c r="T137">
        <f>HYPERLINK("https://klasma.github.io/Logging_0382/kartor/A 15248-2026 karta.png", "A 15248-2026")</f>
        <v/>
      </c>
      <c r="V137">
        <f>HYPERLINK("https://klasma.github.io/Logging_0382/klagomål/A 15248-2026 FSC-klagomål.docx", "A 15248-2026")</f>
        <v/>
      </c>
      <c r="W137">
        <f>HYPERLINK("https://klasma.github.io/Logging_0382/klagomålsmail/A 15248-2026 FSC-klagomål mail.docx", "A 15248-2026")</f>
        <v/>
      </c>
      <c r="X137">
        <f>HYPERLINK("https://klasma.github.io/Logging_0382/tillsyn/A 15248-2026 tillsynsbegäran.docx", "A 15248-2026")</f>
        <v/>
      </c>
      <c r="Y137">
        <f>HYPERLINK("https://klasma.github.io/Logging_0382/tillsynsmail/A 15248-2026 tillsynsbegäran mail.docx", "A 15248-2026")</f>
        <v/>
      </c>
    </row>
    <row r="138" ht="15" customHeight="1">
      <c r="A138" t="inlineStr">
        <is>
          <t>A 8014-2026</t>
        </is>
      </c>
      <c r="B138" s="1" t="n">
        <v>46063</v>
      </c>
      <c r="C138" s="1" t="n">
        <v>46200</v>
      </c>
      <c r="D138" t="inlineStr">
        <is>
          <t>UPPSALA LÄN</t>
        </is>
      </c>
      <c r="E138" t="inlineStr">
        <is>
          <t>ÖSTHAMMAR</t>
        </is>
      </c>
      <c r="G138" t="n">
        <v>15.2</v>
      </c>
      <c r="H138" t="n">
        <v>1</v>
      </c>
      <c r="I138" t="n">
        <v>1</v>
      </c>
      <c r="J138" t="n">
        <v>0</v>
      </c>
      <c r="K138" t="n">
        <v>0</v>
      </c>
      <c r="L138" t="n">
        <v>0</v>
      </c>
      <c r="M138" t="n">
        <v>0</v>
      </c>
      <c r="N138" t="n">
        <v>0</v>
      </c>
      <c r="O138" t="n">
        <v>0</v>
      </c>
      <c r="P138" t="n">
        <v>0</v>
      </c>
      <c r="Q138" t="n">
        <v>1</v>
      </c>
      <c r="R138" s="2" t="inlineStr">
        <is>
          <t>Skogsknipprot</t>
        </is>
      </c>
      <c r="S138">
        <f>HYPERLINK("https://klasma.github.io/Logging_0382/artfynd/A 8014-2026 artfynd.xlsx", "A 8014-2026")</f>
        <v/>
      </c>
      <c r="T138">
        <f>HYPERLINK("https://klasma.github.io/Logging_0382/kartor/A 8014-2026 karta.png", "A 8014-2026")</f>
        <v/>
      </c>
      <c r="V138">
        <f>HYPERLINK("https://klasma.github.io/Logging_0382/klagomål/A 8014-2026 FSC-klagomål.docx", "A 8014-2026")</f>
        <v/>
      </c>
      <c r="W138">
        <f>HYPERLINK("https://klasma.github.io/Logging_0382/klagomålsmail/A 8014-2026 FSC-klagomål mail.docx", "A 8014-2026")</f>
        <v/>
      </c>
      <c r="X138">
        <f>HYPERLINK("https://klasma.github.io/Logging_0382/tillsyn/A 8014-2026 tillsynsbegäran.docx", "A 8014-2026")</f>
        <v/>
      </c>
      <c r="Y138">
        <f>HYPERLINK("https://klasma.github.io/Logging_0382/tillsynsmail/A 8014-2026 tillsynsbegäran mail.docx", "A 8014-2026")</f>
        <v/>
      </c>
    </row>
    <row r="139" ht="15" customHeight="1">
      <c r="A139" t="inlineStr">
        <is>
          <t>A 30605-2025</t>
        </is>
      </c>
      <c r="B139" s="1" t="n">
        <v>45831</v>
      </c>
      <c r="C139" s="1" t="n">
        <v>46200</v>
      </c>
      <c r="D139" t="inlineStr">
        <is>
          <t>UPPSALA LÄN</t>
        </is>
      </c>
      <c r="E139" t="inlineStr">
        <is>
          <t>ÖSTHAMMAR</t>
        </is>
      </c>
      <c r="G139" t="n">
        <v>1.7</v>
      </c>
      <c r="H139" t="n">
        <v>0</v>
      </c>
      <c r="I139" t="n">
        <v>0</v>
      </c>
      <c r="J139" t="n">
        <v>0</v>
      </c>
      <c r="K139" t="n">
        <v>1</v>
      </c>
      <c r="L139" t="n">
        <v>0</v>
      </c>
      <c r="M139" t="n">
        <v>0</v>
      </c>
      <c r="N139" t="n">
        <v>0</v>
      </c>
      <c r="O139" t="n">
        <v>1</v>
      </c>
      <c r="P139" t="n">
        <v>1</v>
      </c>
      <c r="Q139" t="n">
        <v>1</v>
      </c>
      <c r="R139" s="2" t="inlineStr">
        <is>
          <t>Plattsäv</t>
        </is>
      </c>
      <c r="S139">
        <f>HYPERLINK("https://klasma.github.io/Logging_0382/artfynd/A 30605-2025 artfynd.xlsx", "A 30605-2025")</f>
        <v/>
      </c>
      <c r="T139">
        <f>HYPERLINK("https://klasma.github.io/Logging_0382/kartor/A 30605-2025 karta.png", "A 30605-2025")</f>
        <v/>
      </c>
      <c r="V139">
        <f>HYPERLINK("https://klasma.github.io/Logging_0382/klagomål/A 30605-2025 FSC-klagomål.docx", "A 30605-2025")</f>
        <v/>
      </c>
      <c r="W139">
        <f>HYPERLINK("https://klasma.github.io/Logging_0382/klagomålsmail/A 30605-2025 FSC-klagomål mail.docx", "A 30605-2025")</f>
        <v/>
      </c>
      <c r="X139">
        <f>HYPERLINK("https://klasma.github.io/Logging_0382/tillsyn/A 30605-2025 tillsynsbegäran.docx", "A 30605-2025")</f>
        <v/>
      </c>
      <c r="Y139">
        <f>HYPERLINK("https://klasma.github.io/Logging_0382/tillsynsmail/A 30605-2025 tillsynsbegäran mail.docx", "A 30605-2025")</f>
        <v/>
      </c>
    </row>
    <row r="140" ht="15" customHeight="1">
      <c r="A140" t="inlineStr">
        <is>
          <t>A 10034-2023</t>
        </is>
      </c>
      <c r="B140" s="1" t="n">
        <v>44985</v>
      </c>
      <c r="C140" s="1" t="n">
        <v>46200</v>
      </c>
      <c r="D140" t="inlineStr">
        <is>
          <t>UPPSALA LÄN</t>
        </is>
      </c>
      <c r="E140" t="inlineStr">
        <is>
          <t>ÖSTHAMMAR</t>
        </is>
      </c>
      <c r="G140" t="n">
        <v>2.1</v>
      </c>
      <c r="H140" t="n">
        <v>1</v>
      </c>
      <c r="I140" t="n">
        <v>0</v>
      </c>
      <c r="J140" t="n">
        <v>0</v>
      </c>
      <c r="K140" t="n">
        <v>0</v>
      </c>
      <c r="L140" t="n">
        <v>0</v>
      </c>
      <c r="M140" t="n">
        <v>0</v>
      </c>
      <c r="N140" t="n">
        <v>0</v>
      </c>
      <c r="O140" t="n">
        <v>0</v>
      </c>
      <c r="P140" t="n">
        <v>0</v>
      </c>
      <c r="Q140" t="n">
        <v>1</v>
      </c>
      <c r="R140" s="2" t="inlineStr">
        <is>
          <t>Blåsippa</t>
        </is>
      </c>
      <c r="S140">
        <f>HYPERLINK("https://klasma.github.io/Logging_0382/artfynd/A 10034-2023 artfynd.xlsx", "A 10034-2023")</f>
        <v/>
      </c>
      <c r="T140">
        <f>HYPERLINK("https://klasma.github.io/Logging_0382/kartor/A 10034-2023 karta.png", "A 10034-2023")</f>
        <v/>
      </c>
      <c r="V140">
        <f>HYPERLINK("https://klasma.github.io/Logging_0382/klagomål/A 10034-2023 FSC-klagomål.docx", "A 10034-2023")</f>
        <v/>
      </c>
      <c r="W140">
        <f>HYPERLINK("https://klasma.github.io/Logging_0382/klagomålsmail/A 10034-2023 FSC-klagomål mail.docx", "A 10034-2023")</f>
        <v/>
      </c>
      <c r="X140">
        <f>HYPERLINK("https://klasma.github.io/Logging_0382/tillsyn/A 10034-2023 tillsynsbegäran.docx", "A 10034-2023")</f>
        <v/>
      </c>
      <c r="Y140">
        <f>HYPERLINK("https://klasma.github.io/Logging_0382/tillsynsmail/A 10034-2023 tillsynsbegäran mail.docx", "A 10034-2023")</f>
        <v/>
      </c>
    </row>
    <row r="141" ht="15" customHeight="1">
      <c r="A141" t="inlineStr">
        <is>
          <t>A 20396-2026</t>
        </is>
      </c>
      <c r="B141" s="1" t="n">
        <v>46139</v>
      </c>
      <c r="C141" s="1" t="n">
        <v>46200</v>
      </c>
      <c r="D141" t="inlineStr">
        <is>
          <t>UPPSALA LÄN</t>
        </is>
      </c>
      <c r="E141" t="inlineStr">
        <is>
          <t>ÖSTHAMMAR</t>
        </is>
      </c>
      <c r="G141" t="n">
        <v>1.4</v>
      </c>
      <c r="H141" t="n">
        <v>1</v>
      </c>
      <c r="I141" t="n">
        <v>0</v>
      </c>
      <c r="J141" t="n">
        <v>1</v>
      </c>
      <c r="K141" t="n">
        <v>0</v>
      </c>
      <c r="L141" t="n">
        <v>0</v>
      </c>
      <c r="M141" t="n">
        <v>0</v>
      </c>
      <c r="N141" t="n">
        <v>0</v>
      </c>
      <c r="O141" t="n">
        <v>1</v>
      </c>
      <c r="P141" t="n">
        <v>0</v>
      </c>
      <c r="Q141" t="n">
        <v>1</v>
      </c>
      <c r="R141" s="2" t="inlineStr">
        <is>
          <t>Bivråk</t>
        </is>
      </c>
      <c r="S141">
        <f>HYPERLINK("https://klasma.github.io/Logging_0382/artfynd/A 20396-2026 artfynd.xlsx", "A 20396-2026")</f>
        <v/>
      </c>
      <c r="T141">
        <f>HYPERLINK("https://klasma.github.io/Logging_0382/kartor/A 20396-2026 karta.png", "A 20396-2026")</f>
        <v/>
      </c>
      <c r="V141">
        <f>HYPERLINK("https://klasma.github.io/Logging_0382/klagomål/A 20396-2026 FSC-klagomål.docx", "A 20396-2026")</f>
        <v/>
      </c>
      <c r="W141">
        <f>HYPERLINK("https://klasma.github.io/Logging_0382/klagomålsmail/A 20396-2026 FSC-klagomål mail.docx", "A 20396-2026")</f>
        <v/>
      </c>
      <c r="X141">
        <f>HYPERLINK("https://klasma.github.io/Logging_0382/tillsyn/A 20396-2026 tillsynsbegäran.docx", "A 20396-2026")</f>
        <v/>
      </c>
      <c r="Y141">
        <f>HYPERLINK("https://klasma.github.io/Logging_0382/tillsynsmail/A 20396-2026 tillsynsbegäran mail.docx", "A 20396-2026")</f>
        <v/>
      </c>
      <c r="Z141">
        <f>HYPERLINK("https://klasma.github.io/Logging_0382/fåglar/A 20396-2026 prioriterade fågelarter.docx", "A 20396-2026")</f>
        <v/>
      </c>
    </row>
    <row r="142" ht="15" customHeight="1">
      <c r="A142" t="inlineStr">
        <is>
          <t>A 61574-2025</t>
        </is>
      </c>
      <c r="B142" s="1" t="n">
        <v>46002</v>
      </c>
      <c r="C142" s="1" t="n">
        <v>46200</v>
      </c>
      <c r="D142" t="inlineStr">
        <is>
          <t>UPPSALA LÄN</t>
        </is>
      </c>
      <c r="E142" t="inlineStr">
        <is>
          <t>ÖSTHAMMAR</t>
        </is>
      </c>
      <c r="F142" t="inlineStr">
        <is>
          <t>Övriga Aktiebolag</t>
        </is>
      </c>
      <c r="G142" t="n">
        <v>16.6</v>
      </c>
      <c r="H142" t="n">
        <v>1</v>
      </c>
      <c r="I142" t="n">
        <v>0</v>
      </c>
      <c r="J142" t="n">
        <v>0</v>
      </c>
      <c r="K142" t="n">
        <v>1</v>
      </c>
      <c r="L142" t="n">
        <v>0</v>
      </c>
      <c r="M142" t="n">
        <v>0</v>
      </c>
      <c r="N142" t="n">
        <v>0</v>
      </c>
      <c r="O142" t="n">
        <v>1</v>
      </c>
      <c r="P142" t="n">
        <v>1</v>
      </c>
      <c r="Q142" t="n">
        <v>1</v>
      </c>
      <c r="R142" s="2" t="inlineStr">
        <is>
          <t>Hällebräcka</t>
        </is>
      </c>
      <c r="S142">
        <f>HYPERLINK("https://klasma.github.io/Logging_0382/artfynd/A 61574-2025 artfynd.xlsx", "A 61574-2025")</f>
        <v/>
      </c>
      <c r="T142">
        <f>HYPERLINK("https://klasma.github.io/Logging_0382/kartor/A 61574-2025 karta.png", "A 61574-2025")</f>
        <v/>
      </c>
      <c r="V142">
        <f>HYPERLINK("https://klasma.github.io/Logging_0382/klagomål/A 61574-2025 FSC-klagomål.docx", "A 61574-2025")</f>
        <v/>
      </c>
      <c r="W142">
        <f>HYPERLINK("https://klasma.github.io/Logging_0382/klagomålsmail/A 61574-2025 FSC-klagomål mail.docx", "A 61574-2025")</f>
        <v/>
      </c>
      <c r="X142">
        <f>HYPERLINK("https://klasma.github.io/Logging_0382/tillsyn/A 61574-2025 tillsynsbegäran.docx", "A 61574-2025")</f>
        <v/>
      </c>
      <c r="Y142">
        <f>HYPERLINK("https://klasma.github.io/Logging_0382/tillsynsmail/A 61574-2025 tillsynsbegäran mail.docx", "A 61574-2025")</f>
        <v/>
      </c>
    </row>
    <row r="143" ht="15" customHeight="1">
      <c r="A143" t="inlineStr">
        <is>
          <t>A 28024-2026</t>
        </is>
      </c>
      <c r="B143" s="1" t="n">
        <v>46195</v>
      </c>
      <c r="C143" s="1" t="n">
        <v>46200</v>
      </c>
      <c r="D143" t="inlineStr">
        <is>
          <t>UPPSALA LÄN</t>
        </is>
      </c>
      <c r="E143" t="inlineStr">
        <is>
          <t>ÖSTHAMMAR</t>
        </is>
      </c>
      <c r="F143" t="inlineStr">
        <is>
          <t>Bergvik skog öst AB</t>
        </is>
      </c>
      <c r="G143" t="n">
        <v>5.7</v>
      </c>
      <c r="H143" t="n">
        <v>1</v>
      </c>
      <c r="I143" t="n">
        <v>0</v>
      </c>
      <c r="J143" t="n">
        <v>0</v>
      </c>
      <c r="K143" t="n">
        <v>0</v>
      </c>
      <c r="L143" t="n">
        <v>0</v>
      </c>
      <c r="M143" t="n">
        <v>0</v>
      </c>
      <c r="N143" t="n">
        <v>0</v>
      </c>
      <c r="O143" t="n">
        <v>0</v>
      </c>
      <c r="P143" t="n">
        <v>0</v>
      </c>
      <c r="Q143" t="n">
        <v>1</v>
      </c>
      <c r="R143" s="2" t="inlineStr">
        <is>
          <t>Tjäder</t>
        </is>
      </c>
      <c r="S143">
        <f>HYPERLINK("https://klasma.github.io/Logging_0382/artfynd/A 28024-2026 artfynd.xlsx", "A 28024-2026")</f>
        <v/>
      </c>
      <c r="T143">
        <f>HYPERLINK("https://klasma.github.io/Logging_0382/kartor/A 28024-2026 karta.png", "A 28024-2026")</f>
        <v/>
      </c>
      <c r="V143">
        <f>HYPERLINK("https://klasma.github.io/Logging_0382/klagomål/A 28024-2026 FSC-klagomål.docx", "A 28024-2026")</f>
        <v/>
      </c>
      <c r="W143">
        <f>HYPERLINK("https://klasma.github.io/Logging_0382/klagomålsmail/A 28024-2026 FSC-klagomål mail.docx", "A 28024-2026")</f>
        <v/>
      </c>
      <c r="X143">
        <f>HYPERLINK("https://klasma.github.io/Logging_0382/tillsyn/A 28024-2026 tillsynsbegäran.docx", "A 28024-2026")</f>
        <v/>
      </c>
      <c r="Y143">
        <f>HYPERLINK("https://klasma.github.io/Logging_0382/tillsynsmail/A 28024-2026 tillsynsbegäran mail.docx", "A 28024-2026")</f>
        <v/>
      </c>
      <c r="Z143">
        <f>HYPERLINK("https://klasma.github.io/Logging_0382/fåglar/A 28024-2026 prioriterade fågelarter.docx", "A 28024-2026")</f>
        <v/>
      </c>
    </row>
    <row r="144" ht="15" customHeight="1">
      <c r="A144" t="inlineStr">
        <is>
          <t>A 22409-2026</t>
        </is>
      </c>
      <c r="B144" s="1" t="n">
        <v>46154</v>
      </c>
      <c r="C144" s="1" t="n">
        <v>46200</v>
      </c>
      <c r="D144" t="inlineStr">
        <is>
          <t>UPPSALA LÄN</t>
        </is>
      </c>
      <c r="E144" t="inlineStr">
        <is>
          <t>ÖSTHAMMAR</t>
        </is>
      </c>
      <c r="F144" t="inlineStr">
        <is>
          <t>Övriga Aktiebolag</t>
        </is>
      </c>
      <c r="G144" t="n">
        <v>4.8</v>
      </c>
      <c r="H144" t="n">
        <v>0</v>
      </c>
      <c r="I144" t="n">
        <v>0</v>
      </c>
      <c r="J144" t="n">
        <v>1</v>
      </c>
      <c r="K144" t="n">
        <v>0</v>
      </c>
      <c r="L144" t="n">
        <v>0</v>
      </c>
      <c r="M144" t="n">
        <v>0</v>
      </c>
      <c r="N144" t="n">
        <v>0</v>
      </c>
      <c r="O144" t="n">
        <v>1</v>
      </c>
      <c r="P144" t="n">
        <v>0</v>
      </c>
      <c r="Q144" t="n">
        <v>1</v>
      </c>
      <c r="R144" s="2" t="inlineStr">
        <is>
          <t>Backklöver</t>
        </is>
      </c>
      <c r="S144">
        <f>HYPERLINK("https://klasma.github.io/Logging_0382/artfynd/A 22409-2026 artfynd.xlsx", "A 22409-2026")</f>
        <v/>
      </c>
      <c r="T144">
        <f>HYPERLINK("https://klasma.github.io/Logging_0382/kartor/A 22409-2026 karta.png", "A 22409-2026")</f>
        <v/>
      </c>
      <c r="V144">
        <f>HYPERLINK("https://klasma.github.io/Logging_0382/klagomål/A 22409-2026 FSC-klagomål.docx", "A 22409-2026")</f>
        <v/>
      </c>
      <c r="W144">
        <f>HYPERLINK("https://klasma.github.io/Logging_0382/klagomålsmail/A 22409-2026 FSC-klagomål mail.docx", "A 22409-2026")</f>
        <v/>
      </c>
      <c r="X144">
        <f>HYPERLINK("https://klasma.github.io/Logging_0382/tillsyn/A 22409-2026 tillsynsbegäran.docx", "A 22409-2026")</f>
        <v/>
      </c>
      <c r="Y144">
        <f>HYPERLINK("https://klasma.github.io/Logging_0382/tillsynsmail/A 22409-2026 tillsynsbegäran mail.docx", "A 22409-2026")</f>
        <v/>
      </c>
    </row>
    <row r="145" ht="15" customHeight="1">
      <c r="A145" t="inlineStr">
        <is>
          <t>A 28046-2026</t>
        </is>
      </c>
      <c r="B145" s="1" t="n">
        <v>46195</v>
      </c>
      <c r="C145" s="1" t="n">
        <v>46200</v>
      </c>
      <c r="D145" t="inlineStr">
        <is>
          <t>UPPSALA LÄN</t>
        </is>
      </c>
      <c r="E145" t="inlineStr">
        <is>
          <t>ÖSTHAMMAR</t>
        </is>
      </c>
      <c r="F145" t="inlineStr">
        <is>
          <t>Övriga Aktiebolag</t>
        </is>
      </c>
      <c r="G145" t="n">
        <v>21.2</v>
      </c>
      <c r="H145" t="n">
        <v>1</v>
      </c>
      <c r="I145" t="n">
        <v>0</v>
      </c>
      <c r="J145" t="n">
        <v>0</v>
      </c>
      <c r="K145" t="n">
        <v>1</v>
      </c>
      <c r="L145" t="n">
        <v>0</v>
      </c>
      <c r="M145" t="n">
        <v>0</v>
      </c>
      <c r="N145" t="n">
        <v>0</v>
      </c>
      <c r="O145" t="n">
        <v>1</v>
      </c>
      <c r="P145" t="n">
        <v>1</v>
      </c>
      <c r="Q145" t="n">
        <v>1</v>
      </c>
      <c r="R145" s="2" t="inlineStr">
        <is>
          <t>Hällebräcka</t>
        </is>
      </c>
      <c r="S145">
        <f>HYPERLINK("https://klasma.github.io/Logging_0382/artfynd/A 28046-2026 artfynd.xlsx", "A 28046-2026")</f>
        <v/>
      </c>
      <c r="T145">
        <f>HYPERLINK("https://klasma.github.io/Logging_0382/kartor/A 28046-2026 karta.png", "A 28046-2026")</f>
        <v/>
      </c>
      <c r="V145">
        <f>HYPERLINK("https://klasma.github.io/Logging_0382/klagomål/A 28046-2026 FSC-klagomål.docx", "A 28046-2026")</f>
        <v/>
      </c>
      <c r="W145">
        <f>HYPERLINK("https://klasma.github.io/Logging_0382/klagomålsmail/A 28046-2026 FSC-klagomål mail.docx", "A 28046-2026")</f>
        <v/>
      </c>
      <c r="X145">
        <f>HYPERLINK("https://klasma.github.io/Logging_0382/tillsyn/A 28046-2026 tillsynsbegäran.docx", "A 28046-2026")</f>
        <v/>
      </c>
      <c r="Y145">
        <f>HYPERLINK("https://klasma.github.io/Logging_0382/tillsynsmail/A 28046-2026 tillsynsbegäran mail.docx", "A 28046-2026")</f>
        <v/>
      </c>
    </row>
    <row r="146" ht="15" customHeight="1">
      <c r="A146" t="inlineStr">
        <is>
          <t>A 70408-2021</t>
        </is>
      </c>
      <c r="B146" s="1" t="n">
        <v>44536</v>
      </c>
      <c r="C146" s="1" t="n">
        <v>46200</v>
      </c>
      <c r="D146" t="inlineStr">
        <is>
          <t>UPPSALA LÄN</t>
        </is>
      </c>
      <c r="E146" t="inlineStr">
        <is>
          <t>ÖSTHAMMAR</t>
        </is>
      </c>
      <c r="G146" t="n">
        <v>1</v>
      </c>
      <c r="H146" t="n">
        <v>0</v>
      </c>
      <c r="I146" t="n">
        <v>0</v>
      </c>
      <c r="J146" t="n">
        <v>0</v>
      </c>
      <c r="K146" t="n">
        <v>0</v>
      </c>
      <c r="L146" t="n">
        <v>0</v>
      </c>
      <c r="M146" t="n">
        <v>0</v>
      </c>
      <c r="N146" t="n">
        <v>0</v>
      </c>
      <c r="O146" t="n">
        <v>0</v>
      </c>
      <c r="P146" t="n">
        <v>0</v>
      </c>
      <c r="Q146" t="n">
        <v>0</v>
      </c>
      <c r="R146" s="2" t="inlineStr"/>
    </row>
    <row r="147" ht="15" customHeight="1">
      <c r="A147" t="inlineStr">
        <is>
          <t>A 73983-2021</t>
        </is>
      </c>
      <c r="B147" s="1" t="n">
        <v>44555</v>
      </c>
      <c r="C147" s="1" t="n">
        <v>46200</v>
      </c>
      <c r="D147" t="inlineStr">
        <is>
          <t>UPPSALA LÄN</t>
        </is>
      </c>
      <c r="E147" t="inlineStr">
        <is>
          <t>ÖSTHAMMAR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46200</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8775-2022</t>
        </is>
      </c>
      <c r="B149" s="1" t="n">
        <v>44614</v>
      </c>
      <c r="C149" s="1" t="n">
        <v>46200</v>
      </c>
      <c r="D149" t="inlineStr">
        <is>
          <t>UPPSALA LÄN</t>
        </is>
      </c>
      <c r="E149" t="inlineStr">
        <is>
          <t>ÖSTHAMMAR</t>
        </is>
      </c>
      <c r="G149" t="n">
        <v>0.3</v>
      </c>
      <c r="H149" t="n">
        <v>0</v>
      </c>
      <c r="I149" t="n">
        <v>0</v>
      </c>
      <c r="J149" t="n">
        <v>0</v>
      </c>
      <c r="K149" t="n">
        <v>0</v>
      </c>
      <c r="L149" t="n">
        <v>0</v>
      </c>
      <c r="M149" t="n">
        <v>0</v>
      </c>
      <c r="N149" t="n">
        <v>0</v>
      </c>
      <c r="O149" t="n">
        <v>0</v>
      </c>
      <c r="P149" t="n">
        <v>0</v>
      </c>
      <c r="Q149" t="n">
        <v>0</v>
      </c>
      <c r="R149" s="2" t="inlineStr"/>
    </row>
    <row r="150" ht="15" customHeight="1">
      <c r="A150" t="inlineStr">
        <is>
          <t>A 25076-2022</t>
        </is>
      </c>
      <c r="B150" s="1" t="n">
        <v>44729</v>
      </c>
      <c r="C150" s="1" t="n">
        <v>46200</v>
      </c>
      <c r="D150" t="inlineStr">
        <is>
          <t>UPPSALA LÄN</t>
        </is>
      </c>
      <c r="E150" t="inlineStr">
        <is>
          <t>ÖSTHAMMAR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46200</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46200</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46200</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46200</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46200</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46200</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46200</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46200</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46200</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46200</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46200</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2108-2022</t>
        </is>
      </c>
      <c r="B162" s="1" t="n">
        <v>44577</v>
      </c>
      <c r="C162" s="1" t="n">
        <v>46200</v>
      </c>
      <c r="D162" t="inlineStr">
        <is>
          <t>UPPSALA LÄN</t>
        </is>
      </c>
      <c r="E162" t="inlineStr">
        <is>
          <t>ÖSTHAMMAR</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19174-2022</t>
        </is>
      </c>
      <c r="B163" s="1" t="n">
        <v>44691</v>
      </c>
      <c r="C163" s="1" t="n">
        <v>46200</v>
      </c>
      <c r="D163" t="inlineStr">
        <is>
          <t>UPPSALA LÄN</t>
        </is>
      </c>
      <c r="E163" t="inlineStr">
        <is>
          <t>ÖSTHAMMAR</t>
        </is>
      </c>
      <c r="G163" t="n">
        <v>0.8</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46200</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15456-2022</t>
        </is>
      </c>
      <c r="B165" s="1" t="n">
        <v>44661</v>
      </c>
      <c r="C165" s="1" t="n">
        <v>46200</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13867-2022</t>
        </is>
      </c>
      <c r="B166" s="1" t="n">
        <v>44649</v>
      </c>
      <c r="C166" s="1" t="n">
        <v>46200</v>
      </c>
      <c r="D166" t="inlineStr">
        <is>
          <t>UPPSALA LÄN</t>
        </is>
      </c>
      <c r="E166" t="inlineStr">
        <is>
          <t>ÖSTHAMMAR</t>
        </is>
      </c>
      <c r="F166" t="inlineStr">
        <is>
          <t>Bergvik skog öst AB</t>
        </is>
      </c>
      <c r="G166" t="n">
        <v>1.1</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46200</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67859-2021</t>
        </is>
      </c>
      <c r="B168" s="1" t="n">
        <v>44525</v>
      </c>
      <c r="C168" s="1" t="n">
        <v>46200</v>
      </c>
      <c r="D168" t="inlineStr">
        <is>
          <t>UPPSALA LÄN</t>
        </is>
      </c>
      <c r="E168" t="inlineStr">
        <is>
          <t>ÖSTHAMMAR</t>
        </is>
      </c>
      <c r="G168" t="n">
        <v>1.9</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46200</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46200</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15334-2022</t>
        </is>
      </c>
      <c r="B171" s="1" t="n">
        <v>44659</v>
      </c>
      <c r="C171" s="1" t="n">
        <v>46200</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64872-2021</t>
        </is>
      </c>
      <c r="B172" s="1" t="n">
        <v>44512</v>
      </c>
      <c r="C172" s="1" t="n">
        <v>46200</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v>
      </c>
      <c r="C173" s="1" t="n">
        <v>46200</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v>
      </c>
      <c r="C174" s="1" t="n">
        <v>46200</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43469-2021</t>
        </is>
      </c>
      <c r="B175" s="1" t="n">
        <v>44432</v>
      </c>
      <c r="C175" s="1" t="n">
        <v>46200</v>
      </c>
      <c r="D175" t="inlineStr">
        <is>
          <t>UPPSALA LÄN</t>
        </is>
      </c>
      <c r="E175" t="inlineStr">
        <is>
          <t>ÖSTHAMMAR</t>
        </is>
      </c>
      <c r="G175" t="n">
        <v>3.9</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46200</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v>
      </c>
      <c r="C177" s="1" t="n">
        <v>46200</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48308-2021</t>
        </is>
      </c>
      <c r="B178" s="1" t="n">
        <v>44450</v>
      </c>
      <c r="C178" s="1" t="n">
        <v>46200</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v>
      </c>
      <c r="C179" s="1" t="n">
        <v>46200</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49914-2022</t>
        </is>
      </c>
      <c r="B180" s="1" t="n">
        <v>44865</v>
      </c>
      <c r="C180" s="1" t="n">
        <v>46200</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v>
      </c>
      <c r="C181" s="1" t="n">
        <v>46200</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22945-2022</t>
        </is>
      </c>
      <c r="B182" s="1" t="n">
        <v>44715</v>
      </c>
      <c r="C182" s="1" t="n">
        <v>46200</v>
      </c>
      <c r="D182" t="inlineStr">
        <is>
          <t>UPPSALA LÄN</t>
        </is>
      </c>
      <c r="E182" t="inlineStr">
        <is>
          <t>ÖSTHAMMAR</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46200</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4315-2022</t>
        </is>
      </c>
      <c r="B184" s="1" t="n">
        <v>44588</v>
      </c>
      <c r="C184" s="1" t="n">
        <v>46200</v>
      </c>
      <c r="D184" t="inlineStr">
        <is>
          <t>UPPSALA LÄN</t>
        </is>
      </c>
      <c r="E184" t="inlineStr">
        <is>
          <t>ÖSTHAMMAR</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24149-2022</t>
        </is>
      </c>
      <c r="B185" s="1" t="n">
        <v>44725</v>
      </c>
      <c r="C185" s="1" t="n">
        <v>46200</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46200</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24138-2022</t>
        </is>
      </c>
      <c r="B187" s="1" t="n">
        <v>44725</v>
      </c>
      <c r="C187" s="1" t="n">
        <v>46200</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37545-2022</t>
        </is>
      </c>
      <c r="B188" s="1" t="n">
        <v>44809</v>
      </c>
      <c r="C188" s="1" t="n">
        <v>46200</v>
      </c>
      <c r="D188" t="inlineStr">
        <is>
          <t>UPPSALA LÄN</t>
        </is>
      </c>
      <c r="E188" t="inlineStr">
        <is>
          <t>ÖSTHAMMAR</t>
        </is>
      </c>
      <c r="G188" t="n">
        <v>3.1</v>
      </c>
      <c r="H188" t="n">
        <v>0</v>
      </c>
      <c r="I188" t="n">
        <v>0</v>
      </c>
      <c r="J188" t="n">
        <v>0</v>
      </c>
      <c r="K188" t="n">
        <v>0</v>
      </c>
      <c r="L188" t="n">
        <v>0</v>
      </c>
      <c r="M188" t="n">
        <v>0</v>
      </c>
      <c r="N188" t="n">
        <v>0</v>
      </c>
      <c r="O188" t="n">
        <v>0</v>
      </c>
      <c r="P188" t="n">
        <v>0</v>
      </c>
      <c r="Q188" t="n">
        <v>0</v>
      </c>
      <c r="R188" s="2" t="inlineStr"/>
    </row>
    <row r="189" ht="15" customHeight="1">
      <c r="A189" t="inlineStr">
        <is>
          <t>A 30209-2022</t>
        </is>
      </c>
      <c r="B189" s="1" t="n">
        <v>44757</v>
      </c>
      <c r="C189" s="1" t="n">
        <v>46200</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47163-2022</t>
        </is>
      </c>
      <c r="B190" s="1" t="n">
        <v>44852</v>
      </c>
      <c r="C190" s="1" t="n">
        <v>46200</v>
      </c>
      <c r="D190" t="inlineStr">
        <is>
          <t>UPPSALA LÄN</t>
        </is>
      </c>
      <c r="E190" t="inlineStr">
        <is>
          <t>ÖSTHAMMAR</t>
        </is>
      </c>
      <c r="G190" t="n">
        <v>5.5</v>
      </c>
      <c r="H190" t="n">
        <v>0</v>
      </c>
      <c r="I190" t="n">
        <v>0</v>
      </c>
      <c r="J190" t="n">
        <v>0</v>
      </c>
      <c r="K190" t="n">
        <v>0</v>
      </c>
      <c r="L190" t="n">
        <v>0</v>
      </c>
      <c r="M190" t="n">
        <v>0</v>
      </c>
      <c r="N190" t="n">
        <v>0</v>
      </c>
      <c r="O190" t="n">
        <v>0</v>
      </c>
      <c r="P190" t="n">
        <v>0</v>
      </c>
      <c r="Q190" t="n">
        <v>0</v>
      </c>
      <c r="R190" s="2" t="inlineStr"/>
    </row>
    <row r="191" ht="15" customHeight="1">
      <c r="A191" t="inlineStr">
        <is>
          <t>A 38501-2022</t>
        </is>
      </c>
      <c r="B191" s="1" t="n">
        <v>44813</v>
      </c>
      <c r="C191" s="1" t="n">
        <v>46200</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66549-2021</t>
        </is>
      </c>
      <c r="B192" s="1" t="n">
        <v>44519</v>
      </c>
      <c r="C192" s="1" t="n">
        <v>46200</v>
      </c>
      <c r="D192" t="inlineStr">
        <is>
          <t>UPPSALA LÄN</t>
        </is>
      </c>
      <c r="E192" t="inlineStr">
        <is>
          <t>ÖSTHAMMAR</t>
        </is>
      </c>
      <c r="F192" t="inlineStr">
        <is>
          <t>Bergvik skog öst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46200</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49334-2022</t>
        </is>
      </c>
      <c r="B194" s="1" t="n">
        <v>44861</v>
      </c>
      <c r="C194" s="1" t="n">
        <v>46200</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51612-2021</t>
        </is>
      </c>
      <c r="B195" s="1" t="n">
        <v>44462</v>
      </c>
      <c r="C195" s="1" t="n">
        <v>46200</v>
      </c>
      <c r="D195" t="inlineStr">
        <is>
          <t>UPPSALA LÄN</t>
        </is>
      </c>
      <c r="E195" t="inlineStr">
        <is>
          <t>ÖSTHAMMAR</t>
        </is>
      </c>
      <c r="G195" t="n">
        <v>2.7</v>
      </c>
      <c r="H195" t="n">
        <v>0</v>
      </c>
      <c r="I195" t="n">
        <v>0</v>
      </c>
      <c r="J195" t="n">
        <v>0</v>
      </c>
      <c r="K195" t="n">
        <v>0</v>
      </c>
      <c r="L195" t="n">
        <v>0</v>
      </c>
      <c r="M195" t="n">
        <v>0</v>
      </c>
      <c r="N195" t="n">
        <v>0</v>
      </c>
      <c r="O195" t="n">
        <v>0</v>
      </c>
      <c r="P195" t="n">
        <v>0</v>
      </c>
      <c r="Q195" t="n">
        <v>0</v>
      </c>
      <c r="R195" s="2" t="inlineStr"/>
    </row>
    <row r="196" ht="15" customHeight="1">
      <c r="A196" t="inlineStr">
        <is>
          <t>A 19287-2022</t>
        </is>
      </c>
      <c r="B196" s="1" t="n">
        <v>44692</v>
      </c>
      <c r="C196" s="1" t="n">
        <v>46200</v>
      </c>
      <c r="D196" t="inlineStr">
        <is>
          <t>UPPSALA LÄN</t>
        </is>
      </c>
      <c r="E196" t="inlineStr">
        <is>
          <t>ÖSTHAMMAR</t>
        </is>
      </c>
      <c r="F196" t="inlineStr">
        <is>
          <t>Bergvik skog öst AB</t>
        </is>
      </c>
      <c r="G196" t="n">
        <v>0.5</v>
      </c>
      <c r="H196" t="n">
        <v>0</v>
      </c>
      <c r="I196" t="n">
        <v>0</v>
      </c>
      <c r="J196" t="n">
        <v>0</v>
      </c>
      <c r="K196" t="n">
        <v>0</v>
      </c>
      <c r="L196" t="n">
        <v>0</v>
      </c>
      <c r="M196" t="n">
        <v>0</v>
      </c>
      <c r="N196" t="n">
        <v>0</v>
      </c>
      <c r="O196" t="n">
        <v>0</v>
      </c>
      <c r="P196" t="n">
        <v>0</v>
      </c>
      <c r="Q196" t="n">
        <v>0</v>
      </c>
      <c r="R196" s="2" t="inlineStr"/>
    </row>
    <row r="197" ht="15" customHeight="1">
      <c r="A197" t="inlineStr">
        <is>
          <t>A 11987-2022</t>
        </is>
      </c>
      <c r="B197" s="1" t="n">
        <v>44635</v>
      </c>
      <c r="C197" s="1" t="n">
        <v>46200</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22207-2022</t>
        </is>
      </c>
      <c r="B198" s="1" t="n">
        <v>44712</v>
      </c>
      <c r="C198" s="1" t="n">
        <v>46200</v>
      </c>
      <c r="D198" t="inlineStr">
        <is>
          <t>UPPSALA LÄN</t>
        </is>
      </c>
      <c r="E198" t="inlineStr">
        <is>
          <t>ÖSTHAMMAR</t>
        </is>
      </c>
      <c r="F198" t="inlineStr">
        <is>
          <t>Bergvik skog öst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19181-2022</t>
        </is>
      </c>
      <c r="B199" s="1" t="n">
        <v>44691</v>
      </c>
      <c r="C199" s="1" t="n">
        <v>46200</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19707-2022</t>
        </is>
      </c>
      <c r="B200" s="1" t="n">
        <v>44694</v>
      </c>
      <c r="C200" s="1" t="n">
        <v>46200</v>
      </c>
      <c r="D200" t="inlineStr">
        <is>
          <t>UPPSALA LÄN</t>
        </is>
      </c>
      <c r="E200" t="inlineStr">
        <is>
          <t>ÖSTHAMMAR</t>
        </is>
      </c>
      <c r="F200" t="inlineStr">
        <is>
          <t>Allmännings- och besparingsskogar</t>
        </is>
      </c>
      <c r="G200" t="n">
        <v>0.5</v>
      </c>
      <c r="H200" t="n">
        <v>0</v>
      </c>
      <c r="I200" t="n">
        <v>0</v>
      </c>
      <c r="J200" t="n">
        <v>0</v>
      </c>
      <c r="K200" t="n">
        <v>0</v>
      </c>
      <c r="L200" t="n">
        <v>0</v>
      </c>
      <c r="M200" t="n">
        <v>0</v>
      </c>
      <c r="N200" t="n">
        <v>0</v>
      </c>
      <c r="O200" t="n">
        <v>0</v>
      </c>
      <c r="P200" t="n">
        <v>0</v>
      </c>
      <c r="Q200" t="n">
        <v>0</v>
      </c>
      <c r="R200" s="2" t="inlineStr"/>
    </row>
    <row r="201" ht="15" customHeight="1">
      <c r="A201" t="inlineStr">
        <is>
          <t>A 7871-2022</t>
        </is>
      </c>
      <c r="B201" s="1" t="n">
        <v>44608</v>
      </c>
      <c r="C201" s="1" t="n">
        <v>46200</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24817-2022</t>
        </is>
      </c>
      <c r="B202" s="1" t="n">
        <v>44728</v>
      </c>
      <c r="C202" s="1" t="n">
        <v>46200</v>
      </c>
      <c r="D202" t="inlineStr">
        <is>
          <t>UPPSALA LÄN</t>
        </is>
      </c>
      <c r="E202" t="inlineStr">
        <is>
          <t>ÖSTHAMMAR</t>
        </is>
      </c>
      <c r="F202" t="inlineStr">
        <is>
          <t>Sveaskog</t>
        </is>
      </c>
      <c r="G202" t="n">
        <v>0.2</v>
      </c>
      <c r="H202" t="n">
        <v>0</v>
      </c>
      <c r="I202" t="n">
        <v>0</v>
      </c>
      <c r="J202" t="n">
        <v>0</v>
      </c>
      <c r="K202" t="n">
        <v>0</v>
      </c>
      <c r="L202" t="n">
        <v>0</v>
      </c>
      <c r="M202" t="n">
        <v>0</v>
      </c>
      <c r="N202" t="n">
        <v>0</v>
      </c>
      <c r="O202" t="n">
        <v>0</v>
      </c>
      <c r="P202" t="n">
        <v>0</v>
      </c>
      <c r="Q202" t="n">
        <v>0</v>
      </c>
      <c r="R202" s="2" t="inlineStr"/>
    </row>
    <row r="203" ht="15" customHeight="1">
      <c r="A203" t="inlineStr">
        <is>
          <t>A 51906-2022</t>
        </is>
      </c>
      <c r="B203" s="1" t="n">
        <v>44872</v>
      </c>
      <c r="C203" s="1" t="n">
        <v>46200</v>
      </c>
      <c r="D203" t="inlineStr">
        <is>
          <t>UPPSALA LÄN</t>
        </is>
      </c>
      <c r="E203" t="inlineStr">
        <is>
          <t>ÖSTHAMMAR</t>
        </is>
      </c>
      <c r="G203" t="n">
        <v>0.4</v>
      </c>
      <c r="H203" t="n">
        <v>0</v>
      </c>
      <c r="I203" t="n">
        <v>0</v>
      </c>
      <c r="J203" t="n">
        <v>0</v>
      </c>
      <c r="K203" t="n">
        <v>0</v>
      </c>
      <c r="L203" t="n">
        <v>0</v>
      </c>
      <c r="M203" t="n">
        <v>0</v>
      </c>
      <c r="N203" t="n">
        <v>0</v>
      </c>
      <c r="O203" t="n">
        <v>0</v>
      </c>
      <c r="P203" t="n">
        <v>0</v>
      </c>
      <c r="Q203" t="n">
        <v>0</v>
      </c>
      <c r="R203" s="2" t="inlineStr"/>
    </row>
    <row r="204" ht="15" customHeight="1">
      <c r="A204" t="inlineStr">
        <is>
          <t>A 16184-2022</t>
        </is>
      </c>
      <c r="B204" s="1" t="n">
        <v>44669</v>
      </c>
      <c r="C204" s="1" t="n">
        <v>46200</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31182-2022</t>
        </is>
      </c>
      <c r="B205" s="1" t="n">
        <v>44770</v>
      </c>
      <c r="C205" s="1" t="n">
        <v>46200</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26534-2022</t>
        </is>
      </c>
      <c r="B206" s="1" t="n">
        <v>44739</v>
      </c>
      <c r="C206" s="1" t="n">
        <v>46200</v>
      </c>
      <c r="D206" t="inlineStr">
        <is>
          <t>UPPSALA LÄN</t>
        </is>
      </c>
      <c r="E206" t="inlineStr">
        <is>
          <t>ÖSTHAMMAR</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52898-2021</t>
        </is>
      </c>
      <c r="B207" s="1" t="n">
        <v>44467</v>
      </c>
      <c r="C207" s="1" t="n">
        <v>46200</v>
      </c>
      <c r="D207" t="inlineStr">
        <is>
          <t>UPPSALA LÄN</t>
        </is>
      </c>
      <c r="E207" t="inlineStr">
        <is>
          <t>ÖSTHAMMAR</t>
        </is>
      </c>
      <c r="G207" t="n">
        <v>2.3</v>
      </c>
      <c r="H207" t="n">
        <v>0</v>
      </c>
      <c r="I207" t="n">
        <v>0</v>
      </c>
      <c r="J207" t="n">
        <v>0</v>
      </c>
      <c r="K207" t="n">
        <v>0</v>
      </c>
      <c r="L207" t="n">
        <v>0</v>
      </c>
      <c r="M207" t="n">
        <v>0</v>
      </c>
      <c r="N207" t="n">
        <v>0</v>
      </c>
      <c r="O207" t="n">
        <v>0</v>
      </c>
      <c r="P207" t="n">
        <v>0</v>
      </c>
      <c r="Q207" t="n">
        <v>0</v>
      </c>
      <c r="R207" s="2" t="inlineStr"/>
    </row>
    <row r="208" ht="15" customHeight="1">
      <c r="A208" t="inlineStr">
        <is>
          <t>A 18736-2022</t>
        </is>
      </c>
      <c r="B208" s="1" t="n">
        <v>44687</v>
      </c>
      <c r="C208" s="1" t="n">
        <v>46200</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46200</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52544-2021</t>
        </is>
      </c>
      <c r="B210" s="1" t="n">
        <v>44466</v>
      </c>
      <c r="C210" s="1" t="n">
        <v>46200</v>
      </c>
      <c r="D210" t="inlineStr">
        <is>
          <t>UPPSALA LÄN</t>
        </is>
      </c>
      <c r="E210" t="inlineStr">
        <is>
          <t>ÖSTHAMMAR</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46200</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17867-2024</t>
        </is>
      </c>
      <c r="B212" s="1" t="n">
        <v>45419</v>
      </c>
      <c r="C212" s="1" t="n">
        <v>46200</v>
      </c>
      <c r="D212" t="inlineStr">
        <is>
          <t>UPPSALA LÄN</t>
        </is>
      </c>
      <c r="E212" t="inlineStr">
        <is>
          <t>ÖSTHAMMAR</t>
        </is>
      </c>
      <c r="G212" t="n">
        <v>7.2</v>
      </c>
      <c r="H212" t="n">
        <v>0</v>
      </c>
      <c r="I212" t="n">
        <v>0</v>
      </c>
      <c r="J212" t="n">
        <v>0</v>
      </c>
      <c r="K212" t="n">
        <v>0</v>
      </c>
      <c r="L212" t="n">
        <v>0</v>
      </c>
      <c r="M212" t="n">
        <v>0</v>
      </c>
      <c r="N212" t="n">
        <v>0</v>
      </c>
      <c r="O212" t="n">
        <v>0</v>
      </c>
      <c r="P212" t="n">
        <v>0</v>
      </c>
      <c r="Q212" t="n">
        <v>0</v>
      </c>
      <c r="R212" s="2" t="inlineStr"/>
    </row>
    <row r="213" ht="15" customHeight="1">
      <c r="A213" t="inlineStr">
        <is>
          <t>A 18734-2022</t>
        </is>
      </c>
      <c r="B213" s="1" t="n">
        <v>44687</v>
      </c>
      <c r="C213" s="1" t="n">
        <v>46200</v>
      </c>
      <c r="D213" t="inlineStr">
        <is>
          <t>UPPSALA LÄN</t>
        </is>
      </c>
      <c r="E213" t="inlineStr">
        <is>
          <t>ÖSTHAMMAR</t>
        </is>
      </c>
      <c r="F213" t="inlineStr">
        <is>
          <t>Bergvik skog öst AB</t>
        </is>
      </c>
      <c r="G213" t="n">
        <v>0.3</v>
      </c>
      <c r="H213" t="n">
        <v>0</v>
      </c>
      <c r="I213" t="n">
        <v>0</v>
      </c>
      <c r="J213" t="n">
        <v>0</v>
      </c>
      <c r="K213" t="n">
        <v>0</v>
      </c>
      <c r="L213" t="n">
        <v>0</v>
      </c>
      <c r="M213" t="n">
        <v>0</v>
      </c>
      <c r="N213" t="n">
        <v>0</v>
      </c>
      <c r="O213" t="n">
        <v>0</v>
      </c>
      <c r="P213" t="n">
        <v>0</v>
      </c>
      <c r="Q213" t="n">
        <v>0</v>
      </c>
      <c r="R213" s="2" t="inlineStr"/>
    </row>
    <row r="214" ht="15" customHeight="1">
      <c r="A214" t="inlineStr">
        <is>
          <t>A 4228-2023</t>
        </is>
      </c>
      <c r="B214" s="1" t="n">
        <v>44953</v>
      </c>
      <c r="C214" s="1" t="n">
        <v>46200</v>
      </c>
      <c r="D214" t="inlineStr">
        <is>
          <t>UPPSALA LÄN</t>
        </is>
      </c>
      <c r="E214" t="inlineStr">
        <is>
          <t>ÖSTHAMMAR</t>
        </is>
      </c>
      <c r="G214" t="n">
        <v>1</v>
      </c>
      <c r="H214" t="n">
        <v>0</v>
      </c>
      <c r="I214" t="n">
        <v>0</v>
      </c>
      <c r="J214" t="n">
        <v>0</v>
      </c>
      <c r="K214" t="n">
        <v>0</v>
      </c>
      <c r="L214" t="n">
        <v>0</v>
      </c>
      <c r="M214" t="n">
        <v>0</v>
      </c>
      <c r="N214" t="n">
        <v>0</v>
      </c>
      <c r="O214" t="n">
        <v>0</v>
      </c>
      <c r="P214" t="n">
        <v>0</v>
      </c>
      <c r="Q214" t="n">
        <v>0</v>
      </c>
      <c r="R214" s="2" t="inlineStr"/>
    </row>
    <row r="215" ht="15" customHeight="1">
      <c r="A215" t="inlineStr">
        <is>
          <t>A 57003-2021</t>
        </is>
      </c>
      <c r="B215" s="1" t="n">
        <v>44482</v>
      </c>
      <c r="C215" s="1" t="n">
        <v>46200</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36301-2023</t>
        </is>
      </c>
      <c r="B216" s="1" t="n">
        <v>45152</v>
      </c>
      <c r="C216" s="1" t="n">
        <v>46200</v>
      </c>
      <c r="D216" t="inlineStr">
        <is>
          <t>UPPSALA LÄN</t>
        </is>
      </c>
      <c r="E216" t="inlineStr">
        <is>
          <t>ÖSTHAMMAR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7195-2023</t>
        </is>
      </c>
      <c r="B217" s="1" t="n">
        <v>44970</v>
      </c>
      <c r="C217" s="1" t="n">
        <v>46200</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17013-2022</t>
        </is>
      </c>
      <c r="B218" s="1" t="n">
        <v>44676</v>
      </c>
      <c r="C218" s="1" t="n">
        <v>46200</v>
      </c>
      <c r="D218" t="inlineStr">
        <is>
          <t>UPPSALA LÄN</t>
        </is>
      </c>
      <c r="E218" t="inlineStr">
        <is>
          <t>ÖSTHAMMAR</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26774-2023</t>
        </is>
      </c>
      <c r="B219" s="1" t="n">
        <v>45093</v>
      </c>
      <c r="C219" s="1" t="n">
        <v>46200</v>
      </c>
      <c r="D219" t="inlineStr">
        <is>
          <t>UPPSALA LÄN</t>
        </is>
      </c>
      <c r="E219" t="inlineStr">
        <is>
          <t>ÖSTHAMMAR</t>
        </is>
      </c>
      <c r="F219" t="inlineStr">
        <is>
          <t>Bergvik skog öst AB</t>
        </is>
      </c>
      <c r="G219" t="n">
        <v>2.1</v>
      </c>
      <c r="H219" t="n">
        <v>0</v>
      </c>
      <c r="I219" t="n">
        <v>0</v>
      </c>
      <c r="J219" t="n">
        <v>0</v>
      </c>
      <c r="K219" t="n">
        <v>0</v>
      </c>
      <c r="L219" t="n">
        <v>0</v>
      </c>
      <c r="M219" t="n">
        <v>0</v>
      </c>
      <c r="N219" t="n">
        <v>0</v>
      </c>
      <c r="O219" t="n">
        <v>0</v>
      </c>
      <c r="P219" t="n">
        <v>0</v>
      </c>
      <c r="Q219" t="n">
        <v>0</v>
      </c>
      <c r="R219" s="2" t="inlineStr"/>
    </row>
    <row r="220" ht="15" customHeight="1">
      <c r="A220" t="inlineStr">
        <is>
          <t>A 37568-2022</t>
        </is>
      </c>
      <c r="B220" s="1" t="n">
        <v>44809</v>
      </c>
      <c r="C220" s="1" t="n">
        <v>46200</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2085-2022</t>
        </is>
      </c>
      <c r="B221" s="1" t="n">
        <v>44576</v>
      </c>
      <c r="C221" s="1" t="n">
        <v>46200</v>
      </c>
      <c r="D221" t="inlineStr">
        <is>
          <t>UPPSALA LÄN</t>
        </is>
      </c>
      <c r="E221" t="inlineStr">
        <is>
          <t>ÖSTHAMMAR</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12999-2022</t>
        </is>
      </c>
      <c r="B222" s="1" t="n">
        <v>44643</v>
      </c>
      <c r="C222" s="1" t="n">
        <v>46200</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31479-2023</t>
        </is>
      </c>
      <c r="B223" s="1" t="n">
        <v>45114</v>
      </c>
      <c r="C223" s="1" t="n">
        <v>46200</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27308-2023</t>
        </is>
      </c>
      <c r="B224" s="1" t="n">
        <v>45096</v>
      </c>
      <c r="C224" s="1" t="n">
        <v>46200</v>
      </c>
      <c r="D224" t="inlineStr">
        <is>
          <t>UPPSALA LÄN</t>
        </is>
      </c>
      <c r="E224" t="inlineStr">
        <is>
          <t>ÖSTHAMMAR</t>
        </is>
      </c>
      <c r="F224" t="inlineStr">
        <is>
          <t>Bergvik skog öst AB</t>
        </is>
      </c>
      <c r="G224" t="n">
        <v>2.4</v>
      </c>
      <c r="H224" t="n">
        <v>0</v>
      </c>
      <c r="I224" t="n">
        <v>0</v>
      </c>
      <c r="J224" t="n">
        <v>0</v>
      </c>
      <c r="K224" t="n">
        <v>0</v>
      </c>
      <c r="L224" t="n">
        <v>0</v>
      </c>
      <c r="M224" t="n">
        <v>0</v>
      </c>
      <c r="N224" t="n">
        <v>0</v>
      </c>
      <c r="O224" t="n">
        <v>0</v>
      </c>
      <c r="P224" t="n">
        <v>0</v>
      </c>
      <c r="Q224" t="n">
        <v>0</v>
      </c>
      <c r="R224" s="2" t="inlineStr"/>
    </row>
    <row r="225" ht="15" customHeight="1">
      <c r="A225" t="inlineStr">
        <is>
          <t>A 74436-2021</t>
        </is>
      </c>
      <c r="B225" s="1" t="n">
        <v>44560</v>
      </c>
      <c r="C225" s="1" t="n">
        <v>46200</v>
      </c>
      <c r="D225" t="inlineStr">
        <is>
          <t>UPPSALA LÄN</t>
        </is>
      </c>
      <c r="E225" t="inlineStr">
        <is>
          <t>ÖSTHAMMAR</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48719-2023</t>
        </is>
      </c>
      <c r="B226" s="1" t="n">
        <v>45208</v>
      </c>
      <c r="C226" s="1" t="n">
        <v>46200</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31574-2022</t>
        </is>
      </c>
      <c r="B227" s="1" t="n">
        <v>44775</v>
      </c>
      <c r="C227" s="1" t="n">
        <v>46200</v>
      </c>
      <c r="D227" t="inlineStr">
        <is>
          <t>UPPSALA LÄN</t>
        </is>
      </c>
      <c r="E227" t="inlineStr">
        <is>
          <t>ÖSTHAMMAR</t>
        </is>
      </c>
      <c r="G227" t="n">
        <v>29.7</v>
      </c>
      <c r="H227" t="n">
        <v>0</v>
      </c>
      <c r="I227" t="n">
        <v>0</v>
      </c>
      <c r="J227" t="n">
        <v>0</v>
      </c>
      <c r="K227" t="n">
        <v>0</v>
      </c>
      <c r="L227" t="n">
        <v>0</v>
      </c>
      <c r="M227" t="n">
        <v>0</v>
      </c>
      <c r="N227" t="n">
        <v>0</v>
      </c>
      <c r="O227" t="n">
        <v>0</v>
      </c>
      <c r="P227" t="n">
        <v>0</v>
      </c>
      <c r="Q227" t="n">
        <v>0</v>
      </c>
      <c r="R227" s="2" t="inlineStr"/>
    </row>
    <row r="228" ht="15" customHeight="1">
      <c r="A228" t="inlineStr">
        <is>
          <t>A 55086-2024</t>
        </is>
      </c>
      <c r="B228" s="1" t="n">
        <v>45621</v>
      </c>
      <c r="C228" s="1" t="n">
        <v>46200</v>
      </c>
      <c r="D228" t="inlineStr">
        <is>
          <t>UPPSALA LÄN</t>
        </is>
      </c>
      <c r="E228" t="inlineStr">
        <is>
          <t>ÖSTHAMMAR</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62695-2023</t>
        </is>
      </c>
      <c r="B229" s="1" t="n">
        <v>45271</v>
      </c>
      <c r="C229" s="1" t="n">
        <v>46200</v>
      </c>
      <c r="D229" t="inlineStr">
        <is>
          <t>UPPSALA LÄN</t>
        </is>
      </c>
      <c r="E229" t="inlineStr">
        <is>
          <t>ÖSTHAMMAR</t>
        </is>
      </c>
      <c r="G229" t="n">
        <v>5.3</v>
      </c>
      <c r="H229" t="n">
        <v>0</v>
      </c>
      <c r="I229" t="n">
        <v>0</v>
      </c>
      <c r="J229" t="n">
        <v>0</v>
      </c>
      <c r="K229" t="n">
        <v>0</v>
      </c>
      <c r="L229" t="n">
        <v>0</v>
      </c>
      <c r="M229" t="n">
        <v>0</v>
      </c>
      <c r="N229" t="n">
        <v>0</v>
      </c>
      <c r="O229" t="n">
        <v>0</v>
      </c>
      <c r="P229" t="n">
        <v>0</v>
      </c>
      <c r="Q229" t="n">
        <v>0</v>
      </c>
      <c r="R229" s="2" t="inlineStr"/>
    </row>
    <row r="230" ht="15" customHeight="1">
      <c r="A230" t="inlineStr">
        <is>
          <t>A 12528-2024</t>
        </is>
      </c>
      <c r="B230" s="1" t="n">
        <v>45379</v>
      </c>
      <c r="C230" s="1" t="n">
        <v>46200</v>
      </c>
      <c r="D230" t="inlineStr">
        <is>
          <t>UPPSALA LÄN</t>
        </is>
      </c>
      <c r="E230" t="inlineStr">
        <is>
          <t>ÖSTHAMMAR</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4559-2022</t>
        </is>
      </c>
      <c r="B231" s="1" t="n">
        <v>44591</v>
      </c>
      <c r="C231" s="1" t="n">
        <v>46200</v>
      </c>
      <c r="D231" t="inlineStr">
        <is>
          <t>UPPSALA LÄN</t>
        </is>
      </c>
      <c r="E231" t="inlineStr">
        <is>
          <t>ÖSTHAMMAR</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46200</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29873-2023</t>
        </is>
      </c>
      <c r="B233" s="1" t="n">
        <v>45107</v>
      </c>
      <c r="C233" s="1" t="n">
        <v>46200</v>
      </c>
      <c r="D233" t="inlineStr">
        <is>
          <t>UPPSALA LÄN</t>
        </is>
      </c>
      <c r="E233" t="inlineStr">
        <is>
          <t>ÖSTHAMMAR</t>
        </is>
      </c>
      <c r="F233" t="inlineStr">
        <is>
          <t>Naturvårdsverket</t>
        </is>
      </c>
      <c r="G233" t="n">
        <v>7.8</v>
      </c>
      <c r="H233" t="n">
        <v>0</v>
      </c>
      <c r="I233" t="n">
        <v>0</v>
      </c>
      <c r="J233" t="n">
        <v>0</v>
      </c>
      <c r="K233" t="n">
        <v>0</v>
      </c>
      <c r="L233" t="n">
        <v>0</v>
      </c>
      <c r="M233" t="n">
        <v>0</v>
      </c>
      <c r="N233" t="n">
        <v>0</v>
      </c>
      <c r="O233" t="n">
        <v>0</v>
      </c>
      <c r="P233" t="n">
        <v>0</v>
      </c>
      <c r="Q233" t="n">
        <v>0</v>
      </c>
      <c r="R233" s="2" t="inlineStr"/>
    </row>
    <row r="234" ht="15" customHeight="1">
      <c r="A234" t="inlineStr">
        <is>
          <t>A 10982-2023</t>
        </is>
      </c>
      <c r="B234" s="1" t="n">
        <v>44991</v>
      </c>
      <c r="C234" s="1" t="n">
        <v>46200</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9267-2024</t>
        </is>
      </c>
      <c r="B235" s="1" t="n">
        <v>45358</v>
      </c>
      <c r="C235" s="1" t="n">
        <v>46200</v>
      </c>
      <c r="D235" t="inlineStr">
        <is>
          <t>UPPSALA LÄN</t>
        </is>
      </c>
      <c r="E235" t="inlineStr">
        <is>
          <t>ÖSTHAMMAR</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33601-2024</t>
        </is>
      </c>
      <c r="B236" s="1" t="n">
        <v>45520</v>
      </c>
      <c r="C236" s="1" t="n">
        <v>46200</v>
      </c>
      <c r="D236" t="inlineStr">
        <is>
          <t>UPPSALA LÄN</t>
        </is>
      </c>
      <c r="E236" t="inlineStr">
        <is>
          <t>ÖSTHAMMAR</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20046-2023</t>
        </is>
      </c>
      <c r="B237" s="1" t="n">
        <v>45054</v>
      </c>
      <c r="C237" s="1" t="n">
        <v>46200</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61062-2023</t>
        </is>
      </c>
      <c r="B238" s="1" t="n">
        <v>45259</v>
      </c>
      <c r="C238" s="1" t="n">
        <v>46200</v>
      </c>
      <c r="D238" t="inlineStr">
        <is>
          <t>UPPSALA LÄN</t>
        </is>
      </c>
      <c r="E238" t="inlineStr">
        <is>
          <t>ÖSTHAMMAR</t>
        </is>
      </c>
      <c r="G238" t="n">
        <v>5.3</v>
      </c>
      <c r="H238" t="n">
        <v>0</v>
      </c>
      <c r="I238" t="n">
        <v>0</v>
      </c>
      <c r="J238" t="n">
        <v>0</v>
      </c>
      <c r="K238" t="n">
        <v>0</v>
      </c>
      <c r="L238" t="n">
        <v>0</v>
      </c>
      <c r="M238" t="n">
        <v>0</v>
      </c>
      <c r="N238" t="n">
        <v>0</v>
      </c>
      <c r="O238" t="n">
        <v>0</v>
      </c>
      <c r="P238" t="n">
        <v>0</v>
      </c>
      <c r="Q238" t="n">
        <v>0</v>
      </c>
      <c r="R238" s="2" t="inlineStr"/>
    </row>
    <row r="239" ht="15" customHeight="1">
      <c r="A239" t="inlineStr">
        <is>
          <t>A 55100-2024</t>
        </is>
      </c>
      <c r="B239" s="1" t="n">
        <v>45621</v>
      </c>
      <c r="C239" s="1" t="n">
        <v>46200</v>
      </c>
      <c r="D239" t="inlineStr">
        <is>
          <t>UPPSALA LÄN</t>
        </is>
      </c>
      <c r="E239" t="inlineStr">
        <is>
          <t>ÖSTHAMMAR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30086-2023</t>
        </is>
      </c>
      <c r="B240" s="1" t="n">
        <v>45110</v>
      </c>
      <c r="C240" s="1" t="n">
        <v>46200</v>
      </c>
      <c r="D240" t="inlineStr">
        <is>
          <t>UPPSALA LÄN</t>
        </is>
      </c>
      <c r="E240" t="inlineStr">
        <is>
          <t>ÖSTHAMMAR</t>
        </is>
      </c>
      <c r="G240" t="n">
        <v>3.5</v>
      </c>
      <c r="H240" t="n">
        <v>0</v>
      </c>
      <c r="I240" t="n">
        <v>0</v>
      </c>
      <c r="J240" t="n">
        <v>0</v>
      </c>
      <c r="K240" t="n">
        <v>0</v>
      </c>
      <c r="L240" t="n">
        <v>0</v>
      </c>
      <c r="M240" t="n">
        <v>0</v>
      </c>
      <c r="N240" t="n">
        <v>0</v>
      </c>
      <c r="O240" t="n">
        <v>0</v>
      </c>
      <c r="P240" t="n">
        <v>0</v>
      </c>
      <c r="Q240" t="n">
        <v>0</v>
      </c>
      <c r="R240" s="2" t="inlineStr"/>
    </row>
    <row r="241" ht="15" customHeight="1">
      <c r="A241" t="inlineStr">
        <is>
          <t>A 29753-2022</t>
        </is>
      </c>
      <c r="B241" s="1" t="n">
        <v>44755</v>
      </c>
      <c r="C241" s="1" t="n">
        <v>46200</v>
      </c>
      <c r="D241" t="inlineStr">
        <is>
          <t>UPPSALA LÄN</t>
        </is>
      </c>
      <c r="E241" t="inlineStr">
        <is>
          <t>ÖSTHAMMAR</t>
        </is>
      </c>
      <c r="G241" t="n">
        <v>9.4</v>
      </c>
      <c r="H241" t="n">
        <v>0</v>
      </c>
      <c r="I241" t="n">
        <v>0</v>
      </c>
      <c r="J241" t="n">
        <v>0</v>
      </c>
      <c r="K241" t="n">
        <v>0</v>
      </c>
      <c r="L241" t="n">
        <v>0</v>
      </c>
      <c r="M241" t="n">
        <v>0</v>
      </c>
      <c r="N241" t="n">
        <v>0</v>
      </c>
      <c r="O241" t="n">
        <v>0</v>
      </c>
      <c r="P241" t="n">
        <v>0</v>
      </c>
      <c r="Q241" t="n">
        <v>0</v>
      </c>
      <c r="R241" s="2" t="inlineStr"/>
    </row>
    <row r="242" ht="15" customHeight="1">
      <c r="A242" t="inlineStr">
        <is>
          <t>A 23197-2023</t>
        </is>
      </c>
      <c r="B242" s="1" t="n">
        <v>45075</v>
      </c>
      <c r="C242" s="1" t="n">
        <v>46200</v>
      </c>
      <c r="D242" t="inlineStr">
        <is>
          <t>UPPSALA LÄN</t>
        </is>
      </c>
      <c r="E242" t="inlineStr">
        <is>
          <t>ÖSTHAMMAR</t>
        </is>
      </c>
      <c r="G242" t="n">
        <v>0.5</v>
      </c>
      <c r="H242" t="n">
        <v>0</v>
      </c>
      <c r="I242" t="n">
        <v>0</v>
      </c>
      <c r="J242" t="n">
        <v>0</v>
      </c>
      <c r="K242" t="n">
        <v>0</v>
      </c>
      <c r="L242" t="n">
        <v>0</v>
      </c>
      <c r="M242" t="n">
        <v>0</v>
      </c>
      <c r="N242" t="n">
        <v>0</v>
      </c>
      <c r="O242" t="n">
        <v>0</v>
      </c>
      <c r="P242" t="n">
        <v>0</v>
      </c>
      <c r="Q242" t="n">
        <v>0</v>
      </c>
      <c r="R242" s="2" t="inlineStr"/>
    </row>
    <row r="243" ht="15" customHeight="1">
      <c r="A243" t="inlineStr">
        <is>
          <t>A 13044-2022</t>
        </is>
      </c>
      <c r="B243" s="1" t="n">
        <v>44643</v>
      </c>
      <c r="C243" s="1" t="n">
        <v>46200</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17433-2025</t>
        </is>
      </c>
      <c r="B244" s="1" t="n">
        <v>45757</v>
      </c>
      <c r="C244" s="1" t="n">
        <v>46200</v>
      </c>
      <c r="D244" t="inlineStr">
        <is>
          <t>UPPSALA LÄN</t>
        </is>
      </c>
      <c r="E244" t="inlineStr">
        <is>
          <t>ÖSTHAMMAR</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32742-2022</t>
        </is>
      </c>
      <c r="B245" s="1" t="n">
        <v>44783</v>
      </c>
      <c r="C245" s="1" t="n">
        <v>46200</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49833-2023</t>
        </is>
      </c>
      <c r="B246" s="1" t="n">
        <v>45212</v>
      </c>
      <c r="C246" s="1" t="n">
        <v>46200</v>
      </c>
      <c r="D246" t="inlineStr">
        <is>
          <t>UPPSALA LÄN</t>
        </is>
      </c>
      <c r="E246" t="inlineStr">
        <is>
          <t>ÖSTHAMMAR</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45307-2023</t>
        </is>
      </c>
      <c r="B247" s="1" t="n">
        <v>45191</v>
      </c>
      <c r="C247" s="1" t="n">
        <v>46200</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12756-2024</t>
        </is>
      </c>
      <c r="B248" s="1" t="n">
        <v>45384</v>
      </c>
      <c r="C248" s="1" t="n">
        <v>46200</v>
      </c>
      <c r="D248" t="inlineStr">
        <is>
          <t>UPPSALA LÄN</t>
        </is>
      </c>
      <c r="E248" t="inlineStr">
        <is>
          <t>ÖSTHAMMAR</t>
        </is>
      </c>
      <c r="G248" t="n">
        <v>1.3</v>
      </c>
      <c r="H248" t="n">
        <v>0</v>
      </c>
      <c r="I248" t="n">
        <v>0</v>
      </c>
      <c r="J248" t="n">
        <v>0</v>
      </c>
      <c r="K248" t="n">
        <v>0</v>
      </c>
      <c r="L248" t="n">
        <v>0</v>
      </c>
      <c r="M248" t="n">
        <v>0</v>
      </c>
      <c r="N248" t="n">
        <v>0</v>
      </c>
      <c r="O248" t="n">
        <v>0</v>
      </c>
      <c r="P248" t="n">
        <v>0</v>
      </c>
      <c r="Q248" t="n">
        <v>0</v>
      </c>
      <c r="R248" s="2" t="inlineStr"/>
    </row>
    <row r="249" ht="15" customHeight="1">
      <c r="A249" t="inlineStr">
        <is>
          <t>A 15928-2022</t>
        </is>
      </c>
      <c r="B249" s="1" t="n">
        <v>44664</v>
      </c>
      <c r="C249" s="1" t="n">
        <v>46200</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8708-2022</t>
        </is>
      </c>
      <c r="B250" s="1" t="n">
        <v>44613</v>
      </c>
      <c r="C250" s="1" t="n">
        <v>46200</v>
      </c>
      <c r="D250" t="inlineStr">
        <is>
          <t>UPPSALA LÄN</t>
        </is>
      </c>
      <c r="E250" t="inlineStr">
        <is>
          <t>ÖSTHAMMAR</t>
        </is>
      </c>
      <c r="G250" t="n">
        <v>4.3</v>
      </c>
      <c r="H250" t="n">
        <v>0</v>
      </c>
      <c r="I250" t="n">
        <v>0</v>
      </c>
      <c r="J250" t="n">
        <v>0</v>
      </c>
      <c r="K250" t="n">
        <v>0</v>
      </c>
      <c r="L250" t="n">
        <v>0</v>
      </c>
      <c r="M250" t="n">
        <v>0</v>
      </c>
      <c r="N250" t="n">
        <v>0</v>
      </c>
      <c r="O250" t="n">
        <v>0</v>
      </c>
      <c r="P250" t="n">
        <v>0</v>
      </c>
      <c r="Q250" t="n">
        <v>0</v>
      </c>
      <c r="R250" s="2" t="inlineStr"/>
    </row>
    <row r="251" ht="15" customHeight="1">
      <c r="A251" t="inlineStr">
        <is>
          <t>A 31669-2022</t>
        </is>
      </c>
      <c r="B251" s="1" t="n">
        <v>44775</v>
      </c>
      <c r="C251" s="1" t="n">
        <v>46200</v>
      </c>
      <c r="D251" t="inlineStr">
        <is>
          <t>UPPSALA LÄN</t>
        </is>
      </c>
      <c r="E251" t="inlineStr">
        <is>
          <t>ÖSTHAMMAR</t>
        </is>
      </c>
      <c r="G251" t="n">
        <v>6</v>
      </c>
      <c r="H251" t="n">
        <v>0</v>
      </c>
      <c r="I251" t="n">
        <v>0</v>
      </c>
      <c r="J251" t="n">
        <v>0</v>
      </c>
      <c r="K251" t="n">
        <v>0</v>
      </c>
      <c r="L251" t="n">
        <v>0</v>
      </c>
      <c r="M251" t="n">
        <v>0</v>
      </c>
      <c r="N251" t="n">
        <v>0</v>
      </c>
      <c r="O251" t="n">
        <v>0</v>
      </c>
      <c r="P251" t="n">
        <v>0</v>
      </c>
      <c r="Q251" t="n">
        <v>0</v>
      </c>
      <c r="R251" s="2" t="inlineStr"/>
    </row>
    <row r="252" ht="15" customHeight="1">
      <c r="A252" t="inlineStr">
        <is>
          <t>A 61261-2022</t>
        </is>
      </c>
      <c r="B252" s="1" t="n">
        <v>44915</v>
      </c>
      <c r="C252" s="1" t="n">
        <v>46200</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67151-2021</t>
        </is>
      </c>
      <c r="B253" s="1" t="n">
        <v>44523</v>
      </c>
      <c r="C253" s="1" t="n">
        <v>46200</v>
      </c>
      <c r="D253" t="inlineStr">
        <is>
          <t>UPPSALA LÄN</t>
        </is>
      </c>
      <c r="E253" t="inlineStr">
        <is>
          <t>ÖSTHAMMAR</t>
        </is>
      </c>
      <c r="G253" t="n">
        <v>2.4</v>
      </c>
      <c r="H253" t="n">
        <v>0</v>
      </c>
      <c r="I253" t="n">
        <v>0</v>
      </c>
      <c r="J253" t="n">
        <v>0</v>
      </c>
      <c r="K253" t="n">
        <v>0</v>
      </c>
      <c r="L253" t="n">
        <v>0</v>
      </c>
      <c r="M253" t="n">
        <v>0</v>
      </c>
      <c r="N253" t="n">
        <v>0</v>
      </c>
      <c r="O253" t="n">
        <v>0</v>
      </c>
      <c r="P253" t="n">
        <v>0</v>
      </c>
      <c r="Q253" t="n">
        <v>0</v>
      </c>
      <c r="R253" s="2" t="inlineStr"/>
    </row>
    <row r="254" ht="15" customHeight="1">
      <c r="A254" t="inlineStr">
        <is>
          <t>A 33760-2024</t>
        </is>
      </c>
      <c r="B254" s="1" t="n">
        <v>45520</v>
      </c>
      <c r="C254" s="1" t="n">
        <v>46200</v>
      </c>
      <c r="D254" t="inlineStr">
        <is>
          <t>UPPSALA LÄN</t>
        </is>
      </c>
      <c r="E254" t="inlineStr">
        <is>
          <t>ÖSTHAMMAR</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14187-2022</t>
        </is>
      </c>
      <c r="B255" s="1" t="n">
        <v>44651</v>
      </c>
      <c r="C255" s="1" t="n">
        <v>46200</v>
      </c>
      <c r="D255" t="inlineStr">
        <is>
          <t>UPPSALA LÄN</t>
        </is>
      </c>
      <c r="E255" t="inlineStr">
        <is>
          <t>ÖSTHAMMAR</t>
        </is>
      </c>
      <c r="F255" t="inlineStr">
        <is>
          <t>Övriga Aktiebolag</t>
        </is>
      </c>
      <c r="G255" t="n">
        <v>14.1</v>
      </c>
      <c r="H255" t="n">
        <v>0</v>
      </c>
      <c r="I255" t="n">
        <v>0</v>
      </c>
      <c r="J255" t="n">
        <v>0</v>
      </c>
      <c r="K255" t="n">
        <v>0</v>
      </c>
      <c r="L255" t="n">
        <v>0</v>
      </c>
      <c r="M255" t="n">
        <v>0</v>
      </c>
      <c r="N255" t="n">
        <v>0</v>
      </c>
      <c r="O255" t="n">
        <v>0</v>
      </c>
      <c r="P255" t="n">
        <v>0</v>
      </c>
      <c r="Q255" t="n">
        <v>0</v>
      </c>
      <c r="R255" s="2" t="inlineStr"/>
    </row>
    <row r="256" ht="15" customHeight="1">
      <c r="A256" t="inlineStr">
        <is>
          <t>A 8592-2022</t>
        </is>
      </c>
      <c r="B256" s="1" t="n">
        <v>44613</v>
      </c>
      <c r="C256" s="1" t="n">
        <v>46200</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13093-2022</t>
        </is>
      </c>
      <c r="B257" s="1" t="n">
        <v>44643</v>
      </c>
      <c r="C257" s="1" t="n">
        <v>46200</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52629-2023</t>
        </is>
      </c>
      <c r="B258" s="1" t="n">
        <v>45225</v>
      </c>
      <c r="C258" s="1" t="n">
        <v>46200</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35918-2023</t>
        </is>
      </c>
      <c r="B259" s="1" t="n">
        <v>45148</v>
      </c>
      <c r="C259" s="1" t="n">
        <v>46200</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6661-2024</t>
        </is>
      </c>
      <c r="B260" s="1" t="n">
        <v>45341</v>
      </c>
      <c r="C260" s="1" t="n">
        <v>46200</v>
      </c>
      <c r="D260" t="inlineStr">
        <is>
          <t>UPPSALA LÄN</t>
        </is>
      </c>
      <c r="E260" t="inlineStr">
        <is>
          <t>ÖSTHAMMAR</t>
        </is>
      </c>
      <c r="G260" t="n">
        <v>0.2</v>
      </c>
      <c r="H260" t="n">
        <v>0</v>
      </c>
      <c r="I260" t="n">
        <v>0</v>
      </c>
      <c r="J260" t="n">
        <v>0</v>
      </c>
      <c r="K260" t="n">
        <v>0</v>
      </c>
      <c r="L260" t="n">
        <v>0</v>
      </c>
      <c r="M260" t="n">
        <v>0</v>
      </c>
      <c r="N260" t="n">
        <v>0</v>
      </c>
      <c r="O260" t="n">
        <v>0</v>
      </c>
      <c r="P260" t="n">
        <v>0</v>
      </c>
      <c r="Q260" t="n">
        <v>0</v>
      </c>
      <c r="R260" s="2" t="inlineStr"/>
    </row>
    <row r="261" ht="15" customHeight="1">
      <c r="A261" t="inlineStr">
        <is>
          <t>A 56903-2023</t>
        </is>
      </c>
      <c r="B261" s="1" t="n">
        <v>45244</v>
      </c>
      <c r="C261" s="1" t="n">
        <v>46200</v>
      </c>
      <c r="D261" t="inlineStr">
        <is>
          <t>UPPSALA LÄN</t>
        </is>
      </c>
      <c r="E261" t="inlineStr">
        <is>
          <t>ÖSTHAMMAR</t>
        </is>
      </c>
      <c r="G261" t="n">
        <v>3.1</v>
      </c>
      <c r="H261" t="n">
        <v>0</v>
      </c>
      <c r="I261" t="n">
        <v>0</v>
      </c>
      <c r="J261" t="n">
        <v>0</v>
      </c>
      <c r="K261" t="n">
        <v>0</v>
      </c>
      <c r="L261" t="n">
        <v>0</v>
      </c>
      <c r="M261" t="n">
        <v>0</v>
      </c>
      <c r="N261" t="n">
        <v>0</v>
      </c>
      <c r="O261" t="n">
        <v>0</v>
      </c>
      <c r="P261" t="n">
        <v>0</v>
      </c>
      <c r="Q261" t="n">
        <v>0</v>
      </c>
      <c r="R261" s="2" t="inlineStr"/>
    </row>
    <row r="262" ht="15" customHeight="1">
      <c r="A262" t="inlineStr">
        <is>
          <t>A 9542-2023</t>
        </is>
      </c>
      <c r="B262" s="1" t="n">
        <v>44981</v>
      </c>
      <c r="C262" s="1" t="n">
        <v>46200</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28420-2023</t>
        </is>
      </c>
      <c r="B263" s="1" t="n">
        <v>45102</v>
      </c>
      <c r="C263" s="1" t="n">
        <v>46200</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28432-2023</t>
        </is>
      </c>
      <c r="B264" s="1" t="n">
        <v>45102</v>
      </c>
      <c r="C264" s="1" t="n">
        <v>46200</v>
      </c>
      <c r="D264" t="inlineStr">
        <is>
          <t>UPPSALA LÄN</t>
        </is>
      </c>
      <c r="E264" t="inlineStr">
        <is>
          <t>ÖSTHAMMAR</t>
        </is>
      </c>
      <c r="F264" t="inlineStr">
        <is>
          <t>Bergvik skog öst AB</t>
        </is>
      </c>
      <c r="G264" t="n">
        <v>3.9</v>
      </c>
      <c r="H264" t="n">
        <v>0</v>
      </c>
      <c r="I264" t="n">
        <v>0</v>
      </c>
      <c r="J264" t="n">
        <v>0</v>
      </c>
      <c r="K264" t="n">
        <v>0</v>
      </c>
      <c r="L264" t="n">
        <v>0</v>
      </c>
      <c r="M264" t="n">
        <v>0</v>
      </c>
      <c r="N264" t="n">
        <v>0</v>
      </c>
      <c r="O264" t="n">
        <v>0</v>
      </c>
      <c r="P264" t="n">
        <v>0</v>
      </c>
      <c r="Q264" t="n">
        <v>0</v>
      </c>
      <c r="R264" s="2" t="inlineStr"/>
    </row>
    <row r="265" ht="15" customHeight="1">
      <c r="A265" t="inlineStr">
        <is>
          <t>A 6143-2022</t>
        </is>
      </c>
      <c r="B265" s="1" t="n">
        <v>44599</v>
      </c>
      <c r="C265" s="1" t="n">
        <v>46200</v>
      </c>
      <c r="D265" t="inlineStr">
        <is>
          <t>UPPSALA LÄN</t>
        </is>
      </c>
      <c r="E265" t="inlineStr">
        <is>
          <t>ÖSTHAMMAR</t>
        </is>
      </c>
      <c r="G265" t="n">
        <v>3.4</v>
      </c>
      <c r="H265" t="n">
        <v>0</v>
      </c>
      <c r="I265" t="n">
        <v>0</v>
      </c>
      <c r="J265" t="n">
        <v>0</v>
      </c>
      <c r="K265" t="n">
        <v>0</v>
      </c>
      <c r="L265" t="n">
        <v>0</v>
      </c>
      <c r="M265" t="n">
        <v>0</v>
      </c>
      <c r="N265" t="n">
        <v>0</v>
      </c>
      <c r="O265" t="n">
        <v>0</v>
      </c>
      <c r="P265" t="n">
        <v>0</v>
      </c>
      <c r="Q265" t="n">
        <v>0</v>
      </c>
      <c r="R265" s="2" t="inlineStr"/>
    </row>
    <row r="266" ht="15" customHeight="1">
      <c r="A266" t="inlineStr">
        <is>
          <t>A 56969-2022</t>
        </is>
      </c>
      <c r="B266" s="1" t="n">
        <v>44894</v>
      </c>
      <c r="C266" s="1" t="n">
        <v>46200</v>
      </c>
      <c r="D266" t="inlineStr">
        <is>
          <t>UPPSALA LÄN</t>
        </is>
      </c>
      <c r="E266" t="inlineStr">
        <is>
          <t>ÖSTHAMMAR</t>
        </is>
      </c>
      <c r="G266" t="n">
        <v>5.5</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46200</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36343-2022</t>
        </is>
      </c>
      <c r="B268" s="1" t="n">
        <v>44803</v>
      </c>
      <c r="C268" s="1" t="n">
        <v>46200</v>
      </c>
      <c r="D268" t="inlineStr">
        <is>
          <t>UPPSALA LÄN</t>
        </is>
      </c>
      <c r="E268" t="inlineStr">
        <is>
          <t>ÖSTHAMMAR</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16933-2022</t>
        </is>
      </c>
      <c r="B269" s="1" t="n">
        <v>44676</v>
      </c>
      <c r="C269" s="1" t="n">
        <v>46200</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14269-2025</t>
        </is>
      </c>
      <c r="B270" s="1" t="n">
        <v>45740</v>
      </c>
      <c r="C270" s="1" t="n">
        <v>46200</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60584-2021</t>
        </is>
      </c>
      <c r="B271" s="1" t="n">
        <v>44496</v>
      </c>
      <c r="C271" s="1" t="n">
        <v>46200</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44152-2024</t>
        </is>
      </c>
      <c r="B272" s="1" t="n">
        <v>45572</v>
      </c>
      <c r="C272" s="1" t="n">
        <v>46200</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47390-2023</t>
        </is>
      </c>
      <c r="B273" s="1" t="n">
        <v>45202</v>
      </c>
      <c r="C273" s="1" t="n">
        <v>46200</v>
      </c>
      <c r="D273" t="inlineStr">
        <is>
          <t>UPPSALA LÄN</t>
        </is>
      </c>
      <c r="E273" t="inlineStr">
        <is>
          <t>ÖSTHAMMAR</t>
        </is>
      </c>
      <c r="G273" t="n">
        <v>3.7</v>
      </c>
      <c r="H273" t="n">
        <v>0</v>
      </c>
      <c r="I273" t="n">
        <v>0</v>
      </c>
      <c r="J273" t="n">
        <v>0</v>
      </c>
      <c r="K273" t="n">
        <v>0</v>
      </c>
      <c r="L273" t="n">
        <v>0</v>
      </c>
      <c r="M273" t="n">
        <v>0</v>
      </c>
      <c r="N273" t="n">
        <v>0</v>
      </c>
      <c r="O273" t="n">
        <v>0</v>
      </c>
      <c r="P273" t="n">
        <v>0</v>
      </c>
      <c r="Q273" t="n">
        <v>0</v>
      </c>
      <c r="R273" s="2" t="inlineStr"/>
    </row>
    <row r="274" ht="15" customHeight="1">
      <c r="A274" t="inlineStr">
        <is>
          <t>A 5855-2022</t>
        </is>
      </c>
      <c r="B274" s="1" t="n">
        <v>44596</v>
      </c>
      <c r="C274" s="1" t="n">
        <v>46200</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21522-2022</t>
        </is>
      </c>
      <c r="B275" s="1" t="n">
        <v>44706</v>
      </c>
      <c r="C275" s="1" t="n">
        <v>46200</v>
      </c>
      <c r="D275" t="inlineStr">
        <is>
          <t>UPPSALA LÄN</t>
        </is>
      </c>
      <c r="E275" t="inlineStr">
        <is>
          <t>ÖSTHAMMAR</t>
        </is>
      </c>
      <c r="G275" t="n">
        <v>1.8</v>
      </c>
      <c r="H275" t="n">
        <v>0</v>
      </c>
      <c r="I275" t="n">
        <v>0</v>
      </c>
      <c r="J275" t="n">
        <v>0</v>
      </c>
      <c r="K275" t="n">
        <v>0</v>
      </c>
      <c r="L275" t="n">
        <v>0</v>
      </c>
      <c r="M275" t="n">
        <v>0</v>
      </c>
      <c r="N275" t="n">
        <v>0</v>
      </c>
      <c r="O275" t="n">
        <v>0</v>
      </c>
      <c r="P275" t="n">
        <v>0</v>
      </c>
      <c r="Q275" t="n">
        <v>0</v>
      </c>
      <c r="R275" s="2" t="inlineStr"/>
    </row>
    <row r="276" ht="15" customHeight="1">
      <c r="A276" t="inlineStr">
        <is>
          <t>A 5877-2023</t>
        </is>
      </c>
      <c r="B276" s="1" t="n">
        <v>44963</v>
      </c>
      <c r="C276" s="1" t="n">
        <v>46200</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52389-2022</t>
        </is>
      </c>
      <c r="B277" s="1" t="n">
        <v>44874</v>
      </c>
      <c r="C277" s="1" t="n">
        <v>46200</v>
      </c>
      <c r="D277" t="inlineStr">
        <is>
          <t>UPPSALA LÄN</t>
        </is>
      </c>
      <c r="E277" t="inlineStr">
        <is>
          <t>ÖSTHAMMAR</t>
        </is>
      </c>
      <c r="G277" t="n">
        <v>3.1</v>
      </c>
      <c r="H277" t="n">
        <v>0</v>
      </c>
      <c r="I277" t="n">
        <v>0</v>
      </c>
      <c r="J277" t="n">
        <v>0</v>
      </c>
      <c r="K277" t="n">
        <v>0</v>
      </c>
      <c r="L277" t="n">
        <v>0</v>
      </c>
      <c r="M277" t="n">
        <v>0</v>
      </c>
      <c r="N277" t="n">
        <v>0</v>
      </c>
      <c r="O277" t="n">
        <v>0</v>
      </c>
      <c r="P277" t="n">
        <v>0</v>
      </c>
      <c r="Q277" t="n">
        <v>0</v>
      </c>
      <c r="R277" s="2" t="inlineStr"/>
    </row>
    <row r="278" ht="15" customHeight="1">
      <c r="A278" t="inlineStr">
        <is>
          <t>A 16185-2022</t>
        </is>
      </c>
      <c r="B278" s="1" t="n">
        <v>44669</v>
      </c>
      <c r="C278" s="1" t="n">
        <v>46200</v>
      </c>
      <c r="D278" t="inlineStr">
        <is>
          <t>UPPSALA LÄN</t>
        </is>
      </c>
      <c r="E278" t="inlineStr">
        <is>
          <t>ÖSTHAMMAR</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35474-2023</t>
        </is>
      </c>
      <c r="B279" s="1" t="n">
        <v>45146</v>
      </c>
      <c r="C279" s="1" t="n">
        <v>46200</v>
      </c>
      <c r="D279" t="inlineStr">
        <is>
          <t>UPPSALA LÄN</t>
        </is>
      </c>
      <c r="E279" t="inlineStr">
        <is>
          <t>ÖSTHAMMAR</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57453-2022</t>
        </is>
      </c>
      <c r="B280" s="1" t="n">
        <v>44896</v>
      </c>
      <c r="C280" s="1" t="n">
        <v>46200</v>
      </c>
      <c r="D280" t="inlineStr">
        <is>
          <t>UPPSALA LÄN</t>
        </is>
      </c>
      <c r="E280" t="inlineStr">
        <is>
          <t>ÖSTHAMMAR</t>
        </is>
      </c>
      <c r="G280" t="n">
        <v>1.7</v>
      </c>
      <c r="H280" t="n">
        <v>0</v>
      </c>
      <c r="I280" t="n">
        <v>0</v>
      </c>
      <c r="J280" t="n">
        <v>0</v>
      </c>
      <c r="K280" t="n">
        <v>0</v>
      </c>
      <c r="L280" t="n">
        <v>0</v>
      </c>
      <c r="M280" t="n">
        <v>0</v>
      </c>
      <c r="N280" t="n">
        <v>0</v>
      </c>
      <c r="O280" t="n">
        <v>0</v>
      </c>
      <c r="P280" t="n">
        <v>0</v>
      </c>
      <c r="Q280" t="n">
        <v>0</v>
      </c>
      <c r="R280" s="2" t="inlineStr"/>
    </row>
    <row r="281" ht="15" customHeight="1">
      <c r="A281" t="inlineStr">
        <is>
          <t>A 57462-2022</t>
        </is>
      </c>
      <c r="B281" s="1" t="n">
        <v>44896</v>
      </c>
      <c r="C281" s="1" t="n">
        <v>46200</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31035-2022</t>
        </is>
      </c>
      <c r="B282" s="1" t="n">
        <v>44768</v>
      </c>
      <c r="C282" s="1" t="n">
        <v>46200</v>
      </c>
      <c r="D282" t="inlineStr">
        <is>
          <t>UPPSALA LÄN</t>
        </is>
      </c>
      <c r="E282" t="inlineStr">
        <is>
          <t>ÖSTHAMMAR</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v>
      </c>
      <c r="C283" s="1" t="n">
        <v>46200</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v>
      </c>
      <c r="C284" s="1" t="n">
        <v>46200</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24493-2023</t>
        </is>
      </c>
      <c r="B285" s="1" t="n">
        <v>45082</v>
      </c>
      <c r="C285" s="1" t="n">
        <v>46200</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51364-2021</t>
        </is>
      </c>
      <c r="B286" s="1" t="n">
        <v>44461</v>
      </c>
      <c r="C286" s="1" t="n">
        <v>46200</v>
      </c>
      <c r="D286" t="inlineStr">
        <is>
          <t>UPPSALA LÄN</t>
        </is>
      </c>
      <c r="E286" t="inlineStr">
        <is>
          <t>ÖSTHAMMAR</t>
        </is>
      </c>
      <c r="G286" t="n">
        <v>2.4</v>
      </c>
      <c r="H286" t="n">
        <v>0</v>
      </c>
      <c r="I286" t="n">
        <v>0</v>
      </c>
      <c r="J286" t="n">
        <v>0</v>
      </c>
      <c r="K286" t="n">
        <v>0</v>
      </c>
      <c r="L286" t="n">
        <v>0</v>
      </c>
      <c r="M286" t="n">
        <v>0</v>
      </c>
      <c r="N286" t="n">
        <v>0</v>
      </c>
      <c r="O286" t="n">
        <v>0</v>
      </c>
      <c r="P286" t="n">
        <v>0</v>
      </c>
      <c r="Q286" t="n">
        <v>0</v>
      </c>
      <c r="R286" s="2" t="inlineStr"/>
    </row>
    <row r="287" ht="15" customHeight="1">
      <c r="A287" t="inlineStr">
        <is>
          <t>A 7560-2023</t>
        </is>
      </c>
      <c r="B287" s="1" t="n">
        <v>44972</v>
      </c>
      <c r="C287" s="1" t="n">
        <v>46200</v>
      </c>
      <c r="D287" t="inlineStr">
        <is>
          <t>UPPSALA LÄN</t>
        </is>
      </c>
      <c r="E287" t="inlineStr">
        <is>
          <t>ÖSTHAMMAR</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43915-2023</t>
        </is>
      </c>
      <c r="B288" s="1" t="n">
        <v>45187</v>
      </c>
      <c r="C288" s="1" t="n">
        <v>46200</v>
      </c>
      <c r="D288" t="inlineStr">
        <is>
          <t>UPPSALA LÄN</t>
        </is>
      </c>
      <c r="E288" t="inlineStr">
        <is>
          <t>ÖSTHAMMAR</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19040-2023</t>
        </is>
      </c>
      <c r="B289" s="1" t="n">
        <v>45047</v>
      </c>
      <c r="C289" s="1" t="n">
        <v>46200</v>
      </c>
      <c r="D289" t="inlineStr">
        <is>
          <t>UPPSALA LÄN</t>
        </is>
      </c>
      <c r="E289" t="inlineStr">
        <is>
          <t>ÖSTHAMMAR</t>
        </is>
      </c>
      <c r="F289" t="inlineStr">
        <is>
          <t>Bergvik skog öst AB</t>
        </is>
      </c>
      <c r="G289" t="n">
        <v>1.7</v>
      </c>
      <c r="H289" t="n">
        <v>0</v>
      </c>
      <c r="I289" t="n">
        <v>0</v>
      </c>
      <c r="J289" t="n">
        <v>0</v>
      </c>
      <c r="K289" t="n">
        <v>0</v>
      </c>
      <c r="L289" t="n">
        <v>0</v>
      </c>
      <c r="M289" t="n">
        <v>0</v>
      </c>
      <c r="N289" t="n">
        <v>0</v>
      </c>
      <c r="O289" t="n">
        <v>0</v>
      </c>
      <c r="P289" t="n">
        <v>0</v>
      </c>
      <c r="Q289" t="n">
        <v>0</v>
      </c>
      <c r="R289" s="2" t="inlineStr"/>
    </row>
    <row r="290" ht="15" customHeight="1">
      <c r="A290" t="inlineStr">
        <is>
          <t>A 49097-2022</t>
        </is>
      </c>
      <c r="B290" s="1" t="n">
        <v>44860</v>
      </c>
      <c r="C290" s="1" t="n">
        <v>46200</v>
      </c>
      <c r="D290" t="inlineStr">
        <is>
          <t>UPPSALA LÄN</t>
        </is>
      </c>
      <c r="E290" t="inlineStr">
        <is>
          <t>ÖSTHAMMAR</t>
        </is>
      </c>
      <c r="G290" t="n">
        <v>6.9</v>
      </c>
      <c r="H290" t="n">
        <v>0</v>
      </c>
      <c r="I290" t="n">
        <v>0</v>
      </c>
      <c r="J290" t="n">
        <v>0</v>
      </c>
      <c r="K290" t="n">
        <v>0</v>
      </c>
      <c r="L290" t="n">
        <v>0</v>
      </c>
      <c r="M290" t="n">
        <v>0</v>
      </c>
      <c r="N290" t="n">
        <v>0</v>
      </c>
      <c r="O290" t="n">
        <v>0</v>
      </c>
      <c r="P290" t="n">
        <v>0</v>
      </c>
      <c r="Q290" t="n">
        <v>0</v>
      </c>
      <c r="R290" s="2" t="inlineStr"/>
    </row>
    <row r="291" ht="15" customHeight="1">
      <c r="A291" t="inlineStr">
        <is>
          <t>A 4004-2023</t>
        </is>
      </c>
      <c r="B291" s="1" t="n">
        <v>44952</v>
      </c>
      <c r="C291" s="1" t="n">
        <v>46200</v>
      </c>
      <c r="D291" t="inlineStr">
        <is>
          <t>UPPSALA LÄN</t>
        </is>
      </c>
      <c r="E291" t="inlineStr">
        <is>
          <t>ÖSTHAMMAR</t>
        </is>
      </c>
      <c r="G291" t="n">
        <v>4.1</v>
      </c>
      <c r="H291" t="n">
        <v>0</v>
      </c>
      <c r="I291" t="n">
        <v>0</v>
      </c>
      <c r="J291" t="n">
        <v>0</v>
      </c>
      <c r="K291" t="n">
        <v>0</v>
      </c>
      <c r="L291" t="n">
        <v>0</v>
      </c>
      <c r="M291" t="n">
        <v>0</v>
      </c>
      <c r="N291" t="n">
        <v>0</v>
      </c>
      <c r="O291" t="n">
        <v>0</v>
      </c>
      <c r="P291" t="n">
        <v>0</v>
      </c>
      <c r="Q291" t="n">
        <v>0</v>
      </c>
      <c r="R291" s="2" t="inlineStr"/>
    </row>
    <row r="292" ht="15" customHeight="1">
      <c r="A292" t="inlineStr">
        <is>
          <t>A 31549-2022</t>
        </is>
      </c>
      <c r="B292" s="1" t="n">
        <v>44775</v>
      </c>
      <c r="C292" s="1" t="n">
        <v>46200</v>
      </c>
      <c r="D292" t="inlineStr">
        <is>
          <t>UPPSALA LÄN</t>
        </is>
      </c>
      <c r="E292" t="inlineStr">
        <is>
          <t>ÖSTHAMMAR</t>
        </is>
      </c>
      <c r="G292" t="n">
        <v>1.5</v>
      </c>
      <c r="H292" t="n">
        <v>0</v>
      </c>
      <c r="I292" t="n">
        <v>0</v>
      </c>
      <c r="J292" t="n">
        <v>0</v>
      </c>
      <c r="K292" t="n">
        <v>0</v>
      </c>
      <c r="L292" t="n">
        <v>0</v>
      </c>
      <c r="M292" t="n">
        <v>0</v>
      </c>
      <c r="N292" t="n">
        <v>0</v>
      </c>
      <c r="O292" t="n">
        <v>0</v>
      </c>
      <c r="P292" t="n">
        <v>0</v>
      </c>
      <c r="Q292" t="n">
        <v>0</v>
      </c>
      <c r="R292" s="2" t="inlineStr"/>
    </row>
    <row r="293" ht="15" customHeight="1">
      <c r="A293" t="inlineStr">
        <is>
          <t>A 41821-2023</t>
        </is>
      </c>
      <c r="B293" s="1" t="n">
        <v>45176</v>
      </c>
      <c r="C293" s="1" t="n">
        <v>46200</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14272-2025</t>
        </is>
      </c>
      <c r="B294" s="1" t="n">
        <v>45740</v>
      </c>
      <c r="C294" s="1" t="n">
        <v>46200</v>
      </c>
      <c r="D294" t="inlineStr">
        <is>
          <t>UPPSALA LÄN</t>
        </is>
      </c>
      <c r="E294" t="inlineStr">
        <is>
          <t>ÖSTHAMMAR</t>
        </is>
      </c>
      <c r="G294" t="n">
        <v>5.7</v>
      </c>
      <c r="H294" t="n">
        <v>0</v>
      </c>
      <c r="I294" t="n">
        <v>0</v>
      </c>
      <c r="J294" t="n">
        <v>0</v>
      </c>
      <c r="K294" t="n">
        <v>0</v>
      </c>
      <c r="L294" t="n">
        <v>0</v>
      </c>
      <c r="M294" t="n">
        <v>0</v>
      </c>
      <c r="N294" t="n">
        <v>0</v>
      </c>
      <c r="O294" t="n">
        <v>0</v>
      </c>
      <c r="P294" t="n">
        <v>0</v>
      </c>
      <c r="Q294" t="n">
        <v>0</v>
      </c>
      <c r="R294" s="2" t="inlineStr"/>
    </row>
    <row r="295" ht="15" customHeight="1">
      <c r="A295" t="inlineStr">
        <is>
          <t>A 12215-2023</t>
        </is>
      </c>
      <c r="B295" s="1" t="n">
        <v>44998</v>
      </c>
      <c r="C295" s="1" t="n">
        <v>46200</v>
      </c>
      <c r="D295" t="inlineStr">
        <is>
          <t>UPPSALA LÄN</t>
        </is>
      </c>
      <c r="E295" t="inlineStr">
        <is>
          <t>ÖSTHAMMAR</t>
        </is>
      </c>
      <c r="G295" t="n">
        <v>5.1</v>
      </c>
      <c r="H295" t="n">
        <v>0</v>
      </c>
      <c r="I295" t="n">
        <v>0</v>
      </c>
      <c r="J295" t="n">
        <v>0</v>
      </c>
      <c r="K295" t="n">
        <v>0</v>
      </c>
      <c r="L295" t="n">
        <v>0</v>
      </c>
      <c r="M295" t="n">
        <v>0</v>
      </c>
      <c r="N295" t="n">
        <v>0</v>
      </c>
      <c r="O295" t="n">
        <v>0</v>
      </c>
      <c r="P295" t="n">
        <v>0</v>
      </c>
      <c r="Q295" t="n">
        <v>0</v>
      </c>
      <c r="R295" s="2" t="inlineStr"/>
    </row>
    <row r="296" ht="15" customHeight="1">
      <c r="A296" t="inlineStr">
        <is>
          <t>A 28421-2023</t>
        </is>
      </c>
      <c r="B296" s="1" t="n">
        <v>45102</v>
      </c>
      <c r="C296" s="1" t="n">
        <v>46200</v>
      </c>
      <c r="D296" t="inlineStr">
        <is>
          <t>UPPSALA LÄN</t>
        </is>
      </c>
      <c r="E296" t="inlineStr">
        <is>
          <t>ÖSTHAMMAR</t>
        </is>
      </c>
      <c r="F296" t="inlineStr">
        <is>
          <t>Bergvik skog öst AB</t>
        </is>
      </c>
      <c r="G296" t="n">
        <v>0.4</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46200</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8763-2025</t>
        </is>
      </c>
      <c r="B298" s="1" t="n">
        <v>45712</v>
      </c>
      <c r="C298" s="1" t="n">
        <v>46200</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835-2025</t>
        </is>
      </c>
      <c r="B299" s="1" t="n">
        <v>45665</v>
      </c>
      <c r="C299" s="1" t="n">
        <v>46200</v>
      </c>
      <c r="D299" t="inlineStr">
        <is>
          <t>UPPSALA LÄN</t>
        </is>
      </c>
      <c r="E299" t="inlineStr">
        <is>
          <t>ÖSTHAMMAR</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54368-2023</t>
        </is>
      </c>
      <c r="B300" s="1" t="n">
        <v>45233</v>
      </c>
      <c r="C300" s="1" t="n">
        <v>46200</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32815-2024</t>
        </is>
      </c>
      <c r="B301" s="1" t="n">
        <v>45516</v>
      </c>
      <c r="C301" s="1" t="n">
        <v>46200</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66779-2021</t>
        </is>
      </c>
      <c r="B302" s="1" t="n">
        <v>44522</v>
      </c>
      <c r="C302" s="1" t="n">
        <v>46200</v>
      </c>
      <c r="D302" t="inlineStr">
        <is>
          <t>UPPSALA LÄN</t>
        </is>
      </c>
      <c r="E302" t="inlineStr">
        <is>
          <t>ÖSTHAMMAR</t>
        </is>
      </c>
      <c r="G302" t="n">
        <v>2</v>
      </c>
      <c r="H302" t="n">
        <v>0</v>
      </c>
      <c r="I302" t="n">
        <v>0</v>
      </c>
      <c r="J302" t="n">
        <v>0</v>
      </c>
      <c r="K302" t="n">
        <v>0</v>
      </c>
      <c r="L302" t="n">
        <v>0</v>
      </c>
      <c r="M302" t="n">
        <v>0</v>
      </c>
      <c r="N302" t="n">
        <v>0</v>
      </c>
      <c r="O302" t="n">
        <v>0</v>
      </c>
      <c r="P302" t="n">
        <v>0</v>
      </c>
      <c r="Q302" t="n">
        <v>0</v>
      </c>
      <c r="R302" s="2" t="inlineStr"/>
    </row>
    <row r="303" ht="15" customHeight="1">
      <c r="A303" t="inlineStr">
        <is>
          <t>A 53735-2023</t>
        </is>
      </c>
      <c r="B303" s="1" t="n">
        <v>45230</v>
      </c>
      <c r="C303" s="1" t="n">
        <v>46200</v>
      </c>
      <c r="D303" t="inlineStr">
        <is>
          <t>UPPSALA LÄN</t>
        </is>
      </c>
      <c r="E303" t="inlineStr">
        <is>
          <t>ÖSTHAMMAR</t>
        </is>
      </c>
      <c r="G303" t="n">
        <v>1.1</v>
      </c>
      <c r="H303" t="n">
        <v>0</v>
      </c>
      <c r="I303" t="n">
        <v>0</v>
      </c>
      <c r="J303" t="n">
        <v>0</v>
      </c>
      <c r="K303" t="n">
        <v>0</v>
      </c>
      <c r="L303" t="n">
        <v>0</v>
      </c>
      <c r="M303" t="n">
        <v>0</v>
      </c>
      <c r="N303" t="n">
        <v>0</v>
      </c>
      <c r="O303" t="n">
        <v>0</v>
      </c>
      <c r="P303" t="n">
        <v>0</v>
      </c>
      <c r="Q303" t="n">
        <v>0</v>
      </c>
      <c r="R303" s="2" t="inlineStr"/>
    </row>
    <row r="304" ht="15" customHeight="1">
      <c r="A304" t="inlineStr">
        <is>
          <t>A 38702-2022</t>
        </is>
      </c>
      <c r="B304" s="1" t="n">
        <v>44814</v>
      </c>
      <c r="C304" s="1" t="n">
        <v>46200</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36857-2023</t>
        </is>
      </c>
      <c r="B305" s="1" t="n">
        <v>45154</v>
      </c>
      <c r="C305" s="1" t="n">
        <v>46200</v>
      </c>
      <c r="D305" t="inlineStr">
        <is>
          <t>UPPSALA LÄN</t>
        </is>
      </c>
      <c r="E305" t="inlineStr">
        <is>
          <t>ÖSTHAMMAR</t>
        </is>
      </c>
      <c r="G305" t="n">
        <v>0.5</v>
      </c>
      <c r="H305" t="n">
        <v>0</v>
      </c>
      <c r="I305" t="n">
        <v>0</v>
      </c>
      <c r="J305" t="n">
        <v>0</v>
      </c>
      <c r="K305" t="n">
        <v>0</v>
      </c>
      <c r="L305" t="n">
        <v>0</v>
      </c>
      <c r="M305" t="n">
        <v>0</v>
      </c>
      <c r="N305" t="n">
        <v>0</v>
      </c>
      <c r="O305" t="n">
        <v>0</v>
      </c>
      <c r="P305" t="n">
        <v>0</v>
      </c>
      <c r="Q305" t="n">
        <v>0</v>
      </c>
      <c r="R305" s="2" t="inlineStr"/>
    </row>
    <row r="306" ht="15" customHeight="1">
      <c r="A306" t="inlineStr">
        <is>
          <t>A 1439-2025</t>
        </is>
      </c>
      <c r="B306" s="1" t="n">
        <v>45669</v>
      </c>
      <c r="C306" s="1" t="n">
        <v>46200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1800-2023</t>
        </is>
      </c>
      <c r="B307" s="1" t="n">
        <v>44938</v>
      </c>
      <c r="C307" s="1" t="n">
        <v>46200</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5429-2023</t>
        </is>
      </c>
      <c r="B308" s="1" t="n">
        <v>44959</v>
      </c>
      <c r="C308" s="1" t="n">
        <v>46200</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11008-2023</t>
        </is>
      </c>
      <c r="B309" s="1" t="n">
        <v>44991</v>
      </c>
      <c r="C309" s="1" t="n">
        <v>46200</v>
      </c>
      <c r="D309" t="inlineStr">
        <is>
          <t>UPPSALA LÄN</t>
        </is>
      </c>
      <c r="E309" t="inlineStr">
        <is>
          <t>ÖSTHAMMAR</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1575-2025</t>
        </is>
      </c>
      <c r="B310" s="1" t="n">
        <v>45670</v>
      </c>
      <c r="C310" s="1" t="n">
        <v>46200</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60047-2021</t>
        </is>
      </c>
      <c r="B311" s="1" t="n">
        <v>44495</v>
      </c>
      <c r="C311" s="1" t="n">
        <v>46200</v>
      </c>
      <c r="D311" t="inlineStr">
        <is>
          <t>UPPSALA LÄN</t>
        </is>
      </c>
      <c r="E311" t="inlineStr">
        <is>
          <t>ÖSTHAMMAR</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31485-2023</t>
        </is>
      </c>
      <c r="B312" s="1" t="n">
        <v>45114</v>
      </c>
      <c r="C312" s="1" t="n">
        <v>46200</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3514-2023</t>
        </is>
      </c>
      <c r="B313" s="1" t="n">
        <v>44950</v>
      </c>
      <c r="C313" s="1" t="n">
        <v>46200</v>
      </c>
      <c r="D313" t="inlineStr">
        <is>
          <t>UPPSALA LÄN</t>
        </is>
      </c>
      <c r="E313" t="inlineStr">
        <is>
          <t>ÖSTHAMMAR</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25897-2023</t>
        </is>
      </c>
      <c r="B314" s="1" t="n">
        <v>45090</v>
      </c>
      <c r="C314" s="1" t="n">
        <v>46200</v>
      </c>
      <c r="D314" t="inlineStr">
        <is>
          <t>UPPSALA LÄN</t>
        </is>
      </c>
      <c r="E314" t="inlineStr">
        <is>
          <t>ÖSTHAMMAR</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24128-2023</t>
        </is>
      </c>
      <c r="B315" s="1" t="n">
        <v>45079</v>
      </c>
      <c r="C315" s="1" t="n">
        <v>46200</v>
      </c>
      <c r="D315" t="inlineStr">
        <is>
          <t>UPPSALA LÄN</t>
        </is>
      </c>
      <c r="E315" t="inlineStr">
        <is>
          <t>ÖSTHAMMAR</t>
        </is>
      </c>
      <c r="G315" t="n">
        <v>0.6</v>
      </c>
      <c r="H315" t="n">
        <v>0</v>
      </c>
      <c r="I315" t="n">
        <v>0</v>
      </c>
      <c r="J315" t="n">
        <v>0</v>
      </c>
      <c r="K315" t="n">
        <v>0</v>
      </c>
      <c r="L315" t="n">
        <v>0</v>
      </c>
      <c r="M315" t="n">
        <v>0</v>
      </c>
      <c r="N315" t="n">
        <v>0</v>
      </c>
      <c r="O315" t="n">
        <v>0</v>
      </c>
      <c r="P315" t="n">
        <v>0</v>
      </c>
      <c r="Q315" t="n">
        <v>0</v>
      </c>
      <c r="R315" s="2" t="inlineStr"/>
    </row>
    <row r="316" ht="15" customHeight="1">
      <c r="A316" t="inlineStr">
        <is>
          <t>A 33552-2024</t>
        </is>
      </c>
      <c r="B316" s="1" t="n">
        <v>45519</v>
      </c>
      <c r="C316" s="1" t="n">
        <v>46200</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24181-2022</t>
        </is>
      </c>
      <c r="B317" s="1" t="n">
        <v>44725</v>
      </c>
      <c r="C317" s="1" t="n">
        <v>46200</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38571-2023</t>
        </is>
      </c>
      <c r="B318" s="1" t="n">
        <v>45162</v>
      </c>
      <c r="C318" s="1" t="n">
        <v>46200</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5884-2023</t>
        </is>
      </c>
      <c r="B319" s="1" t="n">
        <v>44963</v>
      </c>
      <c r="C319" s="1" t="n">
        <v>46200</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19947-2024</t>
        </is>
      </c>
      <c r="B320" s="1" t="n">
        <v>45433</v>
      </c>
      <c r="C320" s="1" t="n">
        <v>46200</v>
      </c>
      <c r="D320" t="inlineStr">
        <is>
          <t>UPPSALA LÄN</t>
        </is>
      </c>
      <c r="E320" t="inlineStr">
        <is>
          <t>ÖSTHAMMAR</t>
        </is>
      </c>
      <c r="G320" t="n">
        <v>0.3</v>
      </c>
      <c r="H320" t="n">
        <v>0</v>
      </c>
      <c r="I320" t="n">
        <v>0</v>
      </c>
      <c r="J320" t="n">
        <v>0</v>
      </c>
      <c r="K320" t="n">
        <v>0</v>
      </c>
      <c r="L320" t="n">
        <v>0</v>
      </c>
      <c r="M320" t="n">
        <v>0</v>
      </c>
      <c r="N320" t="n">
        <v>0</v>
      </c>
      <c r="O320" t="n">
        <v>0</v>
      </c>
      <c r="P320" t="n">
        <v>0</v>
      </c>
      <c r="Q320" t="n">
        <v>0</v>
      </c>
      <c r="R320" s="2" t="inlineStr"/>
    </row>
    <row r="321" ht="15" customHeight="1">
      <c r="A321" t="inlineStr">
        <is>
          <t>A 33062-2021</t>
        </is>
      </c>
      <c r="B321" s="1" t="n">
        <v>44376</v>
      </c>
      <c r="C321" s="1" t="n">
        <v>46200</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57-2023</t>
        </is>
      </c>
      <c r="B322" s="1" t="n">
        <v>44928</v>
      </c>
      <c r="C322" s="1" t="n">
        <v>46200</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59-2023</t>
        </is>
      </c>
      <c r="B323" s="1" t="n">
        <v>44928</v>
      </c>
      <c r="C323" s="1" t="n">
        <v>46200</v>
      </c>
      <c r="D323" t="inlineStr">
        <is>
          <t>UPPSALA LÄN</t>
        </is>
      </c>
      <c r="E323" t="inlineStr">
        <is>
          <t>ÖSTHAMMAR</t>
        </is>
      </c>
      <c r="G323" t="n">
        <v>1.5</v>
      </c>
      <c r="H323" t="n">
        <v>0</v>
      </c>
      <c r="I323" t="n">
        <v>0</v>
      </c>
      <c r="J323" t="n">
        <v>0</v>
      </c>
      <c r="K323" t="n">
        <v>0</v>
      </c>
      <c r="L323" t="n">
        <v>0</v>
      </c>
      <c r="M323" t="n">
        <v>0</v>
      </c>
      <c r="N323" t="n">
        <v>0</v>
      </c>
      <c r="O323" t="n">
        <v>0</v>
      </c>
      <c r="P323" t="n">
        <v>0</v>
      </c>
      <c r="Q323" t="n">
        <v>0</v>
      </c>
      <c r="R323" s="2" t="inlineStr"/>
    </row>
    <row r="324" ht="15" customHeight="1">
      <c r="A324" t="inlineStr">
        <is>
          <t>A 67848-2021</t>
        </is>
      </c>
      <c r="B324" s="1" t="n">
        <v>44525</v>
      </c>
      <c r="C324" s="1" t="n">
        <v>46200</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70495-2021</t>
        </is>
      </c>
      <c r="B325" s="1" t="n">
        <v>44536</v>
      </c>
      <c r="C325" s="1" t="n">
        <v>46200</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55079-2024</t>
        </is>
      </c>
      <c r="B326" s="1" t="n">
        <v>45621</v>
      </c>
      <c r="C326" s="1" t="n">
        <v>46200</v>
      </c>
      <c r="D326" t="inlineStr">
        <is>
          <t>UPPSALA LÄN</t>
        </is>
      </c>
      <c r="E326" t="inlineStr">
        <is>
          <t>ÖSTHAMMAR</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3638-2022</t>
        </is>
      </c>
      <c r="B327" s="1" t="n">
        <v>44578</v>
      </c>
      <c r="C327" s="1" t="n">
        <v>46200</v>
      </c>
      <c r="D327" t="inlineStr">
        <is>
          <t>UPPSALA LÄN</t>
        </is>
      </c>
      <c r="E327" t="inlineStr">
        <is>
          <t>ÖSTHAMMAR</t>
        </is>
      </c>
      <c r="G327" t="n">
        <v>1.7</v>
      </c>
      <c r="H327" t="n">
        <v>0</v>
      </c>
      <c r="I327" t="n">
        <v>0</v>
      </c>
      <c r="J327" t="n">
        <v>0</v>
      </c>
      <c r="K327" t="n">
        <v>0</v>
      </c>
      <c r="L327" t="n">
        <v>0</v>
      </c>
      <c r="M327" t="n">
        <v>0</v>
      </c>
      <c r="N327" t="n">
        <v>0</v>
      </c>
      <c r="O327" t="n">
        <v>0</v>
      </c>
      <c r="P327" t="n">
        <v>0</v>
      </c>
      <c r="Q327" t="n">
        <v>0</v>
      </c>
      <c r="R327" s="2" t="inlineStr"/>
    </row>
    <row r="328" ht="15" customHeight="1">
      <c r="A328" t="inlineStr">
        <is>
          <t>A 33680-2024</t>
        </is>
      </c>
      <c r="B328" s="1" t="n">
        <v>45520</v>
      </c>
      <c r="C328" s="1" t="n">
        <v>46200</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59731-2023</t>
        </is>
      </c>
      <c r="B329" s="1" t="n">
        <v>45257</v>
      </c>
      <c r="C329" s="1" t="n">
        <v>46200</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30811-2023</t>
        </is>
      </c>
      <c r="B330" s="1" t="n">
        <v>45112</v>
      </c>
      <c r="C330" s="1" t="n">
        <v>46200</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64811-2021</t>
        </is>
      </c>
      <c r="B331" s="1" t="n">
        <v>44512</v>
      </c>
      <c r="C331" s="1" t="n">
        <v>46200</v>
      </c>
      <c r="D331" t="inlineStr">
        <is>
          <t>UPPSALA LÄN</t>
        </is>
      </c>
      <c r="E331" t="inlineStr">
        <is>
          <t>ÖSTHAMMAR</t>
        </is>
      </c>
      <c r="G331" t="n">
        <v>4.2</v>
      </c>
      <c r="H331" t="n">
        <v>0</v>
      </c>
      <c r="I331" t="n">
        <v>0</v>
      </c>
      <c r="J331" t="n">
        <v>0</v>
      </c>
      <c r="K331" t="n">
        <v>0</v>
      </c>
      <c r="L331" t="n">
        <v>0</v>
      </c>
      <c r="M331" t="n">
        <v>0</v>
      </c>
      <c r="N331" t="n">
        <v>0</v>
      </c>
      <c r="O331" t="n">
        <v>0</v>
      </c>
      <c r="P331" t="n">
        <v>0</v>
      </c>
      <c r="Q331" t="n">
        <v>0</v>
      </c>
      <c r="R331" s="2" t="inlineStr"/>
    </row>
    <row r="332" ht="15" customHeight="1">
      <c r="A332" t="inlineStr">
        <is>
          <t>A 55646-2021</t>
        </is>
      </c>
      <c r="B332" s="1" t="n">
        <v>44476</v>
      </c>
      <c r="C332" s="1" t="n">
        <v>46200</v>
      </c>
      <c r="D332" t="inlineStr">
        <is>
          <t>UPPSALA LÄN</t>
        </is>
      </c>
      <c r="E332" t="inlineStr">
        <is>
          <t>ÖSTHAMMAR</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49897-2023</t>
        </is>
      </c>
      <c r="B333" s="1" t="n">
        <v>45213</v>
      </c>
      <c r="C333" s="1" t="n">
        <v>46200</v>
      </c>
      <c r="D333" t="inlineStr">
        <is>
          <t>UPPSALA LÄN</t>
        </is>
      </c>
      <c r="E333" t="inlineStr">
        <is>
          <t>ÖSTHAMMAR</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61443-2024</t>
        </is>
      </c>
      <c r="B334" s="1" t="n">
        <v>45646</v>
      </c>
      <c r="C334" s="1" t="n">
        <v>46200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28228-2022</t>
        </is>
      </c>
      <c r="B335" s="1" t="n">
        <v>44746</v>
      </c>
      <c r="C335" s="1" t="n">
        <v>46200</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56382-2022</t>
        </is>
      </c>
      <c r="B336" s="1" t="n">
        <v>44890</v>
      </c>
      <c r="C336" s="1" t="n">
        <v>46200</v>
      </c>
      <c r="D336" t="inlineStr">
        <is>
          <t>UPPSALA LÄN</t>
        </is>
      </c>
      <c r="E336" t="inlineStr">
        <is>
          <t>ÖSTHAMMAR</t>
        </is>
      </c>
      <c r="F336" t="inlineStr">
        <is>
          <t>Allmännings- och besparingsskogar</t>
        </is>
      </c>
      <c r="G336" t="n">
        <v>1.1</v>
      </c>
      <c r="H336" t="n">
        <v>0</v>
      </c>
      <c r="I336" t="n">
        <v>0</v>
      </c>
      <c r="J336" t="n">
        <v>0</v>
      </c>
      <c r="K336" t="n">
        <v>0</v>
      </c>
      <c r="L336" t="n">
        <v>0</v>
      </c>
      <c r="M336" t="n">
        <v>0</v>
      </c>
      <c r="N336" t="n">
        <v>0</v>
      </c>
      <c r="O336" t="n">
        <v>0</v>
      </c>
      <c r="P336" t="n">
        <v>0</v>
      </c>
      <c r="Q336" t="n">
        <v>0</v>
      </c>
      <c r="R336" s="2" t="inlineStr"/>
    </row>
    <row r="337" ht="15" customHeight="1">
      <c r="A337" t="inlineStr">
        <is>
          <t>A 57043-2022</t>
        </is>
      </c>
      <c r="B337" s="1" t="n">
        <v>44895</v>
      </c>
      <c r="C337" s="1" t="n">
        <v>46200</v>
      </c>
      <c r="D337" t="inlineStr">
        <is>
          <t>UPPSALA LÄN</t>
        </is>
      </c>
      <c r="E337" t="inlineStr">
        <is>
          <t>ÖSTHAMMAR</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59880-2022</t>
        </is>
      </c>
      <c r="B338" s="1" t="n">
        <v>44908</v>
      </c>
      <c r="C338" s="1" t="n">
        <v>46200</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49831-2023</t>
        </is>
      </c>
      <c r="B339" s="1" t="n">
        <v>45212</v>
      </c>
      <c r="C339" s="1" t="n">
        <v>46200</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35316-2024</t>
        </is>
      </c>
      <c r="B340" s="1" t="n">
        <v>45530</v>
      </c>
      <c r="C340" s="1" t="n">
        <v>46200</v>
      </c>
      <c r="D340" t="inlineStr">
        <is>
          <t>UPPSALA LÄN</t>
        </is>
      </c>
      <c r="E340" t="inlineStr">
        <is>
          <t>ÖSTHAMMAR</t>
        </is>
      </c>
      <c r="F340" t="inlineStr">
        <is>
          <t>Bergvik skog öst AB</t>
        </is>
      </c>
      <c r="G340" t="n">
        <v>2.1</v>
      </c>
      <c r="H340" t="n">
        <v>0</v>
      </c>
      <c r="I340" t="n">
        <v>0</v>
      </c>
      <c r="J340" t="n">
        <v>0</v>
      </c>
      <c r="K340" t="n">
        <v>0</v>
      </c>
      <c r="L340" t="n">
        <v>0</v>
      </c>
      <c r="M340" t="n">
        <v>0</v>
      </c>
      <c r="N340" t="n">
        <v>0</v>
      </c>
      <c r="O340" t="n">
        <v>0</v>
      </c>
      <c r="P340" t="n">
        <v>0</v>
      </c>
      <c r="Q340" t="n">
        <v>0</v>
      </c>
      <c r="R340" s="2" t="inlineStr"/>
    </row>
    <row r="341" ht="15" customHeight="1">
      <c r="A341" t="inlineStr">
        <is>
          <t>A 45561-2023</t>
        </is>
      </c>
      <c r="B341" s="1" t="n">
        <v>45194</v>
      </c>
      <c r="C341" s="1" t="n">
        <v>46200</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7944-2023</t>
        </is>
      </c>
      <c r="B342" s="1" t="n">
        <v>44973</v>
      </c>
      <c r="C342" s="1" t="n">
        <v>46200</v>
      </c>
      <c r="D342" t="inlineStr">
        <is>
          <t>UPPSALA LÄN</t>
        </is>
      </c>
      <c r="E342" t="inlineStr">
        <is>
          <t>ÖSTHAMMAR</t>
        </is>
      </c>
      <c r="G342" t="n">
        <v>4.6</v>
      </c>
      <c r="H342" t="n">
        <v>0</v>
      </c>
      <c r="I342" t="n">
        <v>0</v>
      </c>
      <c r="J342" t="n">
        <v>0</v>
      </c>
      <c r="K342" t="n">
        <v>0</v>
      </c>
      <c r="L342" t="n">
        <v>0</v>
      </c>
      <c r="M342" t="n">
        <v>0</v>
      </c>
      <c r="N342" t="n">
        <v>0</v>
      </c>
      <c r="O342" t="n">
        <v>0</v>
      </c>
      <c r="P342" t="n">
        <v>0</v>
      </c>
      <c r="Q342" t="n">
        <v>0</v>
      </c>
      <c r="R342" s="2" t="inlineStr"/>
    </row>
    <row r="343" ht="15" customHeight="1">
      <c r="A343" t="inlineStr">
        <is>
          <t>A 52659-2021</t>
        </is>
      </c>
      <c r="B343" s="1" t="n">
        <v>44466</v>
      </c>
      <c r="C343" s="1" t="n">
        <v>46200</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18731-2022</t>
        </is>
      </c>
      <c r="B344" s="1" t="n">
        <v>44687</v>
      </c>
      <c r="C344" s="1" t="n">
        <v>46200</v>
      </c>
      <c r="D344" t="inlineStr">
        <is>
          <t>UPPSALA LÄN</t>
        </is>
      </c>
      <c r="E344" t="inlineStr">
        <is>
          <t>ÖSTHAMMAR</t>
        </is>
      </c>
      <c r="G344" t="n">
        <v>4.9</v>
      </c>
      <c r="H344" t="n">
        <v>0</v>
      </c>
      <c r="I344" t="n">
        <v>0</v>
      </c>
      <c r="J344" t="n">
        <v>0</v>
      </c>
      <c r="K344" t="n">
        <v>0</v>
      </c>
      <c r="L344" t="n">
        <v>0</v>
      </c>
      <c r="M344" t="n">
        <v>0</v>
      </c>
      <c r="N344" t="n">
        <v>0</v>
      </c>
      <c r="O344" t="n">
        <v>0</v>
      </c>
      <c r="P344" t="n">
        <v>0</v>
      </c>
      <c r="Q344" t="n">
        <v>0</v>
      </c>
      <c r="R344" s="2" t="inlineStr"/>
    </row>
    <row r="345" ht="15" customHeight="1">
      <c r="A345" t="inlineStr">
        <is>
          <t>A 7216-2025</t>
        </is>
      </c>
      <c r="B345" s="1" t="n">
        <v>45702</v>
      </c>
      <c r="C345" s="1" t="n">
        <v>46200</v>
      </c>
      <c r="D345" t="inlineStr">
        <is>
          <t>UPPSALA LÄN</t>
        </is>
      </c>
      <c r="E345" t="inlineStr">
        <is>
          <t>ÖSTHAMMAR</t>
        </is>
      </c>
      <c r="F345" t="inlineStr">
        <is>
          <t>Övriga Aktiebolag</t>
        </is>
      </c>
      <c r="G345" t="n">
        <v>12.5</v>
      </c>
      <c r="H345" t="n">
        <v>0</v>
      </c>
      <c r="I345" t="n">
        <v>0</v>
      </c>
      <c r="J345" t="n">
        <v>0</v>
      </c>
      <c r="K345" t="n">
        <v>0</v>
      </c>
      <c r="L345" t="n">
        <v>0</v>
      </c>
      <c r="M345" t="n">
        <v>0</v>
      </c>
      <c r="N345" t="n">
        <v>0</v>
      </c>
      <c r="O345" t="n">
        <v>0</v>
      </c>
      <c r="P345" t="n">
        <v>0</v>
      </c>
      <c r="Q345" t="n">
        <v>0</v>
      </c>
      <c r="R345" s="2" t="inlineStr"/>
    </row>
    <row r="346" ht="15" customHeight="1">
      <c r="A346" t="inlineStr">
        <is>
          <t>A 9642-2024</t>
        </is>
      </c>
      <c r="B346" s="1" t="n">
        <v>45362</v>
      </c>
      <c r="C346" s="1" t="n">
        <v>46200</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73965-2021</t>
        </is>
      </c>
      <c r="B347" s="1" t="n">
        <v>44553</v>
      </c>
      <c r="C347" s="1" t="n">
        <v>46200</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3418-2025</t>
        </is>
      </c>
      <c r="B348" s="1" t="n">
        <v>45680</v>
      </c>
      <c r="C348" s="1" t="n">
        <v>46200</v>
      </c>
      <c r="D348" t="inlineStr">
        <is>
          <t>UPPSALA LÄN</t>
        </is>
      </c>
      <c r="E348" t="inlineStr">
        <is>
          <t>ÖSTHAMMAR</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37812-2022</t>
        </is>
      </c>
      <c r="B349" s="1" t="n">
        <v>44810</v>
      </c>
      <c r="C349" s="1" t="n">
        <v>46200</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18401-2025</t>
        </is>
      </c>
      <c r="B350" s="1" t="n">
        <v>45762</v>
      </c>
      <c r="C350" s="1" t="n">
        <v>46200</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11036-2023</t>
        </is>
      </c>
      <c r="B351" s="1" t="n">
        <v>44991</v>
      </c>
      <c r="C351" s="1" t="n">
        <v>46200</v>
      </c>
      <c r="D351" t="inlineStr">
        <is>
          <t>UPPSALA LÄN</t>
        </is>
      </c>
      <c r="E351" t="inlineStr">
        <is>
          <t>ÖSTHAMMAR</t>
        </is>
      </c>
      <c r="F351" t="inlineStr">
        <is>
          <t>Bergvik skog öst AB</t>
        </is>
      </c>
      <c r="G351" t="n">
        <v>3</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46200</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28429-2023</t>
        </is>
      </c>
      <c r="B353" s="1" t="n">
        <v>45102</v>
      </c>
      <c r="C353" s="1" t="n">
        <v>46200</v>
      </c>
      <c r="D353" t="inlineStr">
        <is>
          <t>UPPSALA LÄN</t>
        </is>
      </c>
      <c r="E353" t="inlineStr">
        <is>
          <t>ÖSTHAMMAR</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32884-2024</t>
        </is>
      </c>
      <c r="B354" s="1" t="n">
        <v>45516</v>
      </c>
      <c r="C354" s="1" t="n">
        <v>46200</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64586-2021</t>
        </is>
      </c>
      <c r="B355" s="1" t="n">
        <v>44511</v>
      </c>
      <c r="C355" s="1" t="n">
        <v>46200</v>
      </c>
      <c r="D355" t="inlineStr">
        <is>
          <t>UPPSALA LÄN</t>
        </is>
      </c>
      <c r="E355" t="inlineStr">
        <is>
          <t>ÖSTHAMMAR</t>
        </is>
      </c>
      <c r="G355" t="n">
        <v>2</v>
      </c>
      <c r="H355" t="n">
        <v>0</v>
      </c>
      <c r="I355" t="n">
        <v>0</v>
      </c>
      <c r="J355" t="n">
        <v>0</v>
      </c>
      <c r="K355" t="n">
        <v>0</v>
      </c>
      <c r="L355" t="n">
        <v>0</v>
      </c>
      <c r="M355" t="n">
        <v>0</v>
      </c>
      <c r="N355" t="n">
        <v>0</v>
      </c>
      <c r="O355" t="n">
        <v>0</v>
      </c>
      <c r="P355" t="n">
        <v>0</v>
      </c>
      <c r="Q355" t="n">
        <v>0</v>
      </c>
      <c r="R355" s="2" t="inlineStr"/>
    </row>
    <row r="356" ht="15" customHeight="1">
      <c r="A356" t="inlineStr">
        <is>
          <t>A 30755-2024</t>
        </is>
      </c>
      <c r="B356" s="1" t="n">
        <v>45496</v>
      </c>
      <c r="C356" s="1" t="n">
        <v>46200</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4562-2022</t>
        </is>
      </c>
      <c r="B357" s="1" t="n">
        <v>44591</v>
      </c>
      <c r="C357" s="1" t="n">
        <v>46200</v>
      </c>
      <c r="D357" t="inlineStr">
        <is>
          <t>UPPSALA LÄN</t>
        </is>
      </c>
      <c r="E357" t="inlineStr">
        <is>
          <t>ÖSTHAMMAR</t>
        </is>
      </c>
      <c r="G357" t="n">
        <v>3.4</v>
      </c>
      <c r="H357" t="n">
        <v>0</v>
      </c>
      <c r="I357" t="n">
        <v>0</v>
      </c>
      <c r="J357" t="n">
        <v>0</v>
      </c>
      <c r="K357" t="n">
        <v>0</v>
      </c>
      <c r="L357" t="n">
        <v>0</v>
      </c>
      <c r="M357" t="n">
        <v>0</v>
      </c>
      <c r="N357" t="n">
        <v>0</v>
      </c>
      <c r="O357" t="n">
        <v>0</v>
      </c>
      <c r="P357" t="n">
        <v>0</v>
      </c>
      <c r="Q357" t="n">
        <v>0</v>
      </c>
      <c r="R357" s="2" t="inlineStr"/>
    </row>
    <row r="358" ht="15" customHeight="1">
      <c r="A358" t="inlineStr">
        <is>
          <t>A 53733-2023</t>
        </is>
      </c>
      <c r="B358" s="1" t="n">
        <v>45230</v>
      </c>
      <c r="C358" s="1" t="n">
        <v>46200</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41308-2023</t>
        </is>
      </c>
      <c r="B359" s="1" t="n">
        <v>45174</v>
      </c>
      <c r="C359" s="1" t="n">
        <v>46200</v>
      </c>
      <c r="D359" t="inlineStr">
        <is>
          <t>UPPSALA LÄN</t>
        </is>
      </c>
      <c r="E359" t="inlineStr">
        <is>
          <t>ÖSTHAMMAR</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70008-2021</t>
        </is>
      </c>
      <c r="B360" s="1" t="n">
        <v>44533</v>
      </c>
      <c r="C360" s="1" t="n">
        <v>46200</v>
      </c>
      <c r="D360" t="inlineStr">
        <is>
          <t>UPPSALA LÄN</t>
        </is>
      </c>
      <c r="E360" t="inlineStr">
        <is>
          <t>ÖSTHAMMAR</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v>
      </c>
      <c r="C361" s="1" t="n">
        <v>46200</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17969-2023</t>
        </is>
      </c>
      <c r="B362" s="1" t="n">
        <v>45040</v>
      </c>
      <c r="C362" s="1" t="n">
        <v>46200</v>
      </c>
      <c r="D362" t="inlineStr">
        <is>
          <t>UPPSALA LÄN</t>
        </is>
      </c>
      <c r="E362" t="inlineStr">
        <is>
          <t>ÖSTHAMMAR</t>
        </is>
      </c>
      <c r="G362" t="n">
        <v>5.4</v>
      </c>
      <c r="H362" t="n">
        <v>0</v>
      </c>
      <c r="I362" t="n">
        <v>0</v>
      </c>
      <c r="J362" t="n">
        <v>0</v>
      </c>
      <c r="K362" t="n">
        <v>0</v>
      </c>
      <c r="L362" t="n">
        <v>0</v>
      </c>
      <c r="M362" t="n">
        <v>0</v>
      </c>
      <c r="N362" t="n">
        <v>0</v>
      </c>
      <c r="O362" t="n">
        <v>0</v>
      </c>
      <c r="P362" t="n">
        <v>0</v>
      </c>
      <c r="Q362" t="n">
        <v>0</v>
      </c>
      <c r="R362" s="2" t="inlineStr"/>
    </row>
    <row r="363" ht="15" customHeight="1">
      <c r="A363" t="inlineStr">
        <is>
          <t>A 25969-2023</t>
        </is>
      </c>
      <c r="B363" s="1" t="n">
        <v>45090</v>
      </c>
      <c r="C363" s="1" t="n">
        <v>46200</v>
      </c>
      <c r="D363" t="inlineStr">
        <is>
          <t>UPPSALA LÄN</t>
        </is>
      </c>
      <c r="E363" t="inlineStr">
        <is>
          <t>ÖSTHAMMAR</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50998-2023</t>
        </is>
      </c>
      <c r="B364" s="1" t="n">
        <v>45218</v>
      </c>
      <c r="C364" s="1" t="n">
        <v>46200</v>
      </c>
      <c r="D364" t="inlineStr">
        <is>
          <t>UPPSALA LÄN</t>
        </is>
      </c>
      <c r="E364" t="inlineStr">
        <is>
          <t>ÖSTHAMMAR</t>
        </is>
      </c>
      <c r="G364" t="n">
        <v>3.6</v>
      </c>
      <c r="H364" t="n">
        <v>0</v>
      </c>
      <c r="I364" t="n">
        <v>0</v>
      </c>
      <c r="J364" t="n">
        <v>0</v>
      </c>
      <c r="K364" t="n">
        <v>0</v>
      </c>
      <c r="L364" t="n">
        <v>0</v>
      </c>
      <c r="M364" t="n">
        <v>0</v>
      </c>
      <c r="N364" t="n">
        <v>0</v>
      </c>
      <c r="O364" t="n">
        <v>0</v>
      </c>
      <c r="P364" t="n">
        <v>0</v>
      </c>
      <c r="Q364" t="n">
        <v>0</v>
      </c>
      <c r="R364" s="2" t="inlineStr"/>
    </row>
    <row r="365" ht="15" customHeight="1">
      <c r="A365" t="inlineStr">
        <is>
          <t>A 55837-2023</t>
        </is>
      </c>
      <c r="B365" s="1" t="n">
        <v>45239</v>
      </c>
      <c r="C365" s="1" t="n">
        <v>46200</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18838-2023</t>
        </is>
      </c>
      <c r="B366" s="1" t="n">
        <v>45044</v>
      </c>
      <c r="C366" s="1" t="n">
        <v>46200</v>
      </c>
      <c r="D366" t="inlineStr">
        <is>
          <t>UPPSALA LÄN</t>
        </is>
      </c>
      <c r="E366" t="inlineStr">
        <is>
          <t>ÖSTHAMMAR</t>
        </is>
      </c>
      <c r="G366" t="n">
        <v>2.8</v>
      </c>
      <c r="H366" t="n">
        <v>0</v>
      </c>
      <c r="I366" t="n">
        <v>0</v>
      </c>
      <c r="J366" t="n">
        <v>0</v>
      </c>
      <c r="K366" t="n">
        <v>0</v>
      </c>
      <c r="L366" t="n">
        <v>0</v>
      </c>
      <c r="M366" t="n">
        <v>0</v>
      </c>
      <c r="N366" t="n">
        <v>0</v>
      </c>
      <c r="O366" t="n">
        <v>0</v>
      </c>
      <c r="P366" t="n">
        <v>0</v>
      </c>
      <c r="Q366" t="n">
        <v>0</v>
      </c>
      <c r="R366" s="2" t="inlineStr"/>
    </row>
    <row r="367" ht="15" customHeight="1">
      <c r="A367" t="inlineStr">
        <is>
          <t>A 21624-2023</t>
        </is>
      </c>
      <c r="B367" s="1" t="n">
        <v>45063</v>
      </c>
      <c r="C367" s="1" t="n">
        <v>46200</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41996-2024</t>
        </is>
      </c>
      <c r="B368" s="1" t="n">
        <v>45561</v>
      </c>
      <c r="C368" s="1" t="n">
        <v>46200</v>
      </c>
      <c r="D368" t="inlineStr">
        <is>
          <t>UPPSALA LÄN</t>
        </is>
      </c>
      <c r="E368" t="inlineStr">
        <is>
          <t>ÖSTHAMMAR</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59382-2022</t>
        </is>
      </c>
      <c r="B369" s="1" t="n">
        <v>44905</v>
      </c>
      <c r="C369" s="1" t="n">
        <v>46200</v>
      </c>
      <c r="D369" t="inlineStr">
        <is>
          <t>UPPSALA LÄN</t>
        </is>
      </c>
      <c r="E369" t="inlineStr">
        <is>
          <t>ÖSTHAMMAR</t>
        </is>
      </c>
      <c r="G369" t="n">
        <v>2.9</v>
      </c>
      <c r="H369" t="n">
        <v>0</v>
      </c>
      <c r="I369" t="n">
        <v>0</v>
      </c>
      <c r="J369" t="n">
        <v>0</v>
      </c>
      <c r="K369" t="n">
        <v>0</v>
      </c>
      <c r="L369" t="n">
        <v>0</v>
      </c>
      <c r="M369" t="n">
        <v>0</v>
      </c>
      <c r="N369" t="n">
        <v>0</v>
      </c>
      <c r="O369" t="n">
        <v>0</v>
      </c>
      <c r="P369" t="n">
        <v>0</v>
      </c>
      <c r="Q369" t="n">
        <v>0</v>
      </c>
      <c r="R369" s="2" t="inlineStr"/>
    </row>
    <row r="370" ht="15" customHeight="1">
      <c r="A370" t="inlineStr">
        <is>
          <t>A 65028-2021</t>
        </is>
      </c>
      <c r="B370" s="1" t="n">
        <v>44515</v>
      </c>
      <c r="C370" s="1" t="n">
        <v>46200</v>
      </c>
      <c r="D370" t="inlineStr">
        <is>
          <t>UPPSALA LÄN</t>
        </is>
      </c>
      <c r="E370" t="inlineStr">
        <is>
          <t>ÖSTHAMMAR</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23742-2024</t>
        </is>
      </c>
      <c r="B371" s="1" t="n">
        <v>45455</v>
      </c>
      <c r="C371" s="1" t="n">
        <v>46200</v>
      </c>
      <c r="D371" t="inlineStr">
        <is>
          <t>UPPSALA LÄN</t>
        </is>
      </c>
      <c r="E371" t="inlineStr">
        <is>
          <t>ÖSTHAMMAR</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6106-2024</t>
        </is>
      </c>
      <c r="B372" s="1" t="n">
        <v>45337</v>
      </c>
      <c r="C372" s="1" t="n">
        <v>46200</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17085-2025</t>
        </is>
      </c>
      <c r="B373" s="1" t="n">
        <v>45755</v>
      </c>
      <c r="C373" s="1" t="n">
        <v>46200</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29231-2024</t>
        </is>
      </c>
      <c r="B374" s="1" t="n">
        <v>45482</v>
      </c>
      <c r="C374" s="1" t="n">
        <v>46200</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40547-2023</t>
        </is>
      </c>
      <c r="B375" s="1" t="n">
        <v>45170</v>
      </c>
      <c r="C375" s="1" t="n">
        <v>46200</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46200</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14505-2023</t>
        </is>
      </c>
      <c r="B377" s="1" t="n">
        <v>45012</v>
      </c>
      <c r="C377" s="1" t="n">
        <v>46200</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1238-2022</t>
        </is>
      </c>
      <c r="B378" s="1" t="n">
        <v>44572</v>
      </c>
      <c r="C378" s="1" t="n">
        <v>46200</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38003-2024</t>
        </is>
      </c>
      <c r="B379" s="1" t="n">
        <v>45544</v>
      </c>
      <c r="C379" s="1" t="n">
        <v>46200</v>
      </c>
      <c r="D379" t="inlineStr">
        <is>
          <t>UPPSALA LÄN</t>
        </is>
      </c>
      <c r="E379" t="inlineStr">
        <is>
          <t>ÖSTHAMMAR</t>
        </is>
      </c>
      <c r="F379" t="inlineStr">
        <is>
          <t>Naturvårdsverket</t>
        </is>
      </c>
      <c r="G379" t="n">
        <v>4.2</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46200</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11643-2022</t>
        </is>
      </c>
      <c r="B381" s="1" t="n">
        <v>44631</v>
      </c>
      <c r="C381" s="1" t="n">
        <v>46200</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25252-2024</t>
        </is>
      </c>
      <c r="B382" s="1" t="n">
        <v>45462</v>
      </c>
      <c r="C382" s="1" t="n">
        <v>46200</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16531-2025</t>
        </is>
      </c>
      <c r="B383" s="1" t="n">
        <v>45751</v>
      </c>
      <c r="C383" s="1" t="n">
        <v>46200</v>
      </c>
      <c r="D383" t="inlineStr">
        <is>
          <t>UPPSALA LÄN</t>
        </is>
      </c>
      <c r="E383" t="inlineStr">
        <is>
          <t>ÖSTHAMMAR</t>
        </is>
      </c>
      <c r="G383" t="n">
        <v>3.3</v>
      </c>
      <c r="H383" t="n">
        <v>0</v>
      </c>
      <c r="I383" t="n">
        <v>0</v>
      </c>
      <c r="J383" t="n">
        <v>0</v>
      </c>
      <c r="K383" t="n">
        <v>0</v>
      </c>
      <c r="L383" t="n">
        <v>0</v>
      </c>
      <c r="M383" t="n">
        <v>0</v>
      </c>
      <c r="N383" t="n">
        <v>0</v>
      </c>
      <c r="O383" t="n">
        <v>0</v>
      </c>
      <c r="P383" t="n">
        <v>0</v>
      </c>
      <c r="Q383" t="n">
        <v>0</v>
      </c>
      <c r="R383" s="2" t="inlineStr"/>
    </row>
    <row r="384" ht="15" customHeight="1">
      <c r="A384" t="inlineStr">
        <is>
          <t>A 34607-2023</t>
        </is>
      </c>
      <c r="B384" s="1" t="n">
        <v>45138</v>
      </c>
      <c r="C384" s="1" t="n">
        <v>46200</v>
      </c>
      <c r="D384" t="inlineStr">
        <is>
          <t>UPPSALA LÄN</t>
        </is>
      </c>
      <c r="E384" t="inlineStr">
        <is>
          <t>ÖSTHAMMAR</t>
        </is>
      </c>
      <c r="G384" t="n">
        <v>4.7</v>
      </c>
      <c r="H384" t="n">
        <v>0</v>
      </c>
      <c r="I384" t="n">
        <v>0</v>
      </c>
      <c r="J384" t="n">
        <v>0</v>
      </c>
      <c r="K384" t="n">
        <v>0</v>
      </c>
      <c r="L384" t="n">
        <v>0</v>
      </c>
      <c r="M384" t="n">
        <v>0</v>
      </c>
      <c r="N384" t="n">
        <v>0</v>
      </c>
      <c r="O384" t="n">
        <v>0</v>
      </c>
      <c r="P384" t="n">
        <v>0</v>
      </c>
      <c r="Q384" t="n">
        <v>0</v>
      </c>
      <c r="R384" s="2" t="inlineStr"/>
    </row>
    <row r="385" ht="15" customHeight="1">
      <c r="A385" t="inlineStr">
        <is>
          <t>A 5215-2025</t>
        </is>
      </c>
      <c r="B385" s="1" t="n">
        <v>45691</v>
      </c>
      <c r="C385" s="1" t="n">
        <v>46200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2733-2023</t>
        </is>
      </c>
      <c r="B386" s="1" t="n">
        <v>44943</v>
      </c>
      <c r="C386" s="1" t="n">
        <v>46200</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47341-2023</t>
        </is>
      </c>
      <c r="B387" s="1" t="n">
        <v>45202</v>
      </c>
      <c r="C387" s="1" t="n">
        <v>46200</v>
      </c>
      <c r="D387" t="inlineStr">
        <is>
          <t>UPPSALA LÄN</t>
        </is>
      </c>
      <c r="E387" t="inlineStr">
        <is>
          <t>ÖSTHAMMAR</t>
        </is>
      </c>
      <c r="G387" t="n">
        <v>4.9</v>
      </c>
      <c r="H387" t="n">
        <v>0</v>
      </c>
      <c r="I387" t="n">
        <v>0</v>
      </c>
      <c r="J387" t="n">
        <v>0</v>
      </c>
      <c r="K387" t="n">
        <v>0</v>
      </c>
      <c r="L387" t="n">
        <v>0</v>
      </c>
      <c r="M387" t="n">
        <v>0</v>
      </c>
      <c r="N387" t="n">
        <v>0</v>
      </c>
      <c r="O387" t="n">
        <v>0</v>
      </c>
      <c r="P387" t="n">
        <v>0</v>
      </c>
      <c r="Q387" t="n">
        <v>0</v>
      </c>
      <c r="R387" s="2" t="inlineStr"/>
    </row>
    <row r="388" ht="15" customHeight="1">
      <c r="A388" t="inlineStr">
        <is>
          <t>A 3732-2022</t>
        </is>
      </c>
      <c r="B388" s="1" t="n">
        <v>44586</v>
      </c>
      <c r="C388" s="1" t="n">
        <v>46200</v>
      </c>
      <c r="D388" t="inlineStr">
        <is>
          <t>UPPSALA LÄN</t>
        </is>
      </c>
      <c r="E388" t="inlineStr">
        <is>
          <t>ÖSTHAMMAR</t>
        </is>
      </c>
      <c r="F388" t="inlineStr">
        <is>
          <t>Bergvik skog öst AB</t>
        </is>
      </c>
      <c r="G388" t="n">
        <v>3.6</v>
      </c>
      <c r="H388" t="n">
        <v>0</v>
      </c>
      <c r="I388" t="n">
        <v>0</v>
      </c>
      <c r="J388" t="n">
        <v>0</v>
      </c>
      <c r="K388" t="n">
        <v>0</v>
      </c>
      <c r="L388" t="n">
        <v>0</v>
      </c>
      <c r="M388" t="n">
        <v>0</v>
      </c>
      <c r="N388" t="n">
        <v>0</v>
      </c>
      <c r="O388" t="n">
        <v>0</v>
      </c>
      <c r="P388" t="n">
        <v>0</v>
      </c>
      <c r="Q388" t="n">
        <v>0</v>
      </c>
      <c r="R388" s="2" t="inlineStr"/>
    </row>
    <row r="389" ht="15" customHeight="1">
      <c r="A389" t="inlineStr">
        <is>
          <t>A 33056-2021</t>
        </is>
      </c>
      <c r="B389" s="1" t="n">
        <v>44376</v>
      </c>
      <c r="C389" s="1" t="n">
        <v>46200</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60555-2023</t>
        </is>
      </c>
      <c r="B390" s="1" t="n">
        <v>45259</v>
      </c>
      <c r="C390" s="1" t="n">
        <v>46200</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31137-2022</t>
        </is>
      </c>
      <c r="B391" s="1" t="n">
        <v>44770</v>
      </c>
      <c r="C391" s="1" t="n">
        <v>46200</v>
      </c>
      <c r="D391" t="inlineStr">
        <is>
          <t>UPPSALA LÄN</t>
        </is>
      </c>
      <c r="E391" t="inlineStr">
        <is>
          <t>ÖSTHAMMAR</t>
        </is>
      </c>
      <c r="F391" t="inlineStr">
        <is>
          <t>Bergvik skog öst AB</t>
        </is>
      </c>
      <c r="G391" t="n">
        <v>1.4</v>
      </c>
      <c r="H391" t="n">
        <v>0</v>
      </c>
      <c r="I391" t="n">
        <v>0</v>
      </c>
      <c r="J391" t="n">
        <v>0</v>
      </c>
      <c r="K391" t="n">
        <v>0</v>
      </c>
      <c r="L391" t="n">
        <v>0</v>
      </c>
      <c r="M391" t="n">
        <v>0</v>
      </c>
      <c r="N391" t="n">
        <v>0</v>
      </c>
      <c r="O391" t="n">
        <v>0</v>
      </c>
      <c r="P391" t="n">
        <v>0</v>
      </c>
      <c r="Q391" t="n">
        <v>0</v>
      </c>
      <c r="R391" s="2" t="inlineStr"/>
    </row>
    <row r="392" ht="15" customHeight="1">
      <c r="A392" t="inlineStr">
        <is>
          <t>A 8769-2025</t>
        </is>
      </c>
      <c r="B392" s="1" t="n">
        <v>45712</v>
      </c>
      <c r="C392" s="1" t="n">
        <v>46200</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34971-2022</t>
        </is>
      </c>
      <c r="B393" s="1" t="n">
        <v>44796</v>
      </c>
      <c r="C393" s="1" t="n">
        <v>46200</v>
      </c>
      <c r="D393" t="inlineStr">
        <is>
          <t>UPPSALA LÄN</t>
        </is>
      </c>
      <c r="E393" t="inlineStr">
        <is>
          <t>ÖSTHAMMAR</t>
        </is>
      </c>
      <c r="F393" t="inlineStr">
        <is>
          <t>Bergvik skog öst AB</t>
        </is>
      </c>
      <c r="G393" t="n">
        <v>2.3</v>
      </c>
      <c r="H393" t="n">
        <v>0</v>
      </c>
      <c r="I393" t="n">
        <v>0</v>
      </c>
      <c r="J393" t="n">
        <v>0</v>
      </c>
      <c r="K393" t="n">
        <v>0</v>
      </c>
      <c r="L393" t="n">
        <v>0</v>
      </c>
      <c r="M393" t="n">
        <v>0</v>
      </c>
      <c r="N393" t="n">
        <v>0</v>
      </c>
      <c r="O393" t="n">
        <v>0</v>
      </c>
      <c r="P393" t="n">
        <v>0</v>
      </c>
      <c r="Q393" t="n">
        <v>0</v>
      </c>
      <c r="R393" s="2" t="inlineStr"/>
    </row>
    <row r="394" ht="15" customHeight="1">
      <c r="A394" t="inlineStr">
        <is>
          <t>A 3725-2022</t>
        </is>
      </c>
      <c r="B394" s="1" t="n">
        <v>44586</v>
      </c>
      <c r="C394" s="1" t="n">
        <v>46200</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12812-2024</t>
        </is>
      </c>
      <c r="B395" s="1" t="n">
        <v>45384</v>
      </c>
      <c r="C395" s="1" t="n">
        <v>46200</v>
      </c>
      <c r="D395" t="inlineStr">
        <is>
          <t>UPPSALA LÄN</t>
        </is>
      </c>
      <c r="E395" t="inlineStr">
        <is>
          <t>ÖSTHAMMAR</t>
        </is>
      </c>
      <c r="G395" t="n">
        <v>0.4</v>
      </c>
      <c r="H395" t="n">
        <v>0</v>
      </c>
      <c r="I395" t="n">
        <v>0</v>
      </c>
      <c r="J395" t="n">
        <v>0</v>
      </c>
      <c r="K395" t="n">
        <v>0</v>
      </c>
      <c r="L395" t="n">
        <v>0</v>
      </c>
      <c r="M395" t="n">
        <v>0</v>
      </c>
      <c r="N395" t="n">
        <v>0</v>
      </c>
      <c r="O395" t="n">
        <v>0</v>
      </c>
      <c r="P395" t="n">
        <v>0</v>
      </c>
      <c r="Q395" t="n">
        <v>0</v>
      </c>
      <c r="R395" s="2" t="inlineStr"/>
    </row>
    <row r="396" ht="15" customHeight="1">
      <c r="A396" t="inlineStr">
        <is>
          <t>A 28170-2023</t>
        </is>
      </c>
      <c r="B396" s="1" t="n">
        <v>45093</v>
      </c>
      <c r="C396" s="1" t="n">
        <v>46200</v>
      </c>
      <c r="D396" t="inlineStr">
        <is>
          <t>UPPSALA LÄN</t>
        </is>
      </c>
      <c r="E396" t="inlineStr">
        <is>
          <t>ÖSTHAMMAR</t>
        </is>
      </c>
      <c r="G396" t="n">
        <v>7.2</v>
      </c>
      <c r="H396" t="n">
        <v>0</v>
      </c>
      <c r="I396" t="n">
        <v>0</v>
      </c>
      <c r="J396" t="n">
        <v>0</v>
      </c>
      <c r="K396" t="n">
        <v>0</v>
      </c>
      <c r="L396" t="n">
        <v>0</v>
      </c>
      <c r="M396" t="n">
        <v>0</v>
      </c>
      <c r="N396" t="n">
        <v>0</v>
      </c>
      <c r="O396" t="n">
        <v>0</v>
      </c>
      <c r="P396" t="n">
        <v>0</v>
      </c>
      <c r="Q396" t="n">
        <v>0</v>
      </c>
      <c r="R396" s="2" t="inlineStr"/>
    </row>
    <row r="397" ht="15" customHeight="1">
      <c r="A397" t="inlineStr">
        <is>
          <t>A 74429-2021</t>
        </is>
      </c>
      <c r="B397" s="1" t="n">
        <v>44560</v>
      </c>
      <c r="C397" s="1" t="n">
        <v>46200</v>
      </c>
      <c r="D397" t="inlineStr">
        <is>
          <t>UPPSALA LÄN</t>
        </is>
      </c>
      <c r="E397" t="inlineStr">
        <is>
          <t>ÖSTHAMMAR</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7876-2023</t>
        </is>
      </c>
      <c r="B398" s="1" t="n">
        <v>44973</v>
      </c>
      <c r="C398" s="1" t="n">
        <v>46200</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25269-2024</t>
        </is>
      </c>
      <c r="B399" s="1" t="n">
        <v>45462</v>
      </c>
      <c r="C399" s="1" t="n">
        <v>46200</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13352-2023</t>
        </is>
      </c>
      <c r="B400" s="1" t="n">
        <v>45005</v>
      </c>
      <c r="C400" s="1" t="n">
        <v>46200</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22804-2022</t>
        </is>
      </c>
      <c r="B401" s="1" t="n">
        <v>44715</v>
      </c>
      <c r="C401" s="1" t="n">
        <v>46200</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45795-2023</t>
        </is>
      </c>
      <c r="B402" s="1" t="n">
        <v>45195</v>
      </c>
      <c r="C402" s="1" t="n">
        <v>46200</v>
      </c>
      <c r="D402" t="inlineStr">
        <is>
          <t>UPPSALA LÄN</t>
        </is>
      </c>
      <c r="E402" t="inlineStr">
        <is>
          <t>ÖSTHAMMAR</t>
        </is>
      </c>
      <c r="G402" t="n">
        <v>4</v>
      </c>
      <c r="H402" t="n">
        <v>0</v>
      </c>
      <c r="I402" t="n">
        <v>0</v>
      </c>
      <c r="J402" t="n">
        <v>0</v>
      </c>
      <c r="K402" t="n">
        <v>0</v>
      </c>
      <c r="L402" t="n">
        <v>0</v>
      </c>
      <c r="M402" t="n">
        <v>0</v>
      </c>
      <c r="N402" t="n">
        <v>0</v>
      </c>
      <c r="O402" t="n">
        <v>0</v>
      </c>
      <c r="P402" t="n">
        <v>0</v>
      </c>
      <c r="Q402" t="n">
        <v>0</v>
      </c>
      <c r="R402" s="2" t="inlineStr"/>
    </row>
    <row r="403" ht="15" customHeight="1">
      <c r="A403" t="inlineStr">
        <is>
          <t>A 14433-2024</t>
        </is>
      </c>
      <c r="B403" s="1" t="n">
        <v>45394</v>
      </c>
      <c r="C403" s="1" t="n">
        <v>46200</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27132-2025</t>
        </is>
      </c>
      <c r="B404" s="1" t="n">
        <v>45811</v>
      </c>
      <c r="C404" s="1" t="n">
        <v>46200</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44815-2022</t>
        </is>
      </c>
      <c r="B405" s="1" t="n">
        <v>44841</v>
      </c>
      <c r="C405" s="1" t="n">
        <v>46200</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7997-2022</t>
        </is>
      </c>
      <c r="B406" s="1" t="n">
        <v>44609</v>
      </c>
      <c r="C406" s="1" t="n">
        <v>46200</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46200</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27347-2025</t>
        </is>
      </c>
      <c r="B408" s="1" t="n">
        <v>45812</v>
      </c>
      <c r="C408" s="1" t="n">
        <v>46200</v>
      </c>
      <c r="D408" t="inlineStr">
        <is>
          <t>UPPSALA LÄN</t>
        </is>
      </c>
      <c r="E408" t="inlineStr">
        <is>
          <t>ÖSTHAMMAR</t>
        </is>
      </c>
      <c r="G408" t="n">
        <v>0.4</v>
      </c>
      <c r="H408" t="n">
        <v>0</v>
      </c>
      <c r="I408" t="n">
        <v>0</v>
      </c>
      <c r="J408" t="n">
        <v>0</v>
      </c>
      <c r="K408" t="n">
        <v>0</v>
      </c>
      <c r="L408" t="n">
        <v>0</v>
      </c>
      <c r="M408" t="n">
        <v>0</v>
      </c>
      <c r="N408" t="n">
        <v>0</v>
      </c>
      <c r="O408" t="n">
        <v>0</v>
      </c>
      <c r="P408" t="n">
        <v>0</v>
      </c>
      <c r="Q408" t="n">
        <v>0</v>
      </c>
      <c r="R408" s="2" t="inlineStr"/>
    </row>
    <row r="409" ht="15" customHeight="1">
      <c r="A409" t="inlineStr">
        <is>
          <t>A 27350-2025</t>
        </is>
      </c>
      <c r="B409" s="1" t="n">
        <v>45812</v>
      </c>
      <c r="C409" s="1" t="n">
        <v>46200</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67199-2021</t>
        </is>
      </c>
      <c r="B410" s="1" t="n">
        <v>44523</v>
      </c>
      <c r="C410" s="1" t="n">
        <v>46200</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6121-2024</t>
        </is>
      </c>
      <c r="B411" s="1" t="n">
        <v>45337</v>
      </c>
      <c r="C411" s="1" t="n">
        <v>46200</v>
      </c>
      <c r="D411" t="inlineStr">
        <is>
          <t>UPPSALA LÄN</t>
        </is>
      </c>
      <c r="E411" t="inlineStr">
        <is>
          <t>ÖSTHAMMAR</t>
        </is>
      </c>
      <c r="G411" t="n">
        <v>0.4</v>
      </c>
      <c r="H411" t="n">
        <v>0</v>
      </c>
      <c r="I411" t="n">
        <v>0</v>
      </c>
      <c r="J411" t="n">
        <v>0</v>
      </c>
      <c r="K411" t="n">
        <v>0</v>
      </c>
      <c r="L411" t="n">
        <v>0</v>
      </c>
      <c r="M411" t="n">
        <v>0</v>
      </c>
      <c r="N411" t="n">
        <v>0</v>
      </c>
      <c r="O411" t="n">
        <v>0</v>
      </c>
      <c r="P411" t="n">
        <v>0</v>
      </c>
      <c r="Q411" t="n">
        <v>0</v>
      </c>
      <c r="R411" s="2" t="inlineStr"/>
    </row>
    <row r="412" ht="15" customHeight="1">
      <c r="A412" t="inlineStr">
        <is>
          <t>A 20038-2023</t>
        </is>
      </c>
      <c r="B412" s="1" t="n">
        <v>45054</v>
      </c>
      <c r="C412" s="1" t="n">
        <v>46200</v>
      </c>
      <c r="D412" t="inlineStr">
        <is>
          <t>UPPSALA LÄN</t>
        </is>
      </c>
      <c r="E412" t="inlineStr">
        <is>
          <t>ÖSTHAMMAR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15449-2022</t>
        </is>
      </c>
      <c r="B413" s="1" t="n">
        <v>44660</v>
      </c>
      <c r="C413" s="1" t="n">
        <v>46200</v>
      </c>
      <c r="D413" t="inlineStr">
        <is>
          <t>UPPSALA LÄN</t>
        </is>
      </c>
      <c r="E413" t="inlineStr">
        <is>
          <t>ÖSTHAMMAR</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13738-2023</t>
        </is>
      </c>
      <c r="B414" s="1" t="n">
        <v>45007</v>
      </c>
      <c r="C414" s="1" t="n">
        <v>46200</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62391-2022</t>
        </is>
      </c>
      <c r="B415" s="1" t="n">
        <v>44923</v>
      </c>
      <c r="C415" s="1" t="n">
        <v>46200</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18183-2022</t>
        </is>
      </c>
      <c r="B416" s="1" t="n">
        <v>44684</v>
      </c>
      <c r="C416" s="1" t="n">
        <v>46200</v>
      </c>
      <c r="D416" t="inlineStr">
        <is>
          <t>UPPSALA LÄN</t>
        </is>
      </c>
      <c r="E416" t="inlineStr">
        <is>
          <t>ÖSTHAMMAR</t>
        </is>
      </c>
      <c r="G416" t="n">
        <v>0.2</v>
      </c>
      <c r="H416" t="n">
        <v>0</v>
      </c>
      <c r="I416" t="n">
        <v>0</v>
      </c>
      <c r="J416" t="n">
        <v>0</v>
      </c>
      <c r="K416" t="n">
        <v>0</v>
      </c>
      <c r="L416" t="n">
        <v>0</v>
      </c>
      <c r="M416" t="n">
        <v>0</v>
      </c>
      <c r="N416" t="n">
        <v>0</v>
      </c>
      <c r="O416" t="n">
        <v>0</v>
      </c>
      <c r="P416" t="n">
        <v>0</v>
      </c>
      <c r="Q416" t="n">
        <v>0</v>
      </c>
      <c r="R416" s="2" t="inlineStr"/>
    </row>
    <row r="417" ht="15" customHeight="1">
      <c r="A417" t="inlineStr">
        <is>
          <t>A 27853-2025</t>
        </is>
      </c>
      <c r="B417" s="1" t="n">
        <v>45817</v>
      </c>
      <c r="C417" s="1" t="n">
        <v>46200</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27920-2025</t>
        </is>
      </c>
      <c r="B418" s="1" t="n">
        <v>45817</v>
      </c>
      <c r="C418" s="1" t="n">
        <v>46200</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43439-2024</t>
        </is>
      </c>
      <c r="B419" s="1" t="n">
        <v>45568</v>
      </c>
      <c r="C419" s="1" t="n">
        <v>46200</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8330-2025</t>
        </is>
      </c>
      <c r="B420" s="1" t="n">
        <v>45708</v>
      </c>
      <c r="C420" s="1" t="n">
        <v>46200</v>
      </c>
      <c r="D420" t="inlineStr">
        <is>
          <t>UPPSALA LÄN</t>
        </is>
      </c>
      <c r="E420" t="inlineStr">
        <is>
          <t>ÖSTHAMMAR</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27509-2025</t>
        </is>
      </c>
      <c r="B421" s="1" t="n">
        <v>45813</v>
      </c>
      <c r="C421" s="1" t="n">
        <v>46200</v>
      </c>
      <c r="D421" t="inlineStr">
        <is>
          <t>UPPSALA LÄN</t>
        </is>
      </c>
      <c r="E421" t="inlineStr">
        <is>
          <t>ÖSTHAMMAR</t>
        </is>
      </c>
      <c r="F421" t="inlineStr">
        <is>
          <t>Bergvik skog öst AB</t>
        </is>
      </c>
      <c r="G421" t="n">
        <v>3.3</v>
      </c>
      <c r="H421" t="n">
        <v>0</v>
      </c>
      <c r="I421" t="n">
        <v>0</v>
      </c>
      <c r="J421" t="n">
        <v>0</v>
      </c>
      <c r="K421" t="n">
        <v>0</v>
      </c>
      <c r="L421" t="n">
        <v>0</v>
      </c>
      <c r="M421" t="n">
        <v>0</v>
      </c>
      <c r="N421" t="n">
        <v>0</v>
      </c>
      <c r="O421" t="n">
        <v>0</v>
      </c>
      <c r="P421" t="n">
        <v>0</v>
      </c>
      <c r="Q421" t="n">
        <v>0</v>
      </c>
      <c r="R421" s="2" t="inlineStr"/>
    </row>
    <row r="422" ht="15" customHeight="1">
      <c r="A422" t="inlineStr">
        <is>
          <t>A 54314-2023</t>
        </is>
      </c>
      <c r="B422" s="1" t="n">
        <v>45225</v>
      </c>
      <c r="C422" s="1" t="n">
        <v>46200</v>
      </c>
      <c r="D422" t="inlineStr">
        <is>
          <t>UPPSALA LÄN</t>
        </is>
      </c>
      <c r="E422" t="inlineStr">
        <is>
          <t>ÖSTHAMMAR</t>
        </is>
      </c>
      <c r="G422" t="n">
        <v>5.1</v>
      </c>
      <c r="H422" t="n">
        <v>0</v>
      </c>
      <c r="I422" t="n">
        <v>0</v>
      </c>
      <c r="J422" t="n">
        <v>0</v>
      </c>
      <c r="K422" t="n">
        <v>0</v>
      </c>
      <c r="L422" t="n">
        <v>0</v>
      </c>
      <c r="M422" t="n">
        <v>0</v>
      </c>
      <c r="N422" t="n">
        <v>0</v>
      </c>
      <c r="O422" t="n">
        <v>0</v>
      </c>
      <c r="P422" t="n">
        <v>0</v>
      </c>
      <c r="Q422" t="n">
        <v>0</v>
      </c>
      <c r="R422" s="2" t="inlineStr"/>
    </row>
    <row r="423" ht="15" customHeight="1">
      <c r="A423" t="inlineStr">
        <is>
          <t>A 23363-2023</t>
        </is>
      </c>
      <c r="B423" s="1" t="n">
        <v>45076</v>
      </c>
      <c r="C423" s="1" t="n">
        <v>46200</v>
      </c>
      <c r="D423" t="inlineStr">
        <is>
          <t>UPPSALA LÄN</t>
        </is>
      </c>
      <c r="E423" t="inlineStr">
        <is>
          <t>ÖSTHAMMAR</t>
        </is>
      </c>
      <c r="G423" t="n">
        <v>3</v>
      </c>
      <c r="H423" t="n">
        <v>0</v>
      </c>
      <c r="I423" t="n">
        <v>0</v>
      </c>
      <c r="J423" t="n">
        <v>0</v>
      </c>
      <c r="K423" t="n">
        <v>0</v>
      </c>
      <c r="L423" t="n">
        <v>0</v>
      </c>
      <c r="M423" t="n">
        <v>0</v>
      </c>
      <c r="N423" t="n">
        <v>0</v>
      </c>
      <c r="O423" t="n">
        <v>0</v>
      </c>
      <c r="P423" t="n">
        <v>0</v>
      </c>
      <c r="Q423" t="n">
        <v>0</v>
      </c>
      <c r="R423" s="2" t="inlineStr"/>
    </row>
    <row r="424" ht="15" customHeight="1">
      <c r="A424" t="inlineStr">
        <is>
          <t>A 4233-2023</t>
        </is>
      </c>
      <c r="B424" s="1" t="n">
        <v>44953</v>
      </c>
      <c r="C424" s="1" t="n">
        <v>46200</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29024-2025</t>
        </is>
      </c>
      <c r="B425" s="1" t="n">
        <v>45821</v>
      </c>
      <c r="C425" s="1" t="n">
        <v>46200</v>
      </c>
      <c r="D425" t="inlineStr">
        <is>
          <t>UPPSALA LÄN</t>
        </is>
      </c>
      <c r="E425" t="inlineStr">
        <is>
          <t>ÖSTHAMMAR</t>
        </is>
      </c>
      <c r="G425" t="n">
        <v>1</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46200</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28739-2025</t>
        </is>
      </c>
      <c r="B427" s="1" t="n">
        <v>45820</v>
      </c>
      <c r="C427" s="1" t="n">
        <v>46200</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62295-2022</t>
        </is>
      </c>
      <c r="B428" s="1" t="n">
        <v>44916</v>
      </c>
      <c r="C428" s="1" t="n">
        <v>46200</v>
      </c>
      <c r="D428" t="inlineStr">
        <is>
          <t>UPPSALA LÄN</t>
        </is>
      </c>
      <c r="E428" t="inlineStr">
        <is>
          <t>ÖSTHAMMAR</t>
        </is>
      </c>
      <c r="G428" t="n">
        <v>3.3</v>
      </c>
      <c r="H428" t="n">
        <v>0</v>
      </c>
      <c r="I428" t="n">
        <v>0</v>
      </c>
      <c r="J428" t="n">
        <v>0</v>
      </c>
      <c r="K428" t="n">
        <v>0</v>
      </c>
      <c r="L428" t="n">
        <v>0</v>
      </c>
      <c r="M428" t="n">
        <v>0</v>
      </c>
      <c r="N428" t="n">
        <v>0</v>
      </c>
      <c r="O428" t="n">
        <v>0</v>
      </c>
      <c r="P428" t="n">
        <v>0</v>
      </c>
      <c r="Q428" t="n">
        <v>0</v>
      </c>
      <c r="R428" s="2" t="inlineStr"/>
    </row>
    <row r="429" ht="15" customHeight="1">
      <c r="A429" t="inlineStr">
        <is>
          <t>A 73592-2021</t>
        </is>
      </c>
      <c r="B429" s="1" t="n">
        <v>44552</v>
      </c>
      <c r="C429" s="1" t="n">
        <v>46200</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v>
      </c>
      <c r="C430" s="1" t="n">
        <v>46200</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46200</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8830-2023</t>
        </is>
      </c>
      <c r="B432" s="1" t="n">
        <v>44978</v>
      </c>
      <c r="C432" s="1" t="n">
        <v>46200</v>
      </c>
      <c r="D432" t="inlineStr">
        <is>
          <t>UPPSALA LÄN</t>
        </is>
      </c>
      <c r="E432" t="inlineStr">
        <is>
          <t>ÖSTHAMMAR</t>
        </is>
      </c>
      <c r="F432" t="inlineStr">
        <is>
          <t>Bergvik skog öst AB</t>
        </is>
      </c>
      <c r="G432" t="n">
        <v>1.6</v>
      </c>
      <c r="H432" t="n">
        <v>0</v>
      </c>
      <c r="I432" t="n">
        <v>0</v>
      </c>
      <c r="J432" t="n">
        <v>0</v>
      </c>
      <c r="K432" t="n">
        <v>0</v>
      </c>
      <c r="L432" t="n">
        <v>0</v>
      </c>
      <c r="M432" t="n">
        <v>0</v>
      </c>
      <c r="N432" t="n">
        <v>0</v>
      </c>
      <c r="O432" t="n">
        <v>0</v>
      </c>
      <c r="P432" t="n">
        <v>0</v>
      </c>
      <c r="Q432" t="n">
        <v>0</v>
      </c>
      <c r="R432" s="2" t="inlineStr"/>
    </row>
    <row r="433" ht="15" customHeight="1">
      <c r="A433" t="inlineStr">
        <is>
          <t>A 25938-2024</t>
        </is>
      </c>
      <c r="B433" s="1" t="n">
        <v>45467</v>
      </c>
      <c r="C433" s="1" t="n">
        <v>46200</v>
      </c>
      <c r="D433" t="inlineStr">
        <is>
          <t>UPPSALA LÄN</t>
        </is>
      </c>
      <c r="E433" t="inlineStr">
        <is>
          <t>ÖSTHAMMAR</t>
        </is>
      </c>
      <c r="F433" t="inlineStr">
        <is>
          <t>Bergvik skog öst AB</t>
        </is>
      </c>
      <c r="G433" t="n">
        <v>2.2</v>
      </c>
      <c r="H433" t="n">
        <v>0</v>
      </c>
      <c r="I433" t="n">
        <v>0</v>
      </c>
      <c r="J433" t="n">
        <v>0</v>
      </c>
      <c r="K433" t="n">
        <v>0</v>
      </c>
      <c r="L433" t="n">
        <v>0</v>
      </c>
      <c r="M433" t="n">
        <v>0</v>
      </c>
      <c r="N433" t="n">
        <v>0</v>
      </c>
      <c r="O433" t="n">
        <v>0</v>
      </c>
      <c r="P433" t="n">
        <v>0</v>
      </c>
      <c r="Q433" t="n">
        <v>0</v>
      </c>
      <c r="R433" s="2" t="inlineStr"/>
    </row>
    <row r="434" ht="15" customHeight="1">
      <c r="A434" t="inlineStr">
        <is>
          <t>A 27490-2025</t>
        </is>
      </c>
      <c r="B434" s="1" t="n">
        <v>45813</v>
      </c>
      <c r="C434" s="1" t="n">
        <v>46200</v>
      </c>
      <c r="D434" t="inlineStr">
        <is>
          <t>UPPSALA LÄN</t>
        </is>
      </c>
      <c r="E434" t="inlineStr">
        <is>
          <t>ÖSTHAMMAR</t>
        </is>
      </c>
      <c r="F434" t="inlineStr">
        <is>
          <t>Bergvik skog öst AB</t>
        </is>
      </c>
      <c r="G434" t="n">
        <v>6.1</v>
      </c>
      <c r="H434" t="n">
        <v>0</v>
      </c>
      <c r="I434" t="n">
        <v>0</v>
      </c>
      <c r="J434" t="n">
        <v>0</v>
      </c>
      <c r="K434" t="n">
        <v>0</v>
      </c>
      <c r="L434" t="n">
        <v>0</v>
      </c>
      <c r="M434" t="n">
        <v>0</v>
      </c>
      <c r="N434" t="n">
        <v>0</v>
      </c>
      <c r="O434" t="n">
        <v>0</v>
      </c>
      <c r="P434" t="n">
        <v>0</v>
      </c>
      <c r="Q434" t="n">
        <v>0</v>
      </c>
      <c r="R434" s="2" t="inlineStr"/>
    </row>
    <row r="435" ht="15" customHeight="1">
      <c r="A435" t="inlineStr">
        <is>
          <t>A 27486-2025</t>
        </is>
      </c>
      <c r="B435" s="1" t="n">
        <v>45813</v>
      </c>
      <c r="C435" s="1" t="n">
        <v>46200</v>
      </c>
      <c r="D435" t="inlineStr">
        <is>
          <t>UPPSALA LÄN</t>
        </is>
      </c>
      <c r="E435" t="inlineStr">
        <is>
          <t>ÖSTHAMMAR</t>
        </is>
      </c>
      <c r="F435" t="inlineStr">
        <is>
          <t>Bergvik skog öst AB</t>
        </is>
      </c>
      <c r="G435" t="n">
        <v>1.7</v>
      </c>
      <c r="H435" t="n">
        <v>0</v>
      </c>
      <c r="I435" t="n">
        <v>0</v>
      </c>
      <c r="J435" t="n">
        <v>0</v>
      </c>
      <c r="K435" t="n">
        <v>0</v>
      </c>
      <c r="L435" t="n">
        <v>0</v>
      </c>
      <c r="M435" t="n">
        <v>0</v>
      </c>
      <c r="N435" t="n">
        <v>0</v>
      </c>
      <c r="O435" t="n">
        <v>0</v>
      </c>
      <c r="P435" t="n">
        <v>0</v>
      </c>
      <c r="Q435" t="n">
        <v>0</v>
      </c>
      <c r="R435" s="2" t="inlineStr"/>
    </row>
    <row r="436" ht="15" customHeight="1">
      <c r="A436" t="inlineStr">
        <is>
          <t>A 11469-2023</t>
        </is>
      </c>
      <c r="B436" s="1" t="n">
        <v>44993</v>
      </c>
      <c r="C436" s="1" t="n">
        <v>46200</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35539-2023</t>
        </is>
      </c>
      <c r="B437" s="1" t="n">
        <v>45147</v>
      </c>
      <c r="C437" s="1" t="n">
        <v>46200</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32744-2022</t>
        </is>
      </c>
      <c r="B438" s="1" t="n">
        <v>44783</v>
      </c>
      <c r="C438" s="1" t="n">
        <v>46200</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26557-2022</t>
        </is>
      </c>
      <c r="B439" s="1" t="n">
        <v>44739</v>
      </c>
      <c r="C439" s="1" t="n">
        <v>46200</v>
      </c>
      <c r="D439" t="inlineStr">
        <is>
          <t>UPPSALA LÄN</t>
        </is>
      </c>
      <c r="E439" t="inlineStr">
        <is>
          <t>ÖSTHAMMAR</t>
        </is>
      </c>
      <c r="F439" t="inlineStr">
        <is>
          <t>Övriga statliga verk och myndigheter</t>
        </is>
      </c>
      <c r="G439" t="n">
        <v>1.7</v>
      </c>
      <c r="H439" t="n">
        <v>0</v>
      </c>
      <c r="I439" t="n">
        <v>0</v>
      </c>
      <c r="J439" t="n">
        <v>0</v>
      </c>
      <c r="K439" t="n">
        <v>0</v>
      </c>
      <c r="L439" t="n">
        <v>0</v>
      </c>
      <c r="M439" t="n">
        <v>0</v>
      </c>
      <c r="N439" t="n">
        <v>0</v>
      </c>
      <c r="O439" t="n">
        <v>0</v>
      </c>
      <c r="P439" t="n">
        <v>0</v>
      </c>
      <c r="Q439" t="n">
        <v>0</v>
      </c>
      <c r="R439" s="2" t="inlineStr"/>
    </row>
    <row r="440" ht="15" customHeight="1">
      <c r="A440" t="inlineStr">
        <is>
          <t>A 18091-2023</t>
        </is>
      </c>
      <c r="B440" s="1" t="n">
        <v>45040</v>
      </c>
      <c r="C440" s="1" t="n">
        <v>46200</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47522-2023</t>
        </is>
      </c>
      <c r="B441" s="1" t="n">
        <v>45203</v>
      </c>
      <c r="C441" s="1" t="n">
        <v>46200</v>
      </c>
      <c r="D441" t="inlineStr">
        <is>
          <t>UPPSALA LÄN</t>
        </is>
      </c>
      <c r="E441" t="inlineStr">
        <is>
          <t>ÖSTHAMMAR</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25418-2022</t>
        </is>
      </c>
      <c r="B442" s="1" t="n">
        <v>44732</v>
      </c>
      <c r="C442" s="1" t="n">
        <v>46200</v>
      </c>
      <c r="D442" t="inlineStr">
        <is>
          <t>UPPSALA LÄN</t>
        </is>
      </c>
      <c r="E442" t="inlineStr">
        <is>
          <t>ÖSTHAMMAR</t>
        </is>
      </c>
      <c r="G442" t="n">
        <v>2.8</v>
      </c>
      <c r="H442" t="n">
        <v>0</v>
      </c>
      <c r="I442" t="n">
        <v>0</v>
      </c>
      <c r="J442" t="n">
        <v>0</v>
      </c>
      <c r="K442" t="n">
        <v>0</v>
      </c>
      <c r="L442" t="n">
        <v>0</v>
      </c>
      <c r="M442" t="n">
        <v>0</v>
      </c>
      <c r="N442" t="n">
        <v>0</v>
      </c>
      <c r="O442" t="n">
        <v>0</v>
      </c>
      <c r="P442" t="n">
        <v>0</v>
      </c>
      <c r="Q442" t="n">
        <v>0</v>
      </c>
      <c r="R442" s="2" t="inlineStr"/>
    </row>
    <row r="443" ht="15" customHeight="1">
      <c r="A443" t="inlineStr">
        <is>
          <t>A 8006-2023</t>
        </is>
      </c>
      <c r="B443" s="1" t="n">
        <v>44973</v>
      </c>
      <c r="C443" s="1" t="n">
        <v>46200</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30610-2025</t>
        </is>
      </c>
      <c r="B444" s="1" t="n">
        <v>45831</v>
      </c>
      <c r="C444" s="1" t="n">
        <v>46200</v>
      </c>
      <c r="D444" t="inlineStr">
        <is>
          <t>UPPSALA LÄN</t>
        </is>
      </c>
      <c r="E444" t="inlineStr">
        <is>
          <t>ÖSTHAMMAR</t>
        </is>
      </c>
      <c r="G444" t="n">
        <v>0.2</v>
      </c>
      <c r="H444" t="n">
        <v>0</v>
      </c>
      <c r="I444" t="n">
        <v>0</v>
      </c>
      <c r="J444" t="n">
        <v>0</v>
      </c>
      <c r="K444" t="n">
        <v>0</v>
      </c>
      <c r="L444" t="n">
        <v>0</v>
      </c>
      <c r="M444" t="n">
        <v>0</v>
      </c>
      <c r="N444" t="n">
        <v>0</v>
      </c>
      <c r="O444" t="n">
        <v>0</v>
      </c>
      <c r="P444" t="n">
        <v>0</v>
      </c>
      <c r="Q444" t="n">
        <v>0</v>
      </c>
      <c r="R444" s="2" t="inlineStr"/>
    </row>
    <row r="445" ht="15" customHeight="1">
      <c r="A445" t="inlineStr">
        <is>
          <t>A 30504-2025</t>
        </is>
      </c>
      <c r="B445" s="1" t="n">
        <v>45830</v>
      </c>
      <c r="C445" s="1" t="n">
        <v>46200</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30503-2025</t>
        </is>
      </c>
      <c r="B446" s="1" t="n">
        <v>45830</v>
      </c>
      <c r="C446" s="1" t="n">
        <v>46200</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54366-2023</t>
        </is>
      </c>
      <c r="B447" s="1" t="n">
        <v>45233</v>
      </c>
      <c r="C447" s="1" t="n">
        <v>46200</v>
      </c>
      <c r="D447" t="inlineStr">
        <is>
          <t>UPPSALA LÄN</t>
        </is>
      </c>
      <c r="E447" t="inlineStr">
        <is>
          <t>ÖSTHAMMAR</t>
        </is>
      </c>
      <c r="F447" t="inlineStr">
        <is>
          <t>Bergvik skog öst AB</t>
        </is>
      </c>
      <c r="G447" t="n">
        <v>2.9</v>
      </c>
      <c r="H447" t="n">
        <v>0</v>
      </c>
      <c r="I447" t="n">
        <v>0</v>
      </c>
      <c r="J447" t="n">
        <v>0</v>
      </c>
      <c r="K447" t="n">
        <v>0</v>
      </c>
      <c r="L447" t="n">
        <v>0</v>
      </c>
      <c r="M447" t="n">
        <v>0</v>
      </c>
      <c r="N447" t="n">
        <v>0</v>
      </c>
      <c r="O447" t="n">
        <v>0</v>
      </c>
      <c r="P447" t="n">
        <v>0</v>
      </c>
      <c r="Q447" t="n">
        <v>0</v>
      </c>
      <c r="R447" s="2" t="inlineStr"/>
    </row>
    <row r="448" ht="15" customHeight="1">
      <c r="A448" t="inlineStr">
        <is>
          <t>A 52694-2023</t>
        </is>
      </c>
      <c r="B448" s="1" t="n">
        <v>45225</v>
      </c>
      <c r="C448" s="1" t="n">
        <v>46200</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31579-2025</t>
        </is>
      </c>
      <c r="B449" s="1" t="n">
        <v>45833</v>
      </c>
      <c r="C449" s="1" t="n">
        <v>46200</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46200</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46399-2023</t>
        </is>
      </c>
      <c r="B451" s="1" t="n">
        <v>45197</v>
      </c>
      <c r="C451" s="1" t="n">
        <v>46200</v>
      </c>
      <c r="D451" t="inlineStr">
        <is>
          <t>UPPSALA LÄN</t>
        </is>
      </c>
      <c r="E451" t="inlineStr">
        <is>
          <t>ÖSTHAMMAR</t>
        </is>
      </c>
      <c r="G451" t="n">
        <v>5.8</v>
      </c>
      <c r="H451" t="n">
        <v>0</v>
      </c>
      <c r="I451" t="n">
        <v>0</v>
      </c>
      <c r="J451" t="n">
        <v>0</v>
      </c>
      <c r="K451" t="n">
        <v>0</v>
      </c>
      <c r="L451" t="n">
        <v>0</v>
      </c>
      <c r="M451" t="n">
        <v>0</v>
      </c>
      <c r="N451" t="n">
        <v>0</v>
      </c>
      <c r="O451" t="n">
        <v>0</v>
      </c>
      <c r="P451" t="n">
        <v>0</v>
      </c>
      <c r="Q451" t="n">
        <v>0</v>
      </c>
      <c r="R451" s="2" t="inlineStr"/>
    </row>
    <row r="452" ht="15" customHeight="1">
      <c r="A452" t="inlineStr">
        <is>
          <t>A 27476-2025</t>
        </is>
      </c>
      <c r="B452" s="1" t="n">
        <v>45813</v>
      </c>
      <c r="C452" s="1" t="n">
        <v>46200</v>
      </c>
      <c r="D452" t="inlineStr">
        <is>
          <t>UPPSALA LÄN</t>
        </is>
      </c>
      <c r="E452" t="inlineStr">
        <is>
          <t>ÖSTHAMMAR</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45550-2023</t>
        </is>
      </c>
      <c r="B453" s="1" t="n">
        <v>45194</v>
      </c>
      <c r="C453" s="1" t="n">
        <v>46200</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15445-2022</t>
        </is>
      </c>
      <c r="B454" s="1" t="n">
        <v>44660</v>
      </c>
      <c r="C454" s="1" t="n">
        <v>46200</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36873-2022</t>
        </is>
      </c>
      <c r="B455" s="1" t="n">
        <v>44805</v>
      </c>
      <c r="C455" s="1" t="n">
        <v>46200</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33529-2025</t>
        </is>
      </c>
      <c r="B456" s="1" t="n">
        <v>45841</v>
      </c>
      <c r="C456" s="1" t="n">
        <v>46200</v>
      </c>
      <c r="D456" t="inlineStr">
        <is>
          <t>UPPSALA LÄN</t>
        </is>
      </c>
      <c r="E456" t="inlineStr">
        <is>
          <t>ÖSTHAMMAR</t>
        </is>
      </c>
      <c r="F456" t="inlineStr">
        <is>
          <t>Bergvik skog öst AB</t>
        </is>
      </c>
      <c r="G456" t="n">
        <v>11.8</v>
      </c>
      <c r="H456" t="n">
        <v>0</v>
      </c>
      <c r="I456" t="n">
        <v>0</v>
      </c>
      <c r="J456" t="n">
        <v>0</v>
      </c>
      <c r="K456" t="n">
        <v>0</v>
      </c>
      <c r="L456" t="n">
        <v>0</v>
      </c>
      <c r="M456" t="n">
        <v>0</v>
      </c>
      <c r="N456" t="n">
        <v>0</v>
      </c>
      <c r="O456" t="n">
        <v>0</v>
      </c>
      <c r="P456" t="n">
        <v>0</v>
      </c>
      <c r="Q456" t="n">
        <v>0</v>
      </c>
      <c r="R456" s="2" t="inlineStr"/>
    </row>
    <row r="457" ht="15" customHeight="1">
      <c r="A457" t="inlineStr">
        <is>
          <t>A 26395-2025</t>
        </is>
      </c>
      <c r="B457" s="1" t="n">
        <v>45807</v>
      </c>
      <c r="C457" s="1" t="n">
        <v>46200</v>
      </c>
      <c r="D457" t="inlineStr">
        <is>
          <t>UPPSALA LÄN</t>
        </is>
      </c>
      <c r="E457" t="inlineStr">
        <is>
          <t>ÖSTHAMMAR</t>
        </is>
      </c>
      <c r="G457" t="n">
        <v>7</v>
      </c>
      <c r="H457" t="n">
        <v>0</v>
      </c>
      <c r="I457" t="n">
        <v>0</v>
      </c>
      <c r="J457" t="n">
        <v>0</v>
      </c>
      <c r="K457" t="n">
        <v>0</v>
      </c>
      <c r="L457" t="n">
        <v>0</v>
      </c>
      <c r="M457" t="n">
        <v>0</v>
      </c>
      <c r="N457" t="n">
        <v>0</v>
      </c>
      <c r="O457" t="n">
        <v>0</v>
      </c>
      <c r="P457" t="n">
        <v>0</v>
      </c>
      <c r="Q457" t="n">
        <v>0</v>
      </c>
      <c r="R457" s="2" t="inlineStr"/>
    </row>
    <row r="458" ht="15" customHeight="1">
      <c r="A458" t="inlineStr">
        <is>
          <t>A 33972-2025</t>
        </is>
      </c>
      <c r="B458" s="1" t="n">
        <v>45842</v>
      </c>
      <c r="C458" s="1" t="n">
        <v>46200</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33973-2025</t>
        </is>
      </c>
      <c r="B459" s="1" t="n">
        <v>45842</v>
      </c>
      <c r="C459" s="1" t="n">
        <v>46200</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61817-2021</t>
        </is>
      </c>
      <c r="B460" s="1" t="n">
        <v>44501</v>
      </c>
      <c r="C460" s="1" t="n">
        <v>46200</v>
      </c>
      <c r="D460" t="inlineStr">
        <is>
          <t>UPPSALA LÄN</t>
        </is>
      </c>
      <c r="E460" t="inlineStr">
        <is>
          <t>ÖSTHAMMAR</t>
        </is>
      </c>
      <c r="F460" t="inlineStr">
        <is>
          <t>Bergvik skog öst AB</t>
        </is>
      </c>
      <c r="G460" t="n">
        <v>2.3</v>
      </c>
      <c r="H460" t="n">
        <v>0</v>
      </c>
      <c r="I460" t="n">
        <v>0</v>
      </c>
      <c r="J460" t="n">
        <v>0</v>
      </c>
      <c r="K460" t="n">
        <v>0</v>
      </c>
      <c r="L460" t="n">
        <v>0</v>
      </c>
      <c r="M460" t="n">
        <v>0</v>
      </c>
      <c r="N460" t="n">
        <v>0</v>
      </c>
      <c r="O460" t="n">
        <v>0</v>
      </c>
      <c r="P460" t="n">
        <v>0</v>
      </c>
      <c r="Q460" t="n">
        <v>0</v>
      </c>
      <c r="R460" s="2" t="inlineStr"/>
    </row>
    <row r="461" ht="15" customHeight="1">
      <c r="A461" t="inlineStr">
        <is>
          <t>A 54437-2024</t>
        </is>
      </c>
      <c r="B461" s="1" t="n">
        <v>45617</v>
      </c>
      <c r="C461" s="1" t="n">
        <v>46200</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7543-2023</t>
        </is>
      </c>
      <c r="B462" s="1" t="n">
        <v>44972</v>
      </c>
      <c r="C462" s="1" t="n">
        <v>46200</v>
      </c>
      <c r="D462" t="inlineStr">
        <is>
          <t>UPPSALA LÄN</t>
        </is>
      </c>
      <c r="E462" t="inlineStr">
        <is>
          <t>ÖSTHAMMAR</t>
        </is>
      </c>
      <c r="F462" t="inlineStr">
        <is>
          <t>Bergvik skog öst AB</t>
        </is>
      </c>
      <c r="G462" t="n">
        <v>13.3</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46200</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10117-2025</t>
        </is>
      </c>
      <c r="B464" s="1" t="n">
        <v>45719</v>
      </c>
      <c r="C464" s="1" t="n">
        <v>46200</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28152-2024</t>
        </is>
      </c>
      <c r="B465" s="1" t="n">
        <v>45476</v>
      </c>
      <c r="C465" s="1" t="n">
        <v>46200</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19640-2025</t>
        </is>
      </c>
      <c r="B466" s="1" t="n">
        <v>45770</v>
      </c>
      <c r="C466" s="1" t="n">
        <v>46200</v>
      </c>
      <c r="D466" t="inlineStr">
        <is>
          <t>UPPSALA LÄN</t>
        </is>
      </c>
      <c r="E466" t="inlineStr">
        <is>
          <t>ÖSTHAMMAR</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4676-2025</t>
        </is>
      </c>
      <c r="B467" s="1" t="n">
        <v>45687</v>
      </c>
      <c r="C467" s="1" t="n">
        <v>46200</v>
      </c>
      <c r="D467" t="inlineStr">
        <is>
          <t>UPPSALA LÄN</t>
        </is>
      </c>
      <c r="E467" t="inlineStr">
        <is>
          <t>ÖSTHAMMAR</t>
        </is>
      </c>
      <c r="G467" t="n">
        <v>3.7</v>
      </c>
      <c r="H467" t="n">
        <v>0</v>
      </c>
      <c r="I467" t="n">
        <v>0</v>
      </c>
      <c r="J467" t="n">
        <v>0</v>
      </c>
      <c r="K467" t="n">
        <v>0</v>
      </c>
      <c r="L467" t="n">
        <v>0</v>
      </c>
      <c r="M467" t="n">
        <v>0</v>
      </c>
      <c r="N467" t="n">
        <v>0</v>
      </c>
      <c r="O467" t="n">
        <v>0</v>
      </c>
      <c r="P467" t="n">
        <v>0</v>
      </c>
      <c r="Q467" t="n">
        <v>0</v>
      </c>
      <c r="R467" s="2" t="inlineStr"/>
    </row>
    <row r="468" ht="15" customHeight="1">
      <c r="A468" t="inlineStr">
        <is>
          <t>A 32778-2023</t>
        </is>
      </c>
      <c r="B468" s="1" t="n">
        <v>45123</v>
      </c>
      <c r="C468" s="1" t="n">
        <v>46200</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24259-2022</t>
        </is>
      </c>
      <c r="B469" s="1" t="n">
        <v>44725</v>
      </c>
      <c r="C469" s="1" t="n">
        <v>46200</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18113-2023</t>
        </is>
      </c>
      <c r="B470" s="1" t="n">
        <v>45040</v>
      </c>
      <c r="C470" s="1" t="n">
        <v>46200</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61216-2022</t>
        </is>
      </c>
      <c r="B471" s="1" t="n">
        <v>44915</v>
      </c>
      <c r="C471" s="1" t="n">
        <v>46200</v>
      </c>
      <c r="D471" t="inlineStr">
        <is>
          <t>UPPSALA LÄN</t>
        </is>
      </c>
      <c r="E471" t="inlineStr">
        <is>
          <t>ÖSTHAMMAR</t>
        </is>
      </c>
      <c r="G471" t="n">
        <v>2.9</v>
      </c>
      <c r="H471" t="n">
        <v>0</v>
      </c>
      <c r="I471" t="n">
        <v>0</v>
      </c>
      <c r="J471" t="n">
        <v>0</v>
      </c>
      <c r="K471" t="n">
        <v>0</v>
      </c>
      <c r="L471" t="n">
        <v>0</v>
      </c>
      <c r="M471" t="n">
        <v>0</v>
      </c>
      <c r="N471" t="n">
        <v>0</v>
      </c>
      <c r="O471" t="n">
        <v>0</v>
      </c>
      <c r="P471" t="n">
        <v>0</v>
      </c>
      <c r="Q471" t="n">
        <v>0</v>
      </c>
      <c r="R471" s="2" t="inlineStr"/>
    </row>
    <row r="472" ht="15" customHeight="1">
      <c r="A472" t="inlineStr">
        <is>
          <t>A 27660-2023</t>
        </is>
      </c>
      <c r="B472" s="1" t="n">
        <v>45097</v>
      </c>
      <c r="C472" s="1" t="n">
        <v>46200</v>
      </c>
      <c r="D472" t="inlineStr">
        <is>
          <t>UPPSALA LÄN</t>
        </is>
      </c>
      <c r="E472" t="inlineStr">
        <is>
          <t>ÖSTHAMMAR</t>
        </is>
      </c>
      <c r="G472" t="n">
        <v>2.8</v>
      </c>
      <c r="H472" t="n">
        <v>0</v>
      </c>
      <c r="I472" t="n">
        <v>0</v>
      </c>
      <c r="J472" t="n">
        <v>0</v>
      </c>
      <c r="K472" t="n">
        <v>0</v>
      </c>
      <c r="L472" t="n">
        <v>0</v>
      </c>
      <c r="M472" t="n">
        <v>0</v>
      </c>
      <c r="N472" t="n">
        <v>0</v>
      </c>
      <c r="O472" t="n">
        <v>0</v>
      </c>
      <c r="P472" t="n">
        <v>0</v>
      </c>
      <c r="Q472" t="n">
        <v>0</v>
      </c>
      <c r="R472" s="2" t="inlineStr"/>
    </row>
    <row r="473" ht="15" customHeight="1">
      <c r="A473" t="inlineStr">
        <is>
          <t>A 69411-2021</t>
        </is>
      </c>
      <c r="B473" s="1" t="n">
        <v>44531</v>
      </c>
      <c r="C473" s="1" t="n">
        <v>46200</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41478-2024</t>
        </is>
      </c>
      <c r="B474" s="1" t="n">
        <v>45560</v>
      </c>
      <c r="C474" s="1" t="n">
        <v>46200</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24367-2022</t>
        </is>
      </c>
      <c r="B475" s="1" t="n">
        <v>44726</v>
      </c>
      <c r="C475" s="1" t="n">
        <v>46200</v>
      </c>
      <c r="D475" t="inlineStr">
        <is>
          <t>UPPSALA LÄN</t>
        </is>
      </c>
      <c r="E475" t="inlineStr">
        <is>
          <t>ÖSTHAMMAR</t>
        </is>
      </c>
      <c r="G475" t="n">
        <v>2.7</v>
      </c>
      <c r="H475" t="n">
        <v>0</v>
      </c>
      <c r="I475" t="n">
        <v>0</v>
      </c>
      <c r="J475" t="n">
        <v>0</v>
      </c>
      <c r="K475" t="n">
        <v>0</v>
      </c>
      <c r="L475" t="n">
        <v>0</v>
      </c>
      <c r="M475" t="n">
        <v>0</v>
      </c>
      <c r="N475" t="n">
        <v>0</v>
      </c>
      <c r="O475" t="n">
        <v>0</v>
      </c>
      <c r="P475" t="n">
        <v>0</v>
      </c>
      <c r="Q475" t="n">
        <v>0</v>
      </c>
      <c r="R475" s="2" t="inlineStr"/>
    </row>
    <row r="476" ht="15" customHeight="1">
      <c r="A476" t="inlineStr">
        <is>
          <t>A 5933-2022</t>
        </is>
      </c>
      <c r="B476" s="1" t="n">
        <v>44598</v>
      </c>
      <c r="C476" s="1" t="n">
        <v>46200</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16141-2022</t>
        </is>
      </c>
      <c r="B477" s="1" t="n">
        <v>44665</v>
      </c>
      <c r="C477" s="1" t="n">
        <v>46200</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34922-2023</t>
        </is>
      </c>
      <c r="B478" s="1" t="n">
        <v>45142</v>
      </c>
      <c r="C478" s="1" t="n">
        <v>46200</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17929-2025</t>
        </is>
      </c>
      <c r="B479" s="1" t="n">
        <v>45759</v>
      </c>
      <c r="C479" s="1" t="n">
        <v>46200</v>
      </c>
      <c r="D479" t="inlineStr">
        <is>
          <t>UPPSALA LÄN</t>
        </is>
      </c>
      <c r="E479" t="inlineStr">
        <is>
          <t>ÖSTHAMMAR</t>
        </is>
      </c>
      <c r="G479" t="n">
        <v>3.4</v>
      </c>
      <c r="H479" t="n">
        <v>0</v>
      </c>
      <c r="I479" t="n">
        <v>0</v>
      </c>
      <c r="J479" t="n">
        <v>0</v>
      </c>
      <c r="K479" t="n">
        <v>0</v>
      </c>
      <c r="L479" t="n">
        <v>0</v>
      </c>
      <c r="M479" t="n">
        <v>0</v>
      </c>
      <c r="N479" t="n">
        <v>0</v>
      </c>
      <c r="O479" t="n">
        <v>0</v>
      </c>
      <c r="P479" t="n">
        <v>0</v>
      </c>
      <c r="Q479" t="n">
        <v>0</v>
      </c>
      <c r="R479" s="2" t="inlineStr"/>
    </row>
    <row r="480" ht="15" customHeight="1">
      <c r="A480" t="inlineStr">
        <is>
          <t>A 64774-2023</t>
        </is>
      </c>
      <c r="B480" s="1" t="n">
        <v>45282</v>
      </c>
      <c r="C480" s="1" t="n">
        <v>46200</v>
      </c>
      <c r="D480" t="inlineStr">
        <is>
          <t>UPPSALA LÄN</t>
        </is>
      </c>
      <c r="E480" t="inlineStr">
        <is>
          <t>ÖSTHAMMAR</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26303-2024</t>
        </is>
      </c>
      <c r="B481" s="1" t="n">
        <v>45468</v>
      </c>
      <c r="C481" s="1" t="n">
        <v>46200</v>
      </c>
      <c r="D481" t="inlineStr">
        <is>
          <t>UPPSALA LÄN</t>
        </is>
      </c>
      <c r="E481" t="inlineStr">
        <is>
          <t>ÖSTHAMMAR</t>
        </is>
      </c>
      <c r="G481" t="n">
        <v>1.2</v>
      </c>
      <c r="H481" t="n">
        <v>0</v>
      </c>
      <c r="I481" t="n">
        <v>0</v>
      </c>
      <c r="J481" t="n">
        <v>0</v>
      </c>
      <c r="K481" t="n">
        <v>0</v>
      </c>
      <c r="L481" t="n">
        <v>0</v>
      </c>
      <c r="M481" t="n">
        <v>0</v>
      </c>
      <c r="N481" t="n">
        <v>0</v>
      </c>
      <c r="O481" t="n">
        <v>0</v>
      </c>
      <c r="P481" t="n">
        <v>0</v>
      </c>
      <c r="Q481" t="n">
        <v>0</v>
      </c>
      <c r="R481" s="2" t="inlineStr"/>
    </row>
    <row r="482" ht="15" customHeight="1">
      <c r="A482" t="inlineStr">
        <is>
          <t>A 36451-2025</t>
        </is>
      </c>
      <c r="B482" s="1" t="n">
        <v>45869</v>
      </c>
      <c r="C482" s="1" t="n">
        <v>46200</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60577-2021</t>
        </is>
      </c>
      <c r="B483" s="1" t="n">
        <v>44496</v>
      </c>
      <c r="C483" s="1" t="n">
        <v>46200</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23495-2023</t>
        </is>
      </c>
      <c r="B484" s="1" t="n">
        <v>45076</v>
      </c>
      <c r="C484" s="1" t="n">
        <v>46200</v>
      </c>
      <c r="D484" t="inlineStr">
        <is>
          <t>UPPSALA LÄN</t>
        </is>
      </c>
      <c r="E484" t="inlineStr">
        <is>
          <t>ÖSTHAMMAR</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1791-2023</t>
        </is>
      </c>
      <c r="B485" s="1" t="n">
        <v>44938</v>
      </c>
      <c r="C485" s="1" t="n">
        <v>46200</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49796-2024</t>
        </is>
      </c>
      <c r="B486" s="1" t="n">
        <v>45597</v>
      </c>
      <c r="C486" s="1" t="n">
        <v>46200</v>
      </c>
      <c r="D486" t="inlineStr">
        <is>
          <t>UPPSALA LÄN</t>
        </is>
      </c>
      <c r="E486" t="inlineStr">
        <is>
          <t>ÖSTHAMMAR</t>
        </is>
      </c>
      <c r="G486" t="n">
        <v>1.3</v>
      </c>
      <c r="H486" t="n">
        <v>0</v>
      </c>
      <c r="I486" t="n">
        <v>0</v>
      </c>
      <c r="J486" t="n">
        <v>0</v>
      </c>
      <c r="K486" t="n">
        <v>0</v>
      </c>
      <c r="L486" t="n">
        <v>0</v>
      </c>
      <c r="M486" t="n">
        <v>0</v>
      </c>
      <c r="N486" t="n">
        <v>0</v>
      </c>
      <c r="O486" t="n">
        <v>0</v>
      </c>
      <c r="P486" t="n">
        <v>0</v>
      </c>
      <c r="Q486" t="n">
        <v>0</v>
      </c>
      <c r="R486" s="2" t="inlineStr"/>
    </row>
    <row r="487" ht="15" customHeight="1">
      <c r="A487" t="inlineStr">
        <is>
          <t>A 42262-2024</t>
        </is>
      </c>
      <c r="B487" s="1" t="n">
        <v>45562</v>
      </c>
      <c r="C487" s="1" t="n">
        <v>46200</v>
      </c>
      <c r="D487" t="inlineStr">
        <is>
          <t>UPPSALA LÄN</t>
        </is>
      </c>
      <c r="E487" t="inlineStr">
        <is>
          <t>ÖSTHAMMAR</t>
        </is>
      </c>
      <c r="F487" t="inlineStr">
        <is>
          <t>Bergvik skog öst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22798-2023</t>
        </is>
      </c>
      <c r="B488" s="1" t="n">
        <v>45072</v>
      </c>
      <c r="C488" s="1" t="n">
        <v>46200</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7118-2023</t>
        </is>
      </c>
      <c r="B489" s="1" t="n">
        <v>44970</v>
      </c>
      <c r="C489" s="1" t="n">
        <v>46200</v>
      </c>
      <c r="D489" t="inlineStr">
        <is>
          <t>UPPSALA LÄN</t>
        </is>
      </c>
      <c r="E489" t="inlineStr">
        <is>
          <t>ÖSTHAMMAR</t>
        </is>
      </c>
      <c r="G489" t="n">
        <v>2.1</v>
      </c>
      <c r="H489" t="n">
        <v>0</v>
      </c>
      <c r="I489" t="n">
        <v>0</v>
      </c>
      <c r="J489" t="n">
        <v>0</v>
      </c>
      <c r="K489" t="n">
        <v>0</v>
      </c>
      <c r="L489" t="n">
        <v>0</v>
      </c>
      <c r="M489" t="n">
        <v>0</v>
      </c>
      <c r="N489" t="n">
        <v>0</v>
      </c>
      <c r="O489" t="n">
        <v>0</v>
      </c>
      <c r="P489" t="n">
        <v>0</v>
      </c>
      <c r="Q489" t="n">
        <v>0</v>
      </c>
      <c r="R489" s="2" t="inlineStr"/>
    </row>
    <row r="490" ht="15" customHeight="1">
      <c r="A490" t="inlineStr">
        <is>
          <t>A 4561-2022</t>
        </is>
      </c>
      <c r="B490" s="1" t="n">
        <v>44591</v>
      </c>
      <c r="C490" s="1" t="n">
        <v>46200</v>
      </c>
      <c r="D490" t="inlineStr">
        <is>
          <t>UPPSALA LÄN</t>
        </is>
      </c>
      <c r="E490" t="inlineStr">
        <is>
          <t>ÖSTHAMMAR</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23741-2024</t>
        </is>
      </c>
      <c r="B491" s="1" t="n">
        <v>45455</v>
      </c>
      <c r="C491" s="1" t="n">
        <v>46200</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26612-2023</t>
        </is>
      </c>
      <c r="B492" s="1" t="n">
        <v>45089</v>
      </c>
      <c r="C492" s="1" t="n">
        <v>46200</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36954-2024</t>
        </is>
      </c>
      <c r="B493" s="1" t="n">
        <v>45538</v>
      </c>
      <c r="C493" s="1" t="n">
        <v>46200</v>
      </c>
      <c r="D493" t="inlineStr">
        <is>
          <t>UPPSALA LÄN</t>
        </is>
      </c>
      <c r="E493" t="inlineStr">
        <is>
          <t>ÖSTHAMMAR</t>
        </is>
      </c>
      <c r="F493" t="inlineStr">
        <is>
          <t>Bergvik skog öst AB</t>
        </is>
      </c>
      <c r="G493" t="n">
        <v>5.1</v>
      </c>
      <c r="H493" t="n">
        <v>0</v>
      </c>
      <c r="I493" t="n">
        <v>0</v>
      </c>
      <c r="J493" t="n">
        <v>0</v>
      </c>
      <c r="K493" t="n">
        <v>0</v>
      </c>
      <c r="L493" t="n">
        <v>0</v>
      </c>
      <c r="M493" t="n">
        <v>0</v>
      </c>
      <c r="N493" t="n">
        <v>0</v>
      </c>
      <c r="O493" t="n">
        <v>0</v>
      </c>
      <c r="P493" t="n">
        <v>0</v>
      </c>
      <c r="Q493" t="n">
        <v>0</v>
      </c>
      <c r="R493" s="2" t="inlineStr"/>
    </row>
    <row r="494" ht="15" customHeight="1">
      <c r="A494" t="inlineStr">
        <is>
          <t>A 48854-2025</t>
        </is>
      </c>
      <c r="B494" s="1" t="n">
        <v>45937</v>
      </c>
      <c r="C494" s="1" t="n">
        <v>46200</v>
      </c>
      <c r="D494" t="inlineStr">
        <is>
          <t>UPPSALA LÄN</t>
        </is>
      </c>
      <c r="E494" t="inlineStr">
        <is>
          <t>ÖSTHAMMAR</t>
        </is>
      </c>
      <c r="F494" t="inlineStr">
        <is>
          <t>Övriga Aktiebolag</t>
        </is>
      </c>
      <c r="G494" t="n">
        <v>18.9</v>
      </c>
      <c r="H494" t="n">
        <v>0</v>
      </c>
      <c r="I494" t="n">
        <v>0</v>
      </c>
      <c r="J494" t="n">
        <v>0</v>
      </c>
      <c r="K494" t="n">
        <v>0</v>
      </c>
      <c r="L494" t="n">
        <v>0</v>
      </c>
      <c r="M494" t="n">
        <v>0</v>
      </c>
      <c r="N494" t="n">
        <v>0</v>
      </c>
      <c r="O494" t="n">
        <v>0</v>
      </c>
      <c r="P494" t="n">
        <v>0</v>
      </c>
      <c r="Q494" t="n">
        <v>0</v>
      </c>
      <c r="R494" s="2" t="inlineStr"/>
    </row>
    <row r="495" ht="15" customHeight="1">
      <c r="A495" t="inlineStr">
        <is>
          <t>A 33685-2024</t>
        </is>
      </c>
      <c r="B495" s="1" t="n">
        <v>45520</v>
      </c>
      <c r="C495" s="1" t="n">
        <v>46200</v>
      </c>
      <c r="D495" t="inlineStr">
        <is>
          <t>UPPSALA LÄN</t>
        </is>
      </c>
      <c r="E495" t="inlineStr">
        <is>
          <t>ÖSTHAMMAR</t>
        </is>
      </c>
      <c r="F495" t="inlineStr">
        <is>
          <t>Bergvik skog öst AB</t>
        </is>
      </c>
      <c r="G495" t="n">
        <v>3.8</v>
      </c>
      <c r="H495" t="n">
        <v>0</v>
      </c>
      <c r="I495" t="n">
        <v>0</v>
      </c>
      <c r="J495" t="n">
        <v>0</v>
      </c>
      <c r="K495" t="n">
        <v>0</v>
      </c>
      <c r="L495" t="n">
        <v>0</v>
      </c>
      <c r="M495" t="n">
        <v>0</v>
      </c>
      <c r="N495" t="n">
        <v>0</v>
      </c>
      <c r="O495" t="n">
        <v>0</v>
      </c>
      <c r="P495" t="n">
        <v>0</v>
      </c>
      <c r="Q495" t="n">
        <v>0</v>
      </c>
      <c r="R495" s="2" t="inlineStr"/>
    </row>
    <row r="496" ht="15" customHeight="1">
      <c r="A496" t="inlineStr">
        <is>
          <t>A 43655-2024</t>
        </is>
      </c>
      <c r="B496" s="1" t="n">
        <v>45569</v>
      </c>
      <c r="C496" s="1" t="n">
        <v>46200</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60079-2022</t>
        </is>
      </c>
      <c r="B497" s="1" t="n">
        <v>44909</v>
      </c>
      <c r="C497" s="1" t="n">
        <v>46200</v>
      </c>
      <c r="D497" t="inlineStr">
        <is>
          <t>UPPSALA LÄN</t>
        </is>
      </c>
      <c r="E497" t="inlineStr">
        <is>
          <t>ÖSTHAMMAR</t>
        </is>
      </c>
      <c r="G497" t="n">
        <v>9.6</v>
      </c>
      <c r="H497" t="n">
        <v>0</v>
      </c>
      <c r="I497" t="n">
        <v>0</v>
      </c>
      <c r="J497" t="n">
        <v>0</v>
      </c>
      <c r="K497" t="n">
        <v>0</v>
      </c>
      <c r="L497" t="n">
        <v>0</v>
      </c>
      <c r="M497" t="n">
        <v>0</v>
      </c>
      <c r="N497" t="n">
        <v>0</v>
      </c>
      <c r="O497" t="n">
        <v>0</v>
      </c>
      <c r="P497" t="n">
        <v>0</v>
      </c>
      <c r="Q497" t="n">
        <v>0</v>
      </c>
      <c r="R497" s="2" t="inlineStr"/>
    </row>
    <row r="498" ht="15" customHeight="1">
      <c r="A498" t="inlineStr">
        <is>
          <t>A 49773-2025</t>
        </is>
      </c>
      <c r="B498" s="1" t="n">
        <v>45940</v>
      </c>
      <c r="C498" s="1" t="n">
        <v>46200</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14595-2023</t>
        </is>
      </c>
      <c r="B499" s="1" t="n">
        <v>45013</v>
      </c>
      <c r="C499" s="1" t="n">
        <v>46200</v>
      </c>
      <c r="D499" t="inlineStr">
        <is>
          <t>UPPSALA LÄN</t>
        </is>
      </c>
      <c r="E499" t="inlineStr">
        <is>
          <t>ÖSTHAMMAR</t>
        </is>
      </c>
      <c r="G499" t="n">
        <v>5</v>
      </c>
      <c r="H499" t="n">
        <v>0</v>
      </c>
      <c r="I499" t="n">
        <v>0</v>
      </c>
      <c r="J499" t="n">
        <v>0</v>
      </c>
      <c r="K499" t="n">
        <v>0</v>
      </c>
      <c r="L499" t="n">
        <v>0</v>
      </c>
      <c r="M499" t="n">
        <v>0</v>
      </c>
      <c r="N499" t="n">
        <v>0</v>
      </c>
      <c r="O499" t="n">
        <v>0</v>
      </c>
      <c r="P499" t="n">
        <v>0</v>
      </c>
      <c r="Q499" t="n">
        <v>0</v>
      </c>
      <c r="R499" s="2" t="inlineStr"/>
    </row>
    <row r="500" ht="15" customHeight="1">
      <c r="A500" t="inlineStr">
        <is>
          <t>A 38575-2024</t>
        </is>
      </c>
      <c r="B500" s="1" t="n">
        <v>45546</v>
      </c>
      <c r="C500" s="1" t="n">
        <v>46200</v>
      </c>
      <c r="D500" t="inlineStr">
        <is>
          <t>UPPSALA LÄN</t>
        </is>
      </c>
      <c r="E500" t="inlineStr">
        <is>
          <t>ÖSTHAMMAR</t>
        </is>
      </c>
      <c r="F500" t="inlineStr">
        <is>
          <t>Bergvik skog öst AB</t>
        </is>
      </c>
      <c r="G500" t="n">
        <v>5.1</v>
      </c>
      <c r="H500" t="n">
        <v>0</v>
      </c>
      <c r="I500" t="n">
        <v>0</v>
      </c>
      <c r="J500" t="n">
        <v>0</v>
      </c>
      <c r="K500" t="n">
        <v>0</v>
      </c>
      <c r="L500" t="n">
        <v>0</v>
      </c>
      <c r="M500" t="n">
        <v>0</v>
      </c>
      <c r="N500" t="n">
        <v>0</v>
      </c>
      <c r="O500" t="n">
        <v>0</v>
      </c>
      <c r="P500" t="n">
        <v>0</v>
      </c>
      <c r="Q500" t="n">
        <v>0</v>
      </c>
      <c r="R500" s="2" t="inlineStr"/>
    </row>
    <row r="501" ht="15" customHeight="1">
      <c r="A501" t="inlineStr">
        <is>
          <t>A 43685-2024</t>
        </is>
      </c>
      <c r="B501" s="1" t="n">
        <v>45569</v>
      </c>
      <c r="C501" s="1" t="n">
        <v>46200</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44796-2024</t>
        </is>
      </c>
      <c r="B502" s="1" t="n">
        <v>45574</v>
      </c>
      <c r="C502" s="1" t="n">
        <v>46200</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40384-2025</t>
        </is>
      </c>
      <c r="B503" s="1" t="n">
        <v>45895</v>
      </c>
      <c r="C503" s="1" t="n">
        <v>46200</v>
      </c>
      <c r="D503" t="inlineStr">
        <is>
          <t>UPPSALA LÄN</t>
        </is>
      </c>
      <c r="E503" t="inlineStr">
        <is>
          <t>ÖSTHAMMAR</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46200</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40382-2025</t>
        </is>
      </c>
      <c r="B505" s="1" t="n">
        <v>45895</v>
      </c>
      <c r="C505" s="1" t="n">
        <v>46200</v>
      </c>
      <c r="D505" t="inlineStr">
        <is>
          <t>UPPSALA LÄN</t>
        </is>
      </c>
      <c r="E505" t="inlineStr">
        <is>
          <t>ÖSTHAMMAR</t>
        </is>
      </c>
      <c r="G505" t="n">
        <v>2.2</v>
      </c>
      <c r="H505" t="n">
        <v>0</v>
      </c>
      <c r="I505" t="n">
        <v>0</v>
      </c>
      <c r="J505" t="n">
        <v>0</v>
      </c>
      <c r="K505" t="n">
        <v>0</v>
      </c>
      <c r="L505" t="n">
        <v>0</v>
      </c>
      <c r="M505" t="n">
        <v>0</v>
      </c>
      <c r="N505" t="n">
        <v>0</v>
      </c>
      <c r="O505" t="n">
        <v>0</v>
      </c>
      <c r="P505" t="n">
        <v>0</v>
      </c>
      <c r="Q505" t="n">
        <v>0</v>
      </c>
      <c r="R505" s="2" t="inlineStr"/>
    </row>
    <row r="506" ht="15" customHeight="1">
      <c r="A506" t="inlineStr">
        <is>
          <t>A 40460-2025</t>
        </is>
      </c>
      <c r="B506" s="1" t="n">
        <v>45895</v>
      </c>
      <c r="C506" s="1" t="n">
        <v>46200</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40462-2025</t>
        </is>
      </c>
      <c r="B507" s="1" t="n">
        <v>45895</v>
      </c>
      <c r="C507" s="1" t="n">
        <v>46200</v>
      </c>
      <c r="D507" t="inlineStr">
        <is>
          <t>UPPSALA LÄN</t>
        </is>
      </c>
      <c r="E507" t="inlineStr">
        <is>
          <t>ÖSTHAMMAR</t>
        </is>
      </c>
      <c r="G507" t="n">
        <v>4.5</v>
      </c>
      <c r="H507" t="n">
        <v>0</v>
      </c>
      <c r="I507" t="n">
        <v>0</v>
      </c>
      <c r="J507" t="n">
        <v>0</v>
      </c>
      <c r="K507" t="n">
        <v>0</v>
      </c>
      <c r="L507" t="n">
        <v>0</v>
      </c>
      <c r="M507" t="n">
        <v>0</v>
      </c>
      <c r="N507" t="n">
        <v>0</v>
      </c>
      <c r="O507" t="n">
        <v>0</v>
      </c>
      <c r="P507" t="n">
        <v>0</v>
      </c>
      <c r="Q507" t="n">
        <v>0</v>
      </c>
      <c r="R507" s="2" t="inlineStr"/>
    </row>
    <row r="508" ht="15" customHeight="1">
      <c r="A508" t="inlineStr">
        <is>
          <t>A 40416-2025</t>
        </is>
      </c>
      <c r="B508" s="1" t="n">
        <v>45895</v>
      </c>
      <c r="C508" s="1" t="n">
        <v>46200</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51156-2025</t>
        </is>
      </c>
      <c r="B509" s="1" t="n">
        <v>45947</v>
      </c>
      <c r="C509" s="1" t="n">
        <v>46200</v>
      </c>
      <c r="D509" t="inlineStr">
        <is>
          <t>UPPSALA LÄN</t>
        </is>
      </c>
      <c r="E509" t="inlineStr">
        <is>
          <t>ÖSTHAMMAR</t>
        </is>
      </c>
      <c r="F509" t="inlineStr">
        <is>
          <t>Allmännings- och besparingsskogar</t>
        </is>
      </c>
      <c r="G509" t="n">
        <v>2.8</v>
      </c>
      <c r="H509" t="n">
        <v>0</v>
      </c>
      <c r="I509" t="n">
        <v>0</v>
      </c>
      <c r="J509" t="n">
        <v>0</v>
      </c>
      <c r="K509" t="n">
        <v>0</v>
      </c>
      <c r="L509" t="n">
        <v>0</v>
      </c>
      <c r="M509" t="n">
        <v>0</v>
      </c>
      <c r="N509" t="n">
        <v>0</v>
      </c>
      <c r="O509" t="n">
        <v>0</v>
      </c>
      <c r="P509" t="n">
        <v>0</v>
      </c>
      <c r="Q509" t="n">
        <v>0</v>
      </c>
      <c r="R509" s="2" t="inlineStr"/>
    </row>
    <row r="510" ht="15" customHeight="1">
      <c r="A510" t="inlineStr">
        <is>
          <t>A 5931-2022</t>
        </is>
      </c>
      <c r="B510" s="1" t="n">
        <v>44598</v>
      </c>
      <c r="C510" s="1" t="n">
        <v>46200</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v>
      </c>
      <c r="C511" s="1" t="n">
        <v>46200</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41220-2025</t>
        </is>
      </c>
      <c r="B512" s="1" t="n">
        <v>45898</v>
      </c>
      <c r="C512" s="1" t="n">
        <v>46200</v>
      </c>
      <c r="D512" t="inlineStr">
        <is>
          <t>UPPSALA LÄN</t>
        </is>
      </c>
      <c r="E512" t="inlineStr">
        <is>
          <t>ÖSTHAMMAR</t>
        </is>
      </c>
      <c r="F512" t="inlineStr">
        <is>
          <t>Bergvik skog öst AB</t>
        </is>
      </c>
      <c r="G512" t="n">
        <v>2.5</v>
      </c>
      <c r="H512" t="n">
        <v>0</v>
      </c>
      <c r="I512" t="n">
        <v>0</v>
      </c>
      <c r="J512" t="n">
        <v>0</v>
      </c>
      <c r="K512" t="n">
        <v>0</v>
      </c>
      <c r="L512" t="n">
        <v>0</v>
      </c>
      <c r="M512" t="n">
        <v>0</v>
      </c>
      <c r="N512" t="n">
        <v>0</v>
      </c>
      <c r="O512" t="n">
        <v>0</v>
      </c>
      <c r="P512" t="n">
        <v>0</v>
      </c>
      <c r="Q512" t="n">
        <v>0</v>
      </c>
      <c r="R512" s="2" t="inlineStr"/>
    </row>
    <row r="513" ht="15" customHeight="1">
      <c r="A513" t="inlineStr">
        <is>
          <t>A 43993-2024</t>
        </is>
      </c>
      <c r="B513" s="1" t="n">
        <v>45572</v>
      </c>
      <c r="C513" s="1" t="n">
        <v>46200</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51379-2025</t>
        </is>
      </c>
      <c r="B514" s="1" t="n">
        <v>45950</v>
      </c>
      <c r="C514" s="1" t="n">
        <v>46200</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51255-2025</t>
        </is>
      </c>
      <c r="B515" s="1" t="n">
        <v>45949</v>
      </c>
      <c r="C515" s="1" t="n">
        <v>46200</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51266-2025</t>
        </is>
      </c>
      <c r="B516" s="1" t="n">
        <v>45949</v>
      </c>
      <c r="C516" s="1" t="n">
        <v>46200</v>
      </c>
      <c r="D516" t="inlineStr">
        <is>
          <t>UPPSALA LÄN</t>
        </is>
      </c>
      <c r="E516" t="inlineStr">
        <is>
          <t>ÖSTHAMMAR</t>
        </is>
      </c>
      <c r="F516" t="inlineStr">
        <is>
          <t>Bergvik skog öst AB</t>
        </is>
      </c>
      <c r="G516" t="n">
        <v>4.7</v>
      </c>
      <c r="H516" t="n">
        <v>0</v>
      </c>
      <c r="I516" t="n">
        <v>0</v>
      </c>
      <c r="J516" t="n">
        <v>0</v>
      </c>
      <c r="K516" t="n">
        <v>0</v>
      </c>
      <c r="L516" t="n">
        <v>0</v>
      </c>
      <c r="M516" t="n">
        <v>0</v>
      </c>
      <c r="N516" t="n">
        <v>0</v>
      </c>
      <c r="O516" t="n">
        <v>0</v>
      </c>
      <c r="P516" t="n">
        <v>0</v>
      </c>
      <c r="Q516" t="n">
        <v>0</v>
      </c>
      <c r="R516" s="2" t="inlineStr"/>
    </row>
    <row r="517" ht="15" customHeight="1">
      <c r="A517" t="inlineStr">
        <is>
          <t>A 40637-2022</t>
        </is>
      </c>
      <c r="B517" s="1" t="n">
        <v>44824</v>
      </c>
      <c r="C517" s="1" t="n">
        <v>46200</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51254-2025</t>
        </is>
      </c>
      <c r="B518" s="1" t="n">
        <v>45948</v>
      </c>
      <c r="C518" s="1" t="n">
        <v>46200</v>
      </c>
      <c r="D518" t="inlineStr">
        <is>
          <t>UPPSALA LÄN</t>
        </is>
      </c>
      <c r="E518" t="inlineStr">
        <is>
          <t>ÖSTHAMMAR</t>
        </is>
      </c>
      <c r="G518" t="n">
        <v>8.9</v>
      </c>
      <c r="H518" t="n">
        <v>0</v>
      </c>
      <c r="I518" t="n">
        <v>0</v>
      </c>
      <c r="J518" t="n">
        <v>0</v>
      </c>
      <c r="K518" t="n">
        <v>0</v>
      </c>
      <c r="L518" t="n">
        <v>0</v>
      </c>
      <c r="M518" t="n">
        <v>0</v>
      </c>
      <c r="N518" t="n">
        <v>0</v>
      </c>
      <c r="O518" t="n">
        <v>0</v>
      </c>
      <c r="P518" t="n">
        <v>0</v>
      </c>
      <c r="Q518" t="n">
        <v>0</v>
      </c>
      <c r="R518" s="2" t="inlineStr"/>
    </row>
    <row r="519" ht="15" customHeight="1">
      <c r="A519" t="inlineStr">
        <is>
          <t>A 51265-2025</t>
        </is>
      </c>
      <c r="B519" s="1" t="n">
        <v>45949</v>
      </c>
      <c r="C519" s="1" t="n">
        <v>46200</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56260-2022</t>
        </is>
      </c>
      <c r="B520" s="1" t="n">
        <v>44890</v>
      </c>
      <c r="C520" s="1" t="n">
        <v>46200</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42213-2025</t>
        </is>
      </c>
      <c r="B521" s="1" t="n">
        <v>45904</v>
      </c>
      <c r="C521" s="1" t="n">
        <v>46200</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24401-2025</t>
        </is>
      </c>
      <c r="B522" s="1" t="n">
        <v>45797</v>
      </c>
      <c r="C522" s="1" t="n">
        <v>46200</v>
      </c>
      <c r="D522" t="inlineStr">
        <is>
          <t>UPPSALA LÄN</t>
        </is>
      </c>
      <c r="E522" t="inlineStr">
        <is>
          <t>ÖSTHAMMAR</t>
        </is>
      </c>
      <c r="G522" t="n">
        <v>1.4</v>
      </c>
      <c r="H522" t="n">
        <v>0</v>
      </c>
      <c r="I522" t="n">
        <v>0</v>
      </c>
      <c r="J522" t="n">
        <v>0</v>
      </c>
      <c r="K522" t="n">
        <v>0</v>
      </c>
      <c r="L522" t="n">
        <v>0</v>
      </c>
      <c r="M522" t="n">
        <v>0</v>
      </c>
      <c r="N522" t="n">
        <v>0</v>
      </c>
      <c r="O522" t="n">
        <v>0</v>
      </c>
      <c r="P522" t="n">
        <v>0</v>
      </c>
      <c r="Q522" t="n">
        <v>0</v>
      </c>
      <c r="R522" s="2" t="inlineStr"/>
    </row>
    <row r="523" ht="15" customHeight="1">
      <c r="A523" t="inlineStr">
        <is>
          <t>A 24408-2025</t>
        </is>
      </c>
      <c r="B523" s="1" t="n">
        <v>45797</v>
      </c>
      <c r="C523" s="1" t="n">
        <v>46200</v>
      </c>
      <c r="D523" t="inlineStr">
        <is>
          <t>UPPSALA LÄN</t>
        </is>
      </c>
      <c r="E523" t="inlineStr">
        <is>
          <t>ÖSTHAMMAR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24389-2025</t>
        </is>
      </c>
      <c r="B524" s="1" t="n">
        <v>45797</v>
      </c>
      <c r="C524" s="1" t="n">
        <v>46200</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62394-2022</t>
        </is>
      </c>
      <c r="B525" s="1" t="n">
        <v>44923</v>
      </c>
      <c r="C525" s="1" t="n">
        <v>46200</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59291-2023</t>
        </is>
      </c>
      <c r="B526" s="1" t="n">
        <v>45253</v>
      </c>
      <c r="C526" s="1" t="n">
        <v>46200</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28099-2025</t>
        </is>
      </c>
      <c r="B527" s="1" t="n">
        <v>45817</v>
      </c>
      <c r="C527" s="1" t="n">
        <v>46200</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8616-2023</t>
        </is>
      </c>
      <c r="B528" s="1" t="n">
        <v>44977</v>
      </c>
      <c r="C528" s="1" t="n">
        <v>46200</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42940-2025</t>
        </is>
      </c>
      <c r="B529" s="1" t="n">
        <v>45909</v>
      </c>
      <c r="C529" s="1" t="n">
        <v>46200</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41538-2021</t>
        </is>
      </c>
      <c r="B530" s="1" t="n">
        <v>44425</v>
      </c>
      <c r="C530" s="1" t="n">
        <v>46200</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34742-2022</t>
        </is>
      </c>
      <c r="B531" s="1" t="n">
        <v>44795</v>
      </c>
      <c r="C531" s="1" t="n">
        <v>46200</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55090-2024</t>
        </is>
      </c>
      <c r="B532" s="1" t="n">
        <v>45621</v>
      </c>
      <c r="C532" s="1" t="n">
        <v>46200</v>
      </c>
      <c r="D532" t="inlineStr">
        <is>
          <t>UPPSALA LÄN</t>
        </is>
      </c>
      <c r="E532" t="inlineStr">
        <is>
          <t>ÖSTHAMMAR</t>
        </is>
      </c>
      <c r="F532" t="inlineStr">
        <is>
          <t>Sveaskog</t>
        </is>
      </c>
      <c r="G532" t="n">
        <v>4.4</v>
      </c>
      <c r="H532" t="n">
        <v>0</v>
      </c>
      <c r="I532" t="n">
        <v>0</v>
      </c>
      <c r="J532" t="n">
        <v>0</v>
      </c>
      <c r="K532" t="n">
        <v>0</v>
      </c>
      <c r="L532" t="n">
        <v>0</v>
      </c>
      <c r="M532" t="n">
        <v>0</v>
      </c>
      <c r="N532" t="n">
        <v>0</v>
      </c>
      <c r="O532" t="n">
        <v>0</v>
      </c>
      <c r="P532" t="n">
        <v>0</v>
      </c>
      <c r="Q532" t="n">
        <v>0</v>
      </c>
      <c r="R532" s="2" t="inlineStr"/>
    </row>
    <row r="533" ht="15" customHeight="1">
      <c r="A533" t="inlineStr">
        <is>
          <t>A 55093-2024</t>
        </is>
      </c>
      <c r="B533" s="1" t="n">
        <v>45621</v>
      </c>
      <c r="C533" s="1" t="n">
        <v>46200</v>
      </c>
      <c r="D533" t="inlineStr">
        <is>
          <t>UPPSALA LÄN</t>
        </is>
      </c>
      <c r="E533" t="inlineStr">
        <is>
          <t>ÖSTHAMMAR</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55097-2024</t>
        </is>
      </c>
      <c r="B534" s="1" t="n">
        <v>45621</v>
      </c>
      <c r="C534" s="1" t="n">
        <v>46200</v>
      </c>
      <c r="D534" t="inlineStr">
        <is>
          <t>UPPSALA LÄN</t>
        </is>
      </c>
      <c r="E534" t="inlineStr">
        <is>
          <t>ÖSTHAMMAR</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53961-2025</t>
        </is>
      </c>
      <c r="B535" s="1" t="n">
        <v>45961</v>
      </c>
      <c r="C535" s="1" t="n">
        <v>46200</v>
      </c>
      <c r="D535" t="inlineStr">
        <is>
          <t>UPPSALA LÄN</t>
        </is>
      </c>
      <c r="E535" t="inlineStr">
        <is>
          <t>ÖSTHAMMAR</t>
        </is>
      </c>
      <c r="G535" t="n">
        <v>0.7</v>
      </c>
      <c r="H535" t="n">
        <v>0</v>
      </c>
      <c r="I535" t="n">
        <v>0</v>
      </c>
      <c r="J535" t="n">
        <v>0</v>
      </c>
      <c r="K535" t="n">
        <v>0</v>
      </c>
      <c r="L535" t="n">
        <v>0</v>
      </c>
      <c r="M535" t="n">
        <v>0</v>
      </c>
      <c r="N535" t="n">
        <v>0</v>
      </c>
      <c r="O535" t="n">
        <v>0</v>
      </c>
      <c r="P535" t="n">
        <v>0</v>
      </c>
      <c r="Q535" t="n">
        <v>0</v>
      </c>
      <c r="R535" s="2" t="inlineStr"/>
    </row>
    <row r="536" ht="15" customHeight="1">
      <c r="A536" t="inlineStr">
        <is>
          <t>A 21478-2023</t>
        </is>
      </c>
      <c r="B536" s="1" t="n">
        <v>45063</v>
      </c>
      <c r="C536" s="1" t="n">
        <v>46200</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53735-2025</t>
        </is>
      </c>
      <c r="B537" s="1" t="n">
        <v>45960</v>
      </c>
      <c r="C537" s="1" t="n">
        <v>46200</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53737-2025</t>
        </is>
      </c>
      <c r="B538" s="1" t="n">
        <v>45960</v>
      </c>
      <c r="C538" s="1" t="n">
        <v>46200</v>
      </c>
      <c r="D538" t="inlineStr">
        <is>
          <t>UPPSALA LÄN</t>
        </is>
      </c>
      <c r="E538" t="inlineStr">
        <is>
          <t>ÖSTHAMMAR</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1584-2025</t>
        </is>
      </c>
      <c r="B539" s="1" t="n">
        <v>45670</v>
      </c>
      <c r="C539" s="1" t="n">
        <v>46200</v>
      </c>
      <c r="D539" t="inlineStr">
        <is>
          <t>UPPSALA LÄN</t>
        </is>
      </c>
      <c r="E539" t="inlineStr">
        <is>
          <t>ÖSTHAMMAR</t>
        </is>
      </c>
      <c r="G539" t="n">
        <v>0.7</v>
      </c>
      <c r="H539" t="n">
        <v>0</v>
      </c>
      <c r="I539" t="n">
        <v>0</v>
      </c>
      <c r="J539" t="n">
        <v>0</v>
      </c>
      <c r="K539" t="n">
        <v>0</v>
      </c>
      <c r="L539" t="n">
        <v>0</v>
      </c>
      <c r="M539" t="n">
        <v>0</v>
      </c>
      <c r="N539" t="n">
        <v>0</v>
      </c>
      <c r="O539" t="n">
        <v>0</v>
      </c>
      <c r="P539" t="n">
        <v>0</v>
      </c>
      <c r="Q539" t="n">
        <v>0</v>
      </c>
      <c r="R539" s="2" t="inlineStr"/>
    </row>
    <row r="540" ht="15" customHeight="1">
      <c r="A540" t="inlineStr">
        <is>
          <t>A 30972-2024</t>
        </is>
      </c>
      <c r="B540" s="1" t="n">
        <v>45499</v>
      </c>
      <c r="C540" s="1" t="n">
        <v>46200</v>
      </c>
      <c r="D540" t="inlineStr">
        <is>
          <t>UPPSALA LÄN</t>
        </is>
      </c>
      <c r="E540" t="inlineStr">
        <is>
          <t>ÖSTHAMMAR</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24160-2024</t>
        </is>
      </c>
      <c r="B541" s="1" t="n">
        <v>45456</v>
      </c>
      <c r="C541" s="1" t="n">
        <v>46200</v>
      </c>
      <c r="D541" t="inlineStr">
        <is>
          <t>UPPSALA LÄN</t>
        </is>
      </c>
      <c r="E541" t="inlineStr">
        <is>
          <t>ÖSTHAMMAR</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45102-2025</t>
        </is>
      </c>
      <c r="B542" s="1" t="n">
        <v>45919</v>
      </c>
      <c r="C542" s="1" t="n">
        <v>46200</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24415-2025</t>
        </is>
      </c>
      <c r="B543" s="1" t="n">
        <v>45797</v>
      </c>
      <c r="C543" s="1" t="n">
        <v>46200</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54647-2025</t>
        </is>
      </c>
      <c r="B544" s="1" t="n">
        <v>45966</v>
      </c>
      <c r="C544" s="1" t="n">
        <v>46200</v>
      </c>
      <c r="D544" t="inlineStr">
        <is>
          <t>UPPSALA LÄN</t>
        </is>
      </c>
      <c r="E544" t="inlineStr">
        <is>
          <t>ÖSTHAMMAR</t>
        </is>
      </c>
      <c r="G544" t="n">
        <v>4.3</v>
      </c>
      <c r="H544" t="n">
        <v>0</v>
      </c>
      <c r="I544" t="n">
        <v>0</v>
      </c>
      <c r="J544" t="n">
        <v>0</v>
      </c>
      <c r="K544" t="n">
        <v>0</v>
      </c>
      <c r="L544" t="n">
        <v>0</v>
      </c>
      <c r="M544" t="n">
        <v>0</v>
      </c>
      <c r="N544" t="n">
        <v>0</v>
      </c>
      <c r="O544" t="n">
        <v>0</v>
      </c>
      <c r="P544" t="n">
        <v>0</v>
      </c>
      <c r="Q544" t="n">
        <v>0</v>
      </c>
      <c r="R544" s="2" t="inlineStr"/>
    </row>
    <row r="545" ht="15" customHeight="1">
      <c r="A545" t="inlineStr">
        <is>
          <t>A 54649-2025</t>
        </is>
      </c>
      <c r="B545" s="1" t="n">
        <v>45966</v>
      </c>
      <c r="C545" s="1" t="n">
        <v>46200</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3327-2023</t>
        </is>
      </c>
      <c r="B546" s="1" t="n">
        <v>44949</v>
      </c>
      <c r="C546" s="1" t="n">
        <v>46200</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45993-2025</t>
        </is>
      </c>
      <c r="B547" s="1" t="n">
        <v>45924</v>
      </c>
      <c r="C547" s="1" t="n">
        <v>46200</v>
      </c>
      <c r="D547" t="inlineStr">
        <is>
          <t>UPPSALA LÄN</t>
        </is>
      </c>
      <c r="E547" t="inlineStr">
        <is>
          <t>ÖSTHAMMAR</t>
        </is>
      </c>
      <c r="G547" t="n">
        <v>0.5</v>
      </c>
      <c r="H547" t="n">
        <v>0</v>
      </c>
      <c r="I547" t="n">
        <v>0</v>
      </c>
      <c r="J547" t="n">
        <v>0</v>
      </c>
      <c r="K547" t="n">
        <v>0</v>
      </c>
      <c r="L547" t="n">
        <v>0</v>
      </c>
      <c r="M547" t="n">
        <v>0</v>
      </c>
      <c r="N547" t="n">
        <v>0</v>
      </c>
      <c r="O547" t="n">
        <v>0</v>
      </c>
      <c r="P547" t="n">
        <v>0</v>
      </c>
      <c r="Q547" t="n">
        <v>0</v>
      </c>
      <c r="R547" s="2" t="inlineStr"/>
    </row>
    <row r="548" ht="15" customHeight="1">
      <c r="A548" t="inlineStr">
        <is>
          <t>A 56757-2025</t>
        </is>
      </c>
      <c r="B548" s="1" t="n">
        <v>45978</v>
      </c>
      <c r="C548" s="1" t="n">
        <v>46200</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56748-2025</t>
        </is>
      </c>
      <c r="B549" s="1" t="n">
        <v>45978</v>
      </c>
      <c r="C549" s="1" t="n">
        <v>46200</v>
      </c>
      <c r="D549" t="inlineStr">
        <is>
          <t>UPPSALA LÄN</t>
        </is>
      </c>
      <c r="E549" t="inlineStr">
        <is>
          <t>ÖSTHAMMAR</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47336-2025</t>
        </is>
      </c>
      <c r="B550" s="1" t="n">
        <v>45930</v>
      </c>
      <c r="C550" s="1" t="n">
        <v>46200</v>
      </c>
      <c r="D550" t="inlineStr">
        <is>
          <t>UPPSALA LÄN</t>
        </is>
      </c>
      <c r="E550" t="inlineStr">
        <is>
          <t>ÖSTHAMMAR</t>
        </is>
      </c>
      <c r="G550" t="n">
        <v>0.9</v>
      </c>
      <c r="H550" t="n">
        <v>0</v>
      </c>
      <c r="I550" t="n">
        <v>0</v>
      </c>
      <c r="J550" t="n">
        <v>0</v>
      </c>
      <c r="K550" t="n">
        <v>0</v>
      </c>
      <c r="L550" t="n">
        <v>0</v>
      </c>
      <c r="M550" t="n">
        <v>0</v>
      </c>
      <c r="N550" t="n">
        <v>0</v>
      </c>
      <c r="O550" t="n">
        <v>0</v>
      </c>
      <c r="P550" t="n">
        <v>0</v>
      </c>
      <c r="Q550" t="n">
        <v>0</v>
      </c>
      <c r="R550" s="2" t="inlineStr"/>
    </row>
    <row r="551" ht="15" customHeight="1">
      <c r="A551" t="inlineStr">
        <is>
          <t>A 56753-2025</t>
        </is>
      </c>
      <c r="B551" s="1" t="n">
        <v>45978</v>
      </c>
      <c r="C551" s="1" t="n">
        <v>46200</v>
      </c>
      <c r="D551" t="inlineStr">
        <is>
          <t>UPPSALA LÄN</t>
        </is>
      </c>
      <c r="E551" t="inlineStr">
        <is>
          <t>ÖSTHAMMAR</t>
        </is>
      </c>
      <c r="F551" t="inlineStr">
        <is>
          <t>Sveaskog</t>
        </is>
      </c>
      <c r="G551" t="n">
        <v>8.6</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v>
      </c>
      <c r="C552" s="1" t="n">
        <v>46200</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47615-2025</t>
        </is>
      </c>
      <c r="B553" s="1" t="n">
        <v>45931</v>
      </c>
      <c r="C553" s="1" t="n">
        <v>46200</v>
      </c>
      <c r="D553" t="inlineStr">
        <is>
          <t>UPPSALA LÄN</t>
        </is>
      </c>
      <c r="E553" t="inlineStr">
        <is>
          <t>ÖSTHAMMAR</t>
        </is>
      </c>
      <c r="G553" t="n">
        <v>7</v>
      </c>
      <c r="H553" t="n">
        <v>0</v>
      </c>
      <c r="I553" t="n">
        <v>0</v>
      </c>
      <c r="J553" t="n">
        <v>0</v>
      </c>
      <c r="K553" t="n">
        <v>0</v>
      </c>
      <c r="L553" t="n">
        <v>0</v>
      </c>
      <c r="M553" t="n">
        <v>0</v>
      </c>
      <c r="N553" t="n">
        <v>0</v>
      </c>
      <c r="O553" t="n">
        <v>0</v>
      </c>
      <c r="P553" t="n">
        <v>0</v>
      </c>
      <c r="Q553" t="n">
        <v>0</v>
      </c>
      <c r="R553" s="2" t="inlineStr"/>
    </row>
    <row r="554" ht="15" customHeight="1">
      <c r="A554" t="inlineStr">
        <is>
          <t>A 58399-2025</t>
        </is>
      </c>
      <c r="B554" s="1" t="n">
        <v>45985</v>
      </c>
      <c r="C554" s="1" t="n">
        <v>46200</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12945-2025</t>
        </is>
      </c>
      <c r="B555" s="1" t="n">
        <v>45734</v>
      </c>
      <c r="C555" s="1" t="n">
        <v>46200</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34185-2024</t>
        </is>
      </c>
      <c r="B556" s="1" t="n">
        <v>45524</v>
      </c>
      <c r="C556" s="1" t="n">
        <v>46200</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16089-2025</t>
        </is>
      </c>
      <c r="B557" s="1" t="n">
        <v>45749</v>
      </c>
      <c r="C557" s="1" t="n">
        <v>46200</v>
      </c>
      <c r="D557" t="inlineStr">
        <is>
          <t>UPPSALA LÄN</t>
        </is>
      </c>
      <c r="E557" t="inlineStr">
        <is>
          <t>ÖSTHAMMAR</t>
        </is>
      </c>
      <c r="F557" t="inlineStr">
        <is>
          <t>Bergvik skog öst AB</t>
        </is>
      </c>
      <c r="G557" t="n">
        <v>2.6</v>
      </c>
      <c r="H557" t="n">
        <v>0</v>
      </c>
      <c r="I557" t="n">
        <v>0</v>
      </c>
      <c r="J557" t="n">
        <v>0</v>
      </c>
      <c r="K557" t="n">
        <v>0</v>
      </c>
      <c r="L557" t="n">
        <v>0</v>
      </c>
      <c r="M557" t="n">
        <v>0</v>
      </c>
      <c r="N557" t="n">
        <v>0</v>
      </c>
      <c r="O557" t="n">
        <v>0</v>
      </c>
      <c r="P557" t="n">
        <v>0</v>
      </c>
      <c r="Q557" t="n">
        <v>0</v>
      </c>
      <c r="R557" s="2" t="inlineStr"/>
    </row>
    <row r="558" ht="15" customHeight="1">
      <c r="A558" t="inlineStr">
        <is>
          <t>A 59745-2025</t>
        </is>
      </c>
      <c r="B558" s="1" t="n">
        <v>45992</v>
      </c>
      <c r="C558" s="1" t="n">
        <v>46200</v>
      </c>
      <c r="D558" t="inlineStr">
        <is>
          <t>UPPSALA LÄN</t>
        </is>
      </c>
      <c r="E558" t="inlineStr">
        <is>
          <t>ÖSTHAMMAR</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59706-2025</t>
        </is>
      </c>
      <c r="B559" s="1" t="n">
        <v>45992</v>
      </c>
      <c r="C559" s="1" t="n">
        <v>46200</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59708-2025</t>
        </is>
      </c>
      <c r="B560" s="1" t="n">
        <v>45992</v>
      </c>
      <c r="C560" s="1" t="n">
        <v>46200</v>
      </c>
      <c r="D560" t="inlineStr">
        <is>
          <t>UPPSALA LÄN</t>
        </is>
      </c>
      <c r="E560" t="inlineStr">
        <is>
          <t>ÖSTHAMMAR</t>
        </is>
      </c>
      <c r="F560" t="inlineStr">
        <is>
          <t>Bergvik skog öst AB</t>
        </is>
      </c>
      <c r="G560" t="n">
        <v>3.2</v>
      </c>
      <c r="H560" t="n">
        <v>0</v>
      </c>
      <c r="I560" t="n">
        <v>0</v>
      </c>
      <c r="J560" t="n">
        <v>0</v>
      </c>
      <c r="K560" t="n">
        <v>0</v>
      </c>
      <c r="L560" t="n">
        <v>0</v>
      </c>
      <c r="M560" t="n">
        <v>0</v>
      </c>
      <c r="N560" t="n">
        <v>0</v>
      </c>
      <c r="O560" t="n">
        <v>0</v>
      </c>
      <c r="P560" t="n">
        <v>0</v>
      </c>
      <c r="Q560" t="n">
        <v>0</v>
      </c>
      <c r="R560" s="2" t="inlineStr"/>
    </row>
    <row r="561" ht="15" customHeight="1">
      <c r="A561" t="inlineStr">
        <is>
          <t>A 14170-2025</t>
        </is>
      </c>
      <c r="B561" s="1" t="n">
        <v>45740</v>
      </c>
      <c r="C561" s="1" t="n">
        <v>46200</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v>
      </c>
      <c r="C562" s="1" t="n">
        <v>46200</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v>
      </c>
      <c r="C563" s="1" t="n">
        <v>46200</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57156-2025</t>
        </is>
      </c>
      <c r="B564" s="1" t="n">
        <v>45979</v>
      </c>
      <c r="C564" s="1" t="n">
        <v>46200</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60738-2025</t>
        </is>
      </c>
      <c r="B565" s="1" t="n">
        <v>45996</v>
      </c>
      <c r="C565" s="1" t="n">
        <v>46200</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60603-2025</t>
        </is>
      </c>
      <c r="B566" s="1" t="n">
        <v>45996</v>
      </c>
      <c r="C566" s="1" t="n">
        <v>46200</v>
      </c>
      <c r="D566" t="inlineStr">
        <is>
          <t>UPPSALA LÄN</t>
        </is>
      </c>
      <c r="E566" t="inlineStr">
        <is>
          <t>ÖSTHAMMAR</t>
        </is>
      </c>
      <c r="G566" t="n">
        <v>4.7</v>
      </c>
      <c r="H566" t="n">
        <v>0</v>
      </c>
      <c r="I566" t="n">
        <v>0</v>
      </c>
      <c r="J566" t="n">
        <v>0</v>
      </c>
      <c r="K566" t="n">
        <v>0</v>
      </c>
      <c r="L566" t="n">
        <v>0</v>
      </c>
      <c r="M566" t="n">
        <v>0</v>
      </c>
      <c r="N566" t="n">
        <v>0</v>
      </c>
      <c r="O566" t="n">
        <v>0</v>
      </c>
      <c r="P566" t="n">
        <v>0</v>
      </c>
      <c r="Q566" t="n">
        <v>0</v>
      </c>
      <c r="R566" s="2" t="inlineStr"/>
    </row>
    <row r="567" ht="15" customHeight="1">
      <c r="A567" t="inlineStr">
        <is>
          <t>A 60910-2025</t>
        </is>
      </c>
      <c r="B567" s="1" t="n">
        <v>45999</v>
      </c>
      <c r="C567" s="1" t="n">
        <v>46200</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61838-2025</t>
        </is>
      </c>
      <c r="B568" s="1" t="n">
        <v>46003</v>
      </c>
      <c r="C568" s="1" t="n">
        <v>46200</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62745-2025</t>
        </is>
      </c>
      <c r="B569" s="1" t="n">
        <v>46008</v>
      </c>
      <c r="C569" s="1" t="n">
        <v>46200</v>
      </c>
      <c r="D569" t="inlineStr">
        <is>
          <t>UPPSALA LÄN</t>
        </is>
      </c>
      <c r="E569" t="inlineStr">
        <is>
          <t>ÖSTHAMMAR</t>
        </is>
      </c>
      <c r="G569" t="n">
        <v>2</v>
      </c>
      <c r="H569" t="n">
        <v>0</v>
      </c>
      <c r="I569" t="n">
        <v>0</v>
      </c>
      <c r="J569" t="n">
        <v>0</v>
      </c>
      <c r="K569" t="n">
        <v>0</v>
      </c>
      <c r="L569" t="n">
        <v>0</v>
      </c>
      <c r="M569" t="n">
        <v>0</v>
      </c>
      <c r="N569" t="n">
        <v>0</v>
      </c>
      <c r="O569" t="n">
        <v>0</v>
      </c>
      <c r="P569" t="n">
        <v>0</v>
      </c>
      <c r="Q569" t="n">
        <v>0</v>
      </c>
      <c r="R569" s="2" t="inlineStr"/>
    </row>
    <row r="570" ht="15" customHeight="1">
      <c r="A570" t="inlineStr">
        <is>
          <t>A 31896-2025</t>
        </is>
      </c>
      <c r="B570" s="1" t="n">
        <v>45834</v>
      </c>
      <c r="C570" s="1" t="n">
        <v>46200</v>
      </c>
      <c r="D570" t="inlineStr">
        <is>
          <t>UPPSALA LÄN</t>
        </is>
      </c>
      <c r="E570" t="inlineStr">
        <is>
          <t>ÖSTHAMMAR</t>
        </is>
      </c>
      <c r="G570" t="n">
        <v>4.1</v>
      </c>
      <c r="H570" t="n">
        <v>0</v>
      </c>
      <c r="I570" t="n">
        <v>0</v>
      </c>
      <c r="J570" t="n">
        <v>0</v>
      </c>
      <c r="K570" t="n">
        <v>0</v>
      </c>
      <c r="L570" t="n">
        <v>0</v>
      </c>
      <c r="M570" t="n">
        <v>0</v>
      </c>
      <c r="N570" t="n">
        <v>0</v>
      </c>
      <c r="O570" t="n">
        <v>0</v>
      </c>
      <c r="P570" t="n">
        <v>0</v>
      </c>
      <c r="Q570" t="n">
        <v>0</v>
      </c>
      <c r="R570" s="2" t="inlineStr"/>
    </row>
    <row r="571" ht="15" customHeight="1">
      <c r="A571" t="inlineStr">
        <is>
          <t>A 3095-2026</t>
        </is>
      </c>
      <c r="B571" s="1" t="n">
        <v>46040</v>
      </c>
      <c r="C571" s="1" t="n">
        <v>46200</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3055-2026</t>
        </is>
      </c>
      <c r="B572" s="1" t="n">
        <v>46039</v>
      </c>
      <c r="C572" s="1" t="n">
        <v>46200</v>
      </c>
      <c r="D572" t="inlineStr">
        <is>
          <t>UPPSALA LÄN</t>
        </is>
      </c>
      <c r="E572" t="inlineStr">
        <is>
          <t>ÖSTHAMMAR</t>
        </is>
      </c>
      <c r="F572" t="inlineStr">
        <is>
          <t>Bergvik skog öst AB</t>
        </is>
      </c>
      <c r="G572" t="n">
        <v>3.5</v>
      </c>
      <c r="H572" t="n">
        <v>0</v>
      </c>
      <c r="I572" t="n">
        <v>0</v>
      </c>
      <c r="J572" t="n">
        <v>0</v>
      </c>
      <c r="K572" t="n">
        <v>0</v>
      </c>
      <c r="L572" t="n">
        <v>0</v>
      </c>
      <c r="M572" t="n">
        <v>0</v>
      </c>
      <c r="N572" t="n">
        <v>0</v>
      </c>
      <c r="O572" t="n">
        <v>0</v>
      </c>
      <c r="P572" t="n">
        <v>0</v>
      </c>
      <c r="Q572" t="n">
        <v>0</v>
      </c>
      <c r="R572" s="2" t="inlineStr"/>
    </row>
    <row r="573" ht="15" customHeight="1">
      <c r="A573" t="inlineStr">
        <is>
          <t>A 3642-2026</t>
        </is>
      </c>
      <c r="B573" s="1" t="n">
        <v>46043</v>
      </c>
      <c r="C573" s="1" t="n">
        <v>46200</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3668-2026</t>
        </is>
      </c>
      <c r="B574" s="1" t="n">
        <v>46043</v>
      </c>
      <c r="C574" s="1" t="n">
        <v>46200</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3926-2026</t>
        </is>
      </c>
      <c r="B575" s="1" t="n">
        <v>46043</v>
      </c>
      <c r="C575" s="1" t="n">
        <v>46200</v>
      </c>
      <c r="D575" t="inlineStr">
        <is>
          <t>UPPSALA LÄN</t>
        </is>
      </c>
      <c r="E575" t="inlineStr">
        <is>
          <t>ÖSTHAMMAR</t>
        </is>
      </c>
      <c r="G575" t="n">
        <v>3.3</v>
      </c>
      <c r="H575" t="n">
        <v>0</v>
      </c>
      <c r="I575" t="n">
        <v>0</v>
      </c>
      <c r="J575" t="n">
        <v>0</v>
      </c>
      <c r="K575" t="n">
        <v>0</v>
      </c>
      <c r="L575" t="n">
        <v>0</v>
      </c>
      <c r="M575" t="n">
        <v>0</v>
      </c>
      <c r="N575" t="n">
        <v>0</v>
      </c>
      <c r="O575" t="n">
        <v>0</v>
      </c>
      <c r="P575" t="n">
        <v>0</v>
      </c>
      <c r="Q575" t="n">
        <v>0</v>
      </c>
      <c r="R575" s="2" t="inlineStr"/>
    </row>
    <row r="576" ht="15" customHeight="1">
      <c r="A576" t="inlineStr">
        <is>
          <t>A 4570-2026</t>
        </is>
      </c>
      <c r="B576" s="1" t="n">
        <v>46048</v>
      </c>
      <c r="C576" s="1" t="n">
        <v>46200</v>
      </c>
      <c r="D576" t="inlineStr">
        <is>
          <t>UPPSALA LÄN</t>
        </is>
      </c>
      <c r="E576" t="inlineStr">
        <is>
          <t>ÖSTHAMMAR</t>
        </is>
      </c>
      <c r="F576" t="inlineStr">
        <is>
          <t>Allmännings- och besparingsskogar</t>
        </is>
      </c>
      <c r="G576" t="n">
        <v>7.1</v>
      </c>
      <c r="H576" t="n">
        <v>0</v>
      </c>
      <c r="I576" t="n">
        <v>0</v>
      </c>
      <c r="J576" t="n">
        <v>0</v>
      </c>
      <c r="K576" t="n">
        <v>0</v>
      </c>
      <c r="L576" t="n">
        <v>0</v>
      </c>
      <c r="M576" t="n">
        <v>0</v>
      </c>
      <c r="N576" t="n">
        <v>0</v>
      </c>
      <c r="O576" t="n">
        <v>0</v>
      </c>
      <c r="P576" t="n">
        <v>0</v>
      </c>
      <c r="Q576" t="n">
        <v>0</v>
      </c>
      <c r="R576" s="2" t="inlineStr"/>
    </row>
    <row r="577" ht="15" customHeight="1">
      <c r="A577" t="inlineStr">
        <is>
          <t>A 5469-2026</t>
        </is>
      </c>
      <c r="B577" s="1" t="n">
        <v>46050</v>
      </c>
      <c r="C577" s="1" t="n">
        <v>46200</v>
      </c>
      <c r="D577" t="inlineStr">
        <is>
          <t>UPPSALA LÄN</t>
        </is>
      </c>
      <c r="E577" t="inlineStr">
        <is>
          <t>ÖSTHAMMAR</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6511-2026</t>
        </is>
      </c>
      <c r="B578" s="1" t="n">
        <v>46056</v>
      </c>
      <c r="C578" s="1" t="n">
        <v>46200</v>
      </c>
      <c r="D578" t="inlineStr">
        <is>
          <t>UPPSALA LÄN</t>
        </is>
      </c>
      <c r="E578" t="inlineStr">
        <is>
          <t>ÖSTHAMMAR</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6517-2026</t>
        </is>
      </c>
      <c r="B579" s="1" t="n">
        <v>46056</v>
      </c>
      <c r="C579" s="1" t="n">
        <v>46200</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6884-2026</t>
        </is>
      </c>
      <c r="B580" s="1" t="n">
        <v>46057</v>
      </c>
      <c r="C580" s="1" t="n">
        <v>46200</v>
      </c>
      <c r="D580" t="inlineStr">
        <is>
          <t>UPPSALA LÄN</t>
        </is>
      </c>
      <c r="E580" t="inlineStr">
        <is>
          <t>ÖSTHAMMAR</t>
        </is>
      </c>
      <c r="G580" t="n">
        <v>4.1</v>
      </c>
      <c r="H580" t="n">
        <v>0</v>
      </c>
      <c r="I580" t="n">
        <v>0</v>
      </c>
      <c r="J580" t="n">
        <v>0</v>
      </c>
      <c r="K580" t="n">
        <v>0</v>
      </c>
      <c r="L580" t="n">
        <v>0</v>
      </c>
      <c r="M580" t="n">
        <v>0</v>
      </c>
      <c r="N580" t="n">
        <v>0</v>
      </c>
      <c r="O580" t="n">
        <v>0</v>
      </c>
      <c r="P580" t="n">
        <v>0</v>
      </c>
      <c r="Q580" t="n">
        <v>0</v>
      </c>
      <c r="R580" s="2" t="inlineStr"/>
    </row>
    <row r="581" ht="15" customHeight="1">
      <c r="A581" t="inlineStr">
        <is>
          <t>A 6635-2026</t>
        </is>
      </c>
      <c r="B581" s="1" t="n">
        <v>46056</v>
      </c>
      <c r="C581" s="1" t="n">
        <v>46200</v>
      </c>
      <c r="D581" t="inlineStr">
        <is>
          <t>UPPSALA LÄN</t>
        </is>
      </c>
      <c r="E581" t="inlineStr">
        <is>
          <t>ÖSTHAMMAR</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46200</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6762-2026</t>
        </is>
      </c>
      <c r="B583" s="1" t="n">
        <v>46056</v>
      </c>
      <c r="C583" s="1" t="n">
        <v>46200</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7241-2026</t>
        </is>
      </c>
      <c r="B584" s="1" t="n">
        <v>46058</v>
      </c>
      <c r="C584" s="1" t="n">
        <v>46200</v>
      </c>
      <c r="D584" t="inlineStr">
        <is>
          <t>UPPSALA LÄN</t>
        </is>
      </c>
      <c r="E584" t="inlineStr">
        <is>
          <t>ÖSTHAMMAR</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7262-2026</t>
        </is>
      </c>
      <c r="B585" s="1" t="n">
        <v>46058</v>
      </c>
      <c r="C585" s="1" t="n">
        <v>46200</v>
      </c>
      <c r="D585" t="inlineStr">
        <is>
          <t>UPPSALA LÄN</t>
        </is>
      </c>
      <c r="E585" t="inlineStr">
        <is>
          <t>ÖSTHAMMAR</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8030-2026</t>
        </is>
      </c>
      <c r="B586" s="1" t="n">
        <v>46063</v>
      </c>
      <c r="C586" s="1" t="n">
        <v>46200</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8086-2026</t>
        </is>
      </c>
      <c r="B587" s="1" t="n">
        <v>46063</v>
      </c>
      <c r="C587" s="1" t="n">
        <v>46200</v>
      </c>
      <c r="D587" t="inlineStr">
        <is>
          <t>UPPSALA LÄN</t>
        </is>
      </c>
      <c r="E587" t="inlineStr">
        <is>
          <t>ÖSTHAMMAR</t>
        </is>
      </c>
      <c r="G587" t="n">
        <v>3.8</v>
      </c>
      <c r="H587" t="n">
        <v>0</v>
      </c>
      <c r="I587" t="n">
        <v>0</v>
      </c>
      <c r="J587" t="n">
        <v>0</v>
      </c>
      <c r="K587" t="n">
        <v>0</v>
      </c>
      <c r="L587" t="n">
        <v>0</v>
      </c>
      <c r="M587" t="n">
        <v>0</v>
      </c>
      <c r="N587" t="n">
        <v>0</v>
      </c>
      <c r="O587" t="n">
        <v>0</v>
      </c>
      <c r="P587" t="n">
        <v>0</v>
      </c>
      <c r="Q587" t="n">
        <v>0</v>
      </c>
      <c r="R587" s="2" t="inlineStr"/>
    </row>
    <row r="588" ht="15" customHeight="1">
      <c r="A588" t="inlineStr">
        <is>
          <t>A 8530-2026</t>
        </is>
      </c>
      <c r="B588" s="1" t="n">
        <v>46065</v>
      </c>
      <c r="C588" s="1" t="n">
        <v>46200</v>
      </c>
      <c r="D588" t="inlineStr">
        <is>
          <t>UPPSALA LÄN</t>
        </is>
      </c>
      <c r="E588" t="inlineStr">
        <is>
          <t>ÖSTHAMMAR</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8269-2026</t>
        </is>
      </c>
      <c r="B589" s="1" t="n">
        <v>46064</v>
      </c>
      <c r="C589" s="1" t="n">
        <v>46200</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8291-2026</t>
        </is>
      </c>
      <c r="B590" s="1" t="n">
        <v>46064</v>
      </c>
      <c r="C590" s="1" t="n">
        <v>46200</v>
      </c>
      <c r="D590" t="inlineStr">
        <is>
          <t>UPPSALA LÄN</t>
        </is>
      </c>
      <c r="E590" t="inlineStr">
        <is>
          <t>ÖSTHAMMAR</t>
        </is>
      </c>
      <c r="G590" t="n">
        <v>4.5</v>
      </c>
      <c r="H590" t="n">
        <v>0</v>
      </c>
      <c r="I590" t="n">
        <v>0</v>
      </c>
      <c r="J590" t="n">
        <v>0</v>
      </c>
      <c r="K590" t="n">
        <v>0</v>
      </c>
      <c r="L590" t="n">
        <v>0</v>
      </c>
      <c r="M590" t="n">
        <v>0</v>
      </c>
      <c r="N590" t="n">
        <v>0</v>
      </c>
      <c r="O590" t="n">
        <v>0</v>
      </c>
      <c r="P590" t="n">
        <v>0</v>
      </c>
      <c r="Q590" t="n">
        <v>0</v>
      </c>
      <c r="R590" s="2" t="inlineStr"/>
    </row>
    <row r="591" ht="15" customHeight="1">
      <c r="A591" t="inlineStr">
        <is>
          <t>A 8525-2026</t>
        </is>
      </c>
      <c r="B591" s="1" t="n">
        <v>46065</v>
      </c>
      <c r="C591" s="1" t="n">
        <v>46200</v>
      </c>
      <c r="D591" t="inlineStr">
        <is>
          <t>UPPSALA LÄN</t>
        </is>
      </c>
      <c r="E591" t="inlineStr">
        <is>
          <t>ÖSTHAMMAR</t>
        </is>
      </c>
      <c r="F591" t="inlineStr">
        <is>
          <t>Övriga Aktiebolag</t>
        </is>
      </c>
      <c r="G591" t="n">
        <v>4.8</v>
      </c>
      <c r="H591" t="n">
        <v>0</v>
      </c>
      <c r="I591" t="n">
        <v>0</v>
      </c>
      <c r="J591" t="n">
        <v>0</v>
      </c>
      <c r="K591" t="n">
        <v>0</v>
      </c>
      <c r="L591" t="n">
        <v>0</v>
      </c>
      <c r="M591" t="n">
        <v>0</v>
      </c>
      <c r="N591" t="n">
        <v>0</v>
      </c>
      <c r="O591" t="n">
        <v>0</v>
      </c>
      <c r="P591" t="n">
        <v>0</v>
      </c>
      <c r="Q591" t="n">
        <v>0</v>
      </c>
      <c r="R591" s="2" t="inlineStr"/>
    </row>
    <row r="592" ht="15" customHeight="1">
      <c r="A592" t="inlineStr">
        <is>
          <t>A 8789-2026</t>
        </is>
      </c>
      <c r="B592" s="1" t="n">
        <v>46066</v>
      </c>
      <c r="C592" s="1" t="n">
        <v>46200</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9666-2026</t>
        </is>
      </c>
      <c r="B593" s="1" t="n">
        <v>46072</v>
      </c>
      <c r="C593" s="1" t="n">
        <v>46200</v>
      </c>
      <c r="D593" t="inlineStr">
        <is>
          <t>UPPSALA LÄN</t>
        </is>
      </c>
      <c r="E593" t="inlineStr">
        <is>
          <t>ÖSTHAMMAR</t>
        </is>
      </c>
      <c r="F593" t="inlineStr">
        <is>
          <t>Bergvik skog öst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9664-2026</t>
        </is>
      </c>
      <c r="B594" s="1" t="n">
        <v>46072</v>
      </c>
      <c r="C594" s="1" t="n">
        <v>46200</v>
      </c>
      <c r="D594" t="inlineStr">
        <is>
          <t>UPPSALA LÄN</t>
        </is>
      </c>
      <c r="E594" t="inlineStr">
        <is>
          <t>ÖSTHAMMAR</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12150-2026</t>
        </is>
      </c>
      <c r="B595" s="1" t="n">
        <v>46086</v>
      </c>
      <c r="C595" s="1" t="n">
        <v>46200</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12151-2026</t>
        </is>
      </c>
      <c r="B596" s="1" t="n">
        <v>46086</v>
      </c>
      <c r="C596" s="1" t="n">
        <v>46200</v>
      </c>
      <c r="D596" t="inlineStr">
        <is>
          <t>UPPSALA LÄN</t>
        </is>
      </c>
      <c r="E596" t="inlineStr">
        <is>
          <t>ÖSTHAMMAR</t>
        </is>
      </c>
      <c r="F596" t="inlineStr">
        <is>
          <t>Bergvik skog öst AB</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12172-2026</t>
        </is>
      </c>
      <c r="B597" s="1" t="n">
        <v>46086</v>
      </c>
      <c r="C597" s="1" t="n">
        <v>46200</v>
      </c>
      <c r="D597" t="inlineStr">
        <is>
          <t>UPPSALA LÄN</t>
        </is>
      </c>
      <c r="E597" t="inlineStr">
        <is>
          <t>ÖSTHAMMAR</t>
        </is>
      </c>
      <c r="F597" t="inlineStr">
        <is>
          <t>Bergvik skog öst AB</t>
        </is>
      </c>
      <c r="G597" t="n">
        <v>5.4</v>
      </c>
      <c r="H597" t="n">
        <v>0</v>
      </c>
      <c r="I597" t="n">
        <v>0</v>
      </c>
      <c r="J597" t="n">
        <v>0</v>
      </c>
      <c r="K597" t="n">
        <v>0</v>
      </c>
      <c r="L597" t="n">
        <v>0</v>
      </c>
      <c r="M597" t="n">
        <v>0</v>
      </c>
      <c r="N597" t="n">
        <v>0</v>
      </c>
      <c r="O597" t="n">
        <v>0</v>
      </c>
      <c r="P597" t="n">
        <v>0</v>
      </c>
      <c r="Q597" t="n">
        <v>0</v>
      </c>
      <c r="R597" s="2" t="inlineStr"/>
    </row>
    <row r="598" ht="15" customHeight="1">
      <c r="A598" t="inlineStr">
        <is>
          <t>A 12261-2026</t>
        </is>
      </c>
      <c r="B598" s="1" t="n">
        <v>46087</v>
      </c>
      <c r="C598" s="1" t="n">
        <v>46200</v>
      </c>
      <c r="D598" t="inlineStr">
        <is>
          <t>UPPSALA LÄN</t>
        </is>
      </c>
      <c r="E598" t="inlineStr">
        <is>
          <t>ÖSTHAMMAR</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12262-2026</t>
        </is>
      </c>
      <c r="B599" s="1" t="n">
        <v>46087</v>
      </c>
      <c r="C599" s="1" t="n">
        <v>46200</v>
      </c>
      <c r="D599" t="inlineStr">
        <is>
          <t>UPPSALA LÄN</t>
        </is>
      </c>
      <c r="E599" t="inlineStr">
        <is>
          <t>ÖSTHAMMAR</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12387-2026</t>
        </is>
      </c>
      <c r="B600" s="1" t="n">
        <v>46090</v>
      </c>
      <c r="C600" s="1" t="n">
        <v>46200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12263-2026</t>
        </is>
      </c>
      <c r="B601" s="1" t="n">
        <v>46087</v>
      </c>
      <c r="C601" s="1" t="n">
        <v>46200</v>
      </c>
      <c r="D601" t="inlineStr">
        <is>
          <t>UPPSALA LÄN</t>
        </is>
      </c>
      <c r="E601" t="inlineStr">
        <is>
          <t>ÖSTHAMMAR</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12913-2026</t>
        </is>
      </c>
      <c r="B602" s="1" t="n">
        <v>46092</v>
      </c>
      <c r="C602" s="1" t="n">
        <v>46200</v>
      </c>
      <c r="D602" t="inlineStr">
        <is>
          <t>UPPSALA LÄN</t>
        </is>
      </c>
      <c r="E602" t="inlineStr">
        <is>
          <t>ÖSTHAMMAR</t>
        </is>
      </c>
      <c r="F602" t="inlineStr">
        <is>
          <t>Övriga Aktiebolag</t>
        </is>
      </c>
      <c r="G602" t="n">
        <v>9</v>
      </c>
      <c r="H602" t="n">
        <v>0</v>
      </c>
      <c r="I602" t="n">
        <v>0</v>
      </c>
      <c r="J602" t="n">
        <v>0</v>
      </c>
      <c r="K602" t="n">
        <v>0</v>
      </c>
      <c r="L602" t="n">
        <v>0</v>
      </c>
      <c r="M602" t="n">
        <v>0</v>
      </c>
      <c r="N602" t="n">
        <v>0</v>
      </c>
      <c r="O602" t="n">
        <v>0</v>
      </c>
      <c r="P602" t="n">
        <v>0</v>
      </c>
      <c r="Q602" t="n">
        <v>0</v>
      </c>
      <c r="R602" s="2" t="inlineStr"/>
    </row>
    <row r="603" ht="15" customHeight="1">
      <c r="A603" t="inlineStr">
        <is>
          <t>A 13472-2026</t>
        </is>
      </c>
      <c r="B603" s="1" t="n">
        <v>46094</v>
      </c>
      <c r="C603" s="1" t="n">
        <v>46200</v>
      </c>
      <c r="D603" t="inlineStr">
        <is>
          <t>UPPSALA LÄN</t>
        </is>
      </c>
      <c r="E603" t="inlineStr">
        <is>
          <t>ÖSTHAMMAR</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13703-2026</t>
        </is>
      </c>
      <c r="B604" s="1" t="n">
        <v>46097</v>
      </c>
      <c r="C604" s="1" t="n">
        <v>46200</v>
      </c>
      <c r="D604" t="inlineStr">
        <is>
          <t>UPPSALA LÄN</t>
        </is>
      </c>
      <c r="E604" t="inlineStr">
        <is>
          <t>ÖSTHAMMAR</t>
        </is>
      </c>
      <c r="G604" t="n">
        <v>2.7</v>
      </c>
      <c r="H604" t="n">
        <v>0</v>
      </c>
      <c r="I604" t="n">
        <v>0</v>
      </c>
      <c r="J604" t="n">
        <v>0</v>
      </c>
      <c r="K604" t="n">
        <v>0</v>
      </c>
      <c r="L604" t="n">
        <v>0</v>
      </c>
      <c r="M604" t="n">
        <v>0</v>
      </c>
      <c r="N604" t="n">
        <v>0</v>
      </c>
      <c r="O604" t="n">
        <v>0</v>
      </c>
      <c r="P604" t="n">
        <v>0</v>
      </c>
      <c r="Q604" t="n">
        <v>0</v>
      </c>
      <c r="R604" s="2" t="inlineStr"/>
    </row>
    <row r="605" ht="15" customHeight="1">
      <c r="A605" t="inlineStr">
        <is>
          <t>A 14007-2026</t>
        </is>
      </c>
      <c r="B605" s="1" t="n">
        <v>46098</v>
      </c>
      <c r="C605" s="1" t="n">
        <v>46200</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14030-2026</t>
        </is>
      </c>
      <c r="B606" s="1" t="n">
        <v>46098</v>
      </c>
      <c r="C606" s="1" t="n">
        <v>46200</v>
      </c>
      <c r="D606" t="inlineStr">
        <is>
          <t>UPPSALA LÄN</t>
        </is>
      </c>
      <c r="E606" t="inlineStr">
        <is>
          <t>ÖSTHAMMAR</t>
        </is>
      </c>
      <c r="F606" t="inlineStr">
        <is>
          <t>Bergvik skog öst AB</t>
        </is>
      </c>
      <c r="G606" t="n">
        <v>8.4</v>
      </c>
      <c r="H606" t="n">
        <v>0</v>
      </c>
      <c r="I606" t="n">
        <v>0</v>
      </c>
      <c r="J606" t="n">
        <v>0</v>
      </c>
      <c r="K606" t="n">
        <v>0</v>
      </c>
      <c r="L606" t="n">
        <v>0</v>
      </c>
      <c r="M606" t="n">
        <v>0</v>
      </c>
      <c r="N606" t="n">
        <v>0</v>
      </c>
      <c r="O606" t="n">
        <v>0</v>
      </c>
      <c r="P606" t="n">
        <v>0</v>
      </c>
      <c r="Q606" t="n">
        <v>0</v>
      </c>
      <c r="R606" s="2" t="inlineStr"/>
    </row>
    <row r="607" ht="15" customHeight="1">
      <c r="A607" t="inlineStr">
        <is>
          <t>A 14031-2026</t>
        </is>
      </c>
      <c r="B607" s="1" t="n">
        <v>46098</v>
      </c>
      <c r="C607" s="1" t="n">
        <v>46200</v>
      </c>
      <c r="D607" t="inlineStr">
        <is>
          <t>UPPSALA LÄN</t>
        </is>
      </c>
      <c r="E607" t="inlineStr">
        <is>
          <t>ÖSTHAMMAR</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15006-2026</t>
        </is>
      </c>
      <c r="B608" s="1" t="n">
        <v>46104</v>
      </c>
      <c r="C608" s="1" t="n">
        <v>46200</v>
      </c>
      <c r="D608" t="inlineStr">
        <is>
          <t>UPPSALA LÄN</t>
        </is>
      </c>
      <c r="E608" t="inlineStr">
        <is>
          <t>ÖSTHAMMAR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15475-2026</t>
        </is>
      </c>
      <c r="B609" s="1" t="n">
        <v>46106</v>
      </c>
      <c r="C609" s="1" t="n">
        <v>46200</v>
      </c>
      <c r="D609" t="inlineStr">
        <is>
          <t>UPPSALA LÄN</t>
        </is>
      </c>
      <c r="E609" t="inlineStr">
        <is>
          <t>ÖSTHAMMAR</t>
        </is>
      </c>
      <c r="G609" t="n">
        <v>2.4</v>
      </c>
      <c r="H609" t="n">
        <v>0</v>
      </c>
      <c r="I609" t="n">
        <v>0</v>
      </c>
      <c r="J609" t="n">
        <v>0</v>
      </c>
      <c r="K609" t="n">
        <v>0</v>
      </c>
      <c r="L609" t="n">
        <v>0</v>
      </c>
      <c r="M609" t="n">
        <v>0</v>
      </c>
      <c r="N609" t="n">
        <v>0</v>
      </c>
      <c r="O609" t="n">
        <v>0</v>
      </c>
      <c r="P609" t="n">
        <v>0</v>
      </c>
      <c r="Q609" t="n">
        <v>0</v>
      </c>
      <c r="R609" s="2" t="inlineStr"/>
    </row>
    <row r="610" ht="15" customHeight="1">
      <c r="A610" t="inlineStr">
        <is>
          <t>A 15478-2026</t>
        </is>
      </c>
      <c r="B610" s="1" t="n">
        <v>46106</v>
      </c>
      <c r="C610" s="1" t="n">
        <v>46200</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15452-2026</t>
        </is>
      </c>
      <c r="B611" s="1" t="n">
        <v>46106</v>
      </c>
      <c r="C611" s="1" t="n">
        <v>46200</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16038-2026</t>
        </is>
      </c>
      <c r="B612" s="1" t="n">
        <v>46108</v>
      </c>
      <c r="C612" s="1" t="n">
        <v>46200</v>
      </c>
      <c r="D612" t="inlineStr">
        <is>
          <t>UPPSALA LÄN</t>
        </is>
      </c>
      <c r="E612" t="inlineStr">
        <is>
          <t>ÖSTHAMMAR</t>
        </is>
      </c>
      <c r="G612" t="n">
        <v>2.2</v>
      </c>
      <c r="H612" t="n">
        <v>0</v>
      </c>
      <c r="I612" t="n">
        <v>0</v>
      </c>
      <c r="J612" t="n">
        <v>0</v>
      </c>
      <c r="K612" t="n">
        <v>0</v>
      </c>
      <c r="L612" t="n">
        <v>0</v>
      </c>
      <c r="M612" t="n">
        <v>0</v>
      </c>
      <c r="N612" t="n">
        <v>0</v>
      </c>
      <c r="O612" t="n">
        <v>0</v>
      </c>
      <c r="P612" t="n">
        <v>0</v>
      </c>
      <c r="Q612" t="n">
        <v>0</v>
      </c>
      <c r="R612" s="2" t="inlineStr"/>
    </row>
    <row r="613" ht="15" customHeight="1">
      <c r="A613" t="inlineStr">
        <is>
          <t>A 15744-2026</t>
        </is>
      </c>
      <c r="B613" s="1" t="n">
        <v>46107</v>
      </c>
      <c r="C613" s="1" t="n">
        <v>46200</v>
      </c>
      <c r="D613" t="inlineStr">
        <is>
          <t>UPPSALA LÄN</t>
        </is>
      </c>
      <c r="E613" t="inlineStr">
        <is>
          <t>ÖSTHAMMAR</t>
        </is>
      </c>
      <c r="F613" t="inlineStr">
        <is>
          <t>Bergvik skog öst AB</t>
        </is>
      </c>
      <c r="G613" t="n">
        <v>7.8</v>
      </c>
      <c r="H613" t="n">
        <v>0</v>
      </c>
      <c r="I613" t="n">
        <v>0</v>
      </c>
      <c r="J613" t="n">
        <v>0</v>
      </c>
      <c r="K613" t="n">
        <v>0</v>
      </c>
      <c r="L613" t="n">
        <v>0</v>
      </c>
      <c r="M613" t="n">
        <v>0</v>
      </c>
      <c r="N613" t="n">
        <v>0</v>
      </c>
      <c r="O613" t="n">
        <v>0</v>
      </c>
      <c r="P613" t="n">
        <v>0</v>
      </c>
      <c r="Q613" t="n">
        <v>0</v>
      </c>
      <c r="R613" s="2" t="inlineStr"/>
    </row>
    <row r="614" ht="15" customHeight="1">
      <c r="A614" t="inlineStr">
        <is>
          <t>A 15748-2026</t>
        </is>
      </c>
      <c r="B614" s="1" t="n">
        <v>46107</v>
      </c>
      <c r="C614" s="1" t="n">
        <v>46200</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16042-2026</t>
        </is>
      </c>
      <c r="B615" s="1" t="n">
        <v>46108</v>
      </c>
      <c r="C615" s="1" t="n">
        <v>46200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16522-2026</t>
        </is>
      </c>
      <c r="B616" s="1" t="n">
        <v>46112</v>
      </c>
      <c r="C616" s="1" t="n">
        <v>46200</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16494-2026</t>
        </is>
      </c>
      <c r="B617" s="1" t="n">
        <v>46112</v>
      </c>
      <c r="C617" s="1" t="n">
        <v>46200</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16359-2026</t>
        </is>
      </c>
      <c r="B618" s="1" t="n">
        <v>46111</v>
      </c>
      <c r="C618" s="1" t="n">
        <v>46200</v>
      </c>
      <c r="D618" t="inlineStr">
        <is>
          <t>UPPSALA LÄN</t>
        </is>
      </c>
      <c r="E618" t="inlineStr">
        <is>
          <t>ÖSTHAMMAR</t>
        </is>
      </c>
      <c r="G618" t="n">
        <v>2.6</v>
      </c>
      <c r="H618" t="n">
        <v>0</v>
      </c>
      <c r="I618" t="n">
        <v>0</v>
      </c>
      <c r="J618" t="n">
        <v>0</v>
      </c>
      <c r="K618" t="n">
        <v>0</v>
      </c>
      <c r="L618" t="n">
        <v>0</v>
      </c>
      <c r="M618" t="n">
        <v>0</v>
      </c>
      <c r="N618" t="n">
        <v>0</v>
      </c>
      <c r="O618" t="n">
        <v>0</v>
      </c>
      <c r="P618" t="n">
        <v>0</v>
      </c>
      <c r="Q618" t="n">
        <v>0</v>
      </c>
      <c r="R618" s="2" t="inlineStr"/>
    </row>
    <row r="619" ht="15" customHeight="1">
      <c r="A619" t="inlineStr">
        <is>
          <t>A 16498-2026</t>
        </is>
      </c>
      <c r="B619" s="1" t="n">
        <v>46112</v>
      </c>
      <c r="C619" s="1" t="n">
        <v>46200</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16640-2026</t>
        </is>
      </c>
      <c r="B620" s="1" t="n">
        <v>46112</v>
      </c>
      <c r="C620" s="1" t="n">
        <v>46200</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16796-2026</t>
        </is>
      </c>
      <c r="B621" s="1" t="n">
        <v>46113</v>
      </c>
      <c r="C621" s="1" t="n">
        <v>46200</v>
      </c>
      <c r="D621" t="inlineStr">
        <is>
          <t>UPPSALA LÄN</t>
        </is>
      </c>
      <c r="E621" t="inlineStr">
        <is>
          <t>ÖSTHAMMAR</t>
        </is>
      </c>
      <c r="G621" t="n">
        <v>1.8</v>
      </c>
      <c r="H621" t="n">
        <v>0</v>
      </c>
      <c r="I621" t="n">
        <v>0</v>
      </c>
      <c r="J621" t="n">
        <v>0</v>
      </c>
      <c r="K621" t="n">
        <v>0</v>
      </c>
      <c r="L621" t="n">
        <v>0</v>
      </c>
      <c r="M621" t="n">
        <v>0</v>
      </c>
      <c r="N621" t="n">
        <v>0</v>
      </c>
      <c r="O621" t="n">
        <v>0</v>
      </c>
      <c r="P621" t="n">
        <v>0</v>
      </c>
      <c r="Q621" t="n">
        <v>0</v>
      </c>
      <c r="R621" s="2" t="inlineStr"/>
    </row>
    <row r="622" ht="15" customHeight="1">
      <c r="A622" t="inlineStr">
        <is>
          <t>A 16788-2026</t>
        </is>
      </c>
      <c r="B622" s="1" t="n">
        <v>46113</v>
      </c>
      <c r="C622" s="1" t="n">
        <v>46200</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17198-2026</t>
        </is>
      </c>
      <c r="B623" s="1" t="n">
        <v>46118</v>
      </c>
      <c r="C623" s="1" t="n">
        <v>46200</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17767-2026</t>
        </is>
      </c>
      <c r="B624" s="1" t="n">
        <v>46122</v>
      </c>
      <c r="C624" s="1" t="n">
        <v>46200</v>
      </c>
      <c r="D624" t="inlineStr">
        <is>
          <t>UPPSALA LÄN</t>
        </is>
      </c>
      <c r="E624" t="inlineStr">
        <is>
          <t>ÖSTHAMMAR</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17928-2026</t>
        </is>
      </c>
      <c r="B625" s="1" t="n">
        <v>46122</v>
      </c>
      <c r="C625" s="1" t="n">
        <v>46200</v>
      </c>
      <c r="D625" t="inlineStr">
        <is>
          <t>UPPSALA LÄN</t>
        </is>
      </c>
      <c r="E625" t="inlineStr">
        <is>
          <t>ÖSTHAMMAR</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23619-2026</t>
        </is>
      </c>
      <c r="B626" s="1" t="n">
        <v>46163</v>
      </c>
      <c r="C626" s="1" t="n">
        <v>46200</v>
      </c>
      <c r="D626" t="inlineStr">
        <is>
          <t>UPPSALA LÄN</t>
        </is>
      </c>
      <c r="E626" t="inlineStr">
        <is>
          <t>ÖSTHAMMAR</t>
        </is>
      </c>
      <c r="F626" t="inlineStr">
        <is>
          <t>Bergvik skog öst AB</t>
        </is>
      </c>
      <c r="G626" t="n">
        <v>8.6</v>
      </c>
      <c r="H626" t="n">
        <v>0</v>
      </c>
      <c r="I626" t="n">
        <v>0</v>
      </c>
      <c r="J626" t="n">
        <v>0</v>
      </c>
      <c r="K626" t="n">
        <v>0</v>
      </c>
      <c r="L626" t="n">
        <v>0</v>
      </c>
      <c r="M626" t="n">
        <v>0</v>
      </c>
      <c r="N626" t="n">
        <v>0</v>
      </c>
      <c r="O626" t="n">
        <v>0</v>
      </c>
      <c r="P626" t="n">
        <v>0</v>
      </c>
      <c r="Q626" t="n">
        <v>0</v>
      </c>
      <c r="R626" s="2" t="inlineStr"/>
    </row>
    <row r="627" ht="15" customHeight="1">
      <c r="A627" t="inlineStr">
        <is>
          <t>A 17760-2026</t>
        </is>
      </c>
      <c r="B627" s="1" t="n">
        <v>46122</v>
      </c>
      <c r="C627" s="1" t="n">
        <v>46200</v>
      </c>
      <c r="D627" t="inlineStr">
        <is>
          <t>UPPSALA LÄN</t>
        </is>
      </c>
      <c r="E627" t="inlineStr">
        <is>
          <t>ÖSTHAMMAR</t>
        </is>
      </c>
      <c r="F627" t="inlineStr">
        <is>
          <t>Bergvik skog öst AB</t>
        </is>
      </c>
      <c r="G627" t="n">
        <v>3.6</v>
      </c>
      <c r="H627" t="n">
        <v>0</v>
      </c>
      <c r="I627" t="n">
        <v>0</v>
      </c>
      <c r="J627" t="n">
        <v>0</v>
      </c>
      <c r="K627" t="n">
        <v>0</v>
      </c>
      <c r="L627" t="n">
        <v>0</v>
      </c>
      <c r="M627" t="n">
        <v>0</v>
      </c>
      <c r="N627" t="n">
        <v>0</v>
      </c>
      <c r="O627" t="n">
        <v>0</v>
      </c>
      <c r="P627" t="n">
        <v>0</v>
      </c>
      <c r="Q627" t="n">
        <v>0</v>
      </c>
      <c r="R627" s="2" t="inlineStr"/>
    </row>
    <row r="628" ht="15" customHeight="1">
      <c r="A628" t="inlineStr">
        <is>
          <t>A 23414-2026</t>
        </is>
      </c>
      <c r="B628" s="1" t="n">
        <v>46163</v>
      </c>
      <c r="C628" s="1" t="n">
        <v>46200</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23415-2026</t>
        </is>
      </c>
      <c r="B629" s="1" t="n">
        <v>46163</v>
      </c>
      <c r="C629" s="1" t="n">
        <v>46200</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23416-2026</t>
        </is>
      </c>
      <c r="B630" s="1" t="n">
        <v>46163</v>
      </c>
      <c r="C630" s="1" t="n">
        <v>46200</v>
      </c>
      <c r="D630" t="inlineStr">
        <is>
          <t>UPPSALA LÄN</t>
        </is>
      </c>
      <c r="E630" t="inlineStr">
        <is>
          <t>ÖSTHAMMAR</t>
        </is>
      </c>
      <c r="G630" t="n">
        <v>7</v>
      </c>
      <c r="H630" t="n">
        <v>0</v>
      </c>
      <c r="I630" t="n">
        <v>0</v>
      </c>
      <c r="J630" t="n">
        <v>0</v>
      </c>
      <c r="K630" t="n">
        <v>0</v>
      </c>
      <c r="L630" t="n">
        <v>0</v>
      </c>
      <c r="M630" t="n">
        <v>0</v>
      </c>
      <c r="N630" t="n">
        <v>0</v>
      </c>
      <c r="O630" t="n">
        <v>0</v>
      </c>
      <c r="P630" t="n">
        <v>0</v>
      </c>
      <c r="Q630" t="n">
        <v>0</v>
      </c>
      <c r="R630" s="2" t="inlineStr"/>
    </row>
    <row r="631" ht="15" customHeight="1">
      <c r="A631" t="inlineStr">
        <is>
          <t>A 23795-2026</t>
        </is>
      </c>
      <c r="B631" s="1" t="n">
        <v>46164</v>
      </c>
      <c r="C631" s="1" t="n">
        <v>46200</v>
      </c>
      <c r="D631" t="inlineStr">
        <is>
          <t>UPPSALA LÄN</t>
        </is>
      </c>
      <c r="E631" t="inlineStr">
        <is>
          <t>ÖSTHAMMAR</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17927-2026</t>
        </is>
      </c>
      <c r="B632" s="1" t="n">
        <v>46122</v>
      </c>
      <c r="C632" s="1" t="n">
        <v>46200</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17764-2026</t>
        </is>
      </c>
      <c r="B633" s="1" t="n">
        <v>46122</v>
      </c>
      <c r="C633" s="1" t="n">
        <v>46200</v>
      </c>
      <c r="D633" t="inlineStr">
        <is>
          <t>UPPSALA LÄN</t>
        </is>
      </c>
      <c r="E633" t="inlineStr">
        <is>
          <t>ÖSTHAMMAR</t>
        </is>
      </c>
      <c r="F633" t="inlineStr">
        <is>
          <t>Bergvik skog öst AB</t>
        </is>
      </c>
      <c r="G633" t="n">
        <v>3</v>
      </c>
      <c r="H633" t="n">
        <v>0</v>
      </c>
      <c r="I633" t="n">
        <v>0</v>
      </c>
      <c r="J633" t="n">
        <v>0</v>
      </c>
      <c r="K633" t="n">
        <v>0</v>
      </c>
      <c r="L633" t="n">
        <v>0</v>
      </c>
      <c r="M633" t="n">
        <v>0</v>
      </c>
      <c r="N633" t="n">
        <v>0</v>
      </c>
      <c r="O633" t="n">
        <v>0</v>
      </c>
      <c r="P633" t="n">
        <v>0</v>
      </c>
      <c r="Q633" t="n">
        <v>0</v>
      </c>
      <c r="R633" s="2" t="inlineStr"/>
    </row>
    <row r="634" ht="15" customHeight="1">
      <c r="A634" t="inlineStr">
        <is>
          <t>A 17926-2026</t>
        </is>
      </c>
      <c r="B634" s="1" t="n">
        <v>46122</v>
      </c>
      <c r="C634" s="1" t="n">
        <v>46200</v>
      </c>
      <c r="D634" t="inlineStr">
        <is>
          <t>UPPSALA LÄN</t>
        </is>
      </c>
      <c r="E634" t="inlineStr">
        <is>
          <t>ÖSTHAMMAR</t>
        </is>
      </c>
      <c r="F634" t="inlineStr">
        <is>
          <t>Bergvik skog öst AB</t>
        </is>
      </c>
      <c r="G634" t="n">
        <v>2.3</v>
      </c>
      <c r="H634" t="n">
        <v>0</v>
      </c>
      <c r="I634" t="n">
        <v>0</v>
      </c>
      <c r="J634" t="n">
        <v>0</v>
      </c>
      <c r="K634" t="n">
        <v>0</v>
      </c>
      <c r="L634" t="n">
        <v>0</v>
      </c>
      <c r="M634" t="n">
        <v>0</v>
      </c>
      <c r="N634" t="n">
        <v>0</v>
      </c>
      <c r="O634" t="n">
        <v>0</v>
      </c>
      <c r="P634" t="n">
        <v>0</v>
      </c>
      <c r="Q634" t="n">
        <v>0</v>
      </c>
      <c r="R634" s="2" t="inlineStr"/>
    </row>
    <row r="635" ht="15" customHeight="1">
      <c r="A635" t="inlineStr">
        <is>
          <t>A 47614-2025</t>
        </is>
      </c>
      <c r="B635" s="1" t="n">
        <v>45931</v>
      </c>
      <c r="C635" s="1" t="n">
        <v>46200</v>
      </c>
      <c r="D635" t="inlineStr">
        <is>
          <t>UPPSALA LÄN</t>
        </is>
      </c>
      <c r="E635" t="inlineStr">
        <is>
          <t>ÖSTHAMMAR</t>
        </is>
      </c>
      <c r="G635" t="n">
        <v>22.8</v>
      </c>
      <c r="H635" t="n">
        <v>0</v>
      </c>
      <c r="I635" t="n">
        <v>0</v>
      </c>
      <c r="J635" t="n">
        <v>0</v>
      </c>
      <c r="K635" t="n">
        <v>0</v>
      </c>
      <c r="L635" t="n">
        <v>0</v>
      </c>
      <c r="M635" t="n">
        <v>0</v>
      </c>
      <c r="N635" t="n">
        <v>0</v>
      </c>
      <c r="O635" t="n">
        <v>0</v>
      </c>
      <c r="P635" t="n">
        <v>0</v>
      </c>
      <c r="Q635" t="n">
        <v>0</v>
      </c>
      <c r="R635" s="2" t="inlineStr"/>
    </row>
    <row r="636" ht="15" customHeight="1">
      <c r="A636" t="inlineStr">
        <is>
          <t>A 18758-2026</t>
        </is>
      </c>
      <c r="B636" s="1" t="n">
        <v>46128</v>
      </c>
      <c r="C636" s="1" t="n">
        <v>46200</v>
      </c>
      <c r="D636" t="inlineStr">
        <is>
          <t>UPPSALA LÄN</t>
        </is>
      </c>
      <c r="E636" t="inlineStr">
        <is>
          <t>ÖSTHAMMAR</t>
        </is>
      </c>
      <c r="F636" t="inlineStr">
        <is>
          <t>Bergvik skog öst AB</t>
        </is>
      </c>
      <c r="G636" t="n">
        <v>2.4</v>
      </c>
      <c r="H636" t="n">
        <v>0</v>
      </c>
      <c r="I636" t="n">
        <v>0</v>
      </c>
      <c r="J636" t="n">
        <v>0</v>
      </c>
      <c r="K636" t="n">
        <v>0</v>
      </c>
      <c r="L636" t="n">
        <v>0</v>
      </c>
      <c r="M636" t="n">
        <v>0</v>
      </c>
      <c r="N636" t="n">
        <v>0</v>
      </c>
      <c r="O636" t="n">
        <v>0</v>
      </c>
      <c r="P636" t="n">
        <v>0</v>
      </c>
      <c r="Q636" t="n">
        <v>0</v>
      </c>
      <c r="R636" s="2" t="inlineStr"/>
    </row>
    <row r="637" ht="15" customHeight="1">
      <c r="A637" t="inlineStr">
        <is>
          <t>A 18761-2026</t>
        </is>
      </c>
      <c r="B637" s="1" t="n">
        <v>46128</v>
      </c>
      <c r="C637" s="1" t="n">
        <v>46200</v>
      </c>
      <c r="D637" t="inlineStr">
        <is>
          <t>UPPSALA LÄN</t>
        </is>
      </c>
      <c r="E637" t="inlineStr">
        <is>
          <t>ÖSTHAMMAR</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18760-2026</t>
        </is>
      </c>
      <c r="B638" s="1" t="n">
        <v>46128</v>
      </c>
      <c r="C638" s="1" t="n">
        <v>46200</v>
      </c>
      <c r="D638" t="inlineStr">
        <is>
          <t>UPPSALA LÄN</t>
        </is>
      </c>
      <c r="E638" t="inlineStr">
        <is>
          <t>ÖSTHAMMAR</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19258-2026</t>
        </is>
      </c>
      <c r="B639" s="1" t="n">
        <v>46132</v>
      </c>
      <c r="C639" s="1" t="n">
        <v>46200</v>
      </c>
      <c r="D639" t="inlineStr">
        <is>
          <t>UPPSALA LÄN</t>
        </is>
      </c>
      <c r="E639" t="inlineStr">
        <is>
          <t>ÖSTHAMMAR</t>
        </is>
      </c>
      <c r="F639" t="inlineStr">
        <is>
          <t>Naturvårdsverket</t>
        </is>
      </c>
      <c r="G639" t="n">
        <v>18.6</v>
      </c>
      <c r="H639" t="n">
        <v>0</v>
      </c>
      <c r="I639" t="n">
        <v>0</v>
      </c>
      <c r="J639" t="n">
        <v>0</v>
      </c>
      <c r="K639" t="n">
        <v>0</v>
      </c>
      <c r="L639" t="n">
        <v>0</v>
      </c>
      <c r="M639" t="n">
        <v>0</v>
      </c>
      <c r="N639" t="n">
        <v>0</v>
      </c>
      <c r="O639" t="n">
        <v>0</v>
      </c>
      <c r="P639" t="n">
        <v>0</v>
      </c>
      <c r="Q639" t="n">
        <v>0</v>
      </c>
      <c r="R639" s="2" t="inlineStr"/>
    </row>
    <row r="640" ht="15" customHeight="1">
      <c r="A640" t="inlineStr">
        <is>
          <t>A 19771-2026</t>
        </is>
      </c>
      <c r="B640" s="1" t="n">
        <v>46135</v>
      </c>
      <c r="C640" s="1" t="n">
        <v>46200</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25398-2026</t>
        </is>
      </c>
      <c r="B641" s="1" t="n">
        <v>46176</v>
      </c>
      <c r="C641" s="1" t="n">
        <v>46200</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25377-2026</t>
        </is>
      </c>
      <c r="B642" s="1" t="n">
        <v>46176</v>
      </c>
      <c r="C642" s="1" t="n">
        <v>46200</v>
      </c>
      <c r="D642" t="inlineStr">
        <is>
          <t>UPPSALA LÄN</t>
        </is>
      </c>
      <c r="E642" t="inlineStr">
        <is>
          <t>ÖSTHAMMAR</t>
        </is>
      </c>
      <c r="G642" t="n">
        <v>14.3</v>
      </c>
      <c r="H642" t="n">
        <v>0</v>
      </c>
      <c r="I642" t="n">
        <v>0</v>
      </c>
      <c r="J642" t="n">
        <v>0</v>
      </c>
      <c r="K642" t="n">
        <v>0</v>
      </c>
      <c r="L642" t="n">
        <v>0</v>
      </c>
      <c r="M642" t="n">
        <v>0</v>
      </c>
      <c r="N642" t="n">
        <v>0</v>
      </c>
      <c r="O642" t="n">
        <v>0</v>
      </c>
      <c r="P642" t="n">
        <v>0</v>
      </c>
      <c r="Q642" t="n">
        <v>0</v>
      </c>
      <c r="R642" s="2" t="inlineStr"/>
    </row>
    <row r="643" ht="15" customHeight="1">
      <c r="A643" t="inlineStr">
        <is>
          <t>A 25394-2026</t>
        </is>
      </c>
      <c r="B643" s="1" t="n">
        <v>46176</v>
      </c>
      <c r="C643" s="1" t="n">
        <v>46200</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25366-2026</t>
        </is>
      </c>
      <c r="B644" s="1" t="n">
        <v>46176</v>
      </c>
      <c r="C644" s="1" t="n">
        <v>46200</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25399-2026</t>
        </is>
      </c>
      <c r="B645" s="1" t="n">
        <v>46176</v>
      </c>
      <c r="C645" s="1" t="n">
        <v>46200</v>
      </c>
      <c r="D645" t="inlineStr">
        <is>
          <t>UPPSALA LÄN</t>
        </is>
      </c>
      <c r="E645" t="inlineStr">
        <is>
          <t>ÖSTHAMMAR</t>
        </is>
      </c>
      <c r="G645" t="n">
        <v>5.6</v>
      </c>
      <c r="H645" t="n">
        <v>0</v>
      </c>
      <c r="I645" t="n">
        <v>0</v>
      </c>
      <c r="J645" t="n">
        <v>0</v>
      </c>
      <c r="K645" t="n">
        <v>0</v>
      </c>
      <c r="L645" t="n">
        <v>0</v>
      </c>
      <c r="M645" t="n">
        <v>0</v>
      </c>
      <c r="N645" t="n">
        <v>0</v>
      </c>
      <c r="O645" t="n">
        <v>0</v>
      </c>
      <c r="P645" t="n">
        <v>0</v>
      </c>
      <c r="Q645" t="n">
        <v>0</v>
      </c>
      <c r="R645" s="2" t="inlineStr"/>
    </row>
    <row r="646" ht="15" customHeight="1">
      <c r="A646" t="inlineStr">
        <is>
          <t>A 19631-2026</t>
        </is>
      </c>
      <c r="B646" s="1" t="n">
        <v>46134</v>
      </c>
      <c r="C646" s="1" t="n">
        <v>46200</v>
      </c>
      <c r="D646" t="inlineStr">
        <is>
          <t>UPPSALA LÄN</t>
        </is>
      </c>
      <c r="E646" t="inlineStr">
        <is>
          <t>ÖSTHAMMAR</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19485-2026</t>
        </is>
      </c>
      <c r="B647" s="1" t="n">
        <v>46134</v>
      </c>
      <c r="C647" s="1" t="n">
        <v>46200</v>
      </c>
      <c r="D647" t="inlineStr">
        <is>
          <t>UPPSALA LÄN</t>
        </is>
      </c>
      <c r="E647" t="inlineStr">
        <is>
          <t>ÖSTHAMMAR</t>
        </is>
      </c>
      <c r="F647" t="inlineStr">
        <is>
          <t>Övriga Aktiebolag</t>
        </is>
      </c>
      <c r="G647" t="n">
        <v>12.1</v>
      </c>
      <c r="H647" t="n">
        <v>0</v>
      </c>
      <c r="I647" t="n">
        <v>0</v>
      </c>
      <c r="J647" t="n">
        <v>0</v>
      </c>
      <c r="K647" t="n">
        <v>0</v>
      </c>
      <c r="L647" t="n">
        <v>0</v>
      </c>
      <c r="M647" t="n">
        <v>0</v>
      </c>
      <c r="N647" t="n">
        <v>0</v>
      </c>
      <c r="O647" t="n">
        <v>0</v>
      </c>
      <c r="P647" t="n">
        <v>0</v>
      </c>
      <c r="Q647" t="n">
        <v>0</v>
      </c>
      <c r="R647" s="2" t="inlineStr"/>
    </row>
    <row r="648" ht="15" customHeight="1">
      <c r="A648" t="inlineStr">
        <is>
          <t>A 25396-2026</t>
        </is>
      </c>
      <c r="B648" s="1" t="n">
        <v>46176</v>
      </c>
      <c r="C648" s="1" t="n">
        <v>46200</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25381-2026</t>
        </is>
      </c>
      <c r="B649" s="1" t="n">
        <v>46176</v>
      </c>
      <c r="C649" s="1" t="n">
        <v>46200</v>
      </c>
      <c r="D649" t="inlineStr">
        <is>
          <t>UPPSALA LÄN</t>
        </is>
      </c>
      <c r="E649" t="inlineStr">
        <is>
          <t>ÖSTHAMMAR</t>
        </is>
      </c>
      <c r="G649" t="n">
        <v>2.2</v>
      </c>
      <c r="H649" t="n">
        <v>0</v>
      </c>
      <c r="I649" t="n">
        <v>0</v>
      </c>
      <c r="J649" t="n">
        <v>0</v>
      </c>
      <c r="K649" t="n">
        <v>0</v>
      </c>
      <c r="L649" t="n">
        <v>0</v>
      </c>
      <c r="M649" t="n">
        <v>0</v>
      </c>
      <c r="N649" t="n">
        <v>0</v>
      </c>
      <c r="O649" t="n">
        <v>0</v>
      </c>
      <c r="P649" t="n">
        <v>0</v>
      </c>
      <c r="Q649" t="n">
        <v>0</v>
      </c>
      <c r="R649" s="2" t="inlineStr"/>
    </row>
    <row r="650" ht="15" customHeight="1">
      <c r="A650" t="inlineStr">
        <is>
          <t>A 24174-2025</t>
        </is>
      </c>
      <c r="B650" s="1" t="n">
        <v>45796</v>
      </c>
      <c r="C650" s="1" t="n">
        <v>46200</v>
      </c>
      <c r="D650" t="inlineStr">
        <is>
          <t>UPPSALA LÄN</t>
        </is>
      </c>
      <c r="E650" t="inlineStr">
        <is>
          <t>ÖSTHAMMAR</t>
        </is>
      </c>
      <c r="G650" t="n">
        <v>4.9</v>
      </c>
      <c r="H650" t="n">
        <v>0</v>
      </c>
      <c r="I650" t="n">
        <v>0</v>
      </c>
      <c r="J650" t="n">
        <v>0</v>
      </c>
      <c r="K650" t="n">
        <v>0</v>
      </c>
      <c r="L650" t="n">
        <v>0</v>
      </c>
      <c r="M650" t="n">
        <v>0</v>
      </c>
      <c r="N650" t="n">
        <v>0</v>
      </c>
      <c r="O650" t="n">
        <v>0</v>
      </c>
      <c r="P650" t="n">
        <v>0</v>
      </c>
      <c r="Q650" t="n">
        <v>0</v>
      </c>
      <c r="R650" s="2" t="inlineStr"/>
    </row>
    <row r="651" ht="15" customHeight="1">
      <c r="A651" t="inlineStr">
        <is>
          <t>A 28442-2025</t>
        </is>
      </c>
      <c r="B651" s="1" t="n">
        <v>45819</v>
      </c>
      <c r="C651" s="1" t="n">
        <v>46200</v>
      </c>
      <c r="D651" t="inlineStr">
        <is>
          <t>UPPSALA LÄN</t>
        </is>
      </c>
      <c r="E651" t="inlineStr">
        <is>
          <t>ÖSTHAMMAR</t>
        </is>
      </c>
      <c r="F651" t="inlineStr">
        <is>
          <t>Övriga Aktiebolag</t>
        </is>
      </c>
      <c r="G651" t="n">
        <v>1.8</v>
      </c>
      <c r="H651" t="n">
        <v>0</v>
      </c>
      <c r="I651" t="n">
        <v>0</v>
      </c>
      <c r="J651" t="n">
        <v>0</v>
      </c>
      <c r="K651" t="n">
        <v>0</v>
      </c>
      <c r="L651" t="n">
        <v>0</v>
      </c>
      <c r="M651" t="n">
        <v>0</v>
      </c>
      <c r="N651" t="n">
        <v>0</v>
      </c>
      <c r="O651" t="n">
        <v>0</v>
      </c>
      <c r="P651" t="n">
        <v>0</v>
      </c>
      <c r="Q651" t="n">
        <v>0</v>
      </c>
      <c r="R651" s="2" t="inlineStr"/>
    </row>
    <row r="652" ht="15" customHeight="1">
      <c r="A652" t="inlineStr">
        <is>
          <t>A 26159-2026</t>
        </is>
      </c>
      <c r="B652" s="1" t="n">
        <v>46181</v>
      </c>
      <c r="C652" s="1" t="n">
        <v>46200</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26160-2026</t>
        </is>
      </c>
      <c r="B653" s="1" t="n">
        <v>46181</v>
      </c>
      <c r="C653" s="1" t="n">
        <v>46200</v>
      </c>
      <c r="D653" t="inlineStr">
        <is>
          <t>UPPSALA LÄN</t>
        </is>
      </c>
      <c r="E653" t="inlineStr">
        <is>
          <t>ÖSTHAMMAR</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21133-2025</t>
        </is>
      </c>
      <c r="B654" s="1" t="n">
        <v>45778</v>
      </c>
      <c r="C654" s="1" t="n">
        <v>46200</v>
      </c>
      <c r="D654" t="inlineStr">
        <is>
          <t>UPPSALA LÄN</t>
        </is>
      </c>
      <c r="E654" t="inlineStr">
        <is>
          <t>ÖSTHAMMAR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31956-2025</t>
        </is>
      </c>
      <c r="B655" s="1" t="n">
        <v>45835</v>
      </c>
      <c r="C655" s="1" t="n">
        <v>46200</v>
      </c>
      <c r="D655" t="inlineStr">
        <is>
          <t>UPPSALA LÄN</t>
        </is>
      </c>
      <c r="E655" t="inlineStr">
        <is>
          <t>ÖSTHAMMAR</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27352-2025</t>
        </is>
      </c>
      <c r="B656" s="1" t="n">
        <v>45812</v>
      </c>
      <c r="C656" s="1" t="n">
        <v>46200</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19901-2026</t>
        </is>
      </c>
      <c r="B657" s="1" t="n">
        <v>46136</v>
      </c>
      <c r="C657" s="1" t="n">
        <v>46200</v>
      </c>
      <c r="D657" t="inlineStr">
        <is>
          <t>UPPSALA LÄN</t>
        </is>
      </c>
      <c r="E657" t="inlineStr">
        <is>
          <t>ÖSTHAMMAR</t>
        </is>
      </c>
      <c r="F657" t="inlineStr">
        <is>
          <t>Övriga Aktiebolag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20393-2026</t>
        </is>
      </c>
      <c r="B658" s="1" t="n">
        <v>46139</v>
      </c>
      <c r="C658" s="1" t="n">
        <v>46200</v>
      </c>
      <c r="D658" t="inlineStr">
        <is>
          <t>UPPSALA LÄN</t>
        </is>
      </c>
      <c r="E658" t="inlineStr">
        <is>
          <t>ÖSTHAMMAR</t>
        </is>
      </c>
      <c r="G658" t="n">
        <v>4.5</v>
      </c>
      <c r="H658" t="n">
        <v>0</v>
      </c>
      <c r="I658" t="n">
        <v>0</v>
      </c>
      <c r="J658" t="n">
        <v>0</v>
      </c>
      <c r="K658" t="n">
        <v>0</v>
      </c>
      <c r="L658" t="n">
        <v>0</v>
      </c>
      <c r="M658" t="n">
        <v>0</v>
      </c>
      <c r="N658" t="n">
        <v>0</v>
      </c>
      <c r="O658" t="n">
        <v>0</v>
      </c>
      <c r="P658" t="n">
        <v>0</v>
      </c>
      <c r="Q658" t="n">
        <v>0</v>
      </c>
      <c r="R658" s="2" t="inlineStr"/>
    </row>
    <row r="659" ht="15" customHeight="1">
      <c r="A659" t="inlineStr">
        <is>
          <t>A 26162-2026</t>
        </is>
      </c>
      <c r="B659" s="1" t="n">
        <v>46181</v>
      </c>
      <c r="C659" s="1" t="n">
        <v>46200</v>
      </c>
      <c r="D659" t="inlineStr">
        <is>
          <t>UPPSALA LÄN</t>
        </is>
      </c>
      <c r="E659" t="inlineStr">
        <is>
          <t>ÖSTHAMMAR</t>
        </is>
      </c>
      <c r="F659" t="inlineStr">
        <is>
          <t>Bergvik skog öst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6120-2024</t>
        </is>
      </c>
      <c r="B660" s="1" t="n">
        <v>45337</v>
      </c>
      <c r="C660" s="1" t="n">
        <v>46200</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20394-2026</t>
        </is>
      </c>
      <c r="B661" s="1" t="n">
        <v>46139</v>
      </c>
      <c r="C661" s="1" t="n">
        <v>46200</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56658-2025</t>
        </is>
      </c>
      <c r="B662" s="1" t="n">
        <v>45975</v>
      </c>
      <c r="C662" s="1" t="n">
        <v>46200</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2352-2026</t>
        </is>
      </c>
      <c r="B663" s="1" t="n">
        <v>46034</v>
      </c>
      <c r="C663" s="1" t="n">
        <v>46200</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2358-2026</t>
        </is>
      </c>
      <c r="B664" s="1" t="n">
        <v>46034</v>
      </c>
      <c r="C664" s="1" t="n">
        <v>46200</v>
      </c>
      <c r="D664" t="inlineStr">
        <is>
          <t>UPPSALA LÄN</t>
        </is>
      </c>
      <c r="E664" t="inlineStr">
        <is>
          <t>ÖSTHAMMAR</t>
        </is>
      </c>
      <c r="G664" t="n">
        <v>3.6</v>
      </c>
      <c r="H664" t="n">
        <v>0</v>
      </c>
      <c r="I664" t="n">
        <v>0</v>
      </c>
      <c r="J664" t="n">
        <v>0</v>
      </c>
      <c r="K664" t="n">
        <v>0</v>
      </c>
      <c r="L664" t="n">
        <v>0</v>
      </c>
      <c r="M664" t="n">
        <v>0</v>
      </c>
      <c r="N664" t="n">
        <v>0</v>
      </c>
      <c r="O664" t="n">
        <v>0</v>
      </c>
      <c r="P664" t="n">
        <v>0</v>
      </c>
      <c r="Q664" t="n">
        <v>0</v>
      </c>
      <c r="R664" s="2" t="inlineStr"/>
    </row>
    <row r="665" ht="15" customHeight="1">
      <c r="A665" t="inlineStr">
        <is>
          <t>A 26161-2026</t>
        </is>
      </c>
      <c r="B665" s="1" t="n">
        <v>46181</v>
      </c>
      <c r="C665" s="1" t="n">
        <v>46200</v>
      </c>
      <c r="D665" t="inlineStr">
        <is>
          <t>UPPSALA LÄN</t>
        </is>
      </c>
      <c r="E665" t="inlineStr">
        <is>
          <t>ÖSTHAMMAR</t>
        </is>
      </c>
      <c r="F665" t="inlineStr">
        <is>
          <t>Bergvik skog öst AB</t>
        </is>
      </c>
      <c r="G665" t="n">
        <v>9.1</v>
      </c>
      <c r="H665" t="n">
        <v>0</v>
      </c>
      <c r="I665" t="n">
        <v>0</v>
      </c>
      <c r="J665" t="n">
        <v>0</v>
      </c>
      <c r="K665" t="n">
        <v>0</v>
      </c>
      <c r="L665" t="n">
        <v>0</v>
      </c>
      <c r="M665" t="n">
        <v>0</v>
      </c>
      <c r="N665" t="n">
        <v>0</v>
      </c>
      <c r="O665" t="n">
        <v>0</v>
      </c>
      <c r="P665" t="n">
        <v>0</v>
      </c>
      <c r="Q665" t="n">
        <v>0</v>
      </c>
      <c r="R665" s="2" t="inlineStr"/>
    </row>
    <row r="666" ht="15" customHeight="1">
      <c r="A666" t="inlineStr">
        <is>
          <t>A 25843-2026</t>
        </is>
      </c>
      <c r="B666" s="1" t="n">
        <v>46178</v>
      </c>
      <c r="C666" s="1" t="n">
        <v>46200</v>
      </c>
      <c r="D666" t="inlineStr">
        <is>
          <t>UPPSALA LÄN</t>
        </is>
      </c>
      <c r="E666" t="inlineStr">
        <is>
          <t>ÖSTHAMMAR</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20058-2026</t>
        </is>
      </c>
      <c r="B667" s="1" t="n">
        <v>46136</v>
      </c>
      <c r="C667" s="1" t="n">
        <v>46200</v>
      </c>
      <c r="D667" t="inlineStr">
        <is>
          <t>UPPSALA LÄN</t>
        </is>
      </c>
      <c r="E667" t="inlineStr">
        <is>
          <t>ÖSTHAMMAR</t>
        </is>
      </c>
      <c r="G667" t="n">
        <v>3.4</v>
      </c>
      <c r="H667" t="n">
        <v>0</v>
      </c>
      <c r="I667" t="n">
        <v>0</v>
      </c>
      <c r="J667" t="n">
        <v>0</v>
      </c>
      <c r="K667" t="n">
        <v>0</v>
      </c>
      <c r="L667" t="n">
        <v>0</v>
      </c>
      <c r="M667" t="n">
        <v>0</v>
      </c>
      <c r="N667" t="n">
        <v>0</v>
      </c>
      <c r="O667" t="n">
        <v>0</v>
      </c>
      <c r="P667" t="n">
        <v>0</v>
      </c>
      <c r="Q667" t="n">
        <v>0</v>
      </c>
      <c r="R667" s="2" t="inlineStr"/>
    </row>
    <row r="668" ht="15" customHeight="1">
      <c r="A668" t="inlineStr">
        <is>
          <t>A 26319-2025</t>
        </is>
      </c>
      <c r="B668" s="1" t="n">
        <v>45805</v>
      </c>
      <c r="C668" s="1" t="n">
        <v>46200</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17938-2025</t>
        </is>
      </c>
      <c r="B669" s="1" t="n">
        <v>45760</v>
      </c>
      <c r="C669" s="1" t="n">
        <v>46200</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64885-2021</t>
        </is>
      </c>
      <c r="B670" s="1" t="n">
        <v>44512</v>
      </c>
      <c r="C670" s="1" t="n">
        <v>46200</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12654-2025</t>
        </is>
      </c>
      <c r="B671" s="1" t="n">
        <v>45733</v>
      </c>
      <c r="C671" s="1" t="n">
        <v>46200</v>
      </c>
      <c r="D671" t="inlineStr">
        <is>
          <t>UPPSALA LÄN</t>
        </is>
      </c>
      <c r="E671" t="inlineStr">
        <is>
          <t>ÖSTHAMMAR</t>
        </is>
      </c>
      <c r="G671" t="n">
        <v>9.9</v>
      </c>
      <c r="H671" t="n">
        <v>0</v>
      </c>
      <c r="I671" t="n">
        <v>0</v>
      </c>
      <c r="J671" t="n">
        <v>0</v>
      </c>
      <c r="K671" t="n">
        <v>0</v>
      </c>
      <c r="L671" t="n">
        <v>0</v>
      </c>
      <c r="M671" t="n">
        <v>0</v>
      </c>
      <c r="N671" t="n">
        <v>0</v>
      </c>
      <c r="O671" t="n">
        <v>0</v>
      </c>
      <c r="P671" t="n">
        <v>0</v>
      </c>
      <c r="Q671" t="n">
        <v>0</v>
      </c>
      <c r="R671" s="2" t="inlineStr"/>
    </row>
    <row r="672" ht="15" customHeight="1">
      <c r="A672" t="inlineStr">
        <is>
          <t>A 33271-2025</t>
        </is>
      </c>
      <c r="B672" s="1" t="n">
        <v>45840</v>
      </c>
      <c r="C672" s="1" t="n">
        <v>46200</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20796-2026</t>
        </is>
      </c>
      <c r="B673" s="1" t="n">
        <v>46141</v>
      </c>
      <c r="C673" s="1" t="n">
        <v>46200</v>
      </c>
      <c r="D673" t="inlineStr">
        <is>
          <t>UPPSALA LÄN</t>
        </is>
      </c>
      <c r="E673" t="inlineStr">
        <is>
          <t>ÖSTHAMMAR</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26305-2026</t>
        </is>
      </c>
      <c r="B674" s="1" t="n">
        <v>46182</v>
      </c>
      <c r="C674" s="1" t="n">
        <v>46200</v>
      </c>
      <c r="D674" t="inlineStr">
        <is>
          <t>UPPSALA LÄN</t>
        </is>
      </c>
      <c r="E674" t="inlineStr">
        <is>
          <t>ÖSTHAMMAR</t>
        </is>
      </c>
      <c r="G674" t="n">
        <v>6.4</v>
      </c>
      <c r="H674" t="n">
        <v>0</v>
      </c>
      <c r="I674" t="n">
        <v>0</v>
      </c>
      <c r="J674" t="n">
        <v>0</v>
      </c>
      <c r="K674" t="n">
        <v>0</v>
      </c>
      <c r="L674" t="n">
        <v>0</v>
      </c>
      <c r="M674" t="n">
        <v>0</v>
      </c>
      <c r="N674" t="n">
        <v>0</v>
      </c>
      <c r="O674" t="n">
        <v>0</v>
      </c>
      <c r="P674" t="n">
        <v>0</v>
      </c>
      <c r="Q674" t="n">
        <v>0</v>
      </c>
      <c r="R674" s="2" t="inlineStr"/>
    </row>
    <row r="675" ht="15" customHeight="1">
      <c r="A675" t="inlineStr">
        <is>
          <t>A 14989-2026</t>
        </is>
      </c>
      <c r="B675" s="1" t="n">
        <v>46104</v>
      </c>
      <c r="C675" s="1" t="n">
        <v>46200</v>
      </c>
      <c r="D675" t="inlineStr">
        <is>
          <t>UPPSALA LÄN</t>
        </is>
      </c>
      <c r="E675" t="inlineStr">
        <is>
          <t>ÖSTHAMMAR</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26581-2026</t>
        </is>
      </c>
      <c r="B676" s="1" t="n">
        <v>46183</v>
      </c>
      <c r="C676" s="1" t="n">
        <v>46200</v>
      </c>
      <c r="D676" t="inlineStr">
        <is>
          <t>UPPSALA LÄN</t>
        </is>
      </c>
      <c r="E676" t="inlineStr">
        <is>
          <t>ÖSTHAMMAR</t>
        </is>
      </c>
      <c r="G676" t="n">
        <v>2.6</v>
      </c>
      <c r="H676" t="n">
        <v>0</v>
      </c>
      <c r="I676" t="n">
        <v>0</v>
      </c>
      <c r="J676" t="n">
        <v>0</v>
      </c>
      <c r="K676" t="n">
        <v>0</v>
      </c>
      <c r="L676" t="n">
        <v>0</v>
      </c>
      <c r="M676" t="n">
        <v>0</v>
      </c>
      <c r="N676" t="n">
        <v>0</v>
      </c>
      <c r="O676" t="n">
        <v>0</v>
      </c>
      <c r="P676" t="n">
        <v>0</v>
      </c>
      <c r="Q676" t="n">
        <v>0</v>
      </c>
      <c r="R676" s="2" t="inlineStr"/>
    </row>
    <row r="677" ht="15" customHeight="1">
      <c r="A677" t="inlineStr">
        <is>
          <t>A 25983-2026</t>
        </is>
      </c>
      <c r="B677" s="1" t="n">
        <v>46181</v>
      </c>
      <c r="C677" s="1" t="n">
        <v>46200</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20776-2026</t>
        </is>
      </c>
      <c r="B678" s="1" t="n">
        <v>46141</v>
      </c>
      <c r="C678" s="1" t="n">
        <v>46200</v>
      </c>
      <c r="D678" t="inlineStr">
        <is>
          <t>UPPSALA LÄN</t>
        </is>
      </c>
      <c r="E678" t="inlineStr">
        <is>
          <t>ÖSTHAMMAR</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26524-2026</t>
        </is>
      </c>
      <c r="B679" s="1" t="n">
        <v>46183</v>
      </c>
      <c r="C679" s="1" t="n">
        <v>46200</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row>
    <row r="680" ht="15" customHeight="1">
      <c r="A680" t="inlineStr">
        <is>
          <t>A 20779-2026</t>
        </is>
      </c>
      <c r="B680" s="1" t="n">
        <v>46141</v>
      </c>
      <c r="C680" s="1" t="n">
        <v>46200</v>
      </c>
      <c r="D680" t="inlineStr">
        <is>
          <t>UPPSALA LÄN</t>
        </is>
      </c>
      <c r="E680" t="inlineStr">
        <is>
          <t>ÖSTHAMMAR</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20786-2026</t>
        </is>
      </c>
      <c r="B681" s="1" t="n">
        <v>46141</v>
      </c>
      <c r="C681" s="1" t="n">
        <v>46200</v>
      </c>
      <c r="D681" t="inlineStr">
        <is>
          <t>UPPSALA LÄN</t>
        </is>
      </c>
      <c r="E681" t="inlineStr">
        <is>
          <t>ÖSTHAMMAR</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14878-2026</t>
        </is>
      </c>
      <c r="B682" s="1" t="n">
        <v>46104</v>
      </c>
      <c r="C682" s="1" t="n">
        <v>46200</v>
      </c>
      <c r="D682" t="inlineStr">
        <is>
          <t>UPPSALA LÄN</t>
        </is>
      </c>
      <c r="E682" t="inlineStr">
        <is>
          <t>ÖSTHAMMAR</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26778-2026</t>
        </is>
      </c>
      <c r="B683" s="1" t="n">
        <v>46184</v>
      </c>
      <c r="C683" s="1" t="n">
        <v>46200</v>
      </c>
      <c r="D683" t="inlineStr">
        <is>
          <t>UPPSALA LÄN</t>
        </is>
      </c>
      <c r="E683" t="inlineStr">
        <is>
          <t>ÖSTHAMMAR</t>
        </is>
      </c>
      <c r="G683" t="n">
        <v>12.5</v>
      </c>
      <c r="H683" t="n">
        <v>0</v>
      </c>
      <c r="I683" t="n">
        <v>0</v>
      </c>
      <c r="J683" t="n">
        <v>0</v>
      </c>
      <c r="K683" t="n">
        <v>0</v>
      </c>
      <c r="L683" t="n">
        <v>0</v>
      </c>
      <c r="M683" t="n">
        <v>0</v>
      </c>
      <c r="N683" t="n">
        <v>0</v>
      </c>
      <c r="O683" t="n">
        <v>0</v>
      </c>
      <c r="P683" t="n">
        <v>0</v>
      </c>
      <c r="Q683" t="n">
        <v>0</v>
      </c>
      <c r="R683" s="2" t="inlineStr"/>
    </row>
    <row r="684" ht="15" customHeight="1">
      <c r="A684" t="inlineStr">
        <is>
          <t>A 25856-2026</t>
        </is>
      </c>
      <c r="B684" s="1" t="n">
        <v>46178</v>
      </c>
      <c r="C684" s="1" t="n">
        <v>46200</v>
      </c>
      <c r="D684" t="inlineStr">
        <is>
          <t>UPPSALA LÄN</t>
        </is>
      </c>
      <c r="E684" t="inlineStr">
        <is>
          <t>ÖSTHAMMAR</t>
        </is>
      </c>
      <c r="F684" t="inlineStr">
        <is>
          <t>Bergvik skog öst AB</t>
        </is>
      </c>
      <c r="G684" t="n">
        <v>6.7</v>
      </c>
      <c r="H684" t="n">
        <v>0</v>
      </c>
      <c r="I684" t="n">
        <v>0</v>
      </c>
      <c r="J684" t="n">
        <v>0</v>
      </c>
      <c r="K684" t="n">
        <v>0</v>
      </c>
      <c r="L684" t="n">
        <v>0</v>
      </c>
      <c r="M684" t="n">
        <v>0</v>
      </c>
      <c r="N684" t="n">
        <v>0</v>
      </c>
      <c r="O684" t="n">
        <v>0</v>
      </c>
      <c r="P684" t="n">
        <v>0</v>
      </c>
      <c r="Q684" t="n">
        <v>0</v>
      </c>
      <c r="R684" s="2" t="inlineStr"/>
    </row>
    <row r="685" ht="15" customHeight="1">
      <c r="A685" t="inlineStr">
        <is>
          <t>A 25833-2026</t>
        </is>
      </c>
      <c r="B685" s="1" t="n">
        <v>46178</v>
      </c>
      <c r="C685" s="1" t="n">
        <v>46200</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25846-2026</t>
        </is>
      </c>
      <c r="B686" s="1" t="n">
        <v>46178</v>
      </c>
      <c r="C686" s="1" t="n">
        <v>46200</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21448-2026</t>
        </is>
      </c>
      <c r="B687" s="1" t="n">
        <v>46146</v>
      </c>
      <c r="C687" s="1" t="n">
        <v>46200</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21389-2026</t>
        </is>
      </c>
      <c r="B688" s="1" t="n">
        <v>46147</v>
      </c>
      <c r="C688" s="1" t="n">
        <v>46200</v>
      </c>
      <c r="D688" t="inlineStr">
        <is>
          <t>UPPSALA LÄN</t>
        </is>
      </c>
      <c r="E688" t="inlineStr">
        <is>
          <t>ÖSTHAMMAR</t>
        </is>
      </c>
      <c r="G688" t="n">
        <v>3</v>
      </c>
      <c r="H688" t="n">
        <v>0</v>
      </c>
      <c r="I688" t="n">
        <v>0</v>
      </c>
      <c r="J688" t="n">
        <v>0</v>
      </c>
      <c r="K688" t="n">
        <v>0</v>
      </c>
      <c r="L688" t="n">
        <v>0</v>
      </c>
      <c r="M688" t="n">
        <v>0</v>
      </c>
      <c r="N688" t="n">
        <v>0</v>
      </c>
      <c r="O688" t="n">
        <v>0</v>
      </c>
      <c r="P688" t="n">
        <v>0</v>
      </c>
      <c r="Q688" t="n">
        <v>0</v>
      </c>
      <c r="R688" s="2" t="inlineStr"/>
    </row>
    <row r="689" ht="15" customHeight="1">
      <c r="A689" t="inlineStr">
        <is>
          <t>A 21360-2026</t>
        </is>
      </c>
      <c r="B689" s="1" t="n">
        <v>46147</v>
      </c>
      <c r="C689" s="1" t="n">
        <v>46200</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27958-2026</t>
        </is>
      </c>
      <c r="B690" s="1" t="n">
        <v>46194</v>
      </c>
      <c r="C690" s="1" t="n">
        <v>46200</v>
      </c>
      <c r="D690" t="inlineStr">
        <is>
          <t>UPPSALA LÄN</t>
        </is>
      </c>
      <c r="E690" t="inlineStr">
        <is>
          <t>ÖSTHAMMAR</t>
        </is>
      </c>
      <c r="F690" t="inlineStr">
        <is>
          <t>Bergvik skog öst AB</t>
        </is>
      </c>
      <c r="G690" t="n">
        <v>2.9</v>
      </c>
      <c r="H690" t="n">
        <v>0</v>
      </c>
      <c r="I690" t="n">
        <v>0</v>
      </c>
      <c r="J690" t="n">
        <v>0</v>
      </c>
      <c r="K690" t="n">
        <v>0</v>
      </c>
      <c r="L690" t="n">
        <v>0</v>
      </c>
      <c r="M690" t="n">
        <v>0</v>
      </c>
      <c r="N690" t="n">
        <v>0</v>
      </c>
      <c r="O690" t="n">
        <v>0</v>
      </c>
      <c r="P690" t="n">
        <v>0</v>
      </c>
      <c r="Q690" t="n">
        <v>0</v>
      </c>
      <c r="R690" s="2" t="inlineStr"/>
    </row>
    <row r="691" ht="15" customHeight="1">
      <c r="A691" t="inlineStr">
        <is>
          <t>A 21765-2026</t>
        </is>
      </c>
      <c r="B691" s="1" t="n">
        <v>46150</v>
      </c>
      <c r="C691" s="1" t="n">
        <v>46200</v>
      </c>
      <c r="D691" t="inlineStr">
        <is>
          <t>UPPSALA LÄN</t>
        </is>
      </c>
      <c r="E691" t="inlineStr">
        <is>
          <t>ÖSTHAMMAR</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28021-2026</t>
        </is>
      </c>
      <c r="B692" s="1" t="n">
        <v>46195</v>
      </c>
      <c r="C692" s="1" t="n">
        <v>46200</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22059-2026</t>
        </is>
      </c>
      <c r="B693" s="1" t="n">
        <v>46153</v>
      </c>
      <c r="C693" s="1" t="n">
        <v>46200</v>
      </c>
      <c r="D693" t="inlineStr">
        <is>
          <t>UPPSALA LÄN</t>
        </is>
      </c>
      <c r="E693" t="inlineStr">
        <is>
          <t>ÖSTHAMMAR</t>
        </is>
      </c>
      <c r="G693" t="n">
        <v>7.5</v>
      </c>
      <c r="H693" t="n">
        <v>0</v>
      </c>
      <c r="I693" t="n">
        <v>0</v>
      </c>
      <c r="J693" t="n">
        <v>0</v>
      </c>
      <c r="K693" t="n">
        <v>0</v>
      </c>
      <c r="L693" t="n">
        <v>0</v>
      </c>
      <c r="M693" t="n">
        <v>0</v>
      </c>
      <c r="N693" t="n">
        <v>0</v>
      </c>
      <c r="O693" t="n">
        <v>0</v>
      </c>
      <c r="P693" t="n">
        <v>0</v>
      </c>
      <c r="Q693" t="n">
        <v>0</v>
      </c>
      <c r="R693" s="2" t="inlineStr"/>
    </row>
    <row r="694" ht="15" customHeight="1">
      <c r="A694" t="inlineStr">
        <is>
          <t>A 28385-2026</t>
        </is>
      </c>
      <c r="B694" s="1" t="n">
        <v>46196</v>
      </c>
      <c r="C694" s="1" t="n">
        <v>46200</v>
      </c>
      <c r="D694" t="inlineStr">
        <is>
          <t>UPPSALA LÄN</t>
        </is>
      </c>
      <c r="E694" t="inlineStr">
        <is>
          <t>ÖSTHAMMAR</t>
        </is>
      </c>
      <c r="F694" t="inlineStr">
        <is>
          <t>Bergvik skog öst AB</t>
        </is>
      </c>
      <c r="G694" t="n">
        <v>18.6</v>
      </c>
      <c r="H694" t="n">
        <v>0</v>
      </c>
      <c r="I694" t="n">
        <v>0</v>
      </c>
      <c r="J694" t="n">
        <v>0</v>
      </c>
      <c r="K694" t="n">
        <v>0</v>
      </c>
      <c r="L694" t="n">
        <v>0</v>
      </c>
      <c r="M694" t="n">
        <v>0</v>
      </c>
      <c r="N694" t="n">
        <v>0</v>
      </c>
      <c r="O694" t="n">
        <v>0</v>
      </c>
      <c r="P694" t="n">
        <v>0</v>
      </c>
      <c r="Q694" t="n">
        <v>0</v>
      </c>
      <c r="R694" s="2" t="inlineStr"/>
    </row>
    <row r="695" ht="15" customHeight="1">
      <c r="A695" t="inlineStr">
        <is>
          <t>A 22640-2026</t>
        </is>
      </c>
      <c r="B695" s="1" t="n">
        <v>46155</v>
      </c>
      <c r="C695" s="1" t="n">
        <v>46200</v>
      </c>
      <c r="D695" t="inlineStr">
        <is>
          <t>UPPSALA LÄN</t>
        </is>
      </c>
      <c r="E695" t="inlineStr">
        <is>
          <t>ÖSTHAMMAR</t>
        </is>
      </c>
      <c r="F695" t="inlineStr">
        <is>
          <t>Bergvik skog öst AB</t>
        </is>
      </c>
      <c r="G695" t="n">
        <v>19.4</v>
      </c>
      <c r="H695" t="n">
        <v>0</v>
      </c>
      <c r="I695" t="n">
        <v>0</v>
      </c>
      <c r="J695" t="n">
        <v>0</v>
      </c>
      <c r="K695" t="n">
        <v>0</v>
      </c>
      <c r="L695" t="n">
        <v>0</v>
      </c>
      <c r="M695" t="n">
        <v>0</v>
      </c>
      <c r="N695" t="n">
        <v>0</v>
      </c>
      <c r="O695" t="n">
        <v>0</v>
      </c>
      <c r="P695" t="n">
        <v>0</v>
      </c>
      <c r="Q695" t="n">
        <v>0</v>
      </c>
      <c r="R695" s="2" t="inlineStr"/>
    </row>
    <row r="696" ht="15" customHeight="1">
      <c r="A696" t="inlineStr">
        <is>
          <t>A 22641-2026</t>
        </is>
      </c>
      <c r="B696" s="1" t="n">
        <v>46155</v>
      </c>
      <c r="C696" s="1" t="n">
        <v>46200</v>
      </c>
      <c r="D696" t="inlineStr">
        <is>
          <t>UPPSALA LÄN</t>
        </is>
      </c>
      <c r="E696" t="inlineStr">
        <is>
          <t>ÖSTHAMMAR</t>
        </is>
      </c>
      <c r="G696" t="n">
        <v>6.3</v>
      </c>
      <c r="H696" t="n">
        <v>0</v>
      </c>
      <c r="I696" t="n">
        <v>0</v>
      </c>
      <c r="J696" t="n">
        <v>0</v>
      </c>
      <c r="K696" t="n">
        <v>0</v>
      </c>
      <c r="L696" t="n">
        <v>0</v>
      </c>
      <c r="M696" t="n">
        <v>0</v>
      </c>
      <c r="N696" t="n">
        <v>0</v>
      </c>
      <c r="O696" t="n">
        <v>0</v>
      </c>
      <c r="P696" t="n">
        <v>0</v>
      </c>
      <c r="Q696" t="n">
        <v>0</v>
      </c>
      <c r="R696" s="2" t="inlineStr"/>
    </row>
    <row r="697" ht="15" customHeight="1">
      <c r="A697" t="inlineStr">
        <is>
          <t>A 22567-2026</t>
        </is>
      </c>
      <c r="B697" s="1" t="n">
        <v>46155</v>
      </c>
      <c r="C697" s="1" t="n">
        <v>46200</v>
      </c>
      <c r="D697" t="inlineStr">
        <is>
          <t>UPPSALA LÄN</t>
        </is>
      </c>
      <c r="E697" t="inlineStr">
        <is>
          <t>ÖSTHAMMAR</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22241-2026</t>
        </is>
      </c>
      <c r="B698" s="1" t="n">
        <v>46154</v>
      </c>
      <c r="C698" s="1" t="n">
        <v>46200</v>
      </c>
      <c r="D698" t="inlineStr">
        <is>
          <t>UPPSALA LÄN</t>
        </is>
      </c>
      <c r="E698" t="inlineStr">
        <is>
          <t>ÖSTHAMMAR</t>
        </is>
      </c>
      <c r="F698" t="inlineStr">
        <is>
          <t>Övriga Aktiebolag</t>
        </is>
      </c>
      <c r="G698" t="n">
        <v>14.6</v>
      </c>
      <c r="H698" t="n">
        <v>0</v>
      </c>
      <c r="I698" t="n">
        <v>0</v>
      </c>
      <c r="J698" t="n">
        <v>0</v>
      </c>
      <c r="K698" t="n">
        <v>0</v>
      </c>
      <c r="L698" t="n">
        <v>0</v>
      </c>
      <c r="M698" t="n">
        <v>0</v>
      </c>
      <c r="N698" t="n">
        <v>0</v>
      </c>
      <c r="O698" t="n">
        <v>0</v>
      </c>
      <c r="P698" t="n">
        <v>0</v>
      </c>
      <c r="Q698" t="n">
        <v>0</v>
      </c>
      <c r="R698" s="2" t="inlineStr"/>
    </row>
    <row r="699" ht="15" customHeight="1">
      <c r="A699" t="inlineStr">
        <is>
          <t>A 22642-2026</t>
        </is>
      </c>
      <c r="B699" s="1" t="n">
        <v>46155</v>
      </c>
      <c r="C699" s="1" t="n">
        <v>46200</v>
      </c>
      <c r="D699" t="inlineStr">
        <is>
          <t>UPPSALA LÄN</t>
        </is>
      </c>
      <c r="E699" t="inlineStr">
        <is>
          <t>ÖSTHAMMAR</t>
        </is>
      </c>
      <c r="F699" t="inlineStr">
        <is>
          <t>Bergvik skog öst AB</t>
        </is>
      </c>
      <c r="G699" t="n">
        <v>10</v>
      </c>
      <c r="H699" t="n">
        <v>0</v>
      </c>
      <c r="I699" t="n">
        <v>0</v>
      </c>
      <c r="J699" t="n">
        <v>0</v>
      </c>
      <c r="K699" t="n">
        <v>0</v>
      </c>
      <c r="L699" t="n">
        <v>0</v>
      </c>
      <c r="M699" t="n">
        <v>0</v>
      </c>
      <c r="N699" t="n">
        <v>0</v>
      </c>
      <c r="O699" t="n">
        <v>0</v>
      </c>
      <c r="P699" t="n">
        <v>0</v>
      </c>
      <c r="Q699" t="n">
        <v>0</v>
      </c>
      <c r="R699" s="2" t="inlineStr"/>
    </row>
    <row r="700" ht="15" customHeight="1">
      <c r="A700" t="inlineStr">
        <is>
          <t>A 28392-2026</t>
        </is>
      </c>
      <c r="B700" s="1" t="n">
        <v>46196</v>
      </c>
      <c r="C700" s="1" t="n">
        <v>46200</v>
      </c>
      <c r="D700" t="inlineStr">
        <is>
          <t>UPPSALA LÄN</t>
        </is>
      </c>
      <c r="E700" t="inlineStr">
        <is>
          <t>ÖSTHAMMAR</t>
        </is>
      </c>
      <c r="G700" t="n">
        <v>34.4</v>
      </c>
      <c r="H700" t="n">
        <v>0</v>
      </c>
      <c r="I700" t="n">
        <v>0</v>
      </c>
      <c r="J700" t="n">
        <v>0</v>
      </c>
      <c r="K700" t="n">
        <v>0</v>
      </c>
      <c r="L700" t="n">
        <v>0</v>
      </c>
      <c r="M700" t="n">
        <v>0</v>
      </c>
      <c r="N700" t="n">
        <v>0</v>
      </c>
      <c r="O700" t="n">
        <v>0</v>
      </c>
      <c r="P700" t="n">
        <v>0</v>
      </c>
      <c r="Q700" t="n">
        <v>0</v>
      </c>
      <c r="R700" s="2" t="inlineStr"/>
    </row>
    <row r="701" ht="15" customHeight="1">
      <c r="A701" t="inlineStr">
        <is>
          <t>A 28949-2026</t>
        </is>
      </c>
      <c r="B701" s="1" t="n">
        <v>46199</v>
      </c>
      <c r="C701" s="1" t="n">
        <v>46200</v>
      </c>
      <c r="D701" t="inlineStr">
        <is>
          <t>UPPSALA LÄN</t>
        </is>
      </c>
      <c r="E701" t="inlineStr">
        <is>
          <t>ÖSTHAMMAR</t>
        </is>
      </c>
      <c r="F701" t="inlineStr">
        <is>
          <t>Naturvårdsverket</t>
        </is>
      </c>
      <c r="G701" t="n">
        <v>1.3</v>
      </c>
      <c r="H701" t="n">
        <v>0</v>
      </c>
      <c r="I701" t="n">
        <v>0</v>
      </c>
      <c r="J701" t="n">
        <v>0</v>
      </c>
      <c r="K701" t="n">
        <v>0</v>
      </c>
      <c r="L701" t="n">
        <v>0</v>
      </c>
      <c r="M701" t="n">
        <v>0</v>
      </c>
      <c r="N701" t="n">
        <v>0</v>
      </c>
      <c r="O701" t="n">
        <v>0</v>
      </c>
      <c r="P701" t="n">
        <v>0</v>
      </c>
      <c r="Q701" t="n">
        <v>0</v>
      </c>
      <c r="R701" s="2" t="inlineStr"/>
    </row>
    <row r="702" ht="15" customHeight="1">
      <c r="A702" t="inlineStr">
        <is>
          <t>A 28938-2026</t>
        </is>
      </c>
      <c r="B702" s="1" t="n">
        <v>46199</v>
      </c>
      <c r="C702" s="1" t="n">
        <v>46200</v>
      </c>
      <c r="D702" t="inlineStr">
        <is>
          <t>UPPSALA LÄN</t>
        </is>
      </c>
      <c r="E702" t="inlineStr">
        <is>
          <t>ÖSTHAMMAR</t>
        </is>
      </c>
      <c r="F702" t="inlineStr">
        <is>
          <t>Övriga Aktiebolag</t>
        </is>
      </c>
      <c r="G702" t="n">
        <v>3.6</v>
      </c>
      <c r="H702" t="n">
        <v>0</v>
      </c>
      <c r="I702" t="n">
        <v>0</v>
      </c>
      <c r="J702" t="n">
        <v>0</v>
      </c>
      <c r="K702" t="n">
        <v>0</v>
      </c>
      <c r="L702" t="n">
        <v>0</v>
      </c>
      <c r="M702" t="n">
        <v>0</v>
      </c>
      <c r="N702" t="n">
        <v>0</v>
      </c>
      <c r="O702" t="n">
        <v>0</v>
      </c>
      <c r="P702" t="n">
        <v>0</v>
      </c>
      <c r="Q702" t="n">
        <v>0</v>
      </c>
      <c r="R702" s="2" t="inlineStr"/>
    </row>
    <row r="703" ht="15" customHeight="1">
      <c r="A703" t="inlineStr">
        <is>
          <t>A 22709-2026</t>
        </is>
      </c>
      <c r="B703" s="1" t="n">
        <v>46156</v>
      </c>
      <c r="C703" s="1" t="n">
        <v>46200</v>
      </c>
      <c r="D703" t="inlineStr">
        <is>
          <t>UPPSALA LÄN</t>
        </is>
      </c>
      <c r="E703" t="inlineStr">
        <is>
          <t>ÖSTHAMMAR</t>
        </is>
      </c>
      <c r="F703" t="inlineStr">
        <is>
          <t>Övriga Aktiebolag</t>
        </is>
      </c>
      <c r="G703" t="n">
        <v>15.5</v>
      </c>
      <c r="H703" t="n">
        <v>0</v>
      </c>
      <c r="I703" t="n">
        <v>0</v>
      </c>
      <c r="J703" t="n">
        <v>0</v>
      </c>
      <c r="K703" t="n">
        <v>0</v>
      </c>
      <c r="L703" t="n">
        <v>0</v>
      </c>
      <c r="M703" t="n">
        <v>0</v>
      </c>
      <c r="N703" t="n">
        <v>0</v>
      </c>
      <c r="O703" t="n">
        <v>0</v>
      </c>
      <c r="P703" t="n">
        <v>0</v>
      </c>
      <c r="Q703" t="n">
        <v>0</v>
      </c>
      <c r="R703" s="2" t="inlineStr"/>
    </row>
    <row r="704">
      <c r="A704" t="inlineStr">
        <is>
          <t>A 28973-2026</t>
        </is>
      </c>
      <c r="B704" s="1" t="n">
        <v>46199</v>
      </c>
      <c r="C704" s="1" t="n">
        <v>46200</v>
      </c>
      <c r="D704" t="inlineStr">
        <is>
          <t>UPPSALA LÄN</t>
        </is>
      </c>
      <c r="E704" t="inlineStr">
        <is>
          <t>ÖSTHAMMAR</t>
        </is>
      </c>
      <c r="G704" t="n">
        <v>2.2</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2026-06-27T00:55:55Z</dcterms:created>
  <dcterms:modified xmlns:dcterms="http://purl.org/dc/terms/" xmlns:xsi="http://www.w3.org/2001/XMLSchema-instance" xsi:type="dcterms:W3CDTF">2026-06-27T00:55:56Z</dcterms:modified>
</cp:coreProperties>
</file>