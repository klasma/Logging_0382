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45989</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45989</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45989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45989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45989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45989</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45989</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45989</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45989</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45989</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40395-2025</t>
        </is>
      </c>
      <c r="B13" s="1" t="n">
        <v>45895.55805555556</v>
      </c>
      <c r="C13" s="1" t="n">
        <v>45989</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45989</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45989</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45989</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45989</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16239-2025</t>
        </is>
      </c>
      <c r="B19" s="1" t="n">
        <v>45746</v>
      </c>
      <c r="C19" s="1" t="n">
        <v>45989</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45989</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16242-2025</t>
        </is>
      </c>
      <c r="B21" s="1" t="n">
        <v>45746</v>
      </c>
      <c r="C21" s="1" t="n">
        <v>45989</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45989</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45989</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45989</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45989</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23496-2023</t>
        </is>
      </c>
      <c r="B26" s="1" t="n">
        <v>45076</v>
      </c>
      <c r="C26" s="1" t="n">
        <v>45989</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45989</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39763-2022</t>
        </is>
      </c>
      <c r="B28" s="1" t="n">
        <v>44819.44055555556</v>
      </c>
      <c r="C28" s="1" t="n">
        <v>45989</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45989</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45989</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26056-2025</t>
        </is>
      </c>
      <c r="B31" s="1" t="n">
        <v>45804.79280092593</v>
      </c>
      <c r="C31" s="1" t="n">
        <v>45989</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51517-2025</t>
        </is>
      </c>
      <c r="B32" s="1" t="n">
        <v>45950.65636574074</v>
      </c>
      <c r="C32" s="1" t="n">
        <v>45989</v>
      </c>
      <c r="D32" t="inlineStr">
        <is>
          <t>UPPSALA LÄN</t>
        </is>
      </c>
      <c r="E32" t="inlineStr">
        <is>
          <t>ÖSTHAMMAR</t>
        </is>
      </c>
      <c r="F32" t="inlineStr">
        <is>
          <t>Bergvik skog öst AB</t>
        </is>
      </c>
      <c r="G32" t="n">
        <v>9.699999999999999</v>
      </c>
      <c r="H32" t="n">
        <v>1</v>
      </c>
      <c r="I32" t="n">
        <v>2</v>
      </c>
      <c r="J32" t="n">
        <v>1</v>
      </c>
      <c r="K32" t="n">
        <v>2</v>
      </c>
      <c r="L32" t="n">
        <v>0</v>
      </c>
      <c r="M32" t="n">
        <v>0</v>
      </c>
      <c r="N32" t="n">
        <v>0</v>
      </c>
      <c r="O32" t="n">
        <v>3</v>
      </c>
      <c r="P32" t="n">
        <v>2</v>
      </c>
      <c r="Q32" t="n">
        <v>5</v>
      </c>
      <c r="R32" s="2" t="inlineStr">
        <is>
          <t>Knärot
Vågticka
Ullticka
Kalktallört
Trådticka</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row>
    <row r="33" ht="15" customHeight="1">
      <c r="A33" t="inlineStr">
        <is>
          <t>A 51154-2025</t>
        </is>
      </c>
      <c r="B33" s="1" t="n">
        <v>45947.57583333334</v>
      </c>
      <c r="C33" s="1" t="n">
        <v>45989</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45989</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45989</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43992-2022</t>
        </is>
      </c>
      <c r="B36" s="1" t="n">
        <v>44837</v>
      </c>
      <c r="C36" s="1" t="n">
        <v>45989</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45989</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55492-2023</t>
        </is>
      </c>
      <c r="B38" s="1" t="n">
        <v>45238</v>
      </c>
      <c r="C38" s="1" t="n">
        <v>45989</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52808-2022</t>
        </is>
      </c>
      <c r="B39" s="1" t="n">
        <v>44875</v>
      </c>
      <c r="C39" s="1" t="n">
        <v>45989</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45989</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45989</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45989</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45989</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74364-2021</t>
        </is>
      </c>
      <c r="B44" s="1" t="n">
        <v>44559</v>
      </c>
      <c r="C44" s="1" t="n">
        <v>45989</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45989</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25044-2025</t>
        </is>
      </c>
      <c r="B46" s="1" t="n">
        <v>45799.66607638889</v>
      </c>
      <c r="C46" s="1" t="n">
        <v>45989</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45989</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46204-2023</t>
        </is>
      </c>
      <c r="B48" s="1" t="n">
        <v>45190</v>
      </c>
      <c r="C48" s="1" t="n">
        <v>45989</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9715-2024</t>
        </is>
      </c>
      <c r="B49" s="1" t="n">
        <v>45362.53928240741</v>
      </c>
      <c r="C49" s="1" t="n">
        <v>45989</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55051-2021</t>
        </is>
      </c>
      <c r="B50" s="1" t="n">
        <v>44474</v>
      </c>
      <c r="C50" s="1" t="n">
        <v>45989</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45989</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45989</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9683-2023</t>
        </is>
      </c>
      <c r="B53" s="1" t="n">
        <v>44984.43856481482</v>
      </c>
      <c r="C53" s="1" t="n">
        <v>45989</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45989</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45989</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45989</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6223-2021</t>
        </is>
      </c>
      <c r="B57" s="1" t="n">
        <v>44235</v>
      </c>
      <c r="C57" s="1" t="n">
        <v>45989</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45989</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45989</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45989</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41303-2025</t>
        </is>
      </c>
      <c r="B61" s="1" t="n">
        <v>45898.69215277778</v>
      </c>
      <c r="C61" s="1" t="n">
        <v>45989</v>
      </c>
      <c r="D61" t="inlineStr">
        <is>
          <t>UPPSALA LÄN</t>
        </is>
      </c>
      <c r="E61" t="inlineStr">
        <is>
          <t>ÖSTHAMMAR</t>
        </is>
      </c>
      <c r="G61" t="n">
        <v>10.1</v>
      </c>
      <c r="H61" t="n">
        <v>1</v>
      </c>
      <c r="I61" t="n">
        <v>1</v>
      </c>
      <c r="J61" t="n">
        <v>0</v>
      </c>
      <c r="K61" t="n">
        <v>0</v>
      </c>
      <c r="L61" t="n">
        <v>0</v>
      </c>
      <c r="M61" t="n">
        <v>0</v>
      </c>
      <c r="N61" t="n">
        <v>0</v>
      </c>
      <c r="O61" t="n">
        <v>0</v>
      </c>
      <c r="P61" t="n">
        <v>0</v>
      </c>
      <c r="Q61" t="n">
        <v>2</v>
      </c>
      <c r="R61" s="2" t="inlineStr">
        <is>
          <t>Svavelriska
Revlummer</t>
        </is>
      </c>
      <c r="S61">
        <f>HYPERLINK("https://klasma.github.io/Logging_0382/artfynd/A 41303-2025 artfynd.xlsx", "A 41303-2025")</f>
        <v/>
      </c>
      <c r="T61">
        <f>HYPERLINK("https://klasma.github.io/Logging_0382/kartor/A 41303-2025 karta.png", "A 41303-2025")</f>
        <v/>
      </c>
      <c r="V61">
        <f>HYPERLINK("https://klasma.github.io/Logging_0382/klagomål/A 41303-2025 FSC-klagomål.docx", "A 41303-2025")</f>
        <v/>
      </c>
      <c r="W61">
        <f>HYPERLINK("https://klasma.github.io/Logging_0382/klagomålsmail/A 41303-2025 FSC-klagomål mail.docx", "A 41303-2025")</f>
        <v/>
      </c>
      <c r="X61">
        <f>HYPERLINK("https://klasma.github.io/Logging_0382/tillsyn/A 41303-2025 tillsynsbegäran.docx", "A 41303-2025")</f>
        <v/>
      </c>
      <c r="Y61">
        <f>HYPERLINK("https://klasma.github.io/Logging_0382/tillsynsmail/A 41303-2025 tillsynsbegäran mail.docx", "A 41303-2025")</f>
        <v/>
      </c>
    </row>
    <row r="62" ht="15" customHeight="1">
      <c r="A62" t="inlineStr">
        <is>
          <t>A 51522-2025</t>
        </is>
      </c>
      <c r="B62" s="1" t="n">
        <v>45950.65743055556</v>
      </c>
      <c r="C62" s="1" t="n">
        <v>45989</v>
      </c>
      <c r="D62" t="inlineStr">
        <is>
          <t>UPPSALA LÄN</t>
        </is>
      </c>
      <c r="E62" t="inlineStr">
        <is>
          <t>ÖSTHAMMAR</t>
        </is>
      </c>
      <c r="F62" t="inlineStr">
        <is>
          <t>Bergvik skog öst AB</t>
        </is>
      </c>
      <c r="G62" t="n">
        <v>11</v>
      </c>
      <c r="H62" t="n">
        <v>0</v>
      </c>
      <c r="I62" t="n">
        <v>0</v>
      </c>
      <c r="J62" t="n">
        <v>2</v>
      </c>
      <c r="K62" t="n">
        <v>0</v>
      </c>
      <c r="L62" t="n">
        <v>0</v>
      </c>
      <c r="M62" t="n">
        <v>0</v>
      </c>
      <c r="N62" t="n">
        <v>0</v>
      </c>
      <c r="O62" t="n">
        <v>2</v>
      </c>
      <c r="P62" t="n">
        <v>0</v>
      </c>
      <c r="Q62" t="n">
        <v>2</v>
      </c>
      <c r="R62" s="2" t="inlineStr">
        <is>
          <t>Puderspindling
Rosenticka</t>
        </is>
      </c>
      <c r="S62">
        <f>HYPERLINK("https://klasma.github.io/Logging_0382/artfynd/A 51522-2025 artfynd.xlsx", "A 51522-2025")</f>
        <v/>
      </c>
      <c r="T62">
        <f>HYPERLINK("https://klasma.github.io/Logging_0382/kartor/A 51522-2025 karta.png", "A 51522-2025")</f>
        <v/>
      </c>
      <c r="U62">
        <f>HYPERLINK("https://klasma.github.io/Logging_0382/knärot/A 51522-2025 karta knärot.png", "A 51522-2025")</f>
        <v/>
      </c>
      <c r="V62">
        <f>HYPERLINK("https://klasma.github.io/Logging_0382/klagomål/A 51522-2025 FSC-klagomål.docx", "A 51522-2025")</f>
        <v/>
      </c>
      <c r="W62">
        <f>HYPERLINK("https://klasma.github.io/Logging_0382/klagomålsmail/A 51522-2025 FSC-klagomål mail.docx", "A 51522-2025")</f>
        <v/>
      </c>
      <c r="X62">
        <f>HYPERLINK("https://klasma.github.io/Logging_0382/tillsyn/A 51522-2025 tillsynsbegäran.docx", "A 51522-2025")</f>
        <v/>
      </c>
      <c r="Y62">
        <f>HYPERLINK("https://klasma.github.io/Logging_0382/tillsynsmail/A 51522-2025 tillsynsbegäran mail.docx", "A 51522-2025")</f>
        <v/>
      </c>
    </row>
    <row r="63" ht="15" customHeight="1">
      <c r="A63" t="inlineStr">
        <is>
          <t>A 33269-2025</t>
        </is>
      </c>
      <c r="B63" s="1" t="n">
        <v>45840.68208333333</v>
      </c>
      <c r="C63" s="1" t="n">
        <v>45989</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37768-2025</t>
        </is>
      </c>
      <c r="B64" s="1" t="n">
        <v>45880</v>
      </c>
      <c r="C64" s="1" t="n">
        <v>45989</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56669-2025</t>
        </is>
      </c>
      <c r="B65" s="1" t="n">
        <v>45975.69306712963</v>
      </c>
      <c r="C65" s="1" t="n">
        <v>45989</v>
      </c>
      <c r="D65" t="inlineStr">
        <is>
          <t>UPPSALA LÄN</t>
        </is>
      </c>
      <c r="E65" t="inlineStr">
        <is>
          <t>ÖSTHAMMAR</t>
        </is>
      </c>
      <c r="G65" t="n">
        <v>2.1</v>
      </c>
      <c r="H65" t="n">
        <v>0</v>
      </c>
      <c r="I65" t="n">
        <v>2</v>
      </c>
      <c r="J65" t="n">
        <v>0</v>
      </c>
      <c r="K65" t="n">
        <v>0</v>
      </c>
      <c r="L65" t="n">
        <v>0</v>
      </c>
      <c r="M65" t="n">
        <v>0</v>
      </c>
      <c r="N65" t="n">
        <v>0</v>
      </c>
      <c r="O65" t="n">
        <v>0</v>
      </c>
      <c r="P65" t="n">
        <v>0</v>
      </c>
      <c r="Q65" t="n">
        <v>2</v>
      </c>
      <c r="R65" s="2" t="inlineStr">
        <is>
          <t>Anisspindling
Svavelriska</t>
        </is>
      </c>
      <c r="S65">
        <f>HYPERLINK("https://klasma.github.io/Logging_0382/artfynd/A 56669-2025 artfynd.xlsx", "A 56669-2025")</f>
        <v/>
      </c>
      <c r="T65">
        <f>HYPERLINK("https://klasma.github.io/Logging_0382/kartor/A 56669-2025 karta.png", "A 56669-2025")</f>
        <v/>
      </c>
      <c r="V65">
        <f>HYPERLINK("https://klasma.github.io/Logging_0382/klagomål/A 56669-2025 FSC-klagomål.docx", "A 56669-2025")</f>
        <v/>
      </c>
      <c r="W65">
        <f>HYPERLINK("https://klasma.github.io/Logging_0382/klagomålsmail/A 56669-2025 FSC-klagomål mail.docx", "A 56669-2025")</f>
        <v/>
      </c>
      <c r="X65">
        <f>HYPERLINK("https://klasma.github.io/Logging_0382/tillsyn/A 56669-2025 tillsynsbegäran.docx", "A 56669-2025")</f>
        <v/>
      </c>
      <c r="Y65">
        <f>HYPERLINK("https://klasma.github.io/Logging_0382/tillsynsmail/A 56669-2025 tillsynsbegäran mail.docx", "A 56669-2025")</f>
        <v/>
      </c>
    </row>
    <row r="66" ht="15" customHeight="1">
      <c r="A66" t="inlineStr">
        <is>
          <t>A 9646-2024</t>
        </is>
      </c>
      <c r="B66" s="1" t="n">
        <v>45362.37055555556</v>
      </c>
      <c r="C66" s="1" t="n">
        <v>45989</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45989</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45989</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45989</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45989</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45989</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45989</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45989</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45989</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38442-2022</t>
        </is>
      </c>
      <c r="B75" s="1" t="n">
        <v>44813</v>
      </c>
      <c r="C75" s="1" t="n">
        <v>45989</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45989</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45989</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45989</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11017-2023</t>
        </is>
      </c>
      <c r="B79" s="1" t="n">
        <v>44991</v>
      </c>
      <c r="C79" s="1" t="n">
        <v>45989</v>
      </c>
      <c r="D79" t="inlineStr">
        <is>
          <t>UPPSALA LÄN</t>
        </is>
      </c>
      <c r="E79" t="inlineStr">
        <is>
          <t>ÖSTHAMMAR</t>
        </is>
      </c>
      <c r="G79" t="n">
        <v>1.9</v>
      </c>
      <c r="H79" t="n">
        <v>1</v>
      </c>
      <c r="I79" t="n">
        <v>0</v>
      </c>
      <c r="J79" t="n">
        <v>1</v>
      </c>
      <c r="K79" t="n">
        <v>0</v>
      </c>
      <c r="L79" t="n">
        <v>0</v>
      </c>
      <c r="M79" t="n">
        <v>0</v>
      </c>
      <c r="N79" t="n">
        <v>0</v>
      </c>
      <c r="O79" t="n">
        <v>1</v>
      </c>
      <c r="P79" t="n">
        <v>0</v>
      </c>
      <c r="Q79" t="n">
        <v>1</v>
      </c>
      <c r="R79" s="2" t="inlineStr">
        <is>
          <t>Kornknarr</t>
        </is>
      </c>
      <c r="S79">
        <f>HYPERLINK("https://klasma.github.io/Logging_0382/artfynd/A 11017-2023 artfynd.xlsx", "A 11017-2023")</f>
        <v/>
      </c>
      <c r="T79">
        <f>HYPERLINK("https://klasma.github.io/Logging_0382/kartor/A 11017-2023 karta.png", "A 11017-2023")</f>
        <v/>
      </c>
      <c r="V79">
        <f>HYPERLINK("https://klasma.github.io/Logging_0382/klagomål/A 11017-2023 FSC-klagomål.docx", "A 11017-2023")</f>
        <v/>
      </c>
      <c r="W79">
        <f>HYPERLINK("https://klasma.github.io/Logging_0382/klagomålsmail/A 11017-2023 FSC-klagomål mail.docx", "A 11017-2023")</f>
        <v/>
      </c>
      <c r="X79">
        <f>HYPERLINK("https://klasma.github.io/Logging_0382/tillsyn/A 11017-2023 tillsynsbegäran.docx", "A 11017-2023")</f>
        <v/>
      </c>
      <c r="Y79">
        <f>HYPERLINK("https://klasma.github.io/Logging_0382/tillsynsmail/A 11017-2023 tillsynsbegäran mail.docx", "A 11017-2023")</f>
        <v/>
      </c>
    </row>
    <row r="80" ht="15" customHeight="1">
      <c r="A80" t="inlineStr">
        <is>
          <t>A 52818-2022</t>
        </is>
      </c>
      <c r="B80" s="1" t="n">
        <v>44875</v>
      </c>
      <c r="C80" s="1" t="n">
        <v>45989</v>
      </c>
      <c r="D80" t="inlineStr">
        <is>
          <t>UPPSALA LÄN</t>
        </is>
      </c>
      <c r="E80" t="inlineStr">
        <is>
          <t>ÖSTHAMMAR</t>
        </is>
      </c>
      <c r="G80" t="n">
        <v>0.9</v>
      </c>
      <c r="H80" t="n">
        <v>1</v>
      </c>
      <c r="I80" t="n">
        <v>1</v>
      </c>
      <c r="J80" t="n">
        <v>0</v>
      </c>
      <c r="K80" t="n">
        <v>0</v>
      </c>
      <c r="L80" t="n">
        <v>0</v>
      </c>
      <c r="M80" t="n">
        <v>0</v>
      </c>
      <c r="N80" t="n">
        <v>0</v>
      </c>
      <c r="O80" t="n">
        <v>0</v>
      </c>
      <c r="P80" t="n">
        <v>0</v>
      </c>
      <c r="Q80" t="n">
        <v>1</v>
      </c>
      <c r="R80" s="2" t="inlineStr">
        <is>
          <t>Guckusko</t>
        </is>
      </c>
      <c r="S80">
        <f>HYPERLINK("https://klasma.github.io/Logging_0382/artfynd/A 52818-2022 artfynd.xlsx", "A 52818-2022")</f>
        <v/>
      </c>
      <c r="T80">
        <f>HYPERLINK("https://klasma.github.io/Logging_0382/kartor/A 52818-2022 karta.png", "A 52818-2022")</f>
        <v/>
      </c>
      <c r="V80">
        <f>HYPERLINK("https://klasma.github.io/Logging_0382/klagomål/A 52818-2022 FSC-klagomål.docx", "A 52818-2022")</f>
        <v/>
      </c>
      <c r="W80">
        <f>HYPERLINK("https://klasma.github.io/Logging_0382/klagomålsmail/A 52818-2022 FSC-klagomål mail.docx", "A 52818-2022")</f>
        <v/>
      </c>
      <c r="X80">
        <f>HYPERLINK("https://klasma.github.io/Logging_0382/tillsyn/A 52818-2022 tillsynsbegäran.docx", "A 52818-2022")</f>
        <v/>
      </c>
      <c r="Y80">
        <f>HYPERLINK("https://klasma.github.io/Logging_0382/tillsynsmail/A 52818-2022 tillsynsbegäran mail.docx", "A 52818-2022")</f>
        <v/>
      </c>
    </row>
    <row r="81" ht="15" customHeight="1">
      <c r="A81" t="inlineStr">
        <is>
          <t>A 70495-2021</t>
        </is>
      </c>
      <c r="B81" s="1" t="n">
        <v>44536</v>
      </c>
      <c r="C81" s="1" t="n">
        <v>45989</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41220-2025</t>
        </is>
      </c>
      <c r="B82" s="1" t="n">
        <v>45898.58630787037</v>
      </c>
      <c r="C82" s="1" t="n">
        <v>45989</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10034-2023</t>
        </is>
      </c>
      <c r="B83" s="1" t="n">
        <v>44985</v>
      </c>
      <c r="C83" s="1" t="n">
        <v>45989</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45989</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30605-2025</t>
        </is>
      </c>
      <c r="B85" s="1" t="n">
        <v>45831.45510416666</v>
      </c>
      <c r="C85" s="1" t="n">
        <v>45989</v>
      </c>
      <c r="D85" t="inlineStr">
        <is>
          <t>UPPSALA LÄN</t>
        </is>
      </c>
      <c r="E85" t="inlineStr">
        <is>
          <t>ÖSTHAMMAR</t>
        </is>
      </c>
      <c r="G85" t="n">
        <v>1.7</v>
      </c>
      <c r="H85" t="n">
        <v>0</v>
      </c>
      <c r="I85" t="n">
        <v>0</v>
      </c>
      <c r="J85" t="n">
        <v>0</v>
      </c>
      <c r="K85" t="n">
        <v>1</v>
      </c>
      <c r="L85" t="n">
        <v>0</v>
      </c>
      <c r="M85" t="n">
        <v>0</v>
      </c>
      <c r="N85" t="n">
        <v>0</v>
      </c>
      <c r="O85" t="n">
        <v>1</v>
      </c>
      <c r="P85" t="n">
        <v>1</v>
      </c>
      <c r="Q85" t="n">
        <v>1</v>
      </c>
      <c r="R85" s="2" t="inlineStr">
        <is>
          <t>Plattsäv</t>
        </is>
      </c>
      <c r="S85">
        <f>HYPERLINK("https://klasma.github.io/Logging_0382/artfynd/A 30605-2025 artfynd.xlsx", "A 30605-2025")</f>
        <v/>
      </c>
      <c r="T85">
        <f>HYPERLINK("https://klasma.github.io/Logging_0382/kartor/A 30605-2025 karta.png", "A 30605-2025")</f>
        <v/>
      </c>
      <c r="V85">
        <f>HYPERLINK("https://klasma.github.io/Logging_0382/klagomål/A 30605-2025 FSC-klagomål.docx", "A 30605-2025")</f>
        <v/>
      </c>
      <c r="W85">
        <f>HYPERLINK("https://klasma.github.io/Logging_0382/klagomålsmail/A 30605-2025 FSC-klagomål mail.docx", "A 30605-2025")</f>
        <v/>
      </c>
      <c r="X85">
        <f>HYPERLINK("https://klasma.github.io/Logging_0382/tillsyn/A 30605-2025 tillsynsbegäran.docx", "A 30605-2025")</f>
        <v/>
      </c>
      <c r="Y85">
        <f>HYPERLINK("https://klasma.github.io/Logging_0382/tillsynsmail/A 30605-2025 tillsynsbegäran mail.docx", "A 30605-2025")</f>
        <v/>
      </c>
    </row>
    <row r="86" ht="15" customHeight="1">
      <c r="A86" t="inlineStr">
        <is>
          <t>A 25179-2023</t>
        </is>
      </c>
      <c r="B86" s="1" t="n">
        <v>45078</v>
      </c>
      <c r="C86" s="1" t="n">
        <v>45989</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22209-2022</t>
        </is>
      </c>
      <c r="B87" s="1" t="n">
        <v>44712</v>
      </c>
      <c r="C87" s="1" t="n">
        <v>45989</v>
      </c>
      <c r="D87" t="inlineStr">
        <is>
          <t>UPPSALA LÄN</t>
        </is>
      </c>
      <c r="E87" t="inlineStr">
        <is>
          <t>ÖSTHAMMAR</t>
        </is>
      </c>
      <c r="F87" t="inlineStr">
        <is>
          <t>Bergvik skog öst AB</t>
        </is>
      </c>
      <c r="G87" t="n">
        <v>1.5</v>
      </c>
      <c r="H87" t="n">
        <v>1</v>
      </c>
      <c r="I87" t="n">
        <v>0</v>
      </c>
      <c r="J87" t="n">
        <v>0</v>
      </c>
      <c r="K87" t="n">
        <v>0</v>
      </c>
      <c r="L87" t="n">
        <v>0</v>
      </c>
      <c r="M87" t="n">
        <v>0</v>
      </c>
      <c r="N87" t="n">
        <v>0</v>
      </c>
      <c r="O87" t="n">
        <v>0</v>
      </c>
      <c r="P87" t="n">
        <v>0</v>
      </c>
      <c r="Q87" t="n">
        <v>1</v>
      </c>
      <c r="R87" s="2" t="inlineStr">
        <is>
          <t>Blåsippa</t>
        </is>
      </c>
      <c r="S87">
        <f>HYPERLINK("https://klasma.github.io/Logging_0382/artfynd/A 22209-2022 artfynd.xlsx", "A 22209-2022")</f>
        <v/>
      </c>
      <c r="T87">
        <f>HYPERLINK("https://klasma.github.io/Logging_0382/kartor/A 22209-2022 karta.png", "A 22209-2022")</f>
        <v/>
      </c>
      <c r="V87">
        <f>HYPERLINK("https://klasma.github.io/Logging_0382/klagomål/A 22209-2022 FSC-klagomål.docx", "A 22209-2022")</f>
        <v/>
      </c>
      <c r="W87">
        <f>HYPERLINK("https://klasma.github.io/Logging_0382/klagomålsmail/A 22209-2022 FSC-klagomål mail.docx", "A 22209-2022")</f>
        <v/>
      </c>
      <c r="X87">
        <f>HYPERLINK("https://klasma.github.io/Logging_0382/tillsyn/A 22209-2022 tillsynsbegäran.docx", "A 22209-2022")</f>
        <v/>
      </c>
      <c r="Y87">
        <f>HYPERLINK("https://klasma.github.io/Logging_0382/tillsynsmail/A 22209-2022 tillsynsbegäran mail.docx", "A 22209-2022")</f>
        <v/>
      </c>
    </row>
    <row r="88" ht="15" customHeight="1">
      <c r="A88" t="inlineStr">
        <is>
          <t>A 22287-2023</t>
        </is>
      </c>
      <c r="B88" s="1" t="n">
        <v>45070</v>
      </c>
      <c r="C88" s="1" t="n">
        <v>45989</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7470-2022</t>
        </is>
      </c>
      <c r="B89" s="1" t="n">
        <v>44607</v>
      </c>
      <c r="C89" s="1" t="n">
        <v>45989</v>
      </c>
      <c r="D89" t="inlineStr">
        <is>
          <t>UPPSALA LÄN</t>
        </is>
      </c>
      <c r="E89" t="inlineStr">
        <is>
          <t>ÖSTHAMMAR</t>
        </is>
      </c>
      <c r="G89" t="n">
        <v>2.6</v>
      </c>
      <c r="H89" t="n">
        <v>1</v>
      </c>
      <c r="I89" t="n">
        <v>1</v>
      </c>
      <c r="J89" t="n">
        <v>0</v>
      </c>
      <c r="K89" t="n">
        <v>0</v>
      </c>
      <c r="L89" t="n">
        <v>0</v>
      </c>
      <c r="M89" t="n">
        <v>0</v>
      </c>
      <c r="N89" t="n">
        <v>0</v>
      </c>
      <c r="O89" t="n">
        <v>0</v>
      </c>
      <c r="P89" t="n">
        <v>0</v>
      </c>
      <c r="Q89" t="n">
        <v>1</v>
      </c>
      <c r="R89" s="2" t="inlineStr">
        <is>
          <t>Grön sköldmossa</t>
        </is>
      </c>
      <c r="S89">
        <f>HYPERLINK("https://klasma.github.io/Logging_0382/artfynd/A 7470-2022 artfynd.xlsx", "A 7470-2022")</f>
        <v/>
      </c>
      <c r="T89">
        <f>HYPERLINK("https://klasma.github.io/Logging_0382/kartor/A 7470-2022 karta.png", "A 7470-2022")</f>
        <v/>
      </c>
      <c r="V89">
        <f>HYPERLINK("https://klasma.github.io/Logging_0382/klagomål/A 7470-2022 FSC-klagomål.docx", "A 7470-2022")</f>
        <v/>
      </c>
      <c r="W89">
        <f>HYPERLINK("https://klasma.github.io/Logging_0382/klagomålsmail/A 7470-2022 FSC-klagomål mail.docx", "A 7470-2022")</f>
        <v/>
      </c>
      <c r="X89">
        <f>HYPERLINK("https://klasma.github.io/Logging_0382/tillsyn/A 7470-2022 tillsynsbegäran.docx", "A 7470-2022")</f>
        <v/>
      </c>
      <c r="Y89">
        <f>HYPERLINK("https://klasma.github.io/Logging_0382/tillsynsmail/A 7470-2022 tillsynsbegäran mail.docx", "A 7470-2022")</f>
        <v/>
      </c>
    </row>
    <row r="90" ht="15" customHeight="1">
      <c r="A90" t="inlineStr">
        <is>
          <t>A 33800-2024</t>
        </is>
      </c>
      <c r="B90" s="1" t="n">
        <v>45520</v>
      </c>
      <c r="C90" s="1" t="n">
        <v>45989</v>
      </c>
      <c r="D90" t="inlineStr">
        <is>
          <t>UPPSALA LÄN</t>
        </is>
      </c>
      <c r="E90" t="inlineStr">
        <is>
          <t>ÖSTHAMMAR</t>
        </is>
      </c>
      <c r="F90" t="inlineStr">
        <is>
          <t>Naturvårdsverket</t>
        </is>
      </c>
      <c r="G90" t="n">
        <v>1.5</v>
      </c>
      <c r="H90" t="n">
        <v>1</v>
      </c>
      <c r="I90" t="n">
        <v>0</v>
      </c>
      <c r="J90" t="n">
        <v>0</v>
      </c>
      <c r="K90" t="n">
        <v>0</v>
      </c>
      <c r="L90" t="n">
        <v>0</v>
      </c>
      <c r="M90" t="n">
        <v>0</v>
      </c>
      <c r="N90" t="n">
        <v>0</v>
      </c>
      <c r="O90" t="n">
        <v>0</v>
      </c>
      <c r="P90" t="n">
        <v>0</v>
      </c>
      <c r="Q90" t="n">
        <v>1</v>
      </c>
      <c r="R90" s="2" t="inlineStr">
        <is>
          <t>Fläcknycklar</t>
        </is>
      </c>
      <c r="S90">
        <f>HYPERLINK("https://klasma.github.io/Logging_0382/artfynd/A 33800-2024 artfynd.xlsx", "A 33800-2024")</f>
        <v/>
      </c>
      <c r="T90">
        <f>HYPERLINK("https://klasma.github.io/Logging_0382/kartor/A 33800-2024 karta.png", "A 33800-2024")</f>
        <v/>
      </c>
      <c r="V90">
        <f>HYPERLINK("https://klasma.github.io/Logging_0382/klagomål/A 33800-2024 FSC-klagomål.docx", "A 33800-2024")</f>
        <v/>
      </c>
      <c r="W90">
        <f>HYPERLINK("https://klasma.github.io/Logging_0382/klagomålsmail/A 33800-2024 FSC-klagomål mail.docx", "A 33800-2024")</f>
        <v/>
      </c>
      <c r="X90">
        <f>HYPERLINK("https://klasma.github.io/Logging_0382/tillsyn/A 33800-2024 tillsynsbegäran.docx", "A 33800-2024")</f>
        <v/>
      </c>
      <c r="Y90">
        <f>HYPERLINK("https://klasma.github.io/Logging_0382/tillsynsmail/A 33800-2024 tillsynsbegäran mail.docx", "A 33800-2024")</f>
        <v/>
      </c>
    </row>
    <row r="91" ht="15" customHeight="1">
      <c r="A91" t="inlineStr">
        <is>
          <t>A 49839-2021</t>
        </is>
      </c>
      <c r="B91" s="1" t="n">
        <v>44455</v>
      </c>
      <c r="C91" s="1" t="n">
        <v>45989</v>
      </c>
      <c r="D91" t="inlineStr">
        <is>
          <t>UPPSALA LÄN</t>
        </is>
      </c>
      <c r="E91" t="inlineStr">
        <is>
          <t>ÖSTHAMMAR</t>
        </is>
      </c>
      <c r="G91" t="n">
        <v>3.6</v>
      </c>
      <c r="H91" t="n">
        <v>0</v>
      </c>
      <c r="I91" t="n">
        <v>0</v>
      </c>
      <c r="J91" t="n">
        <v>0</v>
      </c>
      <c r="K91" t="n">
        <v>1</v>
      </c>
      <c r="L91" t="n">
        <v>0</v>
      </c>
      <c r="M91" t="n">
        <v>0</v>
      </c>
      <c r="N91" t="n">
        <v>0</v>
      </c>
      <c r="O91" t="n">
        <v>1</v>
      </c>
      <c r="P91" t="n">
        <v>1</v>
      </c>
      <c r="Q91" t="n">
        <v>1</v>
      </c>
      <c r="R91" s="2" t="inlineStr">
        <is>
          <t>Violgubbe</t>
        </is>
      </c>
      <c r="S91">
        <f>HYPERLINK("https://klasma.github.io/Logging_0382/artfynd/A 49839-2021 artfynd.xlsx", "A 49839-2021")</f>
        <v/>
      </c>
      <c r="T91">
        <f>HYPERLINK("https://klasma.github.io/Logging_0382/kartor/A 49839-2021 karta.png", "A 49839-2021")</f>
        <v/>
      </c>
      <c r="V91">
        <f>HYPERLINK("https://klasma.github.io/Logging_0382/klagomål/A 49839-2021 FSC-klagomål.docx", "A 49839-2021")</f>
        <v/>
      </c>
      <c r="W91">
        <f>HYPERLINK("https://klasma.github.io/Logging_0382/klagomålsmail/A 49839-2021 FSC-klagomål mail.docx", "A 49839-2021")</f>
        <v/>
      </c>
      <c r="X91">
        <f>HYPERLINK("https://klasma.github.io/Logging_0382/tillsyn/A 49839-2021 tillsynsbegäran.docx", "A 49839-2021")</f>
        <v/>
      </c>
      <c r="Y91">
        <f>HYPERLINK("https://klasma.github.io/Logging_0382/tillsynsmail/A 49839-2021 tillsynsbegäran mail.docx", "A 49839-2021")</f>
        <v/>
      </c>
    </row>
    <row r="92" ht="15" customHeight="1">
      <c r="A92" t="inlineStr">
        <is>
          <t>A 22375-2024</t>
        </is>
      </c>
      <c r="B92" s="1" t="n">
        <v>45446</v>
      </c>
      <c r="C92" s="1" t="n">
        <v>45989</v>
      </c>
      <c r="D92" t="inlineStr">
        <is>
          <t>UPPSALA LÄN</t>
        </is>
      </c>
      <c r="E92" t="inlineStr">
        <is>
          <t>ÖSTHAMMAR</t>
        </is>
      </c>
      <c r="F92" t="inlineStr">
        <is>
          <t>Bergvik skog öst AB</t>
        </is>
      </c>
      <c r="G92" t="n">
        <v>2.2</v>
      </c>
      <c r="H92" t="n">
        <v>0</v>
      </c>
      <c r="I92" t="n">
        <v>0</v>
      </c>
      <c r="J92" t="n">
        <v>1</v>
      </c>
      <c r="K92" t="n">
        <v>0</v>
      </c>
      <c r="L92" t="n">
        <v>0</v>
      </c>
      <c r="M92" t="n">
        <v>0</v>
      </c>
      <c r="N92" t="n">
        <v>0</v>
      </c>
      <c r="O92" t="n">
        <v>1</v>
      </c>
      <c r="P92" t="n">
        <v>0</v>
      </c>
      <c r="Q92" t="n">
        <v>1</v>
      </c>
      <c r="R92" s="2" t="inlineStr">
        <is>
          <t>Slåtterfibbla</t>
        </is>
      </c>
      <c r="S92">
        <f>HYPERLINK("https://klasma.github.io/Logging_0382/artfynd/A 22375-2024 artfynd.xlsx", "A 22375-2024")</f>
        <v/>
      </c>
      <c r="T92">
        <f>HYPERLINK("https://klasma.github.io/Logging_0382/kartor/A 22375-2024 karta.png", "A 22375-2024")</f>
        <v/>
      </c>
      <c r="V92">
        <f>HYPERLINK("https://klasma.github.io/Logging_0382/klagomål/A 22375-2024 FSC-klagomål.docx", "A 22375-2024")</f>
        <v/>
      </c>
      <c r="W92">
        <f>HYPERLINK("https://klasma.github.io/Logging_0382/klagomålsmail/A 22375-2024 FSC-klagomål mail.docx", "A 22375-2024")</f>
        <v/>
      </c>
      <c r="X92">
        <f>HYPERLINK("https://klasma.github.io/Logging_0382/tillsyn/A 22375-2024 tillsynsbegäran.docx", "A 22375-2024")</f>
        <v/>
      </c>
      <c r="Y92">
        <f>HYPERLINK("https://klasma.github.io/Logging_0382/tillsynsmail/A 22375-2024 tillsynsbegäran mail.docx", "A 22375-2024")</f>
        <v/>
      </c>
    </row>
    <row r="93" ht="15" customHeight="1">
      <c r="A93" t="inlineStr">
        <is>
          <t>A 52879-2025</t>
        </is>
      </c>
      <c r="B93" s="1" t="n">
        <v>45957.544375</v>
      </c>
      <c r="C93" s="1" t="n">
        <v>45989</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37296-2023</t>
        </is>
      </c>
      <c r="B94" s="1" t="n">
        <v>45156</v>
      </c>
      <c r="C94" s="1" t="n">
        <v>45989</v>
      </c>
      <c r="D94" t="inlineStr">
        <is>
          <t>UPPSALA LÄN</t>
        </is>
      </c>
      <c r="E94" t="inlineStr">
        <is>
          <t>ÖSTHAMMAR</t>
        </is>
      </c>
      <c r="G94" t="n">
        <v>4.7</v>
      </c>
      <c r="H94" t="n">
        <v>1</v>
      </c>
      <c r="I94" t="n">
        <v>0</v>
      </c>
      <c r="J94" t="n">
        <v>0</v>
      </c>
      <c r="K94" t="n">
        <v>1</v>
      </c>
      <c r="L94" t="n">
        <v>0</v>
      </c>
      <c r="M94" t="n">
        <v>0</v>
      </c>
      <c r="N94" t="n">
        <v>0</v>
      </c>
      <c r="O94" t="n">
        <v>1</v>
      </c>
      <c r="P94" t="n">
        <v>1</v>
      </c>
      <c r="Q94" t="n">
        <v>1</v>
      </c>
      <c r="R94" s="2" t="inlineStr">
        <is>
          <t>Backsippa</t>
        </is>
      </c>
      <c r="S94">
        <f>HYPERLINK("https://klasma.github.io/Logging_0382/artfynd/A 37296-2023 artfynd.xlsx", "A 37296-2023")</f>
        <v/>
      </c>
      <c r="T94">
        <f>HYPERLINK("https://klasma.github.io/Logging_0382/kartor/A 37296-2023 karta.png", "A 37296-2023")</f>
        <v/>
      </c>
      <c r="V94">
        <f>HYPERLINK("https://klasma.github.io/Logging_0382/klagomål/A 37296-2023 FSC-klagomål.docx", "A 37296-2023")</f>
        <v/>
      </c>
      <c r="W94">
        <f>HYPERLINK("https://klasma.github.io/Logging_0382/klagomålsmail/A 37296-2023 FSC-klagomål mail.docx", "A 37296-2023")</f>
        <v/>
      </c>
      <c r="X94">
        <f>HYPERLINK("https://klasma.github.io/Logging_0382/tillsyn/A 37296-2023 tillsynsbegäran.docx", "A 37296-2023")</f>
        <v/>
      </c>
      <c r="Y94">
        <f>HYPERLINK("https://klasma.github.io/Logging_0382/tillsynsmail/A 37296-2023 tillsynsbegäran mail.docx", "A 37296-2023")</f>
        <v/>
      </c>
    </row>
    <row r="95" ht="15" customHeight="1">
      <c r="A95" t="inlineStr">
        <is>
          <t>A 65989-2021</t>
        </is>
      </c>
      <c r="B95" s="1" t="n">
        <v>44517</v>
      </c>
      <c r="C95" s="1" t="n">
        <v>45989</v>
      </c>
      <c r="D95" t="inlineStr">
        <is>
          <t>UPPSALA LÄN</t>
        </is>
      </c>
      <c r="E95" t="inlineStr">
        <is>
          <t>ÖSTHAMMAR</t>
        </is>
      </c>
      <c r="G95" t="n">
        <v>6.9</v>
      </c>
      <c r="H95" t="n">
        <v>1</v>
      </c>
      <c r="I95" t="n">
        <v>1</v>
      </c>
      <c r="J95" t="n">
        <v>0</v>
      </c>
      <c r="K95" t="n">
        <v>0</v>
      </c>
      <c r="L95" t="n">
        <v>0</v>
      </c>
      <c r="M95" t="n">
        <v>0</v>
      </c>
      <c r="N95" t="n">
        <v>0</v>
      </c>
      <c r="O95" t="n">
        <v>0</v>
      </c>
      <c r="P95" t="n">
        <v>0</v>
      </c>
      <c r="Q95" t="n">
        <v>1</v>
      </c>
      <c r="R95" s="2" t="inlineStr">
        <is>
          <t>Skogsknipprot</t>
        </is>
      </c>
      <c r="S95">
        <f>HYPERLINK("https://klasma.github.io/Logging_0382/artfynd/A 65989-2021 artfynd.xlsx", "A 65989-2021")</f>
        <v/>
      </c>
      <c r="T95">
        <f>HYPERLINK("https://klasma.github.io/Logging_0382/kartor/A 65989-2021 karta.png", "A 65989-2021")</f>
        <v/>
      </c>
      <c r="V95">
        <f>HYPERLINK("https://klasma.github.io/Logging_0382/klagomål/A 65989-2021 FSC-klagomål.docx", "A 65989-2021")</f>
        <v/>
      </c>
      <c r="W95">
        <f>HYPERLINK("https://klasma.github.io/Logging_0382/klagomålsmail/A 65989-2021 FSC-klagomål mail.docx", "A 65989-2021")</f>
        <v/>
      </c>
      <c r="X95">
        <f>HYPERLINK("https://klasma.github.io/Logging_0382/tillsyn/A 65989-2021 tillsynsbegäran.docx", "A 65989-2021")</f>
        <v/>
      </c>
      <c r="Y95">
        <f>HYPERLINK("https://klasma.github.io/Logging_0382/tillsynsmail/A 65989-2021 tillsynsbegäran mail.docx", "A 65989-2021")</f>
        <v/>
      </c>
    </row>
    <row r="96" ht="15" customHeight="1">
      <c r="A96" t="inlineStr">
        <is>
          <t>A 7446-2022</t>
        </is>
      </c>
      <c r="B96" s="1" t="n">
        <v>44606</v>
      </c>
      <c r="C96" s="1" t="n">
        <v>45989</v>
      </c>
      <c r="D96" t="inlineStr">
        <is>
          <t>UPPSALA LÄN</t>
        </is>
      </c>
      <c r="E96" t="inlineStr">
        <is>
          <t>ÖSTHAMMAR</t>
        </is>
      </c>
      <c r="G96" t="n">
        <v>5</v>
      </c>
      <c r="H96" t="n">
        <v>1</v>
      </c>
      <c r="I96" t="n">
        <v>0</v>
      </c>
      <c r="J96" t="n">
        <v>0</v>
      </c>
      <c r="K96" t="n">
        <v>0</v>
      </c>
      <c r="L96" t="n">
        <v>0</v>
      </c>
      <c r="M96" t="n">
        <v>0</v>
      </c>
      <c r="N96" t="n">
        <v>0</v>
      </c>
      <c r="O96" t="n">
        <v>0</v>
      </c>
      <c r="P96" t="n">
        <v>0</v>
      </c>
      <c r="Q96" t="n">
        <v>1</v>
      </c>
      <c r="R96" s="2" t="inlineStr">
        <is>
          <t>Mattlummer</t>
        </is>
      </c>
      <c r="S96">
        <f>HYPERLINK("https://klasma.github.io/Logging_0382/artfynd/A 7446-2022 artfynd.xlsx", "A 7446-2022")</f>
        <v/>
      </c>
      <c r="T96">
        <f>HYPERLINK("https://klasma.github.io/Logging_0382/kartor/A 7446-2022 karta.png", "A 7446-2022")</f>
        <v/>
      </c>
      <c r="V96">
        <f>HYPERLINK("https://klasma.github.io/Logging_0382/klagomål/A 7446-2022 FSC-klagomål.docx", "A 7446-2022")</f>
        <v/>
      </c>
      <c r="W96">
        <f>HYPERLINK("https://klasma.github.io/Logging_0382/klagomålsmail/A 7446-2022 FSC-klagomål mail.docx", "A 7446-2022")</f>
        <v/>
      </c>
      <c r="X96">
        <f>HYPERLINK("https://klasma.github.io/Logging_0382/tillsyn/A 7446-2022 tillsynsbegäran.docx", "A 7446-2022")</f>
        <v/>
      </c>
      <c r="Y96">
        <f>HYPERLINK("https://klasma.github.io/Logging_0382/tillsynsmail/A 7446-2022 tillsynsbegäran mail.docx", "A 7446-2022")</f>
        <v/>
      </c>
    </row>
    <row r="97" ht="15" customHeight="1">
      <c r="A97" t="inlineStr">
        <is>
          <t>A 1227-2022</t>
        </is>
      </c>
      <c r="B97" s="1" t="n">
        <v>44572.57641203704</v>
      </c>
      <c r="C97" s="1" t="n">
        <v>45989</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29679-2023</t>
        </is>
      </c>
      <c r="B98" s="1" t="n">
        <v>45107</v>
      </c>
      <c r="C98" s="1" t="n">
        <v>45989</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45989</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34090-2023</t>
        </is>
      </c>
      <c r="B100" s="1" t="n">
        <v>45135</v>
      </c>
      <c r="C100" s="1" t="n">
        <v>45989</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14706-2023</t>
        </is>
      </c>
      <c r="B101" s="1" t="n">
        <v>45013</v>
      </c>
      <c r="C101" s="1" t="n">
        <v>45989</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12753-2024</t>
        </is>
      </c>
      <c r="B102" s="1" t="n">
        <v>45384</v>
      </c>
      <c r="C102" s="1" t="n">
        <v>45989</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14203-2024</t>
        </is>
      </c>
      <c r="B103" s="1" t="n">
        <v>45393</v>
      </c>
      <c r="C103" s="1" t="n">
        <v>45989</v>
      </c>
      <c r="D103" t="inlineStr">
        <is>
          <t>UPPSALA LÄN</t>
        </is>
      </c>
      <c r="E103" t="inlineStr">
        <is>
          <t>ÖSTHAMMAR</t>
        </is>
      </c>
      <c r="G103" t="n">
        <v>1.4</v>
      </c>
      <c r="H103" t="n">
        <v>0</v>
      </c>
      <c r="I103" t="n">
        <v>0</v>
      </c>
      <c r="J103" t="n">
        <v>1</v>
      </c>
      <c r="K103" t="n">
        <v>0</v>
      </c>
      <c r="L103" t="n">
        <v>0</v>
      </c>
      <c r="M103" t="n">
        <v>0</v>
      </c>
      <c r="N103" t="n">
        <v>0</v>
      </c>
      <c r="O103" t="n">
        <v>1</v>
      </c>
      <c r="P103" t="n">
        <v>0</v>
      </c>
      <c r="Q103" t="n">
        <v>1</v>
      </c>
      <c r="R103" s="2" t="inlineStr">
        <is>
          <t>Scharlakansvaxing</t>
        </is>
      </c>
      <c r="S103">
        <f>HYPERLINK("https://klasma.github.io/Logging_0382/artfynd/A 14203-2024 artfynd.xlsx", "A 14203-2024")</f>
        <v/>
      </c>
      <c r="T103">
        <f>HYPERLINK("https://klasma.github.io/Logging_0382/kartor/A 14203-2024 karta.png", "A 14203-2024")</f>
        <v/>
      </c>
      <c r="V103">
        <f>HYPERLINK("https://klasma.github.io/Logging_0382/klagomål/A 14203-2024 FSC-klagomål.docx", "A 14203-2024")</f>
        <v/>
      </c>
      <c r="W103">
        <f>HYPERLINK("https://klasma.github.io/Logging_0382/klagomålsmail/A 14203-2024 FSC-klagomål mail.docx", "A 14203-2024")</f>
        <v/>
      </c>
      <c r="X103">
        <f>HYPERLINK("https://klasma.github.io/Logging_0382/tillsyn/A 14203-2024 tillsynsbegäran.docx", "A 14203-2024")</f>
        <v/>
      </c>
      <c r="Y103">
        <f>HYPERLINK("https://klasma.github.io/Logging_0382/tillsynsmail/A 14203-2024 tillsynsbegäran mail.docx", "A 14203-2024")</f>
        <v/>
      </c>
    </row>
    <row r="104" ht="15" customHeight="1">
      <c r="A104" t="inlineStr">
        <is>
          <t>A 63615-2021</t>
        </is>
      </c>
      <c r="B104" s="1" t="n">
        <v>44509</v>
      </c>
      <c r="C104" s="1" t="n">
        <v>45989</v>
      </c>
      <c r="D104" t="inlineStr">
        <is>
          <t>UPPSALA LÄN</t>
        </is>
      </c>
      <c r="E104" t="inlineStr">
        <is>
          <t>ÖSTHAMMAR</t>
        </is>
      </c>
      <c r="G104" t="n">
        <v>1.9</v>
      </c>
      <c r="H104" t="n">
        <v>0</v>
      </c>
      <c r="I104" t="n">
        <v>0</v>
      </c>
      <c r="J104" t="n">
        <v>1</v>
      </c>
      <c r="K104" t="n">
        <v>0</v>
      </c>
      <c r="L104" t="n">
        <v>0</v>
      </c>
      <c r="M104" t="n">
        <v>0</v>
      </c>
      <c r="N104" t="n">
        <v>0</v>
      </c>
      <c r="O104" t="n">
        <v>1</v>
      </c>
      <c r="P104" t="n">
        <v>0</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3693-2021</t>
        </is>
      </c>
      <c r="B105" s="1" t="n">
        <v>44221</v>
      </c>
      <c r="C105" s="1" t="n">
        <v>45989</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45989</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45989</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45989</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45989</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45989</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45989</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45989</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45989</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45989</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45989</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45989</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45989</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45989</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45989</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45989</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45989</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45989</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45989</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45989</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45989</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45989</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45989</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45989</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45989</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67859-2021</t>
        </is>
      </c>
      <c r="B130" s="1" t="n">
        <v>44525.48695601852</v>
      </c>
      <c r="C130" s="1" t="n">
        <v>45989</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45989</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45989</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45989</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45989</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45989</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45989</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45989</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45989</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45989</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45989</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63987-2020</t>
        </is>
      </c>
      <c r="B141" s="1" t="n">
        <v>44167</v>
      </c>
      <c r="C141" s="1" t="n">
        <v>45989</v>
      </c>
      <c r="D141" t="inlineStr">
        <is>
          <t>UPPSALA LÄN</t>
        </is>
      </c>
      <c r="E141" t="inlineStr">
        <is>
          <t>ÖSTHAMMAR</t>
        </is>
      </c>
      <c r="G141" t="n">
        <v>5.9</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45989</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45989</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45989</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45989</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66549-2021</t>
        </is>
      </c>
      <c r="B146" s="1" t="n">
        <v>44519.3990162037</v>
      </c>
      <c r="C146" s="1" t="n">
        <v>45989</v>
      </c>
      <c r="D146" t="inlineStr">
        <is>
          <t>UPPSALA LÄN</t>
        </is>
      </c>
      <c r="E146" t="inlineStr">
        <is>
          <t>ÖSTHAMMAR</t>
        </is>
      </c>
      <c r="F146" t="inlineStr">
        <is>
          <t>Bergvik skog öst AB</t>
        </is>
      </c>
      <c r="G146" t="n">
        <v>2.8</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45989</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45989</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45989</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45989</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19181-2022</t>
        </is>
      </c>
      <c r="B151" s="1" t="n">
        <v>44691</v>
      </c>
      <c r="C151" s="1" t="n">
        <v>45989</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19707-2022</t>
        </is>
      </c>
      <c r="B152" s="1" t="n">
        <v>44694</v>
      </c>
      <c r="C152" s="1" t="n">
        <v>45989</v>
      </c>
      <c r="D152" t="inlineStr">
        <is>
          <t>UPPSALA LÄN</t>
        </is>
      </c>
      <c r="E152" t="inlineStr">
        <is>
          <t>ÖSTHAMMAR</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15334-2022</t>
        </is>
      </c>
      <c r="B153" s="1" t="n">
        <v>44659</v>
      </c>
      <c r="C153" s="1" t="n">
        <v>45989</v>
      </c>
      <c r="D153" t="inlineStr">
        <is>
          <t>UPPSALA LÄN</t>
        </is>
      </c>
      <c r="E153" t="inlineStr">
        <is>
          <t>ÖSTHAMMAR</t>
        </is>
      </c>
      <c r="G153" t="n">
        <v>1.4</v>
      </c>
      <c r="H153" t="n">
        <v>0</v>
      </c>
      <c r="I153" t="n">
        <v>0</v>
      </c>
      <c r="J153" t="n">
        <v>0</v>
      </c>
      <c r="K153" t="n">
        <v>0</v>
      </c>
      <c r="L153" t="n">
        <v>0</v>
      </c>
      <c r="M153" t="n">
        <v>0</v>
      </c>
      <c r="N153" t="n">
        <v>0</v>
      </c>
      <c r="O153" t="n">
        <v>0</v>
      </c>
      <c r="P153" t="n">
        <v>0</v>
      </c>
      <c r="Q153" t="n">
        <v>0</v>
      </c>
      <c r="R153" s="2" t="inlineStr"/>
    </row>
    <row r="154" ht="15" customHeight="1">
      <c r="A154" t="inlineStr">
        <is>
          <t>A 64872-2021</t>
        </is>
      </c>
      <c r="B154" s="1" t="n">
        <v>44512.6108912037</v>
      </c>
      <c r="C154" s="1" t="n">
        <v>45989</v>
      </c>
      <c r="D154" t="inlineStr">
        <is>
          <t>UPPSALA LÄN</t>
        </is>
      </c>
      <c r="E154" t="inlineStr">
        <is>
          <t>ÖSTHAMMAR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45989</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45989</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45989</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45989</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45989</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45989</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45989</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45989</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15457-2022</t>
        </is>
      </c>
      <c r="B163" s="1" t="n">
        <v>44661.74027777778</v>
      </c>
      <c r="C163" s="1" t="n">
        <v>45989</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25987-2022</t>
        </is>
      </c>
      <c r="B164" s="1" t="n">
        <v>44734.49601851852</v>
      </c>
      <c r="C164" s="1" t="n">
        <v>45989</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61560-2021</t>
        </is>
      </c>
      <c r="B165" s="1" t="n">
        <v>44501.42905092592</v>
      </c>
      <c r="C165" s="1" t="n">
        <v>45989</v>
      </c>
      <c r="D165" t="inlineStr">
        <is>
          <t>UPPSALA LÄN</t>
        </is>
      </c>
      <c r="E165" t="inlineStr">
        <is>
          <t>ÖSTHAMMAR</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37570-2022</t>
        </is>
      </c>
      <c r="B166" s="1" t="n">
        <v>44809</v>
      </c>
      <c r="C166" s="1" t="n">
        <v>45989</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41558-2021</t>
        </is>
      </c>
      <c r="B167" s="1" t="n">
        <v>44425.37835648148</v>
      </c>
      <c r="C167" s="1" t="n">
        <v>45989</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45989</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45989</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45989</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11987-2022</t>
        </is>
      </c>
      <c r="B171" s="1" t="n">
        <v>44635.68695601852</v>
      </c>
      <c r="C171" s="1" t="n">
        <v>45989</v>
      </c>
      <c r="D171" t="inlineStr">
        <is>
          <t>UPPSALA LÄN</t>
        </is>
      </c>
      <c r="E171" t="inlineStr">
        <is>
          <t>ÖSTHAMMAR</t>
        </is>
      </c>
      <c r="F171" t="inlineStr">
        <is>
          <t>Bergvik skog öst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22207-2022</t>
        </is>
      </c>
      <c r="B172" s="1" t="n">
        <v>44712.51509259259</v>
      </c>
      <c r="C172" s="1" t="n">
        <v>45989</v>
      </c>
      <c r="D172" t="inlineStr">
        <is>
          <t>UPPSALA LÄN</t>
        </is>
      </c>
      <c r="E172" t="inlineStr">
        <is>
          <t>ÖSTHAMMAR</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45989</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45989</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45989</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45989</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45989</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45989</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45989</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45989</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45989</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45989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18734-2022</t>
        </is>
      </c>
      <c r="B183" s="1" t="n">
        <v>44687.86751157408</v>
      </c>
      <c r="C183" s="1" t="n">
        <v>45989</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11884-2022</t>
        </is>
      </c>
      <c r="B184" s="1" t="n">
        <v>44635.39946759259</v>
      </c>
      <c r="C184" s="1" t="n">
        <v>45989</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45989</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19214-2021</t>
        </is>
      </c>
      <c r="B186" s="1" t="n">
        <v>44309.28576388889</v>
      </c>
      <c r="C186" s="1" t="n">
        <v>45989</v>
      </c>
      <c r="D186" t="inlineStr">
        <is>
          <t>UPPSALA LÄN</t>
        </is>
      </c>
      <c r="E186" t="inlineStr">
        <is>
          <t>ÖSTHAMMAR</t>
        </is>
      </c>
      <c r="F186" t="inlineStr">
        <is>
          <t>Bergvik skog öst AB</t>
        </is>
      </c>
      <c r="G186" t="n">
        <v>6</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45989</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45989</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45989</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45989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45989</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45989</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45989</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17022-2021</t>
        </is>
      </c>
      <c r="B194" s="1" t="n">
        <v>44295.65875</v>
      </c>
      <c r="C194" s="1" t="n">
        <v>45989</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1436-2025</t>
        </is>
      </c>
      <c r="B195" s="1" t="n">
        <v>45669.67625</v>
      </c>
      <c r="C195" s="1" t="n">
        <v>45989</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33062-2021</t>
        </is>
      </c>
      <c r="B196" s="1" t="n">
        <v>44376</v>
      </c>
      <c r="C196" s="1" t="n">
        <v>45989</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38702-2022</t>
        </is>
      </c>
      <c r="B197" s="1" t="n">
        <v>44814.5991087963</v>
      </c>
      <c r="C197" s="1" t="n">
        <v>45989</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45989</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49097-2022</t>
        </is>
      </c>
      <c r="B199" s="1" t="n">
        <v>44860</v>
      </c>
      <c r="C199" s="1" t="n">
        <v>45989</v>
      </c>
      <c r="D199" t="inlineStr">
        <is>
          <t>UPPSALA LÄN</t>
        </is>
      </c>
      <c r="E199" t="inlineStr">
        <is>
          <t>ÖSTHAMMAR</t>
        </is>
      </c>
      <c r="G199" t="n">
        <v>6.9</v>
      </c>
      <c r="H199" t="n">
        <v>0</v>
      </c>
      <c r="I199" t="n">
        <v>0</v>
      </c>
      <c r="J199" t="n">
        <v>0</v>
      </c>
      <c r="K199" t="n">
        <v>0</v>
      </c>
      <c r="L199" t="n">
        <v>0</v>
      </c>
      <c r="M199" t="n">
        <v>0</v>
      </c>
      <c r="N199" t="n">
        <v>0</v>
      </c>
      <c r="O199" t="n">
        <v>0</v>
      </c>
      <c r="P199" t="n">
        <v>0</v>
      </c>
      <c r="Q199" t="n">
        <v>0</v>
      </c>
      <c r="R199" s="2" t="inlineStr"/>
    </row>
    <row r="200" ht="15" customHeight="1">
      <c r="A200" t="inlineStr">
        <is>
          <t>A 20326-2021</t>
        </is>
      </c>
      <c r="B200" s="1" t="n">
        <v>44308</v>
      </c>
      <c r="C200" s="1" t="n">
        <v>45989</v>
      </c>
      <c r="D200" t="inlineStr">
        <is>
          <t>UPPSALA LÄN</t>
        </is>
      </c>
      <c r="E200" t="inlineStr">
        <is>
          <t>ÖSTHAMMAR</t>
        </is>
      </c>
      <c r="G200" t="n">
        <v>0.7</v>
      </c>
      <c r="H200" t="n">
        <v>0</v>
      </c>
      <c r="I200" t="n">
        <v>0</v>
      </c>
      <c r="J200" t="n">
        <v>0</v>
      </c>
      <c r="K200" t="n">
        <v>0</v>
      </c>
      <c r="L200" t="n">
        <v>0</v>
      </c>
      <c r="M200" t="n">
        <v>0</v>
      </c>
      <c r="N200" t="n">
        <v>0</v>
      </c>
      <c r="O200" t="n">
        <v>0</v>
      </c>
      <c r="P200" t="n">
        <v>0</v>
      </c>
      <c r="Q200" t="n">
        <v>0</v>
      </c>
      <c r="R200" s="2" t="inlineStr"/>
    </row>
    <row r="201" ht="15" customHeight="1">
      <c r="A201" t="inlineStr">
        <is>
          <t>A 28421-2023</t>
        </is>
      </c>
      <c r="B201" s="1" t="n">
        <v>45102</v>
      </c>
      <c r="C201" s="1" t="n">
        <v>45989</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18838-2023</t>
        </is>
      </c>
      <c r="B202" s="1" t="n">
        <v>45044</v>
      </c>
      <c r="C202" s="1" t="n">
        <v>45989</v>
      </c>
      <c r="D202" t="inlineStr">
        <is>
          <t>UPPSALA LÄN</t>
        </is>
      </c>
      <c r="E202" t="inlineStr">
        <is>
          <t>ÖSTHAMMAR</t>
        </is>
      </c>
      <c r="G202" t="n">
        <v>2.8</v>
      </c>
      <c r="H202" t="n">
        <v>0</v>
      </c>
      <c r="I202" t="n">
        <v>0</v>
      </c>
      <c r="J202" t="n">
        <v>0</v>
      </c>
      <c r="K202" t="n">
        <v>0</v>
      </c>
      <c r="L202" t="n">
        <v>0</v>
      </c>
      <c r="M202" t="n">
        <v>0</v>
      </c>
      <c r="N202" t="n">
        <v>0</v>
      </c>
      <c r="O202" t="n">
        <v>0</v>
      </c>
      <c r="P202" t="n">
        <v>0</v>
      </c>
      <c r="Q202" t="n">
        <v>0</v>
      </c>
      <c r="R202" s="2" t="inlineStr"/>
    </row>
    <row r="203" ht="15" customHeight="1">
      <c r="A203" t="inlineStr">
        <is>
          <t>A 17867-2024</t>
        </is>
      </c>
      <c r="B203" s="1" t="n">
        <v>45419.44106481481</v>
      </c>
      <c r="C203" s="1" t="n">
        <v>45989</v>
      </c>
      <c r="D203" t="inlineStr">
        <is>
          <t>UPPSALA LÄN</t>
        </is>
      </c>
      <c r="E203" t="inlineStr">
        <is>
          <t>ÖSTHAMMAR</t>
        </is>
      </c>
      <c r="G203" t="n">
        <v>7.2</v>
      </c>
      <c r="H203" t="n">
        <v>0</v>
      </c>
      <c r="I203" t="n">
        <v>0</v>
      </c>
      <c r="J203" t="n">
        <v>0</v>
      </c>
      <c r="K203" t="n">
        <v>0</v>
      </c>
      <c r="L203" t="n">
        <v>0</v>
      </c>
      <c r="M203" t="n">
        <v>0</v>
      </c>
      <c r="N203" t="n">
        <v>0</v>
      </c>
      <c r="O203" t="n">
        <v>0</v>
      </c>
      <c r="P203" t="n">
        <v>0</v>
      </c>
      <c r="Q203" t="n">
        <v>0</v>
      </c>
      <c r="R203" s="2" t="inlineStr"/>
    </row>
    <row r="204" ht="15" customHeight="1">
      <c r="A204" t="inlineStr">
        <is>
          <t>A 12756-2024</t>
        </is>
      </c>
      <c r="B204" s="1" t="n">
        <v>45384</v>
      </c>
      <c r="C204" s="1" t="n">
        <v>45989</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57-2023</t>
        </is>
      </c>
      <c r="B205" s="1" t="n">
        <v>44928.40917824074</v>
      </c>
      <c r="C205" s="1" t="n">
        <v>45989</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59-2023</t>
        </is>
      </c>
      <c r="B206" s="1" t="n">
        <v>44928.41822916667</v>
      </c>
      <c r="C206" s="1" t="n">
        <v>45989</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25252-2024</t>
        </is>
      </c>
      <c r="B207" s="1" t="n">
        <v>45462</v>
      </c>
      <c r="C207" s="1" t="n">
        <v>45989</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19947-2024</t>
        </is>
      </c>
      <c r="B208" s="1" t="n">
        <v>45433</v>
      </c>
      <c r="C208" s="1" t="n">
        <v>45989</v>
      </c>
      <c r="D208" t="inlineStr">
        <is>
          <t>UPPSALA LÄN</t>
        </is>
      </c>
      <c r="E208" t="inlineStr">
        <is>
          <t>ÖSTHAMMAR</t>
        </is>
      </c>
      <c r="G208" t="n">
        <v>0.3</v>
      </c>
      <c r="H208" t="n">
        <v>0</v>
      </c>
      <c r="I208" t="n">
        <v>0</v>
      </c>
      <c r="J208" t="n">
        <v>0</v>
      </c>
      <c r="K208" t="n">
        <v>0</v>
      </c>
      <c r="L208" t="n">
        <v>0</v>
      </c>
      <c r="M208" t="n">
        <v>0</v>
      </c>
      <c r="N208" t="n">
        <v>0</v>
      </c>
      <c r="O208" t="n">
        <v>0</v>
      </c>
      <c r="P208" t="n">
        <v>0</v>
      </c>
      <c r="Q208" t="n">
        <v>0</v>
      </c>
      <c r="R208" s="2" t="inlineStr"/>
    </row>
    <row r="209" ht="15" customHeight="1">
      <c r="A209" t="inlineStr">
        <is>
          <t>A 11385-2024</t>
        </is>
      </c>
      <c r="B209" s="1" t="n">
        <v>45372</v>
      </c>
      <c r="C209" s="1" t="n">
        <v>45989</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56382-2022</t>
        </is>
      </c>
      <c r="B210" s="1" t="n">
        <v>44890.75795138889</v>
      </c>
      <c r="C210" s="1" t="n">
        <v>45989</v>
      </c>
      <c r="D210" t="inlineStr">
        <is>
          <t>UPPSALA LÄN</t>
        </is>
      </c>
      <c r="E210" t="inlineStr">
        <is>
          <t>ÖSTHAMMAR</t>
        </is>
      </c>
      <c r="F210" t="inlineStr">
        <is>
          <t>Allmännings- och besparingsskogar</t>
        </is>
      </c>
      <c r="G210" t="n">
        <v>1.1</v>
      </c>
      <c r="H210" t="n">
        <v>0</v>
      </c>
      <c r="I210" t="n">
        <v>0</v>
      </c>
      <c r="J210" t="n">
        <v>0</v>
      </c>
      <c r="K210" t="n">
        <v>0</v>
      </c>
      <c r="L210" t="n">
        <v>0</v>
      </c>
      <c r="M210" t="n">
        <v>0</v>
      </c>
      <c r="N210" t="n">
        <v>0</v>
      </c>
      <c r="O210" t="n">
        <v>0</v>
      </c>
      <c r="P210" t="n">
        <v>0</v>
      </c>
      <c r="Q210" t="n">
        <v>0</v>
      </c>
      <c r="R210" s="2" t="inlineStr"/>
    </row>
    <row r="211" ht="15" customHeight="1">
      <c r="A211" t="inlineStr">
        <is>
          <t>A 14433-2024</t>
        </is>
      </c>
      <c r="B211" s="1" t="n">
        <v>45394.46115740741</v>
      </c>
      <c r="C211" s="1" t="n">
        <v>45989</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25938-2024</t>
        </is>
      </c>
      <c r="B212" s="1" t="n">
        <v>45467.63127314814</v>
      </c>
      <c r="C212" s="1" t="n">
        <v>45989</v>
      </c>
      <c r="D212" t="inlineStr">
        <is>
          <t>UPPSALA LÄN</t>
        </is>
      </c>
      <c r="E212" t="inlineStr">
        <is>
          <t>ÖSTHAMMAR</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33552-2024</t>
        </is>
      </c>
      <c r="B213" s="1" t="n">
        <v>45519</v>
      </c>
      <c r="C213" s="1" t="n">
        <v>45989</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33553-2024</t>
        </is>
      </c>
      <c r="B214" s="1" t="n">
        <v>45519</v>
      </c>
      <c r="C214" s="1" t="n">
        <v>45989</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5877-2023</t>
        </is>
      </c>
      <c r="B215" s="1" t="n">
        <v>44963.62001157407</v>
      </c>
      <c r="C215" s="1" t="n">
        <v>45989</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52659-2021</t>
        </is>
      </c>
      <c r="B216" s="1" t="n">
        <v>44466</v>
      </c>
      <c r="C216" s="1" t="n">
        <v>45989</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59731-2023</t>
        </is>
      </c>
      <c r="B217" s="1" t="n">
        <v>45257</v>
      </c>
      <c r="C217" s="1" t="n">
        <v>45989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5429-2023</t>
        </is>
      </c>
      <c r="B218" s="1" t="n">
        <v>44959.83037037037</v>
      </c>
      <c r="C218" s="1" t="n">
        <v>45989</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34607-2023</t>
        </is>
      </c>
      <c r="B219" s="1" t="n">
        <v>45138</v>
      </c>
      <c r="C219" s="1" t="n">
        <v>45989</v>
      </c>
      <c r="D219" t="inlineStr">
        <is>
          <t>UPPSALA LÄN</t>
        </is>
      </c>
      <c r="E219" t="inlineStr">
        <is>
          <t>ÖSTHAMMAR</t>
        </is>
      </c>
      <c r="G219" t="n">
        <v>4.7</v>
      </c>
      <c r="H219" t="n">
        <v>0</v>
      </c>
      <c r="I219" t="n">
        <v>0</v>
      </c>
      <c r="J219" t="n">
        <v>0</v>
      </c>
      <c r="K219" t="n">
        <v>0</v>
      </c>
      <c r="L219" t="n">
        <v>0</v>
      </c>
      <c r="M219" t="n">
        <v>0</v>
      </c>
      <c r="N219" t="n">
        <v>0</v>
      </c>
      <c r="O219" t="n">
        <v>0</v>
      </c>
      <c r="P219" t="n">
        <v>0</v>
      </c>
      <c r="Q219" t="n">
        <v>0</v>
      </c>
      <c r="R219" s="2" t="inlineStr"/>
    </row>
    <row r="220" ht="15" customHeight="1">
      <c r="A220" t="inlineStr">
        <is>
          <t>A 56969-2022</t>
        </is>
      </c>
      <c r="B220" s="1" t="n">
        <v>44894.68043981482</v>
      </c>
      <c r="C220" s="1" t="n">
        <v>45989</v>
      </c>
      <c r="D220" t="inlineStr">
        <is>
          <t>UPPSALA LÄN</t>
        </is>
      </c>
      <c r="E220" t="inlineStr">
        <is>
          <t>ÖSTHAMMAR</t>
        </is>
      </c>
      <c r="G220" t="n">
        <v>5.5</v>
      </c>
      <c r="H220" t="n">
        <v>0</v>
      </c>
      <c r="I220" t="n">
        <v>0</v>
      </c>
      <c r="J220" t="n">
        <v>0</v>
      </c>
      <c r="K220" t="n">
        <v>0</v>
      </c>
      <c r="L220" t="n">
        <v>0</v>
      </c>
      <c r="M220" t="n">
        <v>0</v>
      </c>
      <c r="N220" t="n">
        <v>0</v>
      </c>
      <c r="O220" t="n">
        <v>0</v>
      </c>
      <c r="P220" t="n">
        <v>0</v>
      </c>
      <c r="Q220" t="n">
        <v>0</v>
      </c>
      <c r="R220" s="2" t="inlineStr"/>
    </row>
    <row r="221" ht="15" customHeight="1">
      <c r="A221" t="inlineStr">
        <is>
          <t>A 54666-2022</t>
        </is>
      </c>
      <c r="B221" s="1" t="n">
        <v>44883</v>
      </c>
      <c r="C221" s="1" t="n">
        <v>45989</v>
      </c>
      <c r="D221" t="inlineStr">
        <is>
          <t>UPPSALA LÄN</t>
        </is>
      </c>
      <c r="E221" t="inlineStr">
        <is>
          <t>ÖSTHAMMAR</t>
        </is>
      </c>
      <c r="G221" t="n">
        <v>14.3</v>
      </c>
      <c r="H221" t="n">
        <v>0</v>
      </c>
      <c r="I221" t="n">
        <v>0</v>
      </c>
      <c r="J221" t="n">
        <v>0</v>
      </c>
      <c r="K221" t="n">
        <v>0</v>
      </c>
      <c r="L221" t="n">
        <v>0</v>
      </c>
      <c r="M221" t="n">
        <v>0</v>
      </c>
      <c r="N221" t="n">
        <v>0</v>
      </c>
      <c r="O221" t="n">
        <v>0</v>
      </c>
      <c r="P221" t="n">
        <v>0</v>
      </c>
      <c r="Q221" t="n">
        <v>0</v>
      </c>
      <c r="R221" s="2" t="inlineStr"/>
    </row>
    <row r="222" ht="15" customHeight="1">
      <c r="A222" t="inlineStr">
        <is>
          <t>A 56260-2022</t>
        </is>
      </c>
      <c r="B222" s="1" t="n">
        <v>44890</v>
      </c>
      <c r="C222" s="1" t="n">
        <v>45989</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7876-2023</t>
        </is>
      </c>
      <c r="B223" s="1" t="n">
        <v>44973.57263888889</v>
      </c>
      <c r="C223" s="1" t="n">
        <v>45989</v>
      </c>
      <c r="D223" t="inlineStr">
        <is>
          <t>UPPSALA LÄN</t>
        </is>
      </c>
      <c r="E223" t="inlineStr">
        <is>
          <t>ÖSTHAMMAR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36904-2023</t>
        </is>
      </c>
      <c r="B224" s="1" t="n">
        <v>45154</v>
      </c>
      <c r="C224" s="1" t="n">
        <v>45989</v>
      </c>
      <c r="D224" t="inlineStr">
        <is>
          <t>UPPSALA LÄN</t>
        </is>
      </c>
      <c r="E224" t="inlineStr">
        <is>
          <t>ÖSTHAMMAR</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35539-2023</t>
        </is>
      </c>
      <c r="B225" s="1" t="n">
        <v>45147.37006944444</v>
      </c>
      <c r="C225" s="1" t="n">
        <v>45989</v>
      </c>
      <c r="D225" t="inlineStr">
        <is>
          <t>UPPSALA LÄN</t>
        </is>
      </c>
      <c r="E225" t="inlineStr">
        <is>
          <t>ÖSTHAMMAR</t>
        </is>
      </c>
      <c r="G225" t="n">
        <v>1.4</v>
      </c>
      <c r="H225" t="n">
        <v>0</v>
      </c>
      <c r="I225" t="n">
        <v>0</v>
      </c>
      <c r="J225" t="n">
        <v>0</v>
      </c>
      <c r="K225" t="n">
        <v>0</v>
      </c>
      <c r="L225" t="n">
        <v>0</v>
      </c>
      <c r="M225" t="n">
        <v>0</v>
      </c>
      <c r="N225" t="n">
        <v>0</v>
      </c>
      <c r="O225" t="n">
        <v>0</v>
      </c>
      <c r="P225" t="n">
        <v>0</v>
      </c>
      <c r="Q225" t="n">
        <v>0</v>
      </c>
      <c r="R225" s="2" t="inlineStr"/>
    </row>
    <row r="226" ht="15" customHeight="1">
      <c r="A226" t="inlineStr">
        <is>
          <t>A 29231-2024</t>
        </is>
      </c>
      <c r="B226" s="1" t="n">
        <v>45482</v>
      </c>
      <c r="C226" s="1" t="n">
        <v>45989</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38233-2024</t>
        </is>
      </c>
      <c r="B227" s="1" t="n">
        <v>45545</v>
      </c>
      <c r="C227" s="1" t="n">
        <v>45989</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24415-2025</t>
        </is>
      </c>
      <c r="B228" s="1" t="n">
        <v>45797.67381944445</v>
      </c>
      <c r="C228" s="1" t="n">
        <v>45989</v>
      </c>
      <c r="D228" t="inlineStr">
        <is>
          <t>UPPSALA LÄN</t>
        </is>
      </c>
      <c r="E228" t="inlineStr">
        <is>
          <t>ÖSTHAMMAR</t>
        </is>
      </c>
      <c r="G228" t="n">
        <v>0.8</v>
      </c>
      <c r="H228" t="n">
        <v>0</v>
      </c>
      <c r="I228" t="n">
        <v>0</v>
      </c>
      <c r="J228" t="n">
        <v>0</v>
      </c>
      <c r="K228" t="n">
        <v>0</v>
      </c>
      <c r="L228" t="n">
        <v>0</v>
      </c>
      <c r="M228" t="n">
        <v>0</v>
      </c>
      <c r="N228" t="n">
        <v>0</v>
      </c>
      <c r="O228" t="n">
        <v>0</v>
      </c>
      <c r="P228" t="n">
        <v>0</v>
      </c>
      <c r="Q228" t="n">
        <v>0</v>
      </c>
      <c r="R228" s="2" t="inlineStr"/>
    </row>
    <row r="229" ht="15" customHeight="1">
      <c r="A229" t="inlineStr">
        <is>
          <t>A 30931-2021</t>
        </is>
      </c>
      <c r="B229" s="1" t="n">
        <v>44365</v>
      </c>
      <c r="C229" s="1" t="n">
        <v>45989</v>
      </c>
      <c r="D229" t="inlineStr">
        <is>
          <t>UPPSALA LÄN</t>
        </is>
      </c>
      <c r="E229" t="inlineStr">
        <is>
          <t>ÖSTHAMMAR</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25049-2025</t>
        </is>
      </c>
      <c r="B230" s="1" t="n">
        <v>45799.66876157407</v>
      </c>
      <c r="C230" s="1" t="n">
        <v>45989</v>
      </c>
      <c r="D230" t="inlineStr">
        <is>
          <t>UPPSALA LÄN</t>
        </is>
      </c>
      <c r="E230" t="inlineStr">
        <is>
          <t>ÖSTHAMMAR</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64811-2021</t>
        </is>
      </c>
      <c r="B231" s="1" t="n">
        <v>44512</v>
      </c>
      <c r="C231" s="1" t="n">
        <v>45989</v>
      </c>
      <c r="D231" t="inlineStr">
        <is>
          <t>UPPSALA LÄN</t>
        </is>
      </c>
      <c r="E231" t="inlineStr">
        <is>
          <t>ÖSTHAMMAR</t>
        </is>
      </c>
      <c r="G231" t="n">
        <v>4.2</v>
      </c>
      <c r="H231" t="n">
        <v>0</v>
      </c>
      <c r="I231" t="n">
        <v>0</v>
      </c>
      <c r="J231" t="n">
        <v>0</v>
      </c>
      <c r="K231" t="n">
        <v>0</v>
      </c>
      <c r="L231" t="n">
        <v>0</v>
      </c>
      <c r="M231" t="n">
        <v>0</v>
      </c>
      <c r="N231" t="n">
        <v>0</v>
      </c>
      <c r="O231" t="n">
        <v>0</v>
      </c>
      <c r="P231" t="n">
        <v>0</v>
      </c>
      <c r="Q231" t="n">
        <v>0</v>
      </c>
      <c r="R231" s="2" t="inlineStr"/>
    </row>
    <row r="232" ht="15" customHeight="1">
      <c r="A232" t="inlineStr">
        <is>
          <t>A 8830-2023</t>
        </is>
      </c>
      <c r="B232" s="1" t="n">
        <v>44978</v>
      </c>
      <c r="C232" s="1" t="n">
        <v>45989</v>
      </c>
      <c r="D232" t="inlineStr">
        <is>
          <t>UPPSALA LÄN</t>
        </is>
      </c>
      <c r="E232" t="inlineStr">
        <is>
          <t>ÖSTHAMMAR</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6106-2024</t>
        </is>
      </c>
      <c r="B233" s="1" t="n">
        <v>45337.36831018519</v>
      </c>
      <c r="C233" s="1" t="n">
        <v>45989</v>
      </c>
      <c r="D233" t="inlineStr">
        <is>
          <t>UPPSALA LÄN</t>
        </is>
      </c>
      <c r="E233" t="inlineStr">
        <is>
          <t>ÖSTHAMMAR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33550-2024</t>
        </is>
      </c>
      <c r="B234" s="1" t="n">
        <v>45519.81043981481</v>
      </c>
      <c r="C234" s="1" t="n">
        <v>45989</v>
      </c>
      <c r="D234" t="inlineStr">
        <is>
          <t>UPPSALA LÄN</t>
        </is>
      </c>
      <c r="E234" t="inlineStr">
        <is>
          <t>ÖSTHAMMAR</t>
        </is>
      </c>
      <c r="F234" t="inlineStr">
        <is>
          <t>Bergvik skog öst AB</t>
        </is>
      </c>
      <c r="G234" t="n">
        <v>1.8</v>
      </c>
      <c r="H234" t="n">
        <v>0</v>
      </c>
      <c r="I234" t="n">
        <v>0</v>
      </c>
      <c r="J234" t="n">
        <v>0</v>
      </c>
      <c r="K234" t="n">
        <v>0</v>
      </c>
      <c r="L234" t="n">
        <v>0</v>
      </c>
      <c r="M234" t="n">
        <v>0</v>
      </c>
      <c r="N234" t="n">
        <v>0</v>
      </c>
      <c r="O234" t="n">
        <v>0</v>
      </c>
      <c r="P234" t="n">
        <v>0</v>
      </c>
      <c r="Q234" t="n">
        <v>0</v>
      </c>
      <c r="R234" s="2" t="inlineStr"/>
    </row>
    <row r="235" ht="15" customHeight="1">
      <c r="A235" t="inlineStr">
        <is>
          <t>A 62295-2022</t>
        </is>
      </c>
      <c r="B235" s="1" t="n">
        <v>44916</v>
      </c>
      <c r="C235" s="1" t="n">
        <v>45989</v>
      </c>
      <c r="D235" t="inlineStr">
        <is>
          <t>UPPSALA LÄN</t>
        </is>
      </c>
      <c r="E235" t="inlineStr">
        <is>
          <t>ÖSTHAMMAR</t>
        </is>
      </c>
      <c r="G235" t="n">
        <v>3.3</v>
      </c>
      <c r="H235" t="n">
        <v>0</v>
      </c>
      <c r="I235" t="n">
        <v>0</v>
      </c>
      <c r="J235" t="n">
        <v>0</v>
      </c>
      <c r="K235" t="n">
        <v>0</v>
      </c>
      <c r="L235" t="n">
        <v>0</v>
      </c>
      <c r="M235" t="n">
        <v>0</v>
      </c>
      <c r="N235" t="n">
        <v>0</v>
      </c>
      <c r="O235" t="n">
        <v>0</v>
      </c>
      <c r="P235" t="n">
        <v>0</v>
      </c>
      <c r="Q235" t="n">
        <v>0</v>
      </c>
      <c r="R235" s="2" t="inlineStr"/>
    </row>
    <row r="236" ht="15" customHeight="1">
      <c r="A236" t="inlineStr">
        <is>
          <t>A 22709-2021</t>
        </is>
      </c>
      <c r="B236" s="1" t="n">
        <v>44327.61518518518</v>
      </c>
      <c r="C236" s="1" t="n">
        <v>45989</v>
      </c>
      <c r="D236" t="inlineStr">
        <is>
          <t>UPPSALA LÄN</t>
        </is>
      </c>
      <c r="E236" t="inlineStr">
        <is>
          <t>ÖSTHAMMAR</t>
        </is>
      </c>
      <c r="F236" t="inlineStr">
        <is>
          <t>Bergvik skog öst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32815-2024</t>
        </is>
      </c>
      <c r="B237" s="1" t="n">
        <v>45516.57682870371</v>
      </c>
      <c r="C237" s="1" t="n">
        <v>45989</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32884-2024</t>
        </is>
      </c>
      <c r="B238" s="1" t="n">
        <v>45516.72097222223</v>
      </c>
      <c r="C238" s="1" t="n">
        <v>45989</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24944-2025</t>
        </is>
      </c>
      <c r="B239" s="1" t="n">
        <v>45799.56347222222</v>
      </c>
      <c r="C239" s="1" t="n">
        <v>45989</v>
      </c>
      <c r="D239" t="inlineStr">
        <is>
          <t>UPPSALA LÄN</t>
        </is>
      </c>
      <c r="E239" t="inlineStr">
        <is>
          <t>ÖSTHAMMAR</t>
        </is>
      </c>
      <c r="G239" t="n">
        <v>7.3</v>
      </c>
      <c r="H239" t="n">
        <v>0</v>
      </c>
      <c r="I239" t="n">
        <v>0</v>
      </c>
      <c r="J239" t="n">
        <v>0</v>
      </c>
      <c r="K239" t="n">
        <v>0</v>
      </c>
      <c r="L239" t="n">
        <v>0</v>
      </c>
      <c r="M239" t="n">
        <v>0</v>
      </c>
      <c r="N239" t="n">
        <v>0</v>
      </c>
      <c r="O239" t="n">
        <v>0</v>
      </c>
      <c r="P239" t="n">
        <v>0</v>
      </c>
      <c r="Q239" t="n">
        <v>0</v>
      </c>
      <c r="R239" s="2" t="inlineStr"/>
    </row>
    <row r="240" ht="15" customHeight="1">
      <c r="A240" t="inlineStr">
        <is>
          <t>A 16089-2025</t>
        </is>
      </c>
      <c r="B240" s="1" t="n">
        <v>45749.84232638889</v>
      </c>
      <c r="C240" s="1" t="n">
        <v>45989</v>
      </c>
      <c r="D240" t="inlineStr">
        <is>
          <t>UPPSALA LÄN</t>
        </is>
      </c>
      <c r="E240" t="inlineStr">
        <is>
          <t>ÖSTHAMMAR</t>
        </is>
      </c>
      <c r="F240" t="inlineStr">
        <is>
          <t>Bergvik skog öst AB</t>
        </is>
      </c>
      <c r="G240" t="n">
        <v>2.6</v>
      </c>
      <c r="H240" t="n">
        <v>0</v>
      </c>
      <c r="I240" t="n">
        <v>0</v>
      </c>
      <c r="J240" t="n">
        <v>0</v>
      </c>
      <c r="K240" t="n">
        <v>0</v>
      </c>
      <c r="L240" t="n">
        <v>0</v>
      </c>
      <c r="M240" t="n">
        <v>0</v>
      </c>
      <c r="N240" t="n">
        <v>0</v>
      </c>
      <c r="O240" t="n">
        <v>0</v>
      </c>
      <c r="P240" t="n">
        <v>0</v>
      </c>
      <c r="Q240" t="n">
        <v>0</v>
      </c>
      <c r="R240" s="2" t="inlineStr"/>
    </row>
    <row r="241" ht="15" customHeight="1">
      <c r="A241" t="inlineStr">
        <is>
          <t>A 61261-2022</t>
        </is>
      </c>
      <c r="B241" s="1" t="n">
        <v>44915.59645833333</v>
      </c>
      <c r="C241" s="1" t="n">
        <v>45989</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4984-2024</t>
        </is>
      </c>
      <c r="B242" s="1" t="n">
        <v>45329</v>
      </c>
      <c r="C242" s="1" t="n">
        <v>45989</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34185-2024</t>
        </is>
      </c>
      <c r="B243" s="1" t="n">
        <v>45524</v>
      </c>
      <c r="C243" s="1" t="n">
        <v>45989</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14170-2025</t>
        </is>
      </c>
      <c r="B244" s="1" t="n">
        <v>45740.51895833333</v>
      </c>
      <c r="C244" s="1" t="n">
        <v>45989</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12945-2025</t>
        </is>
      </c>
      <c r="B245" s="1" t="n">
        <v>45734.38159722222</v>
      </c>
      <c r="C245" s="1" t="n">
        <v>45989</v>
      </c>
      <c r="D245" t="inlineStr">
        <is>
          <t>UPPSALA LÄN</t>
        </is>
      </c>
      <c r="E245" t="inlineStr">
        <is>
          <t>ÖSTHAMMAR</t>
        </is>
      </c>
      <c r="G245" t="n">
        <v>2.1</v>
      </c>
      <c r="H245" t="n">
        <v>0</v>
      </c>
      <c r="I245" t="n">
        <v>0</v>
      </c>
      <c r="J245" t="n">
        <v>0</v>
      </c>
      <c r="K245" t="n">
        <v>0</v>
      </c>
      <c r="L245" t="n">
        <v>0</v>
      </c>
      <c r="M245" t="n">
        <v>0</v>
      </c>
      <c r="N245" t="n">
        <v>0</v>
      </c>
      <c r="O245" t="n">
        <v>0</v>
      </c>
      <c r="P245" t="n">
        <v>0</v>
      </c>
      <c r="Q245" t="n">
        <v>0</v>
      </c>
      <c r="R245" s="2" t="inlineStr"/>
    </row>
    <row r="246" ht="15" customHeight="1">
      <c r="A246" t="inlineStr">
        <is>
          <t>A 74429-2021</t>
        </is>
      </c>
      <c r="B246" s="1" t="n">
        <v>44560.43136574074</v>
      </c>
      <c r="C246" s="1" t="n">
        <v>45989</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7543-2023</t>
        </is>
      </c>
      <c r="B247" s="1" t="n">
        <v>44972</v>
      </c>
      <c r="C247" s="1" t="n">
        <v>45989</v>
      </c>
      <c r="D247" t="inlineStr">
        <is>
          <t>UPPSALA LÄN</t>
        </is>
      </c>
      <c r="E247" t="inlineStr">
        <is>
          <t>ÖSTHAMMAR</t>
        </is>
      </c>
      <c r="F247" t="inlineStr">
        <is>
          <t>Bergvik skog öst AB</t>
        </is>
      </c>
      <c r="G247" t="n">
        <v>13.3</v>
      </c>
      <c r="H247" t="n">
        <v>0</v>
      </c>
      <c r="I247" t="n">
        <v>0</v>
      </c>
      <c r="J247" t="n">
        <v>0</v>
      </c>
      <c r="K247" t="n">
        <v>0</v>
      </c>
      <c r="L247" t="n">
        <v>0</v>
      </c>
      <c r="M247" t="n">
        <v>0</v>
      </c>
      <c r="N247" t="n">
        <v>0</v>
      </c>
      <c r="O247" t="n">
        <v>0</v>
      </c>
      <c r="P247" t="n">
        <v>0</v>
      </c>
      <c r="Q247" t="n">
        <v>0</v>
      </c>
      <c r="R247" s="2" t="inlineStr"/>
    </row>
    <row r="248" ht="15" customHeight="1">
      <c r="A248" t="inlineStr">
        <is>
          <t>A 58297-2024</t>
        </is>
      </c>
      <c r="B248" s="1" t="n">
        <v>45632.59780092593</v>
      </c>
      <c r="C248" s="1" t="n">
        <v>45989</v>
      </c>
      <c r="D248" t="inlineStr">
        <is>
          <t>UPPSALA LÄN</t>
        </is>
      </c>
      <c r="E248" t="inlineStr">
        <is>
          <t>ÖSTHAMMAR</t>
        </is>
      </c>
      <c r="G248" t="n">
        <v>5.1</v>
      </c>
      <c r="H248" t="n">
        <v>0</v>
      </c>
      <c r="I248" t="n">
        <v>0</v>
      </c>
      <c r="J248" t="n">
        <v>0</v>
      </c>
      <c r="K248" t="n">
        <v>0</v>
      </c>
      <c r="L248" t="n">
        <v>0</v>
      </c>
      <c r="M248" t="n">
        <v>0</v>
      </c>
      <c r="N248" t="n">
        <v>0</v>
      </c>
      <c r="O248" t="n">
        <v>0</v>
      </c>
      <c r="P248" t="n">
        <v>0</v>
      </c>
      <c r="Q248" t="n">
        <v>0</v>
      </c>
      <c r="R248" s="2" t="inlineStr"/>
    </row>
    <row r="249" ht="15" customHeight="1">
      <c r="A249" t="inlineStr">
        <is>
          <t>A 20634-2024</t>
        </is>
      </c>
      <c r="B249" s="1" t="n">
        <v>45436</v>
      </c>
      <c r="C249" s="1" t="n">
        <v>45989</v>
      </c>
      <c r="D249" t="inlineStr">
        <is>
          <t>UPPSALA LÄN</t>
        </is>
      </c>
      <c r="E249" t="inlineStr">
        <is>
          <t>ÖSTHAMMAR</t>
        </is>
      </c>
      <c r="G249" t="n">
        <v>6.5</v>
      </c>
      <c r="H249" t="n">
        <v>0</v>
      </c>
      <c r="I249" t="n">
        <v>0</v>
      </c>
      <c r="J249" t="n">
        <v>0</v>
      </c>
      <c r="K249" t="n">
        <v>0</v>
      </c>
      <c r="L249" t="n">
        <v>0</v>
      </c>
      <c r="M249" t="n">
        <v>0</v>
      </c>
      <c r="N249" t="n">
        <v>0</v>
      </c>
      <c r="O249" t="n">
        <v>0</v>
      </c>
      <c r="P249" t="n">
        <v>0</v>
      </c>
      <c r="Q249" t="n">
        <v>0</v>
      </c>
      <c r="R249" s="2" t="inlineStr"/>
    </row>
    <row r="250" ht="15" customHeight="1">
      <c r="A250" t="inlineStr">
        <is>
          <t>A 26055-2025</t>
        </is>
      </c>
      <c r="B250" s="1" t="n">
        <v>45804.77559027778</v>
      </c>
      <c r="C250" s="1" t="n">
        <v>45989</v>
      </c>
      <c r="D250" t="inlineStr">
        <is>
          <t>UPPSALA LÄN</t>
        </is>
      </c>
      <c r="E250" t="inlineStr">
        <is>
          <t>ÖSTHAMMAR</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45989</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26330-2025</t>
        </is>
      </c>
      <c r="B252" s="1" t="n">
        <v>45805.68263888889</v>
      </c>
      <c r="C252" s="1" t="n">
        <v>45989</v>
      </c>
      <c r="D252" t="inlineStr">
        <is>
          <t>UPPSALA LÄN</t>
        </is>
      </c>
      <c r="E252" t="inlineStr">
        <is>
          <t>ÖSTHAMMAR</t>
        </is>
      </c>
      <c r="G252" t="n">
        <v>0.5</v>
      </c>
      <c r="H252" t="n">
        <v>0</v>
      </c>
      <c r="I252" t="n">
        <v>0</v>
      </c>
      <c r="J252" t="n">
        <v>0</v>
      </c>
      <c r="K252" t="n">
        <v>0</v>
      </c>
      <c r="L252" t="n">
        <v>0</v>
      </c>
      <c r="M252" t="n">
        <v>0</v>
      </c>
      <c r="N252" t="n">
        <v>0</v>
      </c>
      <c r="O252" t="n">
        <v>0</v>
      </c>
      <c r="P252" t="n">
        <v>0</v>
      </c>
      <c r="Q252" t="n">
        <v>0</v>
      </c>
      <c r="R252" s="2" t="inlineStr"/>
    </row>
    <row r="253" ht="15" customHeight="1">
      <c r="A253" t="inlineStr">
        <is>
          <t>A 26319-2025</t>
        </is>
      </c>
      <c r="B253" s="1" t="n">
        <v>45805.65960648148</v>
      </c>
      <c r="C253" s="1" t="n">
        <v>45989</v>
      </c>
      <c r="D253" t="inlineStr">
        <is>
          <t>UPPSALA LÄN</t>
        </is>
      </c>
      <c r="E253" t="inlineStr">
        <is>
          <t>ÖSTHAMMAR</t>
        </is>
      </c>
      <c r="G253" t="n">
        <v>1</v>
      </c>
      <c r="H253" t="n">
        <v>0</v>
      </c>
      <c r="I253" t="n">
        <v>0</v>
      </c>
      <c r="J253" t="n">
        <v>0</v>
      </c>
      <c r="K253" t="n">
        <v>0</v>
      </c>
      <c r="L253" t="n">
        <v>0</v>
      </c>
      <c r="M253" t="n">
        <v>0</v>
      </c>
      <c r="N253" t="n">
        <v>0</v>
      </c>
      <c r="O253" t="n">
        <v>0</v>
      </c>
      <c r="P253" t="n">
        <v>0</v>
      </c>
      <c r="Q253" t="n">
        <v>0</v>
      </c>
      <c r="R253" s="2" t="inlineStr"/>
    </row>
    <row r="254" ht="15" customHeight="1">
      <c r="A254" t="inlineStr">
        <is>
          <t>A 5344-2025</t>
        </is>
      </c>
      <c r="B254" s="1" t="n">
        <v>45692</v>
      </c>
      <c r="C254" s="1" t="n">
        <v>45989</v>
      </c>
      <c r="D254" t="inlineStr">
        <is>
          <t>UPPSALA LÄN</t>
        </is>
      </c>
      <c r="E254" t="inlineStr">
        <is>
          <t>ÖSTHAMMAR</t>
        </is>
      </c>
      <c r="F254" t="inlineStr">
        <is>
          <t>Bergvik skog öst AB</t>
        </is>
      </c>
      <c r="G254" t="n">
        <v>3.2</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45989</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52661-2022</t>
        </is>
      </c>
      <c r="B256" s="1" t="n">
        <v>44874</v>
      </c>
      <c r="C256" s="1" t="n">
        <v>45989</v>
      </c>
      <c r="D256" t="inlineStr">
        <is>
          <t>UPPSALA LÄN</t>
        </is>
      </c>
      <c r="E256" t="inlineStr">
        <is>
          <t>ÖSTHAMMAR</t>
        </is>
      </c>
      <c r="F256" t="inlineStr">
        <is>
          <t>Bergvik skog öst AB</t>
        </is>
      </c>
      <c r="G256" t="n">
        <v>0.2</v>
      </c>
      <c r="H256" t="n">
        <v>0</v>
      </c>
      <c r="I256" t="n">
        <v>0</v>
      </c>
      <c r="J256" t="n">
        <v>0</v>
      </c>
      <c r="K256" t="n">
        <v>0</v>
      </c>
      <c r="L256" t="n">
        <v>0</v>
      </c>
      <c r="M256" t="n">
        <v>0</v>
      </c>
      <c r="N256" t="n">
        <v>0</v>
      </c>
      <c r="O256" t="n">
        <v>0</v>
      </c>
      <c r="P256" t="n">
        <v>0</v>
      </c>
      <c r="Q256" t="n">
        <v>0</v>
      </c>
      <c r="R256" s="2" t="inlineStr"/>
    </row>
    <row r="257" ht="15" customHeight="1">
      <c r="A257" t="inlineStr">
        <is>
          <t>A 3732-2022</t>
        </is>
      </c>
      <c r="B257" s="1" t="n">
        <v>44586.64851851852</v>
      </c>
      <c r="C257" s="1" t="n">
        <v>45989</v>
      </c>
      <c r="D257" t="inlineStr">
        <is>
          <t>UPPSALA LÄN</t>
        </is>
      </c>
      <c r="E257" t="inlineStr">
        <is>
          <t>ÖSTHAMMAR</t>
        </is>
      </c>
      <c r="F257" t="inlineStr">
        <is>
          <t>Bergvik skog öst AB</t>
        </is>
      </c>
      <c r="G257" t="n">
        <v>3.6</v>
      </c>
      <c r="H257" t="n">
        <v>0</v>
      </c>
      <c r="I257" t="n">
        <v>0</v>
      </c>
      <c r="J257" t="n">
        <v>0</v>
      </c>
      <c r="K257" t="n">
        <v>0</v>
      </c>
      <c r="L257" t="n">
        <v>0</v>
      </c>
      <c r="M257" t="n">
        <v>0</v>
      </c>
      <c r="N257" t="n">
        <v>0</v>
      </c>
      <c r="O257" t="n">
        <v>0</v>
      </c>
      <c r="P257" t="n">
        <v>0</v>
      </c>
      <c r="Q257" t="n">
        <v>0</v>
      </c>
      <c r="R257" s="2" t="inlineStr"/>
    </row>
    <row r="258" ht="15" customHeight="1">
      <c r="A258" t="inlineStr">
        <is>
          <t>A 38003-2024</t>
        </is>
      </c>
      <c r="B258" s="1" t="n">
        <v>45544</v>
      </c>
      <c r="C258" s="1" t="n">
        <v>45989</v>
      </c>
      <c r="D258" t="inlineStr">
        <is>
          <t>UPPSALA LÄN</t>
        </is>
      </c>
      <c r="E258" t="inlineStr">
        <is>
          <t>ÖSTHAMMAR</t>
        </is>
      </c>
      <c r="F258" t="inlineStr">
        <is>
          <t>Naturvårdsverket</t>
        </is>
      </c>
      <c r="G258" t="n">
        <v>4.2</v>
      </c>
      <c r="H258" t="n">
        <v>0</v>
      </c>
      <c r="I258" t="n">
        <v>0</v>
      </c>
      <c r="J258" t="n">
        <v>0</v>
      </c>
      <c r="K258" t="n">
        <v>0</v>
      </c>
      <c r="L258" t="n">
        <v>0</v>
      </c>
      <c r="M258" t="n">
        <v>0</v>
      </c>
      <c r="N258" t="n">
        <v>0</v>
      </c>
      <c r="O258" t="n">
        <v>0</v>
      </c>
      <c r="P258" t="n">
        <v>0</v>
      </c>
      <c r="Q258" t="n">
        <v>0</v>
      </c>
      <c r="R258" s="2" t="inlineStr"/>
    </row>
    <row r="259" ht="15" customHeight="1">
      <c r="A259" t="inlineStr">
        <is>
          <t>A 1575-2025</t>
        </is>
      </c>
      <c r="B259" s="1" t="n">
        <v>45670</v>
      </c>
      <c r="C259" s="1" t="n">
        <v>45989</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16141-2022</t>
        </is>
      </c>
      <c r="B260" s="1" t="n">
        <v>44665</v>
      </c>
      <c r="C260" s="1" t="n">
        <v>45989</v>
      </c>
      <c r="D260" t="inlineStr">
        <is>
          <t>UPPSALA LÄN</t>
        </is>
      </c>
      <c r="E260" t="inlineStr">
        <is>
          <t>ÖSTHAMMAR</t>
        </is>
      </c>
      <c r="F260" t="inlineStr">
        <is>
          <t>Bergvik skog öst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28152-2024</t>
        </is>
      </c>
      <c r="B261" s="1" t="n">
        <v>45476.77056712963</v>
      </c>
      <c r="C261" s="1" t="n">
        <v>45989</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26521-2025</t>
        </is>
      </c>
      <c r="B262" s="1" t="n">
        <v>45807.56275462963</v>
      </c>
      <c r="C262" s="1" t="n">
        <v>45989</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26526-2025</t>
        </is>
      </c>
      <c r="B263" s="1" t="n">
        <v>45807.56612268519</v>
      </c>
      <c r="C263" s="1" t="n">
        <v>45989</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40044-2025</t>
        </is>
      </c>
      <c r="B264" s="1" t="n">
        <v>45894.40133101852</v>
      </c>
      <c r="C264" s="1" t="n">
        <v>45989</v>
      </c>
      <c r="D264" t="inlineStr">
        <is>
          <t>UPPSALA LÄN</t>
        </is>
      </c>
      <c r="E264" t="inlineStr">
        <is>
          <t>ÖSTHAMMAR</t>
        </is>
      </c>
      <c r="F264" t="inlineStr">
        <is>
          <t>Kyrkan</t>
        </is>
      </c>
      <c r="G264" t="n">
        <v>8.9</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45989</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57453-2022</t>
        </is>
      </c>
      <c r="B266" s="1" t="n">
        <v>44896.56266203704</v>
      </c>
      <c r="C266" s="1" t="n">
        <v>45989</v>
      </c>
      <c r="D266" t="inlineStr">
        <is>
          <t>UPPSALA LÄN</t>
        </is>
      </c>
      <c r="E266" t="inlineStr">
        <is>
          <t>ÖSTHAMMAR</t>
        </is>
      </c>
      <c r="G266" t="n">
        <v>1.7</v>
      </c>
      <c r="H266" t="n">
        <v>0</v>
      </c>
      <c r="I266" t="n">
        <v>0</v>
      </c>
      <c r="J266" t="n">
        <v>0</v>
      </c>
      <c r="K266" t="n">
        <v>0</v>
      </c>
      <c r="L266" t="n">
        <v>0</v>
      </c>
      <c r="M266" t="n">
        <v>0</v>
      </c>
      <c r="N266" t="n">
        <v>0</v>
      </c>
      <c r="O266" t="n">
        <v>0</v>
      </c>
      <c r="P266" t="n">
        <v>0</v>
      </c>
      <c r="Q266" t="n">
        <v>0</v>
      </c>
      <c r="R266" s="2" t="inlineStr"/>
    </row>
    <row r="267" ht="15" customHeight="1">
      <c r="A267" t="inlineStr">
        <is>
          <t>A 57462-2022</t>
        </is>
      </c>
      <c r="B267" s="1" t="n">
        <v>44896.57527777777</v>
      </c>
      <c r="C267" s="1" t="n">
        <v>45989</v>
      </c>
      <c r="D267" t="inlineStr">
        <is>
          <t>UPPSALA LÄN</t>
        </is>
      </c>
      <c r="E267" t="inlineStr">
        <is>
          <t>ÖSTHAMMAR</t>
        </is>
      </c>
      <c r="G267" t="n">
        <v>1.9</v>
      </c>
      <c r="H267" t="n">
        <v>0</v>
      </c>
      <c r="I267" t="n">
        <v>0</v>
      </c>
      <c r="J267" t="n">
        <v>0</v>
      </c>
      <c r="K267" t="n">
        <v>0</v>
      </c>
      <c r="L267" t="n">
        <v>0</v>
      </c>
      <c r="M267" t="n">
        <v>0</v>
      </c>
      <c r="N267" t="n">
        <v>0</v>
      </c>
      <c r="O267" t="n">
        <v>0</v>
      </c>
      <c r="P267" t="n">
        <v>0</v>
      </c>
      <c r="Q267" t="n">
        <v>0</v>
      </c>
      <c r="R267" s="2" t="inlineStr"/>
    </row>
    <row r="268" ht="15" customHeight="1">
      <c r="A268" t="inlineStr">
        <is>
          <t>A 2839-2025</t>
        </is>
      </c>
      <c r="B268" s="1" t="n">
        <v>45677</v>
      </c>
      <c r="C268" s="1" t="n">
        <v>45989</v>
      </c>
      <c r="D268" t="inlineStr">
        <is>
          <t>UPPSALA LÄN</t>
        </is>
      </c>
      <c r="E268" t="inlineStr">
        <is>
          <t>ÖSTHAMMAR</t>
        </is>
      </c>
      <c r="F268" t="inlineStr">
        <is>
          <t>Övriga Aktiebolag</t>
        </is>
      </c>
      <c r="G268" t="n">
        <v>4</v>
      </c>
      <c r="H268" t="n">
        <v>0</v>
      </c>
      <c r="I268" t="n">
        <v>0</v>
      </c>
      <c r="J268" t="n">
        <v>0</v>
      </c>
      <c r="K268" t="n">
        <v>0</v>
      </c>
      <c r="L268" t="n">
        <v>0</v>
      </c>
      <c r="M268" t="n">
        <v>0</v>
      </c>
      <c r="N268" t="n">
        <v>0</v>
      </c>
      <c r="O268" t="n">
        <v>0</v>
      </c>
      <c r="P268" t="n">
        <v>0</v>
      </c>
      <c r="Q268" t="n">
        <v>0</v>
      </c>
      <c r="R268" s="2" t="inlineStr"/>
    </row>
    <row r="269" ht="15" customHeight="1">
      <c r="A269" t="inlineStr">
        <is>
          <t>A 2947-2025</t>
        </is>
      </c>
      <c r="B269" s="1" t="n">
        <v>45678</v>
      </c>
      <c r="C269" s="1" t="n">
        <v>45989</v>
      </c>
      <c r="D269" t="inlineStr">
        <is>
          <t>UPPSALA LÄN</t>
        </is>
      </c>
      <c r="E269" t="inlineStr">
        <is>
          <t>ÖSTHAMMAR</t>
        </is>
      </c>
      <c r="G269" t="n">
        <v>3.6</v>
      </c>
      <c r="H269" t="n">
        <v>0</v>
      </c>
      <c r="I269" t="n">
        <v>0</v>
      </c>
      <c r="J269" t="n">
        <v>0</v>
      </c>
      <c r="K269" t="n">
        <v>0</v>
      </c>
      <c r="L269" t="n">
        <v>0</v>
      </c>
      <c r="M269" t="n">
        <v>0</v>
      </c>
      <c r="N269" t="n">
        <v>0</v>
      </c>
      <c r="O269" t="n">
        <v>0</v>
      </c>
      <c r="P269" t="n">
        <v>0</v>
      </c>
      <c r="Q269" t="n">
        <v>0</v>
      </c>
      <c r="R269" s="2" t="inlineStr"/>
    </row>
    <row r="270" ht="15" customHeight="1">
      <c r="A270" t="inlineStr">
        <is>
          <t>A 27395-2025</t>
        </is>
      </c>
      <c r="B270" s="1" t="n">
        <v>45812.6850462963</v>
      </c>
      <c r="C270" s="1" t="n">
        <v>45989</v>
      </c>
      <c r="D270" t="inlineStr">
        <is>
          <t>UPPSALA LÄN</t>
        </is>
      </c>
      <c r="E270" t="inlineStr">
        <is>
          <t>ÖSTHAMMAR</t>
        </is>
      </c>
      <c r="F270" t="inlineStr">
        <is>
          <t>Bergvik skog öst AB</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27347-2025</t>
        </is>
      </c>
      <c r="B271" s="1" t="n">
        <v>45812.62390046296</v>
      </c>
      <c r="C271" s="1" t="n">
        <v>45989</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27383-2025</t>
        </is>
      </c>
      <c r="B272" s="1" t="n">
        <v>45812.66628472223</v>
      </c>
      <c r="C272" s="1" t="n">
        <v>45989</v>
      </c>
      <c r="D272" t="inlineStr">
        <is>
          <t>UPPSALA LÄN</t>
        </is>
      </c>
      <c r="E272" t="inlineStr">
        <is>
          <t>ÖSTHAMMAR</t>
        </is>
      </c>
      <c r="G272" t="n">
        <v>0.7</v>
      </c>
      <c r="H272" t="n">
        <v>0</v>
      </c>
      <c r="I272" t="n">
        <v>0</v>
      </c>
      <c r="J272" t="n">
        <v>0</v>
      </c>
      <c r="K272" t="n">
        <v>0</v>
      </c>
      <c r="L272" t="n">
        <v>0</v>
      </c>
      <c r="M272" t="n">
        <v>0</v>
      </c>
      <c r="N272" t="n">
        <v>0</v>
      </c>
      <c r="O272" t="n">
        <v>0</v>
      </c>
      <c r="P272" t="n">
        <v>0</v>
      </c>
      <c r="Q272" t="n">
        <v>0</v>
      </c>
      <c r="R272" s="2" t="inlineStr"/>
    </row>
    <row r="273" ht="15" customHeight="1">
      <c r="A273" t="inlineStr">
        <is>
          <t>A 27385-2025</t>
        </is>
      </c>
      <c r="B273" s="1" t="n">
        <v>45812.66829861111</v>
      </c>
      <c r="C273" s="1" t="n">
        <v>45989</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27352-2025</t>
        </is>
      </c>
      <c r="B274" s="1" t="n">
        <v>45812.62694444445</v>
      </c>
      <c r="C274" s="1" t="n">
        <v>45989</v>
      </c>
      <c r="D274" t="inlineStr">
        <is>
          <t>UPPSALA LÄN</t>
        </is>
      </c>
      <c r="E274" t="inlineStr">
        <is>
          <t>ÖSTHAMMAR</t>
        </is>
      </c>
      <c r="G274" t="n">
        <v>2.5</v>
      </c>
      <c r="H274" t="n">
        <v>0</v>
      </c>
      <c r="I274" t="n">
        <v>0</v>
      </c>
      <c r="J274" t="n">
        <v>0</v>
      </c>
      <c r="K274" t="n">
        <v>0</v>
      </c>
      <c r="L274" t="n">
        <v>0</v>
      </c>
      <c r="M274" t="n">
        <v>0</v>
      </c>
      <c r="N274" t="n">
        <v>0</v>
      </c>
      <c r="O274" t="n">
        <v>0</v>
      </c>
      <c r="P274" t="n">
        <v>0</v>
      </c>
      <c r="Q274" t="n">
        <v>0</v>
      </c>
      <c r="R274" s="2" t="inlineStr"/>
    </row>
    <row r="275" ht="15" customHeight="1">
      <c r="A275" t="inlineStr">
        <is>
          <t>A 27131-2025</t>
        </is>
      </c>
      <c r="B275" s="1" t="n">
        <v>45811</v>
      </c>
      <c r="C275" s="1" t="n">
        <v>45989</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40416-2025</t>
        </is>
      </c>
      <c r="B276" s="1" t="n">
        <v>45895.57736111111</v>
      </c>
      <c r="C276" s="1" t="n">
        <v>45989</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27392-2025</t>
        </is>
      </c>
      <c r="B277" s="1" t="n">
        <v>45812.68268518519</v>
      </c>
      <c r="C277" s="1" t="n">
        <v>45989</v>
      </c>
      <c r="D277" t="inlineStr">
        <is>
          <t>UPPSALA LÄN</t>
        </is>
      </c>
      <c r="E277" t="inlineStr">
        <is>
          <t>ÖSTHAMMAR</t>
        </is>
      </c>
      <c r="F277" t="inlineStr">
        <is>
          <t>Bergvik skog öst AB</t>
        </is>
      </c>
      <c r="G277" t="n">
        <v>2.1</v>
      </c>
      <c r="H277" t="n">
        <v>0</v>
      </c>
      <c r="I277" t="n">
        <v>0</v>
      </c>
      <c r="J277" t="n">
        <v>0</v>
      </c>
      <c r="K277" t="n">
        <v>0</v>
      </c>
      <c r="L277" t="n">
        <v>0</v>
      </c>
      <c r="M277" t="n">
        <v>0</v>
      </c>
      <c r="N277" t="n">
        <v>0</v>
      </c>
      <c r="O277" t="n">
        <v>0</v>
      </c>
      <c r="P277" t="n">
        <v>0</v>
      </c>
      <c r="Q277" t="n">
        <v>0</v>
      </c>
      <c r="R277" s="2" t="inlineStr"/>
    </row>
    <row r="278" ht="15" customHeight="1">
      <c r="A278" t="inlineStr">
        <is>
          <t>A 40377-2025</t>
        </is>
      </c>
      <c r="B278" s="1" t="n">
        <v>45895.53020833333</v>
      </c>
      <c r="C278" s="1" t="n">
        <v>45989</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40462-2025</t>
        </is>
      </c>
      <c r="B279" s="1" t="n">
        <v>45895.65179398148</v>
      </c>
      <c r="C279" s="1" t="n">
        <v>45989</v>
      </c>
      <c r="D279" t="inlineStr">
        <is>
          <t>UPPSALA LÄN</t>
        </is>
      </c>
      <c r="E279" t="inlineStr">
        <is>
          <t>ÖSTHAMMAR</t>
        </is>
      </c>
      <c r="G279" t="n">
        <v>4.5</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45989</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27058-2025</t>
        </is>
      </c>
      <c r="B281" s="1" t="n">
        <v>45811.63436342592</v>
      </c>
      <c r="C281" s="1" t="n">
        <v>45989</v>
      </c>
      <c r="D281" t="inlineStr">
        <is>
          <t>UPPSALA LÄN</t>
        </is>
      </c>
      <c r="E281" t="inlineStr">
        <is>
          <t>ÖSTHAMMAR</t>
        </is>
      </c>
      <c r="F281" t="inlineStr">
        <is>
          <t>Bergvik skog öst AB</t>
        </is>
      </c>
      <c r="G281" t="n">
        <v>5.7</v>
      </c>
      <c r="H281" t="n">
        <v>0</v>
      </c>
      <c r="I281" t="n">
        <v>0</v>
      </c>
      <c r="J281" t="n">
        <v>0</v>
      </c>
      <c r="K281" t="n">
        <v>0</v>
      </c>
      <c r="L281" t="n">
        <v>0</v>
      </c>
      <c r="M281" t="n">
        <v>0</v>
      </c>
      <c r="N281" t="n">
        <v>0</v>
      </c>
      <c r="O281" t="n">
        <v>0</v>
      </c>
      <c r="P281" t="n">
        <v>0</v>
      </c>
      <c r="Q281" t="n">
        <v>0</v>
      </c>
      <c r="R281" s="2" t="inlineStr"/>
    </row>
    <row r="282" ht="15" customHeight="1">
      <c r="A282" t="inlineStr">
        <is>
          <t>A 40382-2025</t>
        </is>
      </c>
      <c r="B282" s="1" t="n">
        <v>45895.53689814815</v>
      </c>
      <c r="C282" s="1" t="n">
        <v>45989</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45989</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40460-2025</t>
        </is>
      </c>
      <c r="B284" s="1" t="n">
        <v>45895.65013888889</v>
      </c>
      <c r="C284" s="1" t="n">
        <v>45989</v>
      </c>
      <c r="D284" t="inlineStr">
        <is>
          <t>UPPSALA LÄN</t>
        </is>
      </c>
      <c r="E284" t="inlineStr">
        <is>
          <t>ÖSTHAMMAR</t>
        </is>
      </c>
      <c r="G284" t="n">
        <v>2.7</v>
      </c>
      <c r="H284" t="n">
        <v>0</v>
      </c>
      <c r="I284" t="n">
        <v>0</v>
      </c>
      <c r="J284" t="n">
        <v>0</v>
      </c>
      <c r="K284" t="n">
        <v>0</v>
      </c>
      <c r="L284" t="n">
        <v>0</v>
      </c>
      <c r="M284" t="n">
        <v>0</v>
      </c>
      <c r="N284" t="n">
        <v>0</v>
      </c>
      <c r="O284" t="n">
        <v>0</v>
      </c>
      <c r="P284" t="n">
        <v>0</v>
      </c>
      <c r="Q284" t="n">
        <v>0</v>
      </c>
      <c r="R284" s="2" t="inlineStr"/>
    </row>
    <row r="285" ht="15" customHeight="1">
      <c r="A285" t="inlineStr">
        <is>
          <t>A 27350-2025</t>
        </is>
      </c>
      <c r="B285" s="1" t="n">
        <v>45812.62571759259</v>
      </c>
      <c r="C285" s="1" t="n">
        <v>45989</v>
      </c>
      <c r="D285" t="inlineStr">
        <is>
          <t>UPPSALA LÄN</t>
        </is>
      </c>
      <c r="E285" t="inlineStr">
        <is>
          <t>ÖSTHAMMAR</t>
        </is>
      </c>
      <c r="G285" t="n">
        <v>1</v>
      </c>
      <c r="H285" t="n">
        <v>0</v>
      </c>
      <c r="I285" t="n">
        <v>0</v>
      </c>
      <c r="J285" t="n">
        <v>0</v>
      </c>
      <c r="K285" t="n">
        <v>0</v>
      </c>
      <c r="L285" t="n">
        <v>0</v>
      </c>
      <c r="M285" t="n">
        <v>0</v>
      </c>
      <c r="N285" t="n">
        <v>0</v>
      </c>
      <c r="O285" t="n">
        <v>0</v>
      </c>
      <c r="P285" t="n">
        <v>0</v>
      </c>
      <c r="Q285" t="n">
        <v>0</v>
      </c>
      <c r="R285" s="2" t="inlineStr"/>
    </row>
    <row r="286" ht="15" customHeight="1">
      <c r="A286" t="inlineStr">
        <is>
          <t>A 27132-2025</t>
        </is>
      </c>
      <c r="B286" s="1" t="n">
        <v>45811</v>
      </c>
      <c r="C286" s="1" t="n">
        <v>45989</v>
      </c>
      <c r="D286" t="inlineStr">
        <is>
          <t>UPPSALA LÄN</t>
        </is>
      </c>
      <c r="E286" t="inlineStr">
        <is>
          <t>ÖSTHAMMAR</t>
        </is>
      </c>
      <c r="G286" t="n">
        <v>2.3</v>
      </c>
      <c r="H286" t="n">
        <v>0</v>
      </c>
      <c r="I286" t="n">
        <v>0</v>
      </c>
      <c r="J286" t="n">
        <v>0</v>
      </c>
      <c r="K286" t="n">
        <v>0</v>
      </c>
      <c r="L286" t="n">
        <v>0</v>
      </c>
      <c r="M286" t="n">
        <v>0</v>
      </c>
      <c r="N286" t="n">
        <v>0</v>
      </c>
      <c r="O286" t="n">
        <v>0</v>
      </c>
      <c r="P286" t="n">
        <v>0</v>
      </c>
      <c r="Q286" t="n">
        <v>0</v>
      </c>
      <c r="R286" s="2" t="inlineStr"/>
    </row>
    <row r="287" ht="15" customHeight="1">
      <c r="A287" t="inlineStr">
        <is>
          <t>A 8330-2025</t>
        </is>
      </c>
      <c r="B287" s="1" t="n">
        <v>45708</v>
      </c>
      <c r="C287" s="1" t="n">
        <v>45989</v>
      </c>
      <c r="D287" t="inlineStr">
        <is>
          <t>UPPSALA LÄN</t>
        </is>
      </c>
      <c r="E287" t="inlineStr">
        <is>
          <t>ÖSTHAMMAR</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27563-2025</t>
        </is>
      </c>
      <c r="B288" s="1" t="n">
        <v>45813.48471064815</v>
      </c>
      <c r="C288" s="1" t="n">
        <v>45989</v>
      </c>
      <c r="D288" t="inlineStr">
        <is>
          <t>UPPSALA LÄN</t>
        </is>
      </c>
      <c r="E288" t="inlineStr">
        <is>
          <t>ÖSTHAMMAR</t>
        </is>
      </c>
      <c r="F288" t="inlineStr">
        <is>
          <t>Bergvik skog öst AB</t>
        </is>
      </c>
      <c r="G288" t="n">
        <v>4</v>
      </c>
      <c r="H288" t="n">
        <v>0</v>
      </c>
      <c r="I288" t="n">
        <v>0</v>
      </c>
      <c r="J288" t="n">
        <v>0</v>
      </c>
      <c r="K288" t="n">
        <v>0</v>
      </c>
      <c r="L288" t="n">
        <v>0</v>
      </c>
      <c r="M288" t="n">
        <v>0</v>
      </c>
      <c r="N288" t="n">
        <v>0</v>
      </c>
      <c r="O288" t="n">
        <v>0</v>
      </c>
      <c r="P288" t="n">
        <v>0</v>
      </c>
      <c r="Q288" t="n">
        <v>0</v>
      </c>
      <c r="R288" s="2" t="inlineStr"/>
    </row>
    <row r="289" ht="15" customHeight="1">
      <c r="A289" t="inlineStr">
        <is>
          <t>A 27920-2025</t>
        </is>
      </c>
      <c r="B289" s="1" t="n">
        <v>45817.48454861111</v>
      </c>
      <c r="C289" s="1" t="n">
        <v>45989</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61817-2021</t>
        </is>
      </c>
      <c r="B290" s="1" t="n">
        <v>44501.76855324074</v>
      </c>
      <c r="C290" s="1" t="n">
        <v>45989</v>
      </c>
      <c r="D290" t="inlineStr">
        <is>
          <t>UPPSALA LÄN</t>
        </is>
      </c>
      <c r="E290" t="inlineStr">
        <is>
          <t>ÖSTHAMMAR</t>
        </is>
      </c>
      <c r="F290" t="inlineStr">
        <is>
          <t>Bergvik skog öst AB</t>
        </is>
      </c>
      <c r="G290" t="n">
        <v>2.3</v>
      </c>
      <c r="H290" t="n">
        <v>0</v>
      </c>
      <c r="I290" t="n">
        <v>0</v>
      </c>
      <c r="J290" t="n">
        <v>0</v>
      </c>
      <c r="K290" t="n">
        <v>0</v>
      </c>
      <c r="L290" t="n">
        <v>0</v>
      </c>
      <c r="M290" t="n">
        <v>0</v>
      </c>
      <c r="N290" t="n">
        <v>0</v>
      </c>
      <c r="O290" t="n">
        <v>0</v>
      </c>
      <c r="P290" t="n">
        <v>0</v>
      </c>
      <c r="Q290" t="n">
        <v>0</v>
      </c>
      <c r="R290" s="2" t="inlineStr"/>
    </row>
    <row r="291" ht="15" customHeight="1">
      <c r="A291" t="inlineStr">
        <is>
          <t>A 73982-2021</t>
        </is>
      </c>
      <c r="B291" s="1" t="n">
        <v>44555.80339120371</v>
      </c>
      <c r="C291" s="1" t="n">
        <v>45989</v>
      </c>
      <c r="D291" t="inlineStr">
        <is>
          <t>UPPSALA LÄN</t>
        </is>
      </c>
      <c r="E291" t="inlineStr">
        <is>
          <t>ÖSTHAMMAR</t>
        </is>
      </c>
      <c r="G291" t="n">
        <v>0.9</v>
      </c>
      <c r="H291" t="n">
        <v>0</v>
      </c>
      <c r="I291" t="n">
        <v>0</v>
      </c>
      <c r="J291" t="n">
        <v>0</v>
      </c>
      <c r="K291" t="n">
        <v>0</v>
      </c>
      <c r="L291" t="n">
        <v>0</v>
      </c>
      <c r="M291" t="n">
        <v>0</v>
      </c>
      <c r="N291" t="n">
        <v>0</v>
      </c>
      <c r="O291" t="n">
        <v>0</v>
      </c>
      <c r="P291" t="n">
        <v>0</v>
      </c>
      <c r="Q291" t="n">
        <v>0</v>
      </c>
      <c r="R291" s="2" t="inlineStr"/>
    </row>
    <row r="292" ht="15" customHeight="1">
      <c r="A292" t="inlineStr">
        <is>
          <t>A 14859-2025</t>
        </is>
      </c>
      <c r="B292" s="1" t="n">
        <v>45743.42427083333</v>
      </c>
      <c r="C292" s="1" t="n">
        <v>45989</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14272-2025</t>
        </is>
      </c>
      <c r="B293" s="1" t="n">
        <v>45740.64327546296</v>
      </c>
      <c r="C293" s="1" t="n">
        <v>45989</v>
      </c>
      <c r="D293" t="inlineStr">
        <is>
          <t>UPPSALA LÄN</t>
        </is>
      </c>
      <c r="E293" t="inlineStr">
        <is>
          <t>ÖSTHAMMAR</t>
        </is>
      </c>
      <c r="G293" t="n">
        <v>5.7</v>
      </c>
      <c r="H293" t="n">
        <v>0</v>
      </c>
      <c r="I293" t="n">
        <v>0</v>
      </c>
      <c r="J293" t="n">
        <v>0</v>
      </c>
      <c r="K293" t="n">
        <v>0</v>
      </c>
      <c r="L293" t="n">
        <v>0</v>
      </c>
      <c r="M293" t="n">
        <v>0</v>
      </c>
      <c r="N293" t="n">
        <v>0</v>
      </c>
      <c r="O293" t="n">
        <v>0</v>
      </c>
      <c r="P293" t="n">
        <v>0</v>
      </c>
      <c r="Q293" t="n">
        <v>0</v>
      </c>
      <c r="R293" s="2" t="inlineStr"/>
    </row>
    <row r="294" ht="15" customHeight="1">
      <c r="A294" t="inlineStr">
        <is>
          <t>A 27660-2023</t>
        </is>
      </c>
      <c r="B294" s="1" t="n">
        <v>45097</v>
      </c>
      <c r="C294" s="1" t="n">
        <v>45989</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27812-2025</t>
        </is>
      </c>
      <c r="B295" s="1" t="n">
        <v>45817.32150462963</v>
      </c>
      <c r="C295" s="1" t="n">
        <v>45989</v>
      </c>
      <c r="D295" t="inlineStr">
        <is>
          <t>UPPSALA LÄN</t>
        </is>
      </c>
      <c r="E295" t="inlineStr">
        <is>
          <t>ÖSTHAMMAR</t>
        </is>
      </c>
      <c r="F295" t="inlineStr">
        <is>
          <t>Bergvik skog öst AB</t>
        </is>
      </c>
      <c r="G295" t="n">
        <v>1.8</v>
      </c>
      <c r="H295" t="n">
        <v>0</v>
      </c>
      <c r="I295" t="n">
        <v>0</v>
      </c>
      <c r="J295" t="n">
        <v>0</v>
      </c>
      <c r="K295" t="n">
        <v>0</v>
      </c>
      <c r="L295" t="n">
        <v>0</v>
      </c>
      <c r="M295" t="n">
        <v>0</v>
      </c>
      <c r="N295" t="n">
        <v>0</v>
      </c>
      <c r="O295" t="n">
        <v>0</v>
      </c>
      <c r="P295" t="n">
        <v>0</v>
      </c>
      <c r="Q295" t="n">
        <v>0</v>
      </c>
      <c r="R295" s="2" t="inlineStr"/>
    </row>
    <row r="296" ht="15" customHeight="1">
      <c r="A296" t="inlineStr">
        <is>
          <t>A 24401-2025</t>
        </is>
      </c>
      <c r="B296" s="1" t="n">
        <v>45797.64908564815</v>
      </c>
      <c r="C296" s="1" t="n">
        <v>45989</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27919-2025</t>
        </is>
      </c>
      <c r="B297" s="1" t="n">
        <v>45817.48384259259</v>
      </c>
      <c r="C297" s="1" t="n">
        <v>45989</v>
      </c>
      <c r="D297" t="inlineStr">
        <is>
          <t>UPPSALA LÄN</t>
        </is>
      </c>
      <c r="E297" t="inlineStr">
        <is>
          <t>ÖSTHAMMAR</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27853-2025</t>
        </is>
      </c>
      <c r="B298" s="1" t="n">
        <v>45817.40178240741</v>
      </c>
      <c r="C298" s="1" t="n">
        <v>45989</v>
      </c>
      <c r="D298" t="inlineStr">
        <is>
          <t>UPPSALA LÄN</t>
        </is>
      </c>
      <c r="E298" t="inlineStr">
        <is>
          <t>ÖSTHAMMAR</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27509-2025</t>
        </is>
      </c>
      <c r="B299" s="1" t="n">
        <v>45813.4278125</v>
      </c>
      <c r="C299" s="1" t="n">
        <v>45989</v>
      </c>
      <c r="D299" t="inlineStr">
        <is>
          <t>UPPSALA LÄN</t>
        </is>
      </c>
      <c r="E299" t="inlineStr">
        <is>
          <t>ÖSTHAMMAR</t>
        </is>
      </c>
      <c r="F299" t="inlineStr">
        <is>
          <t>Bergvik skog öst AB</t>
        </is>
      </c>
      <c r="G299" t="n">
        <v>3.3</v>
      </c>
      <c r="H299" t="n">
        <v>0</v>
      </c>
      <c r="I299" t="n">
        <v>0</v>
      </c>
      <c r="J299" t="n">
        <v>0</v>
      </c>
      <c r="K299" t="n">
        <v>0</v>
      </c>
      <c r="L299" t="n">
        <v>0</v>
      </c>
      <c r="M299" t="n">
        <v>0</v>
      </c>
      <c r="N299" t="n">
        <v>0</v>
      </c>
      <c r="O299" t="n">
        <v>0</v>
      </c>
      <c r="P299" t="n">
        <v>0</v>
      </c>
      <c r="Q299" t="n">
        <v>0</v>
      </c>
      <c r="R299" s="2" t="inlineStr"/>
    </row>
    <row r="300" ht="15" customHeight="1">
      <c r="A300" t="inlineStr">
        <is>
          <t>A 62394-2022</t>
        </is>
      </c>
      <c r="B300" s="1" t="n">
        <v>44923.82017361111</v>
      </c>
      <c r="C300" s="1" t="n">
        <v>45989</v>
      </c>
      <c r="D300" t="inlineStr">
        <is>
          <t>UPPSALA LÄN</t>
        </is>
      </c>
      <c r="E300" t="inlineStr">
        <is>
          <t>ÖSTHAMMAR</t>
        </is>
      </c>
      <c r="F300" t="inlineStr">
        <is>
          <t>Bergvik skog öst AB</t>
        </is>
      </c>
      <c r="G300" t="n">
        <v>0.5</v>
      </c>
      <c r="H300" t="n">
        <v>0</v>
      </c>
      <c r="I300" t="n">
        <v>0</v>
      </c>
      <c r="J300" t="n">
        <v>0</v>
      </c>
      <c r="K300" t="n">
        <v>0</v>
      </c>
      <c r="L300" t="n">
        <v>0</v>
      </c>
      <c r="M300" t="n">
        <v>0</v>
      </c>
      <c r="N300" t="n">
        <v>0</v>
      </c>
      <c r="O300" t="n">
        <v>0</v>
      </c>
      <c r="P300" t="n">
        <v>0</v>
      </c>
      <c r="Q300" t="n">
        <v>0</v>
      </c>
      <c r="R300" s="2" t="inlineStr"/>
    </row>
    <row r="301" ht="15" customHeight="1">
      <c r="A301" t="inlineStr">
        <is>
          <t>A 8908-2025</t>
        </is>
      </c>
      <c r="B301" s="1" t="n">
        <v>45713.4196875</v>
      </c>
      <c r="C301" s="1" t="n">
        <v>45989</v>
      </c>
      <c r="D301" t="inlineStr">
        <is>
          <t>UPPSALA LÄN</t>
        </is>
      </c>
      <c r="E301" t="inlineStr">
        <is>
          <t>ÖSTHAMMAR</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28745-2025</t>
        </is>
      </c>
      <c r="B302" s="1" t="n">
        <v>45820.39076388889</v>
      </c>
      <c r="C302" s="1" t="n">
        <v>45989</v>
      </c>
      <c r="D302" t="inlineStr">
        <is>
          <t>UPPSALA LÄN</t>
        </is>
      </c>
      <c r="E302" t="inlineStr">
        <is>
          <t>ÖSTHAMMAR</t>
        </is>
      </c>
      <c r="G302" t="n">
        <v>1.7</v>
      </c>
      <c r="H302" t="n">
        <v>0</v>
      </c>
      <c r="I302" t="n">
        <v>0</v>
      </c>
      <c r="J302" t="n">
        <v>0</v>
      </c>
      <c r="K302" t="n">
        <v>0</v>
      </c>
      <c r="L302" t="n">
        <v>0</v>
      </c>
      <c r="M302" t="n">
        <v>0</v>
      </c>
      <c r="N302" t="n">
        <v>0</v>
      </c>
      <c r="O302" t="n">
        <v>0</v>
      </c>
      <c r="P302" t="n">
        <v>0</v>
      </c>
      <c r="Q302" t="n">
        <v>0</v>
      </c>
      <c r="R302" s="2" t="inlineStr"/>
    </row>
    <row r="303" ht="15" customHeight="1">
      <c r="A303" t="inlineStr">
        <is>
          <t>A 41519-2025</t>
        </is>
      </c>
      <c r="B303" s="1" t="n">
        <v>45901.54751157408</v>
      </c>
      <c r="C303" s="1" t="n">
        <v>45989</v>
      </c>
      <c r="D303" t="inlineStr">
        <is>
          <t>UPPSALA LÄN</t>
        </is>
      </c>
      <c r="E303" t="inlineStr">
        <is>
          <t>ÖSTHAMMAR</t>
        </is>
      </c>
      <c r="F303" t="inlineStr">
        <is>
          <t>Övriga Aktiebolag</t>
        </is>
      </c>
      <c r="G303" t="n">
        <v>17.1</v>
      </c>
      <c r="H303" t="n">
        <v>0</v>
      </c>
      <c r="I303" t="n">
        <v>0</v>
      </c>
      <c r="J303" t="n">
        <v>0</v>
      </c>
      <c r="K303" t="n">
        <v>0</v>
      </c>
      <c r="L303" t="n">
        <v>0</v>
      </c>
      <c r="M303" t="n">
        <v>0</v>
      </c>
      <c r="N303" t="n">
        <v>0</v>
      </c>
      <c r="O303" t="n">
        <v>0</v>
      </c>
      <c r="P303" t="n">
        <v>0</v>
      </c>
      <c r="Q303" t="n">
        <v>0</v>
      </c>
      <c r="R303" s="2" t="inlineStr"/>
    </row>
    <row r="304" ht="15" customHeight="1">
      <c r="A304" t="inlineStr">
        <is>
          <t>A 28748-2025</t>
        </is>
      </c>
      <c r="B304" s="1" t="n">
        <v>45820.39540509259</v>
      </c>
      <c r="C304" s="1" t="n">
        <v>45989</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24408-2025</t>
        </is>
      </c>
      <c r="B305" s="1" t="n">
        <v>45797.65774305556</v>
      </c>
      <c r="C305" s="1" t="n">
        <v>45989</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28442-2025</t>
        </is>
      </c>
      <c r="B306" s="1" t="n">
        <v>45819</v>
      </c>
      <c r="C306" s="1" t="n">
        <v>45989</v>
      </c>
      <c r="D306" t="inlineStr">
        <is>
          <t>UPPSALA LÄN</t>
        </is>
      </c>
      <c r="E306" t="inlineStr">
        <is>
          <t>ÖSTHAMMAR</t>
        </is>
      </c>
      <c r="F306" t="inlineStr">
        <is>
          <t>Övriga Aktiebolag</t>
        </is>
      </c>
      <c r="G306" t="n">
        <v>1.8</v>
      </c>
      <c r="H306" t="n">
        <v>0</v>
      </c>
      <c r="I306" t="n">
        <v>0</v>
      </c>
      <c r="J306" t="n">
        <v>0</v>
      </c>
      <c r="K306" t="n">
        <v>0</v>
      </c>
      <c r="L306" t="n">
        <v>0</v>
      </c>
      <c r="M306" t="n">
        <v>0</v>
      </c>
      <c r="N306" t="n">
        <v>0</v>
      </c>
      <c r="O306" t="n">
        <v>0</v>
      </c>
      <c r="P306" t="n">
        <v>0</v>
      </c>
      <c r="Q306" t="n">
        <v>0</v>
      </c>
      <c r="R306" s="2" t="inlineStr"/>
    </row>
    <row r="307" ht="15" customHeight="1">
      <c r="A307" t="inlineStr">
        <is>
          <t>A 23728-2025</t>
        </is>
      </c>
      <c r="B307" s="1" t="n">
        <v>45793.41719907407</v>
      </c>
      <c r="C307" s="1" t="n">
        <v>45989</v>
      </c>
      <c r="D307" t="inlineStr">
        <is>
          <t>UPPSALA LÄN</t>
        </is>
      </c>
      <c r="E307" t="inlineStr">
        <is>
          <t>ÖSTHAMMAR</t>
        </is>
      </c>
      <c r="G307" t="n">
        <v>1.1</v>
      </c>
      <c r="H307" t="n">
        <v>0</v>
      </c>
      <c r="I307" t="n">
        <v>0</v>
      </c>
      <c r="J307" t="n">
        <v>0</v>
      </c>
      <c r="K307" t="n">
        <v>0</v>
      </c>
      <c r="L307" t="n">
        <v>0</v>
      </c>
      <c r="M307" t="n">
        <v>0</v>
      </c>
      <c r="N307" t="n">
        <v>0</v>
      </c>
      <c r="O307" t="n">
        <v>0</v>
      </c>
      <c r="P307" t="n">
        <v>0</v>
      </c>
      <c r="Q307" t="n">
        <v>0</v>
      </c>
      <c r="R307" s="2" t="inlineStr"/>
    </row>
    <row r="308" ht="15" customHeight="1">
      <c r="A308" t="inlineStr">
        <is>
          <t>A 28739-2025</t>
        </is>
      </c>
      <c r="B308" s="1" t="n">
        <v>45820</v>
      </c>
      <c r="C308" s="1" t="n">
        <v>45989</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27486-2025</t>
        </is>
      </c>
      <c r="B309" s="1" t="n">
        <v>45813.38521990741</v>
      </c>
      <c r="C309" s="1" t="n">
        <v>45989</v>
      </c>
      <c r="D309" t="inlineStr">
        <is>
          <t>UPPSALA LÄN</t>
        </is>
      </c>
      <c r="E309" t="inlineStr">
        <is>
          <t>ÖSTHAMMAR</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29029-2025</t>
        </is>
      </c>
      <c r="B310" s="1" t="n">
        <v>45821.43973379629</v>
      </c>
      <c r="C310" s="1" t="n">
        <v>45989</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29028-2025</t>
        </is>
      </c>
      <c r="B311" s="1" t="n">
        <v>45821.4384375</v>
      </c>
      <c r="C311" s="1" t="n">
        <v>45989</v>
      </c>
      <c r="D311" t="inlineStr">
        <is>
          <t>UPPSALA LÄN</t>
        </is>
      </c>
      <c r="E311" t="inlineStr">
        <is>
          <t>ÖSTHAMMAR</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6153-2022</t>
        </is>
      </c>
      <c r="B312" s="1" t="n">
        <v>44599</v>
      </c>
      <c r="C312" s="1" t="n">
        <v>45989</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29031-2025</t>
        </is>
      </c>
      <c r="B313" s="1" t="n">
        <v>45821.44159722222</v>
      </c>
      <c r="C313" s="1" t="n">
        <v>45989</v>
      </c>
      <c r="D313" t="inlineStr">
        <is>
          <t>UPPSALA LÄN</t>
        </is>
      </c>
      <c r="E313" t="inlineStr">
        <is>
          <t>ÖSTHAMMAR</t>
        </is>
      </c>
      <c r="F313" t="inlineStr">
        <is>
          <t>Bergvik skog öst AB</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27490-2025</t>
        </is>
      </c>
      <c r="B314" s="1" t="n">
        <v>45813.39273148148</v>
      </c>
      <c r="C314" s="1" t="n">
        <v>45989</v>
      </c>
      <c r="D314" t="inlineStr">
        <is>
          <t>UPPSALA LÄN</t>
        </is>
      </c>
      <c r="E314" t="inlineStr">
        <is>
          <t>ÖSTHAMMAR</t>
        </is>
      </c>
      <c r="F314" t="inlineStr">
        <is>
          <t>Bergvik skog öst AB</t>
        </is>
      </c>
      <c r="G314" t="n">
        <v>6.1</v>
      </c>
      <c r="H314" t="n">
        <v>0</v>
      </c>
      <c r="I314" t="n">
        <v>0</v>
      </c>
      <c r="J314" t="n">
        <v>0</v>
      </c>
      <c r="K314" t="n">
        <v>0</v>
      </c>
      <c r="L314" t="n">
        <v>0</v>
      </c>
      <c r="M314" t="n">
        <v>0</v>
      </c>
      <c r="N314" t="n">
        <v>0</v>
      </c>
      <c r="O314" t="n">
        <v>0</v>
      </c>
      <c r="P314" t="n">
        <v>0</v>
      </c>
      <c r="Q314" t="n">
        <v>0</v>
      </c>
      <c r="R314" s="2" t="inlineStr"/>
    </row>
    <row r="315" ht="15" customHeight="1">
      <c r="A315" t="inlineStr">
        <is>
          <t>A 27494-2025</t>
        </is>
      </c>
      <c r="B315" s="1" t="n">
        <v>45813.39756944445</v>
      </c>
      <c r="C315" s="1" t="n">
        <v>45989</v>
      </c>
      <c r="D315" t="inlineStr">
        <is>
          <t>UPPSALA LÄN</t>
        </is>
      </c>
      <c r="E315" t="inlineStr">
        <is>
          <t>ÖSTHAMMAR</t>
        </is>
      </c>
      <c r="F315" t="inlineStr">
        <is>
          <t>Bergvik skog öst AB</t>
        </is>
      </c>
      <c r="G315" t="n">
        <v>23.4</v>
      </c>
      <c r="H315" t="n">
        <v>0</v>
      </c>
      <c r="I315" t="n">
        <v>0</v>
      </c>
      <c r="J315" t="n">
        <v>0</v>
      </c>
      <c r="K315" t="n">
        <v>0</v>
      </c>
      <c r="L315" t="n">
        <v>0</v>
      </c>
      <c r="M315" t="n">
        <v>0</v>
      </c>
      <c r="N315" t="n">
        <v>0</v>
      </c>
      <c r="O315" t="n">
        <v>0</v>
      </c>
      <c r="P315" t="n">
        <v>0</v>
      </c>
      <c r="Q315" t="n">
        <v>0</v>
      </c>
      <c r="R315" s="2" t="inlineStr"/>
    </row>
    <row r="316" ht="15" customHeight="1">
      <c r="A316" t="inlineStr">
        <is>
          <t>A 29384-2025</t>
        </is>
      </c>
      <c r="B316" s="1" t="n">
        <v>45824</v>
      </c>
      <c r="C316" s="1" t="n">
        <v>45989</v>
      </c>
      <c r="D316" t="inlineStr">
        <is>
          <t>UPPSALA LÄN</t>
        </is>
      </c>
      <c r="E316" t="inlineStr">
        <is>
          <t>ÖSTHAMMAR</t>
        </is>
      </c>
      <c r="G316" t="n">
        <v>3.1</v>
      </c>
      <c r="H316" t="n">
        <v>0</v>
      </c>
      <c r="I316" t="n">
        <v>0</v>
      </c>
      <c r="J316" t="n">
        <v>0</v>
      </c>
      <c r="K316" t="n">
        <v>0</v>
      </c>
      <c r="L316" t="n">
        <v>0</v>
      </c>
      <c r="M316" t="n">
        <v>0</v>
      </c>
      <c r="N316" t="n">
        <v>0</v>
      </c>
      <c r="O316" t="n">
        <v>0</v>
      </c>
      <c r="P316" t="n">
        <v>0</v>
      </c>
      <c r="Q316" t="n">
        <v>0</v>
      </c>
      <c r="R316" s="2" t="inlineStr"/>
    </row>
    <row r="317" ht="15" customHeight="1">
      <c r="A317" t="inlineStr">
        <is>
          <t>A 42213-2025</t>
        </is>
      </c>
      <c r="B317" s="1" t="n">
        <v>45904.50652777778</v>
      </c>
      <c r="C317" s="1" t="n">
        <v>45989</v>
      </c>
      <c r="D317" t="inlineStr">
        <is>
          <t>UPPSALA LÄN</t>
        </is>
      </c>
      <c r="E317" t="inlineStr">
        <is>
          <t>ÖSTHAMMAR</t>
        </is>
      </c>
      <c r="G317" t="n">
        <v>0.8</v>
      </c>
      <c r="H317" t="n">
        <v>0</v>
      </c>
      <c r="I317" t="n">
        <v>0</v>
      </c>
      <c r="J317" t="n">
        <v>0</v>
      </c>
      <c r="K317" t="n">
        <v>0</v>
      </c>
      <c r="L317" t="n">
        <v>0</v>
      </c>
      <c r="M317" t="n">
        <v>0</v>
      </c>
      <c r="N317" t="n">
        <v>0</v>
      </c>
      <c r="O317" t="n">
        <v>0</v>
      </c>
      <c r="P317" t="n">
        <v>0</v>
      </c>
      <c r="Q317" t="n">
        <v>0</v>
      </c>
      <c r="R317" s="2" t="inlineStr"/>
    </row>
    <row r="318" ht="15" customHeight="1">
      <c r="A318" t="inlineStr">
        <is>
          <t>A 1800-2023</t>
        </is>
      </c>
      <c r="B318" s="1" t="n">
        <v>44938</v>
      </c>
      <c r="C318" s="1" t="n">
        <v>45989</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29024-2025</t>
        </is>
      </c>
      <c r="B319" s="1" t="n">
        <v>45821.43233796296</v>
      </c>
      <c r="C319" s="1" t="n">
        <v>45989</v>
      </c>
      <c r="D319" t="inlineStr">
        <is>
          <t>UPPSALA LÄN</t>
        </is>
      </c>
      <c r="E319" t="inlineStr">
        <is>
          <t>ÖSTHAMMAR</t>
        </is>
      </c>
      <c r="G319" t="n">
        <v>1</v>
      </c>
      <c r="H319" t="n">
        <v>0</v>
      </c>
      <c r="I319" t="n">
        <v>0</v>
      </c>
      <c r="J319" t="n">
        <v>0</v>
      </c>
      <c r="K319" t="n">
        <v>0</v>
      </c>
      <c r="L319" t="n">
        <v>0</v>
      </c>
      <c r="M319" t="n">
        <v>0</v>
      </c>
      <c r="N319" t="n">
        <v>0</v>
      </c>
      <c r="O319" t="n">
        <v>0</v>
      </c>
      <c r="P319" t="n">
        <v>0</v>
      </c>
      <c r="Q319" t="n">
        <v>0</v>
      </c>
      <c r="R319" s="2" t="inlineStr"/>
    </row>
    <row r="320" ht="15" customHeight="1">
      <c r="A320" t="inlineStr">
        <is>
          <t>A 47341-2023</t>
        </is>
      </c>
      <c r="B320" s="1" t="n">
        <v>45202.55721064815</v>
      </c>
      <c r="C320" s="1" t="n">
        <v>45989</v>
      </c>
      <c r="D320" t="inlineStr">
        <is>
          <t>UPPSALA LÄN</t>
        </is>
      </c>
      <c r="E320" t="inlineStr">
        <is>
          <t>ÖSTHAMMAR</t>
        </is>
      </c>
      <c r="G320" t="n">
        <v>4.9</v>
      </c>
      <c r="H320" t="n">
        <v>0</v>
      </c>
      <c r="I320" t="n">
        <v>0</v>
      </c>
      <c r="J320" t="n">
        <v>0</v>
      </c>
      <c r="K320" t="n">
        <v>0</v>
      </c>
      <c r="L320" t="n">
        <v>0</v>
      </c>
      <c r="M320" t="n">
        <v>0</v>
      </c>
      <c r="N320" t="n">
        <v>0</v>
      </c>
      <c r="O320" t="n">
        <v>0</v>
      </c>
      <c r="P320" t="n">
        <v>0</v>
      </c>
      <c r="Q320" t="n">
        <v>0</v>
      </c>
      <c r="R320" s="2" t="inlineStr"/>
    </row>
    <row r="321" ht="15" customHeight="1">
      <c r="A321" t="inlineStr">
        <is>
          <t>A 29775-2025</t>
        </is>
      </c>
      <c r="B321" s="1" t="n">
        <v>45825.63803240741</v>
      </c>
      <c r="C321" s="1" t="n">
        <v>45989</v>
      </c>
      <c r="D321" t="inlineStr">
        <is>
          <t>UPPSALA LÄN</t>
        </is>
      </c>
      <c r="E321" t="inlineStr">
        <is>
          <t>ÖSTHAMMAR</t>
        </is>
      </c>
      <c r="G321" t="n">
        <v>0.9</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45989</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45989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61216-2022</t>
        </is>
      </c>
      <c r="B324" s="1" t="n">
        <v>44915.55423611111</v>
      </c>
      <c r="C324" s="1" t="n">
        <v>45989</v>
      </c>
      <c r="D324" t="inlineStr">
        <is>
          <t>UPPSALA LÄN</t>
        </is>
      </c>
      <c r="E324" t="inlineStr">
        <is>
          <t>ÖSTHAMMAR</t>
        </is>
      </c>
      <c r="G324" t="n">
        <v>2.9</v>
      </c>
      <c r="H324" t="n">
        <v>0</v>
      </c>
      <c r="I324" t="n">
        <v>0</v>
      </c>
      <c r="J324" t="n">
        <v>0</v>
      </c>
      <c r="K324" t="n">
        <v>0</v>
      </c>
      <c r="L324" t="n">
        <v>0</v>
      </c>
      <c r="M324" t="n">
        <v>0</v>
      </c>
      <c r="N324" t="n">
        <v>0</v>
      </c>
      <c r="O324" t="n">
        <v>0</v>
      </c>
      <c r="P324" t="n">
        <v>0</v>
      </c>
      <c r="Q324" t="n">
        <v>0</v>
      </c>
      <c r="R324" s="2" t="inlineStr"/>
    </row>
    <row r="325" ht="15" customHeight="1">
      <c r="A325" t="inlineStr">
        <is>
          <t>A 51156-2025</t>
        </is>
      </c>
      <c r="B325" s="1" t="n">
        <v>45947.57833333333</v>
      </c>
      <c r="C325" s="1" t="n">
        <v>45989</v>
      </c>
      <c r="D325" t="inlineStr">
        <is>
          <t>UPPSALA LÄN</t>
        </is>
      </c>
      <c r="E325" t="inlineStr">
        <is>
          <t>ÖSTHAMMAR</t>
        </is>
      </c>
      <c r="F325" t="inlineStr">
        <is>
          <t>Allmännings- och besparingsskogar</t>
        </is>
      </c>
      <c r="G325" t="n">
        <v>2.8</v>
      </c>
      <c r="H325" t="n">
        <v>0</v>
      </c>
      <c r="I325" t="n">
        <v>0</v>
      </c>
      <c r="J325" t="n">
        <v>0</v>
      </c>
      <c r="K325" t="n">
        <v>0</v>
      </c>
      <c r="L325" t="n">
        <v>0</v>
      </c>
      <c r="M325" t="n">
        <v>0</v>
      </c>
      <c r="N325" t="n">
        <v>0</v>
      </c>
      <c r="O325" t="n">
        <v>0</v>
      </c>
      <c r="P325" t="n">
        <v>0</v>
      </c>
      <c r="Q325" t="n">
        <v>0</v>
      </c>
      <c r="R325" s="2" t="inlineStr"/>
    </row>
    <row r="326" ht="15" customHeight="1">
      <c r="A326" t="inlineStr">
        <is>
          <t>A 70008-2021</t>
        </is>
      </c>
      <c r="B326" s="1" t="n">
        <v>44533.44887731481</v>
      </c>
      <c r="C326" s="1" t="n">
        <v>45989</v>
      </c>
      <c r="D326" t="inlineStr">
        <is>
          <t>UPPSALA LÄN</t>
        </is>
      </c>
      <c r="E326" t="inlineStr">
        <is>
          <t>ÖSTHAMMAR</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51255-2025</t>
        </is>
      </c>
      <c r="B327" s="1" t="n">
        <v>45949.00917824074</v>
      </c>
      <c r="C327" s="1" t="n">
        <v>45989</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45989</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5076-2025</t>
        </is>
      </c>
      <c r="B329" s="1" t="n">
        <v>45691</v>
      </c>
      <c r="C329" s="1" t="n">
        <v>45989</v>
      </c>
      <c r="D329" t="inlineStr">
        <is>
          <t>UPPSALA LÄN</t>
        </is>
      </c>
      <c r="E329" t="inlineStr">
        <is>
          <t>ÖSTHAMMAR</t>
        </is>
      </c>
      <c r="G329" t="n">
        <v>5.8</v>
      </c>
      <c r="H329" t="n">
        <v>0</v>
      </c>
      <c r="I329" t="n">
        <v>0</v>
      </c>
      <c r="J329" t="n">
        <v>0</v>
      </c>
      <c r="K329" t="n">
        <v>0</v>
      </c>
      <c r="L329" t="n">
        <v>0</v>
      </c>
      <c r="M329" t="n">
        <v>0</v>
      </c>
      <c r="N329" t="n">
        <v>0</v>
      </c>
      <c r="O329" t="n">
        <v>0</v>
      </c>
      <c r="P329" t="n">
        <v>0</v>
      </c>
      <c r="Q329" t="n">
        <v>0</v>
      </c>
      <c r="R329" s="2" t="inlineStr"/>
    </row>
    <row r="330" ht="15" customHeight="1">
      <c r="A330" t="inlineStr">
        <is>
          <t>A 51254-2025</t>
        </is>
      </c>
      <c r="B330" s="1" t="n">
        <v>45948.99313657408</v>
      </c>
      <c r="C330" s="1" t="n">
        <v>45989</v>
      </c>
      <c r="D330" t="inlineStr">
        <is>
          <t>UPPSALA LÄN</t>
        </is>
      </c>
      <c r="E330" t="inlineStr">
        <is>
          <t>ÖSTHAMMAR</t>
        </is>
      </c>
      <c r="G330" t="n">
        <v>8.9</v>
      </c>
      <c r="H330" t="n">
        <v>0</v>
      </c>
      <c r="I330" t="n">
        <v>0</v>
      </c>
      <c r="J330" t="n">
        <v>0</v>
      </c>
      <c r="K330" t="n">
        <v>0</v>
      </c>
      <c r="L330" t="n">
        <v>0</v>
      </c>
      <c r="M330" t="n">
        <v>0</v>
      </c>
      <c r="N330" t="n">
        <v>0</v>
      </c>
      <c r="O330" t="n">
        <v>0</v>
      </c>
      <c r="P330" t="n">
        <v>0</v>
      </c>
      <c r="Q330" t="n">
        <v>0</v>
      </c>
      <c r="R330" s="2" t="inlineStr"/>
    </row>
    <row r="331" ht="15" customHeight="1">
      <c r="A331" t="inlineStr">
        <is>
          <t>A 2733-2023</t>
        </is>
      </c>
      <c r="B331" s="1" t="n">
        <v>44943</v>
      </c>
      <c r="C331" s="1" t="n">
        <v>45989</v>
      </c>
      <c r="D331" t="inlineStr">
        <is>
          <t>UPPSALA LÄN</t>
        </is>
      </c>
      <c r="E331" t="inlineStr">
        <is>
          <t>ÖSTHAMMAR</t>
        </is>
      </c>
      <c r="G331" t="n">
        <v>2.6</v>
      </c>
      <c r="H331" t="n">
        <v>0</v>
      </c>
      <c r="I331" t="n">
        <v>0</v>
      </c>
      <c r="J331" t="n">
        <v>0</v>
      </c>
      <c r="K331" t="n">
        <v>0</v>
      </c>
      <c r="L331" t="n">
        <v>0</v>
      </c>
      <c r="M331" t="n">
        <v>0</v>
      </c>
      <c r="N331" t="n">
        <v>0</v>
      </c>
      <c r="O331" t="n">
        <v>0</v>
      </c>
      <c r="P331" t="n">
        <v>0</v>
      </c>
      <c r="Q331" t="n">
        <v>0</v>
      </c>
      <c r="R331" s="2" t="inlineStr"/>
    </row>
    <row r="332" ht="15" customHeight="1">
      <c r="A332" t="inlineStr">
        <is>
          <t>A 30244-2025</t>
        </is>
      </c>
      <c r="B332" s="1" t="n">
        <v>45827.40902777778</v>
      </c>
      <c r="C332" s="1" t="n">
        <v>45989</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30504-2025</t>
        </is>
      </c>
      <c r="B333" s="1" t="n">
        <v>45830.8558912037</v>
      </c>
      <c r="C333" s="1" t="n">
        <v>45989</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30503-2025</t>
        </is>
      </c>
      <c r="B334" s="1" t="n">
        <v>45830.8500462963</v>
      </c>
      <c r="C334" s="1" t="n">
        <v>45989</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12812-2024</t>
        </is>
      </c>
      <c r="B335" s="1" t="n">
        <v>45384.65465277778</v>
      </c>
      <c r="C335" s="1" t="n">
        <v>45989</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33927-2025</t>
        </is>
      </c>
      <c r="B336" s="1" t="n">
        <v>45842.62363425926</v>
      </c>
      <c r="C336" s="1" t="n">
        <v>45989</v>
      </c>
      <c r="D336" t="inlineStr">
        <is>
          <t>UPPSALA LÄN</t>
        </is>
      </c>
      <c r="E336" t="inlineStr">
        <is>
          <t>ÖSTHAMMAR</t>
        </is>
      </c>
      <c r="G336" t="n">
        <v>3.5</v>
      </c>
      <c r="H336" t="n">
        <v>0</v>
      </c>
      <c r="I336" t="n">
        <v>0</v>
      </c>
      <c r="J336" t="n">
        <v>0</v>
      </c>
      <c r="K336" t="n">
        <v>0</v>
      </c>
      <c r="L336" t="n">
        <v>0</v>
      </c>
      <c r="M336" t="n">
        <v>0</v>
      </c>
      <c r="N336" t="n">
        <v>0</v>
      </c>
      <c r="O336" t="n">
        <v>0</v>
      </c>
      <c r="P336" t="n">
        <v>0</v>
      </c>
      <c r="Q336" t="n">
        <v>0</v>
      </c>
      <c r="R336" s="2" t="inlineStr"/>
    </row>
    <row r="337" ht="15" customHeight="1">
      <c r="A337" t="inlineStr">
        <is>
          <t>A 43011-2025</t>
        </is>
      </c>
      <c r="B337" s="1" t="n">
        <v>45909.48989583334</v>
      </c>
      <c r="C337" s="1" t="n">
        <v>45989</v>
      </c>
      <c r="D337" t="inlineStr">
        <is>
          <t>UPPSALA LÄN</t>
        </is>
      </c>
      <c r="E337" t="inlineStr">
        <is>
          <t>ÖSTHAMMAR</t>
        </is>
      </c>
      <c r="F337" t="inlineStr">
        <is>
          <t>Övriga Aktiebolag</t>
        </is>
      </c>
      <c r="G337" t="n">
        <v>4.7</v>
      </c>
      <c r="H337" t="n">
        <v>0</v>
      </c>
      <c r="I337" t="n">
        <v>0</v>
      </c>
      <c r="J337" t="n">
        <v>0</v>
      </c>
      <c r="K337" t="n">
        <v>0</v>
      </c>
      <c r="L337" t="n">
        <v>0</v>
      </c>
      <c r="M337" t="n">
        <v>0</v>
      </c>
      <c r="N337" t="n">
        <v>0</v>
      </c>
      <c r="O337" t="n">
        <v>0</v>
      </c>
      <c r="P337" t="n">
        <v>0</v>
      </c>
      <c r="Q337" t="n">
        <v>0</v>
      </c>
      <c r="R337" s="2" t="inlineStr"/>
    </row>
    <row r="338" ht="15" customHeight="1">
      <c r="A338" t="inlineStr">
        <is>
          <t>A 51708-2025</t>
        </is>
      </c>
      <c r="B338" s="1" t="n">
        <v>45951.56679398148</v>
      </c>
      <c r="C338" s="1" t="n">
        <v>45989</v>
      </c>
      <c r="D338" t="inlineStr">
        <is>
          <t>UPPSALA LÄN</t>
        </is>
      </c>
      <c r="E338" t="inlineStr">
        <is>
          <t>ÖSTHAMMAR</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30610-2025</t>
        </is>
      </c>
      <c r="B339" s="1" t="n">
        <v>45831.45965277778</v>
      </c>
      <c r="C339" s="1" t="n">
        <v>45989</v>
      </c>
      <c r="D339" t="inlineStr">
        <is>
          <t>UPPSALA LÄN</t>
        </is>
      </c>
      <c r="E339" t="inlineStr">
        <is>
          <t>ÖSTHAMMAR</t>
        </is>
      </c>
      <c r="G339" t="n">
        <v>0.2</v>
      </c>
      <c r="H339" t="n">
        <v>0</v>
      </c>
      <c r="I339" t="n">
        <v>0</v>
      </c>
      <c r="J339" t="n">
        <v>0</v>
      </c>
      <c r="K339" t="n">
        <v>0</v>
      </c>
      <c r="L339" t="n">
        <v>0</v>
      </c>
      <c r="M339" t="n">
        <v>0</v>
      </c>
      <c r="N339" t="n">
        <v>0</v>
      </c>
      <c r="O339" t="n">
        <v>0</v>
      </c>
      <c r="P339" t="n">
        <v>0</v>
      </c>
      <c r="Q339" t="n">
        <v>0</v>
      </c>
      <c r="R339" s="2" t="inlineStr"/>
    </row>
    <row r="340" ht="15" customHeight="1">
      <c r="A340" t="inlineStr">
        <is>
          <t>A 31579-2025</t>
        </is>
      </c>
      <c r="B340" s="1" t="n">
        <v>45833.68211805556</v>
      </c>
      <c r="C340" s="1" t="n">
        <v>45989</v>
      </c>
      <c r="D340" t="inlineStr">
        <is>
          <t>UPPSALA LÄN</t>
        </is>
      </c>
      <c r="E340" t="inlineStr">
        <is>
          <t>ÖSTHAMMAR</t>
        </is>
      </c>
      <c r="G340" t="n">
        <v>1.5</v>
      </c>
      <c r="H340" t="n">
        <v>0</v>
      </c>
      <c r="I340" t="n">
        <v>0</v>
      </c>
      <c r="J340" t="n">
        <v>0</v>
      </c>
      <c r="K340" t="n">
        <v>0</v>
      </c>
      <c r="L340" t="n">
        <v>0</v>
      </c>
      <c r="M340" t="n">
        <v>0</v>
      </c>
      <c r="N340" t="n">
        <v>0</v>
      </c>
      <c r="O340" t="n">
        <v>0</v>
      </c>
      <c r="P340" t="n">
        <v>0</v>
      </c>
      <c r="Q340" t="n">
        <v>0</v>
      </c>
      <c r="R340" s="2" t="inlineStr"/>
    </row>
    <row r="341" ht="15" customHeight="1">
      <c r="A341" t="inlineStr">
        <is>
          <t>A 31360-2025</t>
        </is>
      </c>
      <c r="B341" s="1" t="n">
        <v>45833.43527777777</v>
      </c>
      <c r="C341" s="1" t="n">
        <v>45989</v>
      </c>
      <c r="D341" t="inlineStr">
        <is>
          <t>UPPSALA LÄN</t>
        </is>
      </c>
      <c r="E341" t="inlineStr">
        <is>
          <t>ÖSTHAMMAR</t>
        </is>
      </c>
      <c r="G341" t="n">
        <v>1.1</v>
      </c>
      <c r="H341" t="n">
        <v>0</v>
      </c>
      <c r="I341" t="n">
        <v>0</v>
      </c>
      <c r="J341" t="n">
        <v>0</v>
      </c>
      <c r="K341" t="n">
        <v>0</v>
      </c>
      <c r="L341" t="n">
        <v>0</v>
      </c>
      <c r="M341" t="n">
        <v>0</v>
      </c>
      <c r="N341" t="n">
        <v>0</v>
      </c>
      <c r="O341" t="n">
        <v>0</v>
      </c>
      <c r="P341" t="n">
        <v>0</v>
      </c>
      <c r="Q341" t="n">
        <v>0</v>
      </c>
      <c r="R341" s="2" t="inlineStr"/>
    </row>
    <row r="342" ht="15" customHeight="1">
      <c r="A342" t="inlineStr">
        <is>
          <t>A 31249-2025</t>
        </is>
      </c>
      <c r="B342" s="1" t="n">
        <v>45832.89476851852</v>
      </c>
      <c r="C342" s="1" t="n">
        <v>45989</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42940-2025</t>
        </is>
      </c>
      <c r="B343" s="1" t="n">
        <v>45909.33440972222</v>
      </c>
      <c r="C343" s="1" t="n">
        <v>45989</v>
      </c>
      <c r="D343" t="inlineStr">
        <is>
          <t>UPPSALA LÄN</t>
        </is>
      </c>
      <c r="E343" t="inlineStr">
        <is>
          <t>ÖSTHAMMAR</t>
        </is>
      </c>
      <c r="G343" t="n">
        <v>2.1</v>
      </c>
      <c r="H343" t="n">
        <v>0</v>
      </c>
      <c r="I343" t="n">
        <v>0</v>
      </c>
      <c r="J343" t="n">
        <v>0</v>
      </c>
      <c r="K343" t="n">
        <v>0</v>
      </c>
      <c r="L343" t="n">
        <v>0</v>
      </c>
      <c r="M343" t="n">
        <v>0</v>
      </c>
      <c r="N343" t="n">
        <v>0</v>
      </c>
      <c r="O343" t="n">
        <v>0</v>
      </c>
      <c r="P343" t="n">
        <v>0</v>
      </c>
      <c r="Q343" t="n">
        <v>0</v>
      </c>
      <c r="R343" s="2" t="inlineStr"/>
    </row>
    <row r="344" ht="15" customHeight="1">
      <c r="A344" t="inlineStr">
        <is>
          <t>A 31896-2025</t>
        </is>
      </c>
      <c r="B344" s="1" t="n">
        <v>45834.67556712963</v>
      </c>
      <c r="C344" s="1" t="n">
        <v>45989</v>
      </c>
      <c r="D344" t="inlineStr">
        <is>
          <t>UPPSALA LÄN</t>
        </is>
      </c>
      <c r="E344" t="inlineStr">
        <is>
          <t>ÖSTHAMMAR</t>
        </is>
      </c>
      <c r="G344" t="n">
        <v>4.1</v>
      </c>
      <c r="H344" t="n">
        <v>0</v>
      </c>
      <c r="I344" t="n">
        <v>0</v>
      </c>
      <c r="J344" t="n">
        <v>0</v>
      </c>
      <c r="K344" t="n">
        <v>0</v>
      </c>
      <c r="L344" t="n">
        <v>0</v>
      </c>
      <c r="M344" t="n">
        <v>0</v>
      </c>
      <c r="N344" t="n">
        <v>0</v>
      </c>
      <c r="O344" t="n">
        <v>0</v>
      </c>
      <c r="P344" t="n">
        <v>0</v>
      </c>
      <c r="Q344" t="n">
        <v>0</v>
      </c>
      <c r="R344" s="2" t="inlineStr"/>
    </row>
    <row r="345" ht="15" customHeight="1">
      <c r="A345" t="inlineStr">
        <is>
          <t>A 31574-2022</t>
        </is>
      </c>
      <c r="B345" s="1" t="n">
        <v>44775</v>
      </c>
      <c r="C345" s="1" t="n">
        <v>45989</v>
      </c>
      <c r="D345" t="inlineStr">
        <is>
          <t>UPPSALA LÄN</t>
        </is>
      </c>
      <c r="E345" t="inlineStr">
        <is>
          <t>ÖSTHAMMAR</t>
        </is>
      </c>
      <c r="G345" t="n">
        <v>29.7</v>
      </c>
      <c r="H345" t="n">
        <v>0</v>
      </c>
      <c r="I345" t="n">
        <v>0</v>
      </c>
      <c r="J345" t="n">
        <v>0</v>
      </c>
      <c r="K345" t="n">
        <v>0</v>
      </c>
      <c r="L345" t="n">
        <v>0</v>
      </c>
      <c r="M345" t="n">
        <v>0</v>
      </c>
      <c r="N345" t="n">
        <v>0</v>
      </c>
      <c r="O345" t="n">
        <v>0</v>
      </c>
      <c r="P345" t="n">
        <v>0</v>
      </c>
      <c r="Q345" t="n">
        <v>0</v>
      </c>
      <c r="R345" s="2" t="inlineStr"/>
    </row>
    <row r="346" ht="15" customHeight="1">
      <c r="A346" t="inlineStr">
        <is>
          <t>A 24181-2022</t>
        </is>
      </c>
      <c r="B346" s="1" t="n">
        <v>44725</v>
      </c>
      <c r="C346" s="1" t="n">
        <v>45989</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43622-2025</t>
        </is>
      </c>
      <c r="B347" s="1" t="n">
        <v>45911.68295138889</v>
      </c>
      <c r="C347" s="1" t="n">
        <v>45989</v>
      </c>
      <c r="D347" t="inlineStr">
        <is>
          <t>UPPSALA LÄN</t>
        </is>
      </c>
      <c r="E347" t="inlineStr">
        <is>
          <t>ÖSTHAMMAR</t>
        </is>
      </c>
      <c r="G347" t="n">
        <v>2.3</v>
      </c>
      <c r="H347" t="n">
        <v>0</v>
      </c>
      <c r="I347" t="n">
        <v>0</v>
      </c>
      <c r="J347" t="n">
        <v>0</v>
      </c>
      <c r="K347" t="n">
        <v>0</v>
      </c>
      <c r="L347" t="n">
        <v>0</v>
      </c>
      <c r="M347" t="n">
        <v>0</v>
      </c>
      <c r="N347" t="n">
        <v>0</v>
      </c>
      <c r="O347" t="n">
        <v>0</v>
      </c>
      <c r="P347" t="n">
        <v>0</v>
      </c>
      <c r="Q347" t="n">
        <v>0</v>
      </c>
      <c r="R347" s="2" t="inlineStr"/>
    </row>
    <row r="348" ht="15" customHeight="1">
      <c r="A348" t="inlineStr">
        <is>
          <t>A 31977-2025</t>
        </is>
      </c>
      <c r="B348" s="1" t="n">
        <v>45835.3554050926</v>
      </c>
      <c r="C348" s="1" t="n">
        <v>45989</v>
      </c>
      <c r="D348" t="inlineStr">
        <is>
          <t>UPPSALA LÄN</t>
        </is>
      </c>
      <c r="E348" t="inlineStr">
        <is>
          <t>ÖSTHAMMAR</t>
        </is>
      </c>
      <c r="F348" t="inlineStr">
        <is>
          <t>Övriga Aktiebolag</t>
        </is>
      </c>
      <c r="G348" t="n">
        <v>35.3</v>
      </c>
      <c r="H348" t="n">
        <v>0</v>
      </c>
      <c r="I348" t="n">
        <v>0</v>
      </c>
      <c r="J348" t="n">
        <v>0</v>
      </c>
      <c r="K348" t="n">
        <v>0</v>
      </c>
      <c r="L348" t="n">
        <v>0</v>
      </c>
      <c r="M348" t="n">
        <v>0</v>
      </c>
      <c r="N348" t="n">
        <v>0</v>
      </c>
      <c r="O348" t="n">
        <v>0</v>
      </c>
      <c r="P348" t="n">
        <v>0</v>
      </c>
      <c r="Q348" t="n">
        <v>0</v>
      </c>
      <c r="R348" s="2" t="inlineStr"/>
    </row>
    <row r="349" ht="15" customHeight="1">
      <c r="A349" t="inlineStr">
        <is>
          <t>A 4096-2025</t>
        </is>
      </c>
      <c r="B349" s="1" t="n">
        <v>45684</v>
      </c>
      <c r="C349" s="1" t="n">
        <v>45989</v>
      </c>
      <c r="D349" t="inlineStr">
        <is>
          <t>UPPSALA LÄN</t>
        </is>
      </c>
      <c r="E349" t="inlineStr">
        <is>
          <t>ÖSTHAMMAR</t>
        </is>
      </c>
      <c r="G349" t="n">
        <v>2</v>
      </c>
      <c r="H349" t="n">
        <v>0</v>
      </c>
      <c r="I349" t="n">
        <v>0</v>
      </c>
      <c r="J349" t="n">
        <v>0</v>
      </c>
      <c r="K349" t="n">
        <v>0</v>
      </c>
      <c r="L349" t="n">
        <v>0</v>
      </c>
      <c r="M349" t="n">
        <v>0</v>
      </c>
      <c r="N349" t="n">
        <v>0</v>
      </c>
      <c r="O349" t="n">
        <v>0</v>
      </c>
      <c r="P349" t="n">
        <v>0</v>
      </c>
      <c r="Q349" t="n">
        <v>0</v>
      </c>
      <c r="R349" s="2" t="inlineStr"/>
    </row>
    <row r="350" ht="15" customHeight="1">
      <c r="A350" t="inlineStr">
        <is>
          <t>A 31956-2025</t>
        </is>
      </c>
      <c r="B350" s="1" t="n">
        <v>45835.34184027778</v>
      </c>
      <c r="C350" s="1" t="n">
        <v>45989</v>
      </c>
      <c r="D350" t="inlineStr">
        <is>
          <t>UPPSALA LÄN</t>
        </is>
      </c>
      <c r="E350" t="inlineStr">
        <is>
          <t>ÖSTHAMMAR</t>
        </is>
      </c>
      <c r="F350" t="inlineStr">
        <is>
          <t>Övriga Aktiebolag</t>
        </is>
      </c>
      <c r="G350" t="n">
        <v>4.2</v>
      </c>
      <c r="H350" t="n">
        <v>0</v>
      </c>
      <c r="I350" t="n">
        <v>0</v>
      </c>
      <c r="J350" t="n">
        <v>0</v>
      </c>
      <c r="K350" t="n">
        <v>0</v>
      </c>
      <c r="L350" t="n">
        <v>0</v>
      </c>
      <c r="M350" t="n">
        <v>0</v>
      </c>
      <c r="N350" t="n">
        <v>0</v>
      </c>
      <c r="O350" t="n">
        <v>0</v>
      </c>
      <c r="P350" t="n">
        <v>0</v>
      </c>
      <c r="Q350" t="n">
        <v>0</v>
      </c>
      <c r="R350" s="2" t="inlineStr"/>
    </row>
    <row r="351" ht="15" customHeight="1">
      <c r="A351" t="inlineStr">
        <is>
          <t>A 52332-2025</t>
        </is>
      </c>
      <c r="B351" s="1" t="n">
        <v>45953.67853009259</v>
      </c>
      <c r="C351" s="1" t="n">
        <v>45989</v>
      </c>
      <c r="D351" t="inlineStr">
        <is>
          <t>UPPSALA LÄN</t>
        </is>
      </c>
      <c r="E351" t="inlineStr">
        <is>
          <t>ÖSTHAMMAR</t>
        </is>
      </c>
      <c r="F351" t="inlineStr">
        <is>
          <t>Bergvik skog öst AB</t>
        </is>
      </c>
      <c r="G351" t="n">
        <v>3.8</v>
      </c>
      <c r="H351" t="n">
        <v>0</v>
      </c>
      <c r="I351" t="n">
        <v>0</v>
      </c>
      <c r="J351" t="n">
        <v>0</v>
      </c>
      <c r="K351" t="n">
        <v>0</v>
      </c>
      <c r="L351" t="n">
        <v>0</v>
      </c>
      <c r="M351" t="n">
        <v>0</v>
      </c>
      <c r="N351" t="n">
        <v>0</v>
      </c>
      <c r="O351" t="n">
        <v>0</v>
      </c>
      <c r="P351" t="n">
        <v>0</v>
      </c>
      <c r="Q351" t="n">
        <v>0</v>
      </c>
      <c r="R351" s="2" t="inlineStr"/>
    </row>
    <row r="352" ht="15" customHeight="1">
      <c r="A352" t="inlineStr">
        <is>
          <t>A 43604-2025</t>
        </is>
      </c>
      <c r="B352" s="1" t="n">
        <v>45911.66671296296</v>
      </c>
      <c r="C352" s="1" t="n">
        <v>45989</v>
      </c>
      <c r="D352" t="inlineStr">
        <is>
          <t>UPPSALA LÄN</t>
        </is>
      </c>
      <c r="E352" t="inlineStr">
        <is>
          <t>ÖSTHAMMAR</t>
        </is>
      </c>
      <c r="G352" t="n">
        <v>8.5</v>
      </c>
      <c r="H352" t="n">
        <v>0</v>
      </c>
      <c r="I352" t="n">
        <v>0</v>
      </c>
      <c r="J352" t="n">
        <v>0</v>
      </c>
      <c r="K352" t="n">
        <v>0</v>
      </c>
      <c r="L352" t="n">
        <v>0</v>
      </c>
      <c r="M352" t="n">
        <v>0</v>
      </c>
      <c r="N352" t="n">
        <v>0</v>
      </c>
      <c r="O352" t="n">
        <v>0</v>
      </c>
      <c r="P352" t="n">
        <v>0</v>
      </c>
      <c r="Q352" t="n">
        <v>0</v>
      </c>
      <c r="R352" s="2" t="inlineStr"/>
    </row>
    <row r="353" ht="15" customHeight="1">
      <c r="A353" t="inlineStr">
        <is>
          <t>A 22884-2024</t>
        </is>
      </c>
      <c r="B353" s="1" t="n">
        <v>45448</v>
      </c>
      <c r="C353" s="1" t="n">
        <v>45989</v>
      </c>
      <c r="D353" t="inlineStr">
        <is>
          <t>UPPSALA LÄN</t>
        </is>
      </c>
      <c r="E353" t="inlineStr">
        <is>
          <t>ÖSTHAMMAR</t>
        </is>
      </c>
      <c r="G353" t="n">
        <v>3.3</v>
      </c>
      <c r="H353" t="n">
        <v>0</v>
      </c>
      <c r="I353" t="n">
        <v>0</v>
      </c>
      <c r="J353" t="n">
        <v>0</v>
      </c>
      <c r="K353" t="n">
        <v>0</v>
      </c>
      <c r="L353" t="n">
        <v>0</v>
      </c>
      <c r="M353" t="n">
        <v>0</v>
      </c>
      <c r="N353" t="n">
        <v>0</v>
      </c>
      <c r="O353" t="n">
        <v>0</v>
      </c>
      <c r="P353" t="n">
        <v>0</v>
      </c>
      <c r="Q353" t="n">
        <v>0</v>
      </c>
      <c r="R353" s="2" t="inlineStr"/>
    </row>
    <row r="354" ht="15" customHeight="1">
      <c r="A354" t="inlineStr">
        <is>
          <t>A 33048-2025</t>
        </is>
      </c>
      <c r="B354" s="1" t="n">
        <v>45840.41451388889</v>
      </c>
      <c r="C354" s="1" t="n">
        <v>45989</v>
      </c>
      <c r="D354" t="inlineStr">
        <is>
          <t>UPPSALA LÄN</t>
        </is>
      </c>
      <c r="E354" t="inlineStr">
        <is>
          <t>ÖSTHAMMAR</t>
        </is>
      </c>
      <c r="G354" t="n">
        <v>1.8</v>
      </c>
      <c r="H354" t="n">
        <v>0</v>
      </c>
      <c r="I354" t="n">
        <v>0</v>
      </c>
      <c r="J354" t="n">
        <v>0</v>
      </c>
      <c r="K354" t="n">
        <v>0</v>
      </c>
      <c r="L354" t="n">
        <v>0</v>
      </c>
      <c r="M354" t="n">
        <v>0</v>
      </c>
      <c r="N354" t="n">
        <v>0</v>
      </c>
      <c r="O354" t="n">
        <v>0</v>
      </c>
      <c r="P354" t="n">
        <v>0</v>
      </c>
      <c r="Q354" t="n">
        <v>0</v>
      </c>
      <c r="R354" s="2" t="inlineStr"/>
    </row>
    <row r="355" ht="15" customHeight="1">
      <c r="A355" t="inlineStr">
        <is>
          <t>A 27476-2025</t>
        </is>
      </c>
      <c r="B355" s="1" t="n">
        <v>45813.37517361111</v>
      </c>
      <c r="C355" s="1" t="n">
        <v>45989</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8874-2025</t>
        </is>
      </c>
      <c r="B356" s="1" t="n">
        <v>45713</v>
      </c>
      <c r="C356" s="1" t="n">
        <v>45989</v>
      </c>
      <c r="D356" t="inlineStr">
        <is>
          <t>UPPSALA LÄN</t>
        </is>
      </c>
      <c r="E356" t="inlineStr">
        <is>
          <t>ÖSTHAMMAR</t>
        </is>
      </c>
      <c r="G356" t="n">
        <v>6.3</v>
      </c>
      <c r="H356" t="n">
        <v>0</v>
      </c>
      <c r="I356" t="n">
        <v>0</v>
      </c>
      <c r="J356" t="n">
        <v>0</v>
      </c>
      <c r="K356" t="n">
        <v>0</v>
      </c>
      <c r="L356" t="n">
        <v>0</v>
      </c>
      <c r="M356" t="n">
        <v>0</v>
      </c>
      <c r="N356" t="n">
        <v>0</v>
      </c>
      <c r="O356" t="n">
        <v>0</v>
      </c>
      <c r="P356" t="n">
        <v>0</v>
      </c>
      <c r="Q356" t="n">
        <v>0</v>
      </c>
      <c r="R356" s="2" t="inlineStr"/>
    </row>
    <row r="357" ht="15" customHeight="1">
      <c r="A357" t="inlineStr">
        <is>
          <t>A 33271-2025</t>
        </is>
      </c>
      <c r="B357" s="1" t="n">
        <v>45840.68381944444</v>
      </c>
      <c r="C357" s="1" t="n">
        <v>45989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25418-2022</t>
        </is>
      </c>
      <c r="B358" s="1" t="n">
        <v>44732.464375</v>
      </c>
      <c r="C358" s="1" t="n">
        <v>45989</v>
      </c>
      <c r="D358" t="inlineStr">
        <is>
          <t>UPPSALA LÄN</t>
        </is>
      </c>
      <c r="E358" t="inlineStr">
        <is>
          <t>ÖSTHAMMAR</t>
        </is>
      </c>
      <c r="G358" t="n">
        <v>2.8</v>
      </c>
      <c r="H358" t="n">
        <v>0</v>
      </c>
      <c r="I358" t="n">
        <v>0</v>
      </c>
      <c r="J358" t="n">
        <v>0</v>
      </c>
      <c r="K358" t="n">
        <v>0</v>
      </c>
      <c r="L358" t="n">
        <v>0</v>
      </c>
      <c r="M358" t="n">
        <v>0</v>
      </c>
      <c r="N358" t="n">
        <v>0</v>
      </c>
      <c r="O358" t="n">
        <v>0</v>
      </c>
      <c r="P358" t="n">
        <v>0</v>
      </c>
      <c r="Q358" t="n">
        <v>0</v>
      </c>
      <c r="R358" s="2" t="inlineStr"/>
    </row>
    <row r="359" ht="15" customHeight="1">
      <c r="A359" t="inlineStr">
        <is>
          <t>A 32718-2025</t>
        </is>
      </c>
      <c r="B359" s="1" t="n">
        <v>45839.37740740741</v>
      </c>
      <c r="C359" s="1" t="n">
        <v>45989</v>
      </c>
      <c r="D359" t="inlineStr">
        <is>
          <t>UPPSALA LÄN</t>
        </is>
      </c>
      <c r="E359" t="inlineStr">
        <is>
          <t>ÖSTHAMMAR</t>
        </is>
      </c>
      <c r="G359" t="n">
        <v>10.4</v>
      </c>
      <c r="H359" t="n">
        <v>0</v>
      </c>
      <c r="I359" t="n">
        <v>0</v>
      </c>
      <c r="J359" t="n">
        <v>0</v>
      </c>
      <c r="K359" t="n">
        <v>0</v>
      </c>
      <c r="L359" t="n">
        <v>0</v>
      </c>
      <c r="M359" t="n">
        <v>0</v>
      </c>
      <c r="N359" t="n">
        <v>0</v>
      </c>
      <c r="O359" t="n">
        <v>0</v>
      </c>
      <c r="P359" t="n">
        <v>0</v>
      </c>
      <c r="Q359" t="n">
        <v>0</v>
      </c>
      <c r="R359" s="2" t="inlineStr"/>
    </row>
    <row r="360" ht="15" customHeight="1">
      <c r="A360" t="inlineStr">
        <is>
          <t>A 62391-2022</t>
        </is>
      </c>
      <c r="B360" s="1" t="n">
        <v>44923.7849537037</v>
      </c>
      <c r="C360" s="1" t="n">
        <v>45989</v>
      </c>
      <c r="D360" t="inlineStr">
        <is>
          <t>UPPSALA LÄN</t>
        </is>
      </c>
      <c r="E360" t="inlineStr">
        <is>
          <t>ÖSTHAMMAR</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33529-2025</t>
        </is>
      </c>
      <c r="B361" s="1" t="n">
        <v>45841.55199074074</v>
      </c>
      <c r="C361" s="1" t="n">
        <v>45989</v>
      </c>
      <c r="D361" t="inlineStr">
        <is>
          <t>UPPSALA LÄN</t>
        </is>
      </c>
      <c r="E361" t="inlineStr">
        <is>
          <t>ÖSTHAMMAR</t>
        </is>
      </c>
      <c r="F361" t="inlineStr">
        <is>
          <t>Bergvik skog öst AB</t>
        </is>
      </c>
      <c r="G361" t="n">
        <v>11.8</v>
      </c>
      <c r="H361" t="n">
        <v>0</v>
      </c>
      <c r="I361" t="n">
        <v>0</v>
      </c>
      <c r="J361" t="n">
        <v>0</v>
      </c>
      <c r="K361" t="n">
        <v>0</v>
      </c>
      <c r="L361" t="n">
        <v>0</v>
      </c>
      <c r="M361" t="n">
        <v>0</v>
      </c>
      <c r="N361" t="n">
        <v>0</v>
      </c>
      <c r="O361" t="n">
        <v>0</v>
      </c>
      <c r="P361" t="n">
        <v>0</v>
      </c>
      <c r="Q361" t="n">
        <v>0</v>
      </c>
      <c r="R361" s="2" t="inlineStr"/>
    </row>
    <row r="362" ht="15" customHeight="1">
      <c r="A362" t="inlineStr">
        <is>
          <t>A 31485-2023</t>
        </is>
      </c>
      <c r="B362" s="1" t="n">
        <v>45114</v>
      </c>
      <c r="C362" s="1" t="n">
        <v>45989</v>
      </c>
      <c r="D362" t="inlineStr">
        <is>
          <t>UPPSALA LÄN</t>
        </is>
      </c>
      <c r="E362" t="inlineStr">
        <is>
          <t>ÖSTHAMMAR</t>
        </is>
      </c>
      <c r="F362" t="inlineStr">
        <is>
          <t>Bergvik skog öst AB</t>
        </is>
      </c>
      <c r="G362" t="n">
        <v>1</v>
      </c>
      <c r="H362" t="n">
        <v>0</v>
      </c>
      <c r="I362" t="n">
        <v>0</v>
      </c>
      <c r="J362" t="n">
        <v>0</v>
      </c>
      <c r="K362" t="n">
        <v>0</v>
      </c>
      <c r="L362" t="n">
        <v>0</v>
      </c>
      <c r="M362" t="n">
        <v>0</v>
      </c>
      <c r="N362" t="n">
        <v>0</v>
      </c>
      <c r="O362" t="n">
        <v>0</v>
      </c>
      <c r="P362" t="n">
        <v>0</v>
      </c>
      <c r="Q362" t="n">
        <v>0</v>
      </c>
      <c r="R362" s="2" t="inlineStr"/>
    </row>
    <row r="363" ht="15" customHeight="1">
      <c r="A363" t="inlineStr">
        <is>
          <t>A 21478-2023</t>
        </is>
      </c>
      <c r="B363" s="1" t="n">
        <v>45063.47773148148</v>
      </c>
      <c r="C363" s="1" t="n">
        <v>45989</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56759-2024</t>
        </is>
      </c>
      <c r="B364" s="1" t="n">
        <v>45628.39877314815</v>
      </c>
      <c r="C364" s="1" t="n">
        <v>45989</v>
      </c>
      <c r="D364" t="inlineStr">
        <is>
          <t>UPPSALA LÄN</t>
        </is>
      </c>
      <c r="E364" t="inlineStr">
        <is>
          <t>ÖSTHAMMAR</t>
        </is>
      </c>
      <c r="G364" t="n">
        <v>4.7</v>
      </c>
      <c r="H364" t="n">
        <v>0</v>
      </c>
      <c r="I364" t="n">
        <v>0</v>
      </c>
      <c r="J364" t="n">
        <v>0</v>
      </c>
      <c r="K364" t="n">
        <v>0</v>
      </c>
      <c r="L364" t="n">
        <v>0</v>
      </c>
      <c r="M364" t="n">
        <v>0</v>
      </c>
      <c r="N364" t="n">
        <v>0</v>
      </c>
      <c r="O364" t="n">
        <v>0</v>
      </c>
      <c r="P364" t="n">
        <v>0</v>
      </c>
      <c r="Q364" t="n">
        <v>0</v>
      </c>
      <c r="R364" s="2" t="inlineStr"/>
    </row>
    <row r="365" ht="15" customHeight="1">
      <c r="A365" t="inlineStr">
        <is>
          <t>A 32744-2022</t>
        </is>
      </c>
      <c r="B365" s="1" t="n">
        <v>44783.70378472222</v>
      </c>
      <c r="C365" s="1" t="n">
        <v>45989</v>
      </c>
      <c r="D365" t="inlineStr">
        <is>
          <t>UPPSALA LÄN</t>
        </is>
      </c>
      <c r="E365" t="inlineStr">
        <is>
          <t>ÖSTHAMMAR</t>
        </is>
      </c>
      <c r="F365" t="inlineStr">
        <is>
          <t>Bergvik skog öst AB</t>
        </is>
      </c>
      <c r="G365" t="n">
        <v>3</v>
      </c>
      <c r="H365" t="n">
        <v>0</v>
      </c>
      <c r="I365" t="n">
        <v>0</v>
      </c>
      <c r="J365" t="n">
        <v>0</v>
      </c>
      <c r="K365" t="n">
        <v>0</v>
      </c>
      <c r="L365" t="n">
        <v>0</v>
      </c>
      <c r="M365" t="n">
        <v>0</v>
      </c>
      <c r="N365" t="n">
        <v>0</v>
      </c>
      <c r="O365" t="n">
        <v>0</v>
      </c>
      <c r="P365" t="n">
        <v>0</v>
      </c>
      <c r="Q365" t="n">
        <v>0</v>
      </c>
      <c r="R365" s="2" t="inlineStr"/>
    </row>
    <row r="366" ht="15" customHeight="1">
      <c r="A366" t="inlineStr">
        <is>
          <t>A 33973-2025</t>
        </is>
      </c>
      <c r="B366" s="1" t="n">
        <v>45842.98429398148</v>
      </c>
      <c r="C366" s="1" t="n">
        <v>45989</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44491-2025</t>
        </is>
      </c>
      <c r="B367" s="1" t="n">
        <v>45916.66152777777</v>
      </c>
      <c r="C367" s="1" t="n">
        <v>45989</v>
      </c>
      <c r="D367" t="inlineStr">
        <is>
          <t>UPPSALA LÄN</t>
        </is>
      </c>
      <c r="E367" t="inlineStr">
        <is>
          <t>ÖSTHAMMAR</t>
        </is>
      </c>
      <c r="F367" t="inlineStr">
        <is>
          <t>Bergvik skog öst AB</t>
        </is>
      </c>
      <c r="G367" t="n">
        <v>4.3</v>
      </c>
      <c r="H367" t="n">
        <v>0</v>
      </c>
      <c r="I367" t="n">
        <v>0</v>
      </c>
      <c r="J367" t="n">
        <v>0</v>
      </c>
      <c r="K367" t="n">
        <v>0</v>
      </c>
      <c r="L367" t="n">
        <v>0</v>
      </c>
      <c r="M367" t="n">
        <v>0</v>
      </c>
      <c r="N367" t="n">
        <v>0</v>
      </c>
      <c r="O367" t="n">
        <v>0</v>
      </c>
      <c r="P367" t="n">
        <v>0</v>
      </c>
      <c r="Q367" t="n">
        <v>0</v>
      </c>
      <c r="R367" s="2" t="inlineStr"/>
    </row>
    <row r="368" ht="15" customHeight="1">
      <c r="A368" t="inlineStr">
        <is>
          <t>A 33972-2025</t>
        </is>
      </c>
      <c r="B368" s="1" t="n">
        <v>45842.97236111111</v>
      </c>
      <c r="C368" s="1" t="n">
        <v>45989</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26395-2025</t>
        </is>
      </c>
      <c r="B369" s="1" t="n">
        <v>45807</v>
      </c>
      <c r="C369" s="1" t="n">
        <v>45989</v>
      </c>
      <c r="D369" t="inlineStr">
        <is>
          <t>UPPSALA LÄN</t>
        </is>
      </c>
      <c r="E369" t="inlineStr">
        <is>
          <t>ÖSTHAMMAR</t>
        </is>
      </c>
      <c r="G369" t="n">
        <v>7</v>
      </c>
      <c r="H369" t="n">
        <v>0</v>
      </c>
      <c r="I369" t="n">
        <v>0</v>
      </c>
      <c r="J369" t="n">
        <v>0</v>
      </c>
      <c r="K369" t="n">
        <v>0</v>
      </c>
      <c r="L369" t="n">
        <v>0</v>
      </c>
      <c r="M369" t="n">
        <v>0</v>
      </c>
      <c r="N369" t="n">
        <v>0</v>
      </c>
      <c r="O369" t="n">
        <v>0</v>
      </c>
      <c r="P369" t="n">
        <v>0</v>
      </c>
      <c r="Q369" t="n">
        <v>0</v>
      </c>
      <c r="R369" s="2" t="inlineStr"/>
    </row>
    <row r="370" ht="15" customHeight="1">
      <c r="A370" t="inlineStr">
        <is>
          <t>A 4559-2022</t>
        </is>
      </c>
      <c r="B370" s="1" t="n">
        <v>44591.51854166666</v>
      </c>
      <c r="C370" s="1" t="n">
        <v>45989</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11643-2022</t>
        </is>
      </c>
      <c r="B371" s="1" t="n">
        <v>44631.92662037037</v>
      </c>
      <c r="C371" s="1" t="n">
        <v>45989</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44917-2025</t>
        </is>
      </c>
      <c r="B372" s="1" t="n">
        <v>45918.54903935185</v>
      </c>
      <c r="C372" s="1" t="n">
        <v>45989</v>
      </c>
      <c r="D372" t="inlineStr">
        <is>
          <t>UPPSALA LÄN</t>
        </is>
      </c>
      <c r="E372" t="inlineStr">
        <is>
          <t>ÖSTHAMMAR</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11036-2023</t>
        </is>
      </c>
      <c r="B373" s="1" t="n">
        <v>44991.9321412037</v>
      </c>
      <c r="C373" s="1" t="n">
        <v>45989</v>
      </c>
      <c r="D373" t="inlineStr">
        <is>
          <t>UPPSALA LÄN</t>
        </is>
      </c>
      <c r="E373" t="inlineStr">
        <is>
          <t>ÖSTHAMMAR</t>
        </is>
      </c>
      <c r="F373" t="inlineStr">
        <is>
          <t>Bergvik skog öst AB</t>
        </is>
      </c>
      <c r="G373" t="n">
        <v>3</v>
      </c>
      <c r="H373" t="n">
        <v>0</v>
      </c>
      <c r="I373" t="n">
        <v>0</v>
      </c>
      <c r="J373" t="n">
        <v>0</v>
      </c>
      <c r="K373" t="n">
        <v>0</v>
      </c>
      <c r="L373" t="n">
        <v>0</v>
      </c>
      <c r="M373" t="n">
        <v>0</v>
      </c>
      <c r="N373" t="n">
        <v>0</v>
      </c>
      <c r="O373" t="n">
        <v>0</v>
      </c>
      <c r="P373" t="n">
        <v>0</v>
      </c>
      <c r="Q373" t="n">
        <v>0</v>
      </c>
      <c r="R373" s="2" t="inlineStr"/>
    </row>
    <row r="374" ht="15" customHeight="1">
      <c r="A374" t="inlineStr">
        <is>
          <t>A 23363-2023</t>
        </is>
      </c>
      <c r="B374" s="1" t="n">
        <v>45076</v>
      </c>
      <c r="C374" s="1" t="n">
        <v>45989</v>
      </c>
      <c r="D374" t="inlineStr">
        <is>
          <t>UPPSALA LÄN</t>
        </is>
      </c>
      <c r="E374" t="inlineStr">
        <is>
          <t>ÖSTHAMMAR</t>
        </is>
      </c>
      <c r="G374" t="n">
        <v>3</v>
      </c>
      <c r="H374" t="n">
        <v>0</v>
      </c>
      <c r="I374" t="n">
        <v>0</v>
      </c>
      <c r="J374" t="n">
        <v>0</v>
      </c>
      <c r="K374" t="n">
        <v>0</v>
      </c>
      <c r="L374" t="n">
        <v>0</v>
      </c>
      <c r="M374" t="n">
        <v>0</v>
      </c>
      <c r="N374" t="n">
        <v>0</v>
      </c>
      <c r="O374" t="n">
        <v>0</v>
      </c>
      <c r="P374" t="n">
        <v>0</v>
      </c>
      <c r="Q374" t="n">
        <v>0</v>
      </c>
      <c r="R374" s="2" t="inlineStr"/>
    </row>
    <row r="375" ht="15" customHeight="1">
      <c r="A375" t="inlineStr">
        <is>
          <t>A 10117-2025</t>
        </is>
      </c>
      <c r="B375" s="1" t="n">
        <v>45719.59866898148</v>
      </c>
      <c r="C375" s="1" t="n">
        <v>45989</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3418-2025</t>
        </is>
      </c>
      <c r="B376" s="1" t="n">
        <v>45680</v>
      </c>
      <c r="C376" s="1" t="n">
        <v>45989</v>
      </c>
      <c r="D376" t="inlineStr">
        <is>
          <t>UPPSALA LÄN</t>
        </is>
      </c>
      <c r="E376" t="inlineStr">
        <is>
          <t>ÖSTHAMMAR</t>
        </is>
      </c>
      <c r="F376" t="inlineStr">
        <is>
          <t>Bergvik skog väst AB</t>
        </is>
      </c>
      <c r="G376" t="n">
        <v>0.4</v>
      </c>
      <c r="H376" t="n">
        <v>0</v>
      </c>
      <c r="I376" t="n">
        <v>0</v>
      </c>
      <c r="J376" t="n">
        <v>0</v>
      </c>
      <c r="K376" t="n">
        <v>0</v>
      </c>
      <c r="L376" t="n">
        <v>0</v>
      </c>
      <c r="M376" t="n">
        <v>0</v>
      </c>
      <c r="N376" t="n">
        <v>0</v>
      </c>
      <c r="O376" t="n">
        <v>0</v>
      </c>
      <c r="P376" t="n">
        <v>0</v>
      </c>
      <c r="Q376" t="n">
        <v>0</v>
      </c>
      <c r="R376" s="2" t="inlineStr"/>
    </row>
    <row r="377" ht="15" customHeight="1">
      <c r="A377" t="inlineStr">
        <is>
          <t>A 3420-2025</t>
        </is>
      </c>
      <c r="B377" s="1" t="n">
        <v>45680</v>
      </c>
      <c r="C377" s="1" t="n">
        <v>45989</v>
      </c>
      <c r="D377" t="inlineStr">
        <is>
          <t>UPPSALA LÄN</t>
        </is>
      </c>
      <c r="E377" t="inlineStr">
        <is>
          <t>ÖSTHAMMAR</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14505-2023</t>
        </is>
      </c>
      <c r="B378" s="1" t="n">
        <v>45012.7975</v>
      </c>
      <c r="C378" s="1" t="n">
        <v>45989</v>
      </c>
      <c r="D378" t="inlineStr">
        <is>
          <t>UPPSALA LÄN</t>
        </is>
      </c>
      <c r="E378" t="inlineStr">
        <is>
          <t>ÖSTHAMMAR</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53735-2025</t>
        </is>
      </c>
      <c r="B379" s="1" t="n">
        <v>45960.64431712963</v>
      </c>
      <c r="C379" s="1" t="n">
        <v>45989</v>
      </c>
      <c r="D379" t="inlineStr">
        <is>
          <t>UPPSALA LÄN</t>
        </is>
      </c>
      <c r="E379" t="inlineStr">
        <is>
          <t>ÖSTHAMMAR</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25859-2024</t>
        </is>
      </c>
      <c r="B380" s="1" t="n">
        <v>45467</v>
      </c>
      <c r="C380" s="1" t="n">
        <v>45989</v>
      </c>
      <c r="D380" t="inlineStr">
        <is>
          <t>UPPSALA LÄN</t>
        </is>
      </c>
      <c r="E380" t="inlineStr">
        <is>
          <t>ÖSTHAMMAR</t>
        </is>
      </c>
      <c r="G380" t="n">
        <v>7.9</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44496.57019675926</v>
      </c>
      <c r="C381" s="1" t="n">
        <v>45989</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19640-2025</t>
        </is>
      </c>
      <c r="B382" s="1" t="n">
        <v>45770.65739583333</v>
      </c>
      <c r="C382" s="1" t="n">
        <v>45989</v>
      </c>
      <c r="D382" t="inlineStr">
        <is>
          <t>UPPSALA LÄN</t>
        </is>
      </c>
      <c r="E382" t="inlineStr">
        <is>
          <t>ÖSTHAMMAR</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62695-2023</t>
        </is>
      </c>
      <c r="B383" s="1" t="n">
        <v>45271</v>
      </c>
      <c r="C383" s="1" t="n">
        <v>45989</v>
      </c>
      <c r="D383" t="inlineStr">
        <is>
          <t>UPPSALA LÄN</t>
        </is>
      </c>
      <c r="E383" t="inlineStr">
        <is>
          <t>ÖSTHAMMAR</t>
        </is>
      </c>
      <c r="G383" t="n">
        <v>5.3</v>
      </c>
      <c r="H383" t="n">
        <v>0</v>
      </c>
      <c r="I383" t="n">
        <v>0</v>
      </c>
      <c r="J383" t="n">
        <v>0</v>
      </c>
      <c r="K383" t="n">
        <v>0</v>
      </c>
      <c r="L383" t="n">
        <v>0</v>
      </c>
      <c r="M383" t="n">
        <v>0</v>
      </c>
      <c r="N383" t="n">
        <v>0</v>
      </c>
      <c r="O383" t="n">
        <v>0</v>
      </c>
      <c r="P383" t="n">
        <v>0</v>
      </c>
      <c r="Q383" t="n">
        <v>0</v>
      </c>
      <c r="R383" s="2" t="inlineStr"/>
    </row>
    <row r="384" ht="15" customHeight="1">
      <c r="A384" t="inlineStr">
        <is>
          <t>A 53737-2025</t>
        </is>
      </c>
      <c r="B384" s="1" t="n">
        <v>45960.64520833334</v>
      </c>
      <c r="C384" s="1" t="n">
        <v>45989</v>
      </c>
      <c r="D384" t="inlineStr">
        <is>
          <t>UPPSALA LÄN</t>
        </is>
      </c>
      <c r="E384" t="inlineStr">
        <is>
          <t>ÖSTHAMMAR</t>
        </is>
      </c>
      <c r="F384" t="inlineStr">
        <is>
          <t>Bergvik skog öst AB</t>
        </is>
      </c>
      <c r="G384" t="n">
        <v>3</v>
      </c>
      <c r="H384" t="n">
        <v>0</v>
      </c>
      <c r="I384" t="n">
        <v>0</v>
      </c>
      <c r="J384" t="n">
        <v>0</v>
      </c>
      <c r="K384" t="n">
        <v>0</v>
      </c>
      <c r="L384" t="n">
        <v>0</v>
      </c>
      <c r="M384" t="n">
        <v>0</v>
      </c>
      <c r="N384" t="n">
        <v>0</v>
      </c>
      <c r="O384" t="n">
        <v>0</v>
      </c>
      <c r="P384" t="n">
        <v>0</v>
      </c>
      <c r="Q384" t="n">
        <v>0</v>
      </c>
      <c r="R384" s="2" t="inlineStr"/>
    </row>
    <row r="385" ht="15" customHeight="1">
      <c r="A385" t="inlineStr">
        <is>
          <t>A 45105-2025</t>
        </is>
      </c>
      <c r="B385" s="1" t="n">
        <v>45919.40252314815</v>
      </c>
      <c r="C385" s="1" t="n">
        <v>45989</v>
      </c>
      <c r="D385" t="inlineStr">
        <is>
          <t>UPPSALA LÄN</t>
        </is>
      </c>
      <c r="E385" t="inlineStr">
        <is>
          <t>ÖSTHAMMAR</t>
        </is>
      </c>
      <c r="G385" t="n">
        <v>0.8</v>
      </c>
      <c r="H385" t="n">
        <v>0</v>
      </c>
      <c r="I385" t="n">
        <v>0</v>
      </c>
      <c r="J385" t="n">
        <v>0</v>
      </c>
      <c r="K385" t="n">
        <v>0</v>
      </c>
      <c r="L385" t="n">
        <v>0</v>
      </c>
      <c r="M385" t="n">
        <v>0</v>
      </c>
      <c r="N385" t="n">
        <v>0</v>
      </c>
      <c r="O385" t="n">
        <v>0</v>
      </c>
      <c r="P385" t="n">
        <v>0</v>
      </c>
      <c r="Q385" t="n">
        <v>0</v>
      </c>
      <c r="R385" s="2" t="inlineStr"/>
    </row>
    <row r="386" ht="15" customHeight="1">
      <c r="A386" t="inlineStr">
        <is>
          <t>A 53656-2025</t>
        </is>
      </c>
      <c r="B386" s="1" t="n">
        <v>45960</v>
      </c>
      <c r="C386" s="1" t="n">
        <v>45989</v>
      </c>
      <c r="D386" t="inlineStr">
        <is>
          <t>UPPSALA LÄN</t>
        </is>
      </c>
      <c r="E386" t="inlineStr">
        <is>
          <t>ÖSTHAMMAR</t>
        </is>
      </c>
      <c r="G386" t="n">
        <v>3.1</v>
      </c>
      <c r="H386" t="n">
        <v>0</v>
      </c>
      <c r="I386" t="n">
        <v>0</v>
      </c>
      <c r="J386" t="n">
        <v>0</v>
      </c>
      <c r="K386" t="n">
        <v>0</v>
      </c>
      <c r="L386" t="n">
        <v>0</v>
      </c>
      <c r="M386" t="n">
        <v>0</v>
      </c>
      <c r="N386" t="n">
        <v>0</v>
      </c>
      <c r="O386" t="n">
        <v>0</v>
      </c>
      <c r="P386" t="n">
        <v>0</v>
      </c>
      <c r="Q386" t="n">
        <v>0</v>
      </c>
      <c r="R386" s="2" t="inlineStr"/>
    </row>
    <row r="387" ht="15" customHeight="1">
      <c r="A387" t="inlineStr">
        <is>
          <t>A 53557-2025</t>
        </is>
      </c>
      <c r="B387" s="1" t="n">
        <v>45960</v>
      </c>
      <c r="C387" s="1" t="n">
        <v>45989</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54242-2025</t>
        </is>
      </c>
      <c r="B388" s="1" t="n">
        <v>45964.63251157408</v>
      </c>
      <c r="C388" s="1" t="n">
        <v>45989</v>
      </c>
      <c r="D388" t="inlineStr">
        <is>
          <t>UPPSALA LÄN</t>
        </is>
      </c>
      <c r="E388" t="inlineStr">
        <is>
          <t>ÖSTHAMMAR</t>
        </is>
      </c>
      <c r="G388" t="n">
        <v>4.7</v>
      </c>
      <c r="H388" t="n">
        <v>0</v>
      </c>
      <c r="I388" t="n">
        <v>0</v>
      </c>
      <c r="J388" t="n">
        <v>0</v>
      </c>
      <c r="K388" t="n">
        <v>0</v>
      </c>
      <c r="L388" t="n">
        <v>0</v>
      </c>
      <c r="M388" t="n">
        <v>0</v>
      </c>
      <c r="N388" t="n">
        <v>0</v>
      </c>
      <c r="O388" t="n">
        <v>0</v>
      </c>
      <c r="P388" t="n">
        <v>0</v>
      </c>
      <c r="Q388" t="n">
        <v>0</v>
      </c>
      <c r="R388" s="2" t="inlineStr"/>
    </row>
    <row r="389" ht="15" customHeight="1">
      <c r="A389" t="inlineStr">
        <is>
          <t>A 54437-2024</t>
        </is>
      </c>
      <c r="B389" s="1" t="n">
        <v>45617</v>
      </c>
      <c r="C389" s="1" t="n">
        <v>45989</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53567-2025</t>
        </is>
      </c>
      <c r="B390" s="1" t="n">
        <v>45960</v>
      </c>
      <c r="C390" s="1" t="n">
        <v>45989</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45102-2025</t>
        </is>
      </c>
      <c r="B391" s="1" t="n">
        <v>45919.39731481481</v>
      </c>
      <c r="C391" s="1" t="n">
        <v>45989</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23742-2024</t>
        </is>
      </c>
      <c r="B392" s="1" t="n">
        <v>45455</v>
      </c>
      <c r="C392" s="1" t="n">
        <v>45989</v>
      </c>
      <c r="D392" t="inlineStr">
        <is>
          <t>UPPSALA LÄN</t>
        </is>
      </c>
      <c r="E392" t="inlineStr">
        <is>
          <t>ÖSTHAMMAR</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29282-2021</t>
        </is>
      </c>
      <c r="B393" s="1" t="n">
        <v>44361</v>
      </c>
      <c r="C393" s="1" t="n">
        <v>45989</v>
      </c>
      <c r="D393" t="inlineStr">
        <is>
          <t>UPPSALA LÄN</t>
        </is>
      </c>
      <c r="E393" t="inlineStr">
        <is>
          <t>ÖSTHAMMAR</t>
        </is>
      </c>
      <c r="G393" t="n">
        <v>2.4</v>
      </c>
      <c r="H393" t="n">
        <v>0</v>
      </c>
      <c r="I393" t="n">
        <v>0</v>
      </c>
      <c r="J393" t="n">
        <v>0</v>
      </c>
      <c r="K393" t="n">
        <v>0</v>
      </c>
      <c r="L393" t="n">
        <v>0</v>
      </c>
      <c r="M393" t="n">
        <v>0</v>
      </c>
      <c r="N393" t="n">
        <v>0</v>
      </c>
      <c r="O393" t="n">
        <v>0</v>
      </c>
      <c r="P393" t="n">
        <v>0</v>
      </c>
      <c r="Q393" t="n">
        <v>0</v>
      </c>
      <c r="R393" s="2" t="inlineStr"/>
    </row>
    <row r="394" ht="15" customHeight="1">
      <c r="A394" t="inlineStr">
        <is>
          <t>A 17929-2025</t>
        </is>
      </c>
      <c r="B394" s="1" t="n">
        <v>45759.56462962963</v>
      </c>
      <c r="C394" s="1" t="n">
        <v>45989</v>
      </c>
      <c r="D394" t="inlineStr">
        <is>
          <t>UPPSALA LÄN</t>
        </is>
      </c>
      <c r="E394" t="inlineStr">
        <is>
          <t>ÖSTHAMMAR</t>
        </is>
      </c>
      <c r="G394" t="n">
        <v>3.4</v>
      </c>
      <c r="H394" t="n">
        <v>0</v>
      </c>
      <c r="I394" t="n">
        <v>0</v>
      </c>
      <c r="J394" t="n">
        <v>0</v>
      </c>
      <c r="K394" t="n">
        <v>0</v>
      </c>
      <c r="L394" t="n">
        <v>0</v>
      </c>
      <c r="M394" t="n">
        <v>0</v>
      </c>
      <c r="N394" t="n">
        <v>0</v>
      </c>
      <c r="O394" t="n">
        <v>0</v>
      </c>
      <c r="P394" t="n">
        <v>0</v>
      </c>
      <c r="Q394" t="n">
        <v>0</v>
      </c>
      <c r="R394" s="2" t="inlineStr"/>
    </row>
    <row r="395" ht="15" customHeight="1">
      <c r="A395" t="inlineStr">
        <is>
          <t>A 6039-2025</t>
        </is>
      </c>
      <c r="B395" s="1" t="n">
        <v>45695</v>
      </c>
      <c r="C395" s="1" t="n">
        <v>45989</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36092-2025</t>
        </is>
      </c>
      <c r="B396" s="1" t="n">
        <v>45866.48244212963</v>
      </c>
      <c r="C396" s="1" t="n">
        <v>45989</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45720-2025</t>
        </is>
      </c>
      <c r="B397" s="1" t="n">
        <v>45923.44583333333</v>
      </c>
      <c r="C397" s="1" t="n">
        <v>45989</v>
      </c>
      <c r="D397" t="inlineStr">
        <is>
          <t>UPPSALA LÄN</t>
        </is>
      </c>
      <c r="E397" t="inlineStr">
        <is>
          <t>ÖSTHAMMAR</t>
        </is>
      </c>
      <c r="F397" t="inlineStr">
        <is>
          <t>Övriga Aktiebolag</t>
        </is>
      </c>
      <c r="G397" t="n">
        <v>2.8</v>
      </c>
      <c r="H397" t="n">
        <v>0</v>
      </c>
      <c r="I397" t="n">
        <v>0</v>
      </c>
      <c r="J397" t="n">
        <v>0</v>
      </c>
      <c r="K397" t="n">
        <v>0</v>
      </c>
      <c r="L397" t="n">
        <v>0</v>
      </c>
      <c r="M397" t="n">
        <v>0</v>
      </c>
      <c r="N397" t="n">
        <v>0</v>
      </c>
      <c r="O397" t="n">
        <v>0</v>
      </c>
      <c r="P397" t="n">
        <v>0</v>
      </c>
      <c r="Q397" t="n">
        <v>0</v>
      </c>
      <c r="R397" s="2" t="inlineStr"/>
    </row>
    <row r="398" ht="15" customHeight="1">
      <c r="A398" t="inlineStr">
        <is>
          <t>A 45721-2025</t>
        </is>
      </c>
      <c r="B398" s="1" t="n">
        <v>45923.44844907407</v>
      </c>
      <c r="C398" s="1" t="n">
        <v>45989</v>
      </c>
      <c r="D398" t="inlineStr">
        <is>
          <t>UPPSALA LÄN</t>
        </is>
      </c>
      <c r="E398" t="inlineStr">
        <is>
          <t>ÖSTHAMMAR</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54647-2025</t>
        </is>
      </c>
      <c r="B399" s="1" t="n">
        <v>45966.37258101852</v>
      </c>
      <c r="C399" s="1" t="n">
        <v>45989</v>
      </c>
      <c r="D399" t="inlineStr">
        <is>
          <t>UPPSALA LÄN</t>
        </is>
      </c>
      <c r="E399" t="inlineStr">
        <is>
          <t>ÖSTHAMMAR</t>
        </is>
      </c>
      <c r="G399" t="n">
        <v>4.3</v>
      </c>
      <c r="H399" t="n">
        <v>0</v>
      </c>
      <c r="I399" t="n">
        <v>0</v>
      </c>
      <c r="J399" t="n">
        <v>0</v>
      </c>
      <c r="K399" t="n">
        <v>0</v>
      </c>
      <c r="L399" t="n">
        <v>0</v>
      </c>
      <c r="M399" t="n">
        <v>0</v>
      </c>
      <c r="N399" t="n">
        <v>0</v>
      </c>
      <c r="O399" t="n">
        <v>0</v>
      </c>
      <c r="P399" t="n">
        <v>0</v>
      </c>
      <c r="Q399" t="n">
        <v>0</v>
      </c>
      <c r="R399" s="2" t="inlineStr"/>
    </row>
    <row r="400" ht="15" customHeight="1">
      <c r="A400" t="inlineStr">
        <is>
          <t>A 54649-2025</t>
        </is>
      </c>
      <c r="B400" s="1" t="n">
        <v>45966.37548611111</v>
      </c>
      <c r="C400" s="1" t="n">
        <v>45989</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8769-2025</t>
        </is>
      </c>
      <c r="B401" s="1" t="n">
        <v>45712.59412037037</v>
      </c>
      <c r="C401" s="1" t="n">
        <v>45989</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45989</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46088-2025</t>
        </is>
      </c>
      <c r="B403" s="1" t="n">
        <v>45924.52010416667</v>
      </c>
      <c r="C403" s="1" t="n">
        <v>45989</v>
      </c>
      <c r="D403" t="inlineStr">
        <is>
          <t>UPPSALA LÄN</t>
        </is>
      </c>
      <c r="E403" t="inlineStr">
        <is>
          <t>ÖSTHAMMAR</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20326-2021</t>
        </is>
      </c>
      <c r="B404" s="1" t="n">
        <v>44308</v>
      </c>
      <c r="C404" s="1" t="n">
        <v>45989</v>
      </c>
      <c r="D404" t="inlineStr">
        <is>
          <t>UPPSALA LÄN</t>
        </is>
      </c>
      <c r="E404" t="inlineStr">
        <is>
          <t>ÖSTHAMMAR</t>
        </is>
      </c>
      <c r="G404" t="n">
        <v>7</v>
      </c>
      <c r="H404" t="n">
        <v>0</v>
      </c>
      <c r="I404" t="n">
        <v>0</v>
      </c>
      <c r="J404" t="n">
        <v>0</v>
      </c>
      <c r="K404" t="n">
        <v>0</v>
      </c>
      <c r="L404" t="n">
        <v>0</v>
      </c>
      <c r="M404" t="n">
        <v>0</v>
      </c>
      <c r="N404" t="n">
        <v>0</v>
      </c>
      <c r="O404" t="n">
        <v>0</v>
      </c>
      <c r="P404" t="n">
        <v>0</v>
      </c>
      <c r="Q404" t="n">
        <v>0</v>
      </c>
      <c r="R404" s="2" t="inlineStr"/>
    </row>
    <row r="405" ht="15" customHeight="1">
      <c r="A405" t="inlineStr">
        <is>
          <t>A 54592-2025</t>
        </is>
      </c>
      <c r="B405" s="1" t="n">
        <v>45965.74545138889</v>
      </c>
      <c r="C405" s="1" t="n">
        <v>45989</v>
      </c>
      <c r="D405" t="inlineStr">
        <is>
          <t>UPPSALA LÄN</t>
        </is>
      </c>
      <c r="E405" t="inlineStr">
        <is>
          <t>ÖSTHAMMAR</t>
        </is>
      </c>
      <c r="F405" t="inlineStr">
        <is>
          <t>Bergvik skog öst AB</t>
        </is>
      </c>
      <c r="G405" t="n">
        <v>5</v>
      </c>
      <c r="H405" t="n">
        <v>0</v>
      </c>
      <c r="I405" t="n">
        <v>0</v>
      </c>
      <c r="J405" t="n">
        <v>0</v>
      </c>
      <c r="K405" t="n">
        <v>0</v>
      </c>
      <c r="L405" t="n">
        <v>0</v>
      </c>
      <c r="M405" t="n">
        <v>0</v>
      </c>
      <c r="N405" t="n">
        <v>0</v>
      </c>
      <c r="O405" t="n">
        <v>0</v>
      </c>
      <c r="P405" t="n">
        <v>0</v>
      </c>
      <c r="Q405" t="n">
        <v>0</v>
      </c>
      <c r="R405" s="2" t="inlineStr"/>
    </row>
    <row r="406" ht="15" customHeight="1">
      <c r="A406" t="inlineStr">
        <is>
          <t>A 55086-2024</t>
        </is>
      </c>
      <c r="B406" s="1" t="n">
        <v>45621.43098379629</v>
      </c>
      <c r="C406" s="1" t="n">
        <v>45989</v>
      </c>
      <c r="D406" t="inlineStr">
        <is>
          <t>UPPSALA LÄN</t>
        </is>
      </c>
      <c r="E406" t="inlineStr">
        <is>
          <t>ÖSTHAMMAR</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55090-2024</t>
        </is>
      </c>
      <c r="B407" s="1" t="n">
        <v>45621.4350462963</v>
      </c>
      <c r="C407" s="1" t="n">
        <v>45989</v>
      </c>
      <c r="D407" t="inlineStr">
        <is>
          <t>UPPSALA LÄN</t>
        </is>
      </c>
      <c r="E407" t="inlineStr">
        <is>
          <t>ÖSTHAMMAR</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55093-2024</t>
        </is>
      </c>
      <c r="B408" s="1" t="n">
        <v>45621.43712962963</v>
      </c>
      <c r="C408" s="1" t="n">
        <v>45989</v>
      </c>
      <c r="D408" t="inlineStr">
        <is>
          <t>UPPSALA LÄN</t>
        </is>
      </c>
      <c r="E408" t="inlineStr">
        <is>
          <t>ÖSTHAMMAR</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46089-2025</t>
        </is>
      </c>
      <c r="B409" s="1" t="n">
        <v>45924.52100694444</v>
      </c>
      <c r="C409" s="1" t="n">
        <v>45989</v>
      </c>
      <c r="D409" t="inlineStr">
        <is>
          <t>UPPSALA LÄN</t>
        </is>
      </c>
      <c r="E409" t="inlineStr">
        <is>
          <t>ÖSTHAMMAR</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36451-2025</t>
        </is>
      </c>
      <c r="B410" s="1" t="n">
        <v>45869.4290625</v>
      </c>
      <c r="C410" s="1" t="n">
        <v>45989</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row>
    <row r="411" ht="15" customHeight="1">
      <c r="A411" t="inlineStr">
        <is>
          <t>A 28432-2023</t>
        </is>
      </c>
      <c r="B411" s="1" t="n">
        <v>45102.59896990741</v>
      </c>
      <c r="C411" s="1" t="n">
        <v>45989</v>
      </c>
      <c r="D411" t="inlineStr">
        <is>
          <t>UPPSALA LÄN</t>
        </is>
      </c>
      <c r="E411" t="inlineStr">
        <is>
          <t>ÖSTHAMMAR</t>
        </is>
      </c>
      <c r="F411" t="inlineStr">
        <is>
          <t>Bergvik skog öst AB</t>
        </is>
      </c>
      <c r="G411" t="n">
        <v>3.9</v>
      </c>
      <c r="H411" t="n">
        <v>0</v>
      </c>
      <c r="I411" t="n">
        <v>0</v>
      </c>
      <c r="J411" t="n">
        <v>0</v>
      </c>
      <c r="K411" t="n">
        <v>0</v>
      </c>
      <c r="L411" t="n">
        <v>0</v>
      </c>
      <c r="M411" t="n">
        <v>0</v>
      </c>
      <c r="N411" t="n">
        <v>0</v>
      </c>
      <c r="O411" t="n">
        <v>0</v>
      </c>
      <c r="P411" t="n">
        <v>0</v>
      </c>
      <c r="Q411" t="n">
        <v>0</v>
      </c>
      <c r="R411" s="2" t="inlineStr"/>
    </row>
    <row r="412" ht="15" customHeight="1">
      <c r="A412" t="inlineStr">
        <is>
          <t>A 45715-2025</t>
        </is>
      </c>
      <c r="B412" s="1" t="n">
        <v>45923.44094907407</v>
      </c>
      <c r="C412" s="1" t="n">
        <v>45989</v>
      </c>
      <c r="D412" t="inlineStr">
        <is>
          <t>UPPSALA LÄN</t>
        </is>
      </c>
      <c r="E412" t="inlineStr">
        <is>
          <t>ÖSTHAMMAR</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43915-2023</t>
        </is>
      </c>
      <c r="B413" s="1" t="n">
        <v>45187.71274305556</v>
      </c>
      <c r="C413" s="1" t="n">
        <v>45989</v>
      </c>
      <c r="D413" t="inlineStr">
        <is>
          <t>UPPSALA LÄN</t>
        </is>
      </c>
      <c r="E413" t="inlineStr">
        <is>
          <t>ÖSTHAMMAR</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36646-2025</t>
        </is>
      </c>
      <c r="B414" s="1" t="n">
        <v>45872</v>
      </c>
      <c r="C414" s="1" t="n">
        <v>45989</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13352-2023</t>
        </is>
      </c>
      <c r="B415" s="1" t="n">
        <v>45005</v>
      </c>
      <c r="C415" s="1" t="n">
        <v>45989</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36643-2025</t>
        </is>
      </c>
      <c r="B416" s="1" t="n">
        <v>45872.47782407407</v>
      </c>
      <c r="C416" s="1" t="n">
        <v>45989</v>
      </c>
      <c r="D416" t="inlineStr">
        <is>
          <t>UPPSALA LÄN</t>
        </is>
      </c>
      <c r="E416" t="inlineStr">
        <is>
          <t>ÖSTHAMMAR</t>
        </is>
      </c>
      <c r="F416" t="inlineStr">
        <is>
          <t>Bergvik skog öst AB</t>
        </is>
      </c>
      <c r="G416" t="n">
        <v>15.1</v>
      </c>
      <c r="H416" t="n">
        <v>0</v>
      </c>
      <c r="I416" t="n">
        <v>0</v>
      </c>
      <c r="J416" t="n">
        <v>0</v>
      </c>
      <c r="K416" t="n">
        <v>0</v>
      </c>
      <c r="L416" t="n">
        <v>0</v>
      </c>
      <c r="M416" t="n">
        <v>0</v>
      </c>
      <c r="N416" t="n">
        <v>0</v>
      </c>
      <c r="O416" t="n">
        <v>0</v>
      </c>
      <c r="P416" t="n">
        <v>0</v>
      </c>
      <c r="Q416" t="n">
        <v>0</v>
      </c>
      <c r="R416" s="2" t="inlineStr"/>
    </row>
    <row r="417" ht="15" customHeight="1">
      <c r="A417" t="inlineStr">
        <is>
          <t>A 36343-2022</t>
        </is>
      </c>
      <c r="B417" s="1" t="n">
        <v>44803.78524305556</v>
      </c>
      <c r="C417" s="1" t="n">
        <v>45989</v>
      </c>
      <c r="D417" t="inlineStr">
        <is>
          <t>UPPSALA LÄN</t>
        </is>
      </c>
      <c r="E417" t="inlineStr">
        <is>
          <t>ÖSTHAMMAR</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357-2025</t>
        </is>
      </c>
      <c r="B418" s="1" t="n">
        <v>45659</v>
      </c>
      <c r="C418" s="1" t="n">
        <v>45989</v>
      </c>
      <c r="D418" t="inlineStr">
        <is>
          <t>UPPSALA LÄN</t>
        </is>
      </c>
      <c r="E418" t="inlineStr">
        <is>
          <t>ÖSTHAMMAR</t>
        </is>
      </c>
      <c r="G418" t="n">
        <v>15.8</v>
      </c>
      <c r="H418" t="n">
        <v>0</v>
      </c>
      <c r="I418" t="n">
        <v>0</v>
      </c>
      <c r="J418" t="n">
        <v>0</v>
      </c>
      <c r="K418" t="n">
        <v>0</v>
      </c>
      <c r="L418" t="n">
        <v>0</v>
      </c>
      <c r="M418" t="n">
        <v>0</v>
      </c>
      <c r="N418" t="n">
        <v>0</v>
      </c>
      <c r="O418" t="n">
        <v>0</v>
      </c>
      <c r="P418" t="n">
        <v>0</v>
      </c>
      <c r="Q418" t="n">
        <v>0</v>
      </c>
      <c r="R418" s="2" t="inlineStr"/>
    </row>
    <row r="419" ht="15" customHeight="1">
      <c r="A419" t="inlineStr">
        <is>
          <t>A 68828-2020</t>
        </is>
      </c>
      <c r="B419" s="1" t="n">
        <v>44186</v>
      </c>
      <c r="C419" s="1" t="n">
        <v>45989</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18731-2022</t>
        </is>
      </c>
      <c r="B420" s="1" t="n">
        <v>44687.78673611111</v>
      </c>
      <c r="C420" s="1" t="n">
        <v>45989</v>
      </c>
      <c r="D420" t="inlineStr">
        <is>
          <t>UPPSALA LÄN</t>
        </is>
      </c>
      <c r="E420" t="inlineStr">
        <is>
          <t>ÖSTHAMMAR</t>
        </is>
      </c>
      <c r="G420" t="n">
        <v>4.9</v>
      </c>
      <c r="H420" t="n">
        <v>0</v>
      </c>
      <c r="I420" t="n">
        <v>0</v>
      </c>
      <c r="J420" t="n">
        <v>0</v>
      </c>
      <c r="K420" t="n">
        <v>0</v>
      </c>
      <c r="L420" t="n">
        <v>0</v>
      </c>
      <c r="M420" t="n">
        <v>0</v>
      </c>
      <c r="N420" t="n">
        <v>0</v>
      </c>
      <c r="O420" t="n">
        <v>0</v>
      </c>
      <c r="P420" t="n">
        <v>0</v>
      </c>
      <c r="Q420" t="n">
        <v>0</v>
      </c>
      <c r="R420" s="2" t="inlineStr"/>
    </row>
    <row r="421" ht="15" customHeight="1">
      <c r="A421" t="inlineStr">
        <is>
          <t>A 36645-2025</t>
        </is>
      </c>
      <c r="B421" s="1" t="n">
        <v>45872</v>
      </c>
      <c r="C421" s="1" t="n">
        <v>45989</v>
      </c>
      <c r="D421" t="inlineStr">
        <is>
          <t>UPPSALA LÄN</t>
        </is>
      </c>
      <c r="E421" t="inlineStr">
        <is>
          <t>ÖSTHAMMAR</t>
        </is>
      </c>
      <c r="F421" t="inlineStr">
        <is>
          <t>Bergvik skog öst AB</t>
        </is>
      </c>
      <c r="G421" t="n">
        <v>1.8</v>
      </c>
      <c r="H421" t="n">
        <v>0</v>
      </c>
      <c r="I421" t="n">
        <v>0</v>
      </c>
      <c r="J421" t="n">
        <v>0</v>
      </c>
      <c r="K421" t="n">
        <v>0</v>
      </c>
      <c r="L421" t="n">
        <v>0</v>
      </c>
      <c r="M421" t="n">
        <v>0</v>
      </c>
      <c r="N421" t="n">
        <v>0</v>
      </c>
      <c r="O421" t="n">
        <v>0</v>
      </c>
      <c r="P421" t="n">
        <v>0</v>
      </c>
      <c r="Q421" t="n">
        <v>0</v>
      </c>
      <c r="R421" s="2" t="inlineStr"/>
    </row>
    <row r="422" ht="15" customHeight="1">
      <c r="A422" t="inlineStr">
        <is>
          <t>A 36644-2025</t>
        </is>
      </c>
      <c r="B422" s="1" t="n">
        <v>45872.48738425926</v>
      </c>
      <c r="C422" s="1" t="n">
        <v>45989</v>
      </c>
      <c r="D422" t="inlineStr">
        <is>
          <t>UPPSALA LÄN</t>
        </is>
      </c>
      <c r="E422" t="inlineStr">
        <is>
          <t>ÖSTHAMMAR</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23495-2023</t>
        </is>
      </c>
      <c r="B423" s="1" t="n">
        <v>45076.71652777777</v>
      </c>
      <c r="C423" s="1" t="n">
        <v>45989</v>
      </c>
      <c r="D423" t="inlineStr">
        <is>
          <t>UPPSALA LÄN</t>
        </is>
      </c>
      <c r="E423" t="inlineStr">
        <is>
          <t>ÖSTHAMMAR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1063-2025</t>
        </is>
      </c>
      <c r="B424" s="1" t="n">
        <v>45666</v>
      </c>
      <c r="C424" s="1" t="n">
        <v>45989</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10495-2025</t>
        </is>
      </c>
      <c r="B425" s="1" t="n">
        <v>45721</v>
      </c>
      <c r="C425" s="1" t="n">
        <v>45989</v>
      </c>
      <c r="D425" t="inlineStr">
        <is>
          <t>UPPSALA LÄN</t>
        </is>
      </c>
      <c r="E425" t="inlineStr">
        <is>
          <t>ÖSTHAMMAR</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55163-2025</t>
        </is>
      </c>
      <c r="B426" s="1" t="n">
        <v>45968.48032407407</v>
      </c>
      <c r="C426" s="1" t="n">
        <v>45989</v>
      </c>
      <c r="D426" t="inlineStr">
        <is>
          <t>UPPSALA LÄN</t>
        </is>
      </c>
      <c r="E426" t="inlineStr">
        <is>
          <t>ÖSTHAMMAR</t>
        </is>
      </c>
      <c r="G426" t="n">
        <v>1.8</v>
      </c>
      <c r="H426" t="n">
        <v>0</v>
      </c>
      <c r="I426" t="n">
        <v>0</v>
      </c>
      <c r="J426" t="n">
        <v>0</v>
      </c>
      <c r="K426" t="n">
        <v>0</v>
      </c>
      <c r="L426" t="n">
        <v>0</v>
      </c>
      <c r="M426" t="n">
        <v>0</v>
      </c>
      <c r="N426" t="n">
        <v>0</v>
      </c>
      <c r="O426" t="n">
        <v>0</v>
      </c>
      <c r="P426" t="n">
        <v>0</v>
      </c>
      <c r="Q426" t="n">
        <v>0</v>
      </c>
      <c r="R426" s="2" t="inlineStr"/>
    </row>
    <row r="427" ht="15" customHeight="1">
      <c r="A427" t="inlineStr">
        <is>
          <t>A 4356-2025</t>
        </is>
      </c>
      <c r="B427" s="1" t="n">
        <v>45686</v>
      </c>
      <c r="C427" s="1" t="n">
        <v>45989</v>
      </c>
      <c r="D427" t="inlineStr">
        <is>
          <t>UPPSALA LÄN</t>
        </is>
      </c>
      <c r="E427" t="inlineStr">
        <is>
          <t>ÖSTHAMMAR</t>
        </is>
      </c>
      <c r="F427" t="inlineStr">
        <is>
          <t>Övriga Aktiebolag</t>
        </is>
      </c>
      <c r="G427" t="n">
        <v>24.6</v>
      </c>
      <c r="H427" t="n">
        <v>0</v>
      </c>
      <c r="I427" t="n">
        <v>0</v>
      </c>
      <c r="J427" t="n">
        <v>0</v>
      </c>
      <c r="K427" t="n">
        <v>0</v>
      </c>
      <c r="L427" t="n">
        <v>0</v>
      </c>
      <c r="M427" t="n">
        <v>0</v>
      </c>
      <c r="N427" t="n">
        <v>0</v>
      </c>
      <c r="O427" t="n">
        <v>0</v>
      </c>
      <c r="P427" t="n">
        <v>0</v>
      </c>
      <c r="Q427" t="n">
        <v>0</v>
      </c>
      <c r="R427" s="2" t="inlineStr"/>
    </row>
    <row r="428" ht="15" customHeight="1">
      <c r="A428" t="inlineStr">
        <is>
          <t>A 17085-2025</t>
        </is>
      </c>
      <c r="B428" s="1" t="n">
        <v>45755.64612268518</v>
      </c>
      <c r="C428" s="1" t="n">
        <v>45989</v>
      </c>
      <c r="D428" t="inlineStr">
        <is>
          <t>UPPSALA LÄN</t>
        </is>
      </c>
      <c r="E428" t="inlineStr">
        <is>
          <t>ÖSTHAMMAR</t>
        </is>
      </c>
      <c r="F428" t="inlineStr">
        <is>
          <t>Bergvik skog öst AB</t>
        </is>
      </c>
      <c r="G428" t="n">
        <v>0.6</v>
      </c>
      <c r="H428" t="n">
        <v>0</v>
      </c>
      <c r="I428" t="n">
        <v>0</v>
      </c>
      <c r="J428" t="n">
        <v>0</v>
      </c>
      <c r="K428" t="n">
        <v>0</v>
      </c>
      <c r="L428" t="n">
        <v>0</v>
      </c>
      <c r="M428" t="n">
        <v>0</v>
      </c>
      <c r="N428" t="n">
        <v>0</v>
      </c>
      <c r="O428" t="n">
        <v>0</v>
      </c>
      <c r="P428" t="n">
        <v>0</v>
      </c>
      <c r="Q428" t="n">
        <v>0</v>
      </c>
      <c r="R428" s="2" t="inlineStr"/>
    </row>
    <row r="429" ht="15" customHeight="1">
      <c r="A429" t="inlineStr">
        <is>
          <t>A 55798-2025</t>
        </is>
      </c>
      <c r="B429" s="1" t="n">
        <v>45972.66209490741</v>
      </c>
      <c r="C429" s="1" t="n">
        <v>45989</v>
      </c>
      <c r="D429" t="inlineStr">
        <is>
          <t>UPPSALA LÄN</t>
        </is>
      </c>
      <c r="E429" t="inlineStr">
        <is>
          <t>ÖSTHAMMAR</t>
        </is>
      </c>
      <c r="F429" t="inlineStr">
        <is>
          <t>Bergvik skog öst AB</t>
        </is>
      </c>
      <c r="G429" t="n">
        <v>3.9</v>
      </c>
      <c r="H429" t="n">
        <v>0</v>
      </c>
      <c r="I429" t="n">
        <v>0</v>
      </c>
      <c r="J429" t="n">
        <v>0</v>
      </c>
      <c r="K429" t="n">
        <v>0</v>
      </c>
      <c r="L429" t="n">
        <v>0</v>
      </c>
      <c r="M429" t="n">
        <v>0</v>
      </c>
      <c r="N429" t="n">
        <v>0</v>
      </c>
      <c r="O429" t="n">
        <v>0</v>
      </c>
      <c r="P429" t="n">
        <v>0</v>
      </c>
      <c r="Q429" t="n">
        <v>0</v>
      </c>
      <c r="R429" s="2" t="inlineStr"/>
    </row>
    <row r="430" ht="15" customHeight="1">
      <c r="A430" t="inlineStr">
        <is>
          <t>A 37656-2025</t>
        </is>
      </c>
      <c r="B430" s="1" t="n">
        <v>45880</v>
      </c>
      <c r="C430" s="1" t="n">
        <v>45989</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37764-2025</t>
        </is>
      </c>
      <c r="B431" s="1" t="n">
        <v>45880.70917824074</v>
      </c>
      <c r="C431" s="1" t="n">
        <v>45989</v>
      </c>
      <c r="D431" t="inlineStr">
        <is>
          <t>UPPSALA LÄN</t>
        </is>
      </c>
      <c r="E431" t="inlineStr">
        <is>
          <t>ÖSTHAMMAR</t>
        </is>
      </c>
      <c r="G431" t="n">
        <v>4.6</v>
      </c>
      <c r="H431" t="n">
        <v>0</v>
      </c>
      <c r="I431" t="n">
        <v>0</v>
      </c>
      <c r="J431" t="n">
        <v>0</v>
      </c>
      <c r="K431" t="n">
        <v>0</v>
      </c>
      <c r="L431" t="n">
        <v>0</v>
      </c>
      <c r="M431" t="n">
        <v>0</v>
      </c>
      <c r="N431" t="n">
        <v>0</v>
      </c>
      <c r="O431" t="n">
        <v>0</v>
      </c>
      <c r="P431" t="n">
        <v>0</v>
      </c>
      <c r="Q431" t="n">
        <v>0</v>
      </c>
      <c r="R431" s="2" t="inlineStr"/>
    </row>
    <row r="432" ht="15" customHeight="1">
      <c r="A432" t="inlineStr">
        <is>
          <t>A 32244-2021</t>
        </is>
      </c>
      <c r="B432" s="1" t="n">
        <v>44371.45335648148</v>
      </c>
      <c r="C432" s="1" t="n">
        <v>45989</v>
      </c>
      <c r="D432" t="inlineStr">
        <is>
          <t>UPPSALA LÄN</t>
        </is>
      </c>
      <c r="E432" t="inlineStr">
        <is>
          <t>ÖSTHAMMAR</t>
        </is>
      </c>
      <c r="F432" t="inlineStr">
        <is>
          <t>Bergvik skog öst AB</t>
        </is>
      </c>
      <c r="G432" t="n">
        <v>2.6</v>
      </c>
      <c r="H432" t="n">
        <v>0</v>
      </c>
      <c r="I432" t="n">
        <v>0</v>
      </c>
      <c r="J432" t="n">
        <v>0</v>
      </c>
      <c r="K432" t="n">
        <v>0</v>
      </c>
      <c r="L432" t="n">
        <v>0</v>
      </c>
      <c r="M432" t="n">
        <v>0</v>
      </c>
      <c r="N432" t="n">
        <v>0</v>
      </c>
      <c r="O432" t="n">
        <v>0</v>
      </c>
      <c r="P432" t="n">
        <v>0</v>
      </c>
      <c r="Q432" t="n">
        <v>0</v>
      </c>
      <c r="R432" s="2" t="inlineStr"/>
    </row>
    <row r="433" ht="15" customHeight="1">
      <c r="A433" t="inlineStr">
        <is>
          <t>A 33056-2021</t>
        </is>
      </c>
      <c r="B433" s="1" t="n">
        <v>44376.52438657408</v>
      </c>
      <c r="C433" s="1" t="n">
        <v>45989</v>
      </c>
      <c r="D433" t="inlineStr">
        <is>
          <t>UPPSALA LÄN</t>
        </is>
      </c>
      <c r="E433" t="inlineStr">
        <is>
          <t>ÖSTHAMMAR</t>
        </is>
      </c>
      <c r="G433" t="n">
        <v>0.6</v>
      </c>
      <c r="H433" t="n">
        <v>0</v>
      </c>
      <c r="I433" t="n">
        <v>0</v>
      </c>
      <c r="J433" t="n">
        <v>0</v>
      </c>
      <c r="K433" t="n">
        <v>0</v>
      </c>
      <c r="L433" t="n">
        <v>0</v>
      </c>
      <c r="M433" t="n">
        <v>0</v>
      </c>
      <c r="N433" t="n">
        <v>0</v>
      </c>
      <c r="O433" t="n">
        <v>0</v>
      </c>
      <c r="P433" t="n">
        <v>0</v>
      </c>
      <c r="Q433" t="n">
        <v>0</v>
      </c>
      <c r="R433" s="2" t="inlineStr"/>
    </row>
    <row r="434" ht="15" customHeight="1">
      <c r="A434" t="inlineStr">
        <is>
          <t>A 5189-2025</t>
        </is>
      </c>
      <c r="B434" s="1" t="n">
        <v>45691</v>
      </c>
      <c r="C434" s="1" t="n">
        <v>45989</v>
      </c>
      <c r="D434" t="inlineStr">
        <is>
          <t>UPPSALA LÄN</t>
        </is>
      </c>
      <c r="E434" t="inlineStr">
        <is>
          <t>ÖSTHAMMAR</t>
        </is>
      </c>
      <c r="F434" t="inlineStr">
        <is>
          <t>Bergvik skog öst AB</t>
        </is>
      </c>
      <c r="G434" t="n">
        <v>24.4</v>
      </c>
      <c r="H434" t="n">
        <v>0</v>
      </c>
      <c r="I434" t="n">
        <v>0</v>
      </c>
      <c r="J434" t="n">
        <v>0</v>
      </c>
      <c r="K434" t="n">
        <v>0</v>
      </c>
      <c r="L434" t="n">
        <v>0</v>
      </c>
      <c r="M434" t="n">
        <v>0</v>
      </c>
      <c r="N434" t="n">
        <v>0</v>
      </c>
      <c r="O434" t="n">
        <v>0</v>
      </c>
      <c r="P434" t="n">
        <v>0</v>
      </c>
      <c r="Q434" t="n">
        <v>0</v>
      </c>
      <c r="R434" s="2" t="inlineStr"/>
    </row>
    <row r="435" ht="15" customHeight="1">
      <c r="A435" t="inlineStr">
        <is>
          <t>A 47336-2025</t>
        </is>
      </c>
      <c r="B435" s="1" t="n">
        <v>45930.56592592593</v>
      </c>
      <c r="C435" s="1" t="n">
        <v>45989</v>
      </c>
      <c r="D435" t="inlineStr">
        <is>
          <t>UPPSALA LÄN</t>
        </is>
      </c>
      <c r="E435" t="inlineStr">
        <is>
          <t>ÖSTHAMMAR</t>
        </is>
      </c>
      <c r="G435" t="n">
        <v>0.9</v>
      </c>
      <c r="H435" t="n">
        <v>0</v>
      </c>
      <c r="I435" t="n">
        <v>0</v>
      </c>
      <c r="J435" t="n">
        <v>0</v>
      </c>
      <c r="K435" t="n">
        <v>0</v>
      </c>
      <c r="L435" t="n">
        <v>0</v>
      </c>
      <c r="M435" t="n">
        <v>0</v>
      </c>
      <c r="N435" t="n">
        <v>0</v>
      </c>
      <c r="O435" t="n">
        <v>0</v>
      </c>
      <c r="P435" t="n">
        <v>0</v>
      </c>
      <c r="Q435" t="n">
        <v>0</v>
      </c>
      <c r="R435" s="2" t="inlineStr"/>
    </row>
    <row r="436" ht="15" customHeight="1">
      <c r="A436" t="inlineStr">
        <is>
          <t>A 47337-2025</t>
        </is>
      </c>
      <c r="B436" s="1" t="n">
        <v>45930.56607638889</v>
      </c>
      <c r="C436" s="1" t="n">
        <v>45989</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47338-2025</t>
        </is>
      </c>
      <c r="B437" s="1" t="n">
        <v>45930.56626157407</v>
      </c>
      <c r="C437" s="1" t="n">
        <v>45989</v>
      </c>
      <c r="D437" t="inlineStr">
        <is>
          <t>UPPSALA LÄN</t>
        </is>
      </c>
      <c r="E437" t="inlineStr">
        <is>
          <t>ÖSTHAMMAR</t>
        </is>
      </c>
      <c r="G437" t="n">
        <v>2.4</v>
      </c>
      <c r="H437" t="n">
        <v>0</v>
      </c>
      <c r="I437" t="n">
        <v>0</v>
      </c>
      <c r="J437" t="n">
        <v>0</v>
      </c>
      <c r="K437" t="n">
        <v>0</v>
      </c>
      <c r="L437" t="n">
        <v>0</v>
      </c>
      <c r="M437" t="n">
        <v>0</v>
      </c>
      <c r="N437" t="n">
        <v>0</v>
      </c>
      <c r="O437" t="n">
        <v>0</v>
      </c>
      <c r="P437" t="n">
        <v>0</v>
      </c>
      <c r="Q437" t="n">
        <v>0</v>
      </c>
      <c r="R437" s="2" t="inlineStr"/>
    </row>
    <row r="438" ht="15" customHeight="1">
      <c r="A438" t="inlineStr">
        <is>
          <t>A 7118-2023</t>
        </is>
      </c>
      <c r="B438" s="1" t="n">
        <v>44970.39591435185</v>
      </c>
      <c r="C438" s="1" t="n">
        <v>45989</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55298-2025</t>
        </is>
      </c>
      <c r="B439" s="1" t="n">
        <v>45969.76908564815</v>
      </c>
      <c r="C439" s="1" t="n">
        <v>45989</v>
      </c>
      <c r="D439" t="inlineStr">
        <is>
          <t>UPPSALA LÄN</t>
        </is>
      </c>
      <c r="E439" t="inlineStr">
        <is>
          <t>ÖSTHAMMAR</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37770-2025</t>
        </is>
      </c>
      <c r="B440" s="1" t="n">
        <v>45880.7505787037</v>
      </c>
      <c r="C440" s="1" t="n">
        <v>45989</v>
      </c>
      <c r="D440" t="inlineStr">
        <is>
          <t>UPPSALA LÄN</t>
        </is>
      </c>
      <c r="E440" t="inlineStr">
        <is>
          <t>ÖSTHAMMAR</t>
        </is>
      </c>
      <c r="G440" t="n">
        <v>2.9</v>
      </c>
      <c r="H440" t="n">
        <v>0</v>
      </c>
      <c r="I440" t="n">
        <v>0</v>
      </c>
      <c r="J440" t="n">
        <v>0</v>
      </c>
      <c r="K440" t="n">
        <v>0</v>
      </c>
      <c r="L440" t="n">
        <v>0</v>
      </c>
      <c r="M440" t="n">
        <v>0</v>
      </c>
      <c r="N440" t="n">
        <v>0</v>
      </c>
      <c r="O440" t="n">
        <v>0</v>
      </c>
      <c r="P440" t="n">
        <v>0</v>
      </c>
      <c r="Q440" t="n">
        <v>0</v>
      </c>
      <c r="R440" s="2" t="inlineStr"/>
    </row>
    <row r="441" ht="15" customHeight="1">
      <c r="A441" t="inlineStr">
        <is>
          <t>A 46826-2025</t>
        </is>
      </c>
      <c r="B441" s="1" t="n">
        <v>45927.00606481481</v>
      </c>
      <c r="C441" s="1" t="n">
        <v>45989</v>
      </c>
      <c r="D441" t="inlineStr">
        <is>
          <t>UPPSALA LÄN</t>
        </is>
      </c>
      <c r="E441" t="inlineStr">
        <is>
          <t>ÖSTHAMMAR</t>
        </is>
      </c>
      <c r="G441" t="n">
        <v>9</v>
      </c>
      <c r="H441" t="n">
        <v>0</v>
      </c>
      <c r="I441" t="n">
        <v>0</v>
      </c>
      <c r="J441" t="n">
        <v>0</v>
      </c>
      <c r="K441" t="n">
        <v>0</v>
      </c>
      <c r="L441" t="n">
        <v>0</v>
      </c>
      <c r="M441" t="n">
        <v>0</v>
      </c>
      <c r="N441" t="n">
        <v>0</v>
      </c>
      <c r="O441" t="n">
        <v>0</v>
      </c>
      <c r="P441" t="n">
        <v>0</v>
      </c>
      <c r="Q441" t="n">
        <v>0</v>
      </c>
      <c r="R441" s="2" t="inlineStr"/>
    </row>
    <row r="442" ht="15" customHeight="1">
      <c r="A442" t="inlineStr">
        <is>
          <t>A 4292-2025</t>
        </is>
      </c>
      <c r="B442" s="1" t="n">
        <v>45685.66459490741</v>
      </c>
      <c r="C442" s="1" t="n">
        <v>45989</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8592-2022</t>
        </is>
      </c>
      <c r="B443" s="1" t="n">
        <v>44613</v>
      </c>
      <c r="C443" s="1" t="n">
        <v>45989</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3119-2025</t>
        </is>
      </c>
      <c r="B444" s="1" t="n">
        <v>45678</v>
      </c>
      <c r="C444" s="1" t="n">
        <v>45989</v>
      </c>
      <c r="D444" t="inlineStr">
        <is>
          <t>UPPSALA LÄN</t>
        </is>
      </c>
      <c r="E444" t="inlineStr">
        <is>
          <t>ÖSTHAMMAR</t>
        </is>
      </c>
      <c r="G444" t="n">
        <v>1.1</v>
      </c>
      <c r="H444" t="n">
        <v>0</v>
      </c>
      <c r="I444" t="n">
        <v>0</v>
      </c>
      <c r="J444" t="n">
        <v>0</v>
      </c>
      <c r="K444" t="n">
        <v>0</v>
      </c>
      <c r="L444" t="n">
        <v>0</v>
      </c>
      <c r="M444" t="n">
        <v>0</v>
      </c>
      <c r="N444" t="n">
        <v>0</v>
      </c>
      <c r="O444" t="n">
        <v>0</v>
      </c>
      <c r="P444" t="n">
        <v>0</v>
      </c>
      <c r="Q444" t="n">
        <v>0</v>
      </c>
      <c r="R444" s="2" t="inlineStr"/>
    </row>
    <row r="445" ht="15" customHeight="1">
      <c r="A445" t="inlineStr">
        <is>
          <t>A 47614-2025</t>
        </is>
      </c>
      <c r="B445" s="1" t="n">
        <v>45931.47211805556</v>
      </c>
      <c r="C445" s="1" t="n">
        <v>45989</v>
      </c>
      <c r="D445" t="inlineStr">
        <is>
          <t>UPPSALA LÄN</t>
        </is>
      </c>
      <c r="E445" t="inlineStr">
        <is>
          <t>ÖSTHAMMAR</t>
        </is>
      </c>
      <c r="G445" t="n">
        <v>22.8</v>
      </c>
      <c r="H445" t="n">
        <v>0</v>
      </c>
      <c r="I445" t="n">
        <v>0</v>
      </c>
      <c r="J445" t="n">
        <v>0</v>
      </c>
      <c r="K445" t="n">
        <v>0</v>
      </c>
      <c r="L445" t="n">
        <v>0</v>
      </c>
      <c r="M445" t="n">
        <v>0</v>
      </c>
      <c r="N445" t="n">
        <v>0</v>
      </c>
      <c r="O445" t="n">
        <v>0</v>
      </c>
      <c r="P445" t="n">
        <v>0</v>
      </c>
      <c r="Q445" t="n">
        <v>0</v>
      </c>
      <c r="R445" s="2" t="inlineStr"/>
    </row>
    <row r="446" ht="15" customHeight="1">
      <c r="A446" t="inlineStr">
        <is>
          <t>A 17646-2025</t>
        </is>
      </c>
      <c r="B446" s="1" t="n">
        <v>45758.32872685185</v>
      </c>
      <c r="C446" s="1" t="n">
        <v>45989</v>
      </c>
      <c r="D446" t="inlineStr">
        <is>
          <t>UPPSALA LÄN</t>
        </is>
      </c>
      <c r="E446" t="inlineStr">
        <is>
          <t>ÖSTHAMMAR</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17648-2025</t>
        </is>
      </c>
      <c r="B447" s="1" t="n">
        <v>45758.33064814815</v>
      </c>
      <c r="C447" s="1" t="n">
        <v>45989</v>
      </c>
      <c r="D447" t="inlineStr">
        <is>
          <t>UPPSALA LÄN</t>
        </is>
      </c>
      <c r="E447" t="inlineStr">
        <is>
          <t>ÖSTHAMMAR</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51265-2025</t>
        </is>
      </c>
      <c r="B448" s="1" t="n">
        <v>45949.70971064815</v>
      </c>
      <c r="C448" s="1" t="n">
        <v>45989</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51266-2025</t>
        </is>
      </c>
      <c r="B449" s="1" t="n">
        <v>45949.71568287037</v>
      </c>
      <c r="C449" s="1" t="n">
        <v>45989</v>
      </c>
      <c r="D449" t="inlineStr">
        <is>
          <t>UPPSALA LÄN</t>
        </is>
      </c>
      <c r="E449" t="inlineStr">
        <is>
          <t>ÖSTHAMMAR</t>
        </is>
      </c>
      <c r="F449" t="inlineStr">
        <is>
          <t>Bergvik skog öst AB</t>
        </is>
      </c>
      <c r="G449" t="n">
        <v>4.7</v>
      </c>
      <c r="H449" t="n">
        <v>0</v>
      </c>
      <c r="I449" t="n">
        <v>0</v>
      </c>
      <c r="J449" t="n">
        <v>0</v>
      </c>
      <c r="K449" t="n">
        <v>0</v>
      </c>
      <c r="L449" t="n">
        <v>0</v>
      </c>
      <c r="M449" t="n">
        <v>0</v>
      </c>
      <c r="N449" t="n">
        <v>0</v>
      </c>
      <c r="O449" t="n">
        <v>0</v>
      </c>
      <c r="P449" t="n">
        <v>0</v>
      </c>
      <c r="Q449" t="n">
        <v>0</v>
      </c>
      <c r="R449" s="2" t="inlineStr"/>
    </row>
    <row r="450" ht="15" customHeight="1">
      <c r="A450" t="inlineStr">
        <is>
          <t>A 47615-2025</t>
        </is>
      </c>
      <c r="B450" s="1" t="n">
        <v>45931.47542824074</v>
      </c>
      <c r="C450" s="1" t="n">
        <v>45989</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53961-2025</t>
        </is>
      </c>
      <c r="B451" s="1" t="n">
        <v>45961</v>
      </c>
      <c r="C451" s="1" t="n">
        <v>45989</v>
      </c>
      <c r="D451" t="inlineStr">
        <is>
          <t>UPPSALA LÄN</t>
        </is>
      </c>
      <c r="E451" t="inlineStr">
        <is>
          <t>ÖSTHAMMAR</t>
        </is>
      </c>
      <c r="G451" t="n">
        <v>0.7</v>
      </c>
      <c r="H451" t="n">
        <v>0</v>
      </c>
      <c r="I451" t="n">
        <v>0</v>
      </c>
      <c r="J451" t="n">
        <v>0</v>
      </c>
      <c r="K451" t="n">
        <v>0</v>
      </c>
      <c r="L451" t="n">
        <v>0</v>
      </c>
      <c r="M451" t="n">
        <v>0</v>
      </c>
      <c r="N451" t="n">
        <v>0</v>
      </c>
      <c r="O451" t="n">
        <v>0</v>
      </c>
      <c r="P451" t="n">
        <v>0</v>
      </c>
      <c r="Q451" t="n">
        <v>0</v>
      </c>
      <c r="R451" s="2" t="inlineStr"/>
    </row>
    <row r="452" ht="15" customHeight="1">
      <c r="A452" t="inlineStr">
        <is>
          <t>A 60047-2021</t>
        </is>
      </c>
      <c r="B452" s="1" t="n">
        <v>44495</v>
      </c>
      <c r="C452" s="1" t="n">
        <v>45989</v>
      </c>
      <c r="D452" t="inlineStr">
        <is>
          <t>UPPSALA LÄN</t>
        </is>
      </c>
      <c r="E452" t="inlineStr">
        <is>
          <t>ÖSTHAMMAR</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18401-2025</t>
        </is>
      </c>
      <c r="B453" s="1" t="n">
        <v>45762.5966087963</v>
      </c>
      <c r="C453" s="1" t="n">
        <v>45989</v>
      </c>
      <c r="D453" t="inlineStr">
        <is>
          <t>UPPSALA LÄN</t>
        </is>
      </c>
      <c r="E453" t="inlineStr">
        <is>
          <t>ÖSTHAMMAR</t>
        </is>
      </c>
      <c r="G453" t="n">
        <v>1.7</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45989</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30086-2023</t>
        </is>
      </c>
      <c r="B455" s="1" t="n">
        <v>45110.43907407407</v>
      </c>
      <c r="C455" s="1" t="n">
        <v>45989</v>
      </c>
      <c r="D455" t="inlineStr">
        <is>
          <t>UPPSALA LÄN</t>
        </is>
      </c>
      <c r="E455" t="inlineStr">
        <is>
          <t>ÖSTHAMMAR</t>
        </is>
      </c>
      <c r="G455" t="n">
        <v>3.5</v>
      </c>
      <c r="H455" t="n">
        <v>0</v>
      </c>
      <c r="I455" t="n">
        <v>0</v>
      </c>
      <c r="J455" t="n">
        <v>0</v>
      </c>
      <c r="K455" t="n">
        <v>0</v>
      </c>
      <c r="L455" t="n">
        <v>0</v>
      </c>
      <c r="M455" t="n">
        <v>0</v>
      </c>
      <c r="N455" t="n">
        <v>0</v>
      </c>
      <c r="O455" t="n">
        <v>0</v>
      </c>
      <c r="P455" t="n">
        <v>0</v>
      </c>
      <c r="Q455" t="n">
        <v>0</v>
      </c>
      <c r="R455" s="2" t="inlineStr"/>
    </row>
    <row r="456" ht="15" customHeight="1">
      <c r="A456" t="inlineStr">
        <is>
          <t>A 56942-2025</t>
        </is>
      </c>
      <c r="B456" s="1" t="n">
        <v>45978.62611111111</v>
      </c>
      <c r="C456" s="1" t="n">
        <v>45989</v>
      </c>
      <c r="D456" t="inlineStr">
        <is>
          <t>UPPSALA LÄN</t>
        </is>
      </c>
      <c r="E456" t="inlineStr">
        <is>
          <t>ÖSTHAMMAR</t>
        </is>
      </c>
      <c r="G456" t="n">
        <v>3.2</v>
      </c>
      <c r="H456" t="n">
        <v>0</v>
      </c>
      <c r="I456" t="n">
        <v>0</v>
      </c>
      <c r="J456" t="n">
        <v>0</v>
      </c>
      <c r="K456" t="n">
        <v>0</v>
      </c>
      <c r="L456" t="n">
        <v>0</v>
      </c>
      <c r="M456" t="n">
        <v>0</v>
      </c>
      <c r="N456" t="n">
        <v>0</v>
      </c>
      <c r="O456" t="n">
        <v>0</v>
      </c>
      <c r="P456" t="n">
        <v>0</v>
      </c>
      <c r="Q456" t="n">
        <v>0</v>
      </c>
      <c r="R456" s="2" t="inlineStr"/>
    </row>
    <row r="457" ht="15" customHeight="1">
      <c r="A457" t="inlineStr">
        <is>
          <t>A 56757-2025</t>
        </is>
      </c>
      <c r="B457" s="1" t="n">
        <v>45978.37162037037</v>
      </c>
      <c r="C457" s="1" t="n">
        <v>45989</v>
      </c>
      <c r="D457" t="inlineStr">
        <is>
          <t>UPPSALA LÄN</t>
        </is>
      </c>
      <c r="E457" t="inlineStr">
        <is>
          <t>ÖSTHAMMAR</t>
        </is>
      </c>
      <c r="G457" t="n">
        <v>1.1</v>
      </c>
      <c r="H457" t="n">
        <v>0</v>
      </c>
      <c r="I457" t="n">
        <v>0</v>
      </c>
      <c r="J457" t="n">
        <v>0</v>
      </c>
      <c r="K457" t="n">
        <v>0</v>
      </c>
      <c r="L457" t="n">
        <v>0</v>
      </c>
      <c r="M457" t="n">
        <v>0</v>
      </c>
      <c r="N457" t="n">
        <v>0</v>
      </c>
      <c r="O457" t="n">
        <v>0</v>
      </c>
      <c r="P457" t="n">
        <v>0</v>
      </c>
      <c r="Q457" t="n">
        <v>0</v>
      </c>
      <c r="R457" s="2" t="inlineStr"/>
    </row>
    <row r="458" ht="15" customHeight="1">
      <c r="A458" t="inlineStr">
        <is>
          <t>A 56823-2025</t>
        </is>
      </c>
      <c r="B458" s="1" t="n">
        <v>45978.46484953703</v>
      </c>
      <c r="C458" s="1" t="n">
        <v>45989</v>
      </c>
      <c r="D458" t="inlineStr">
        <is>
          <t>UPPSALA LÄN</t>
        </is>
      </c>
      <c r="E458" t="inlineStr">
        <is>
          <t>ÖSTHAMMAR</t>
        </is>
      </c>
      <c r="G458" t="n">
        <v>0.1</v>
      </c>
      <c r="H458" t="n">
        <v>0</v>
      </c>
      <c r="I458" t="n">
        <v>0</v>
      </c>
      <c r="J458" t="n">
        <v>0</v>
      </c>
      <c r="K458" t="n">
        <v>0</v>
      </c>
      <c r="L458" t="n">
        <v>0</v>
      </c>
      <c r="M458" t="n">
        <v>0</v>
      </c>
      <c r="N458" t="n">
        <v>0</v>
      </c>
      <c r="O458" t="n">
        <v>0</v>
      </c>
      <c r="P458" t="n">
        <v>0</v>
      </c>
      <c r="Q458" t="n">
        <v>0</v>
      </c>
      <c r="R458" s="2" t="inlineStr"/>
    </row>
    <row r="459" ht="15" customHeight="1">
      <c r="A459" t="inlineStr">
        <is>
          <t>A 11008-2023</t>
        </is>
      </c>
      <c r="B459" s="1" t="n">
        <v>44991</v>
      </c>
      <c r="C459" s="1" t="n">
        <v>45989</v>
      </c>
      <c r="D459" t="inlineStr">
        <is>
          <t>UPPSALA LÄN</t>
        </is>
      </c>
      <c r="E459" t="inlineStr">
        <is>
          <t>ÖSTHAMMAR</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13771-2023</t>
        </is>
      </c>
      <c r="B460" s="1" t="n">
        <v>45007</v>
      </c>
      <c r="C460" s="1" t="n">
        <v>45989</v>
      </c>
      <c r="D460" t="inlineStr">
        <is>
          <t>UPPSALA LÄN</t>
        </is>
      </c>
      <c r="E460" t="inlineStr">
        <is>
          <t>ÖSTHAMMAR</t>
        </is>
      </c>
      <c r="G460" t="n">
        <v>2.7</v>
      </c>
      <c r="H460" t="n">
        <v>0</v>
      </c>
      <c r="I460" t="n">
        <v>0</v>
      </c>
      <c r="J460" t="n">
        <v>0</v>
      </c>
      <c r="K460" t="n">
        <v>0</v>
      </c>
      <c r="L460" t="n">
        <v>0</v>
      </c>
      <c r="M460" t="n">
        <v>0</v>
      </c>
      <c r="N460" t="n">
        <v>0</v>
      </c>
      <c r="O460" t="n">
        <v>0</v>
      </c>
      <c r="P460" t="n">
        <v>0</v>
      </c>
      <c r="Q460" t="n">
        <v>0</v>
      </c>
      <c r="R460" s="2" t="inlineStr"/>
    </row>
    <row r="461" ht="15" customHeight="1">
      <c r="A461" t="inlineStr">
        <is>
          <t>A 48977-2025</t>
        </is>
      </c>
      <c r="B461" s="1" t="n">
        <v>45936</v>
      </c>
      <c r="C461" s="1" t="n">
        <v>45989</v>
      </c>
      <c r="D461" t="inlineStr">
        <is>
          <t>UPPSALA LÄN</t>
        </is>
      </c>
      <c r="E461" t="inlineStr">
        <is>
          <t>ÖSTHAMMAR</t>
        </is>
      </c>
      <c r="G461" t="n">
        <v>21.1</v>
      </c>
      <c r="H461" t="n">
        <v>0</v>
      </c>
      <c r="I461" t="n">
        <v>0</v>
      </c>
      <c r="J461" t="n">
        <v>0</v>
      </c>
      <c r="K461" t="n">
        <v>0</v>
      </c>
      <c r="L461" t="n">
        <v>0</v>
      </c>
      <c r="M461" t="n">
        <v>0</v>
      </c>
      <c r="N461" t="n">
        <v>0</v>
      </c>
      <c r="O461" t="n">
        <v>0</v>
      </c>
      <c r="P461" t="n">
        <v>0</v>
      </c>
      <c r="Q461" t="n">
        <v>0</v>
      </c>
      <c r="R461" s="2" t="inlineStr"/>
    </row>
    <row r="462" ht="15" customHeight="1">
      <c r="A462" t="inlineStr">
        <is>
          <t>A 58324-2023</t>
        </is>
      </c>
      <c r="B462" s="1" t="n">
        <v>45250.58635416667</v>
      </c>
      <c r="C462" s="1" t="n">
        <v>45989</v>
      </c>
      <c r="D462" t="inlineStr">
        <is>
          <t>UPPSALA LÄN</t>
        </is>
      </c>
      <c r="E462" t="inlineStr">
        <is>
          <t>ÖSTHAMMAR</t>
        </is>
      </c>
      <c r="G462" t="n">
        <v>5.1</v>
      </c>
      <c r="H462" t="n">
        <v>0</v>
      </c>
      <c r="I462" t="n">
        <v>0</v>
      </c>
      <c r="J462" t="n">
        <v>0</v>
      </c>
      <c r="K462" t="n">
        <v>0</v>
      </c>
      <c r="L462" t="n">
        <v>0</v>
      </c>
      <c r="M462" t="n">
        <v>0</v>
      </c>
      <c r="N462" t="n">
        <v>0</v>
      </c>
      <c r="O462" t="n">
        <v>0</v>
      </c>
      <c r="P462" t="n">
        <v>0</v>
      </c>
      <c r="Q462" t="n">
        <v>0</v>
      </c>
      <c r="R462" s="2" t="inlineStr"/>
    </row>
    <row r="463" ht="15" customHeight="1">
      <c r="A463" t="inlineStr">
        <is>
          <t>A 56653-2025</t>
        </is>
      </c>
      <c r="B463" s="1" t="n">
        <v>45975.64628472222</v>
      </c>
      <c r="C463" s="1" t="n">
        <v>45989</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56658-2025</t>
        </is>
      </c>
      <c r="B464" s="1" t="n">
        <v>45975.65431712963</v>
      </c>
      <c r="C464" s="1" t="n">
        <v>45989</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56754-2025</t>
        </is>
      </c>
      <c r="B465" s="1" t="n">
        <v>45978.36700231482</v>
      </c>
      <c r="C465" s="1" t="n">
        <v>45989</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56518-2025</t>
        </is>
      </c>
      <c r="B466" s="1" t="n">
        <v>45975.4581712963</v>
      </c>
      <c r="C466" s="1" t="n">
        <v>45989</v>
      </c>
      <c r="D466" t="inlineStr">
        <is>
          <t>UPPSALA LÄN</t>
        </is>
      </c>
      <c r="E466" t="inlineStr">
        <is>
          <t>ÖSTHAMMAR</t>
        </is>
      </c>
      <c r="G466" t="n">
        <v>2.7</v>
      </c>
      <c r="H466" t="n">
        <v>0</v>
      </c>
      <c r="I466" t="n">
        <v>0</v>
      </c>
      <c r="J466" t="n">
        <v>0</v>
      </c>
      <c r="K466" t="n">
        <v>0</v>
      </c>
      <c r="L466" t="n">
        <v>0</v>
      </c>
      <c r="M466" t="n">
        <v>0</v>
      </c>
      <c r="N466" t="n">
        <v>0</v>
      </c>
      <c r="O466" t="n">
        <v>0</v>
      </c>
      <c r="P466" t="n">
        <v>0</v>
      </c>
      <c r="Q466" t="n">
        <v>0</v>
      </c>
      <c r="R466" s="2" t="inlineStr"/>
    </row>
    <row r="467" ht="15" customHeight="1">
      <c r="A467" t="inlineStr">
        <is>
          <t>A 56745-2025</t>
        </is>
      </c>
      <c r="B467" s="1" t="n">
        <v>45978.36157407407</v>
      </c>
      <c r="C467" s="1" t="n">
        <v>45989</v>
      </c>
      <c r="D467" t="inlineStr">
        <is>
          <t>UPPSALA LÄN</t>
        </is>
      </c>
      <c r="E467" t="inlineStr">
        <is>
          <t>ÖSTHAMMAR</t>
        </is>
      </c>
      <c r="G467" t="n">
        <v>2.6</v>
      </c>
      <c r="H467" t="n">
        <v>0</v>
      </c>
      <c r="I467" t="n">
        <v>0</v>
      </c>
      <c r="J467" t="n">
        <v>0</v>
      </c>
      <c r="K467" t="n">
        <v>0</v>
      </c>
      <c r="L467" t="n">
        <v>0</v>
      </c>
      <c r="M467" t="n">
        <v>0</v>
      </c>
      <c r="N467" t="n">
        <v>0</v>
      </c>
      <c r="O467" t="n">
        <v>0</v>
      </c>
      <c r="P467" t="n">
        <v>0</v>
      </c>
      <c r="Q467" t="n">
        <v>0</v>
      </c>
      <c r="R467" s="2" t="inlineStr"/>
    </row>
    <row r="468" ht="15" customHeight="1">
      <c r="A468" t="inlineStr">
        <is>
          <t>A 56748-2025</t>
        </is>
      </c>
      <c r="B468" s="1" t="n">
        <v>45978.36412037037</v>
      </c>
      <c r="C468" s="1" t="n">
        <v>45989</v>
      </c>
      <c r="D468" t="inlineStr">
        <is>
          <t>UPPSALA LÄN</t>
        </is>
      </c>
      <c r="E468" t="inlineStr">
        <is>
          <t>ÖSTHAMMAR</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56753-2025</t>
        </is>
      </c>
      <c r="B469" s="1" t="n">
        <v>45978.36677083333</v>
      </c>
      <c r="C469" s="1" t="n">
        <v>45989</v>
      </c>
      <c r="D469" t="inlineStr">
        <is>
          <t>UPPSALA LÄN</t>
        </is>
      </c>
      <c r="E469" t="inlineStr">
        <is>
          <t>ÖSTHAMMAR</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56682-2025</t>
        </is>
      </c>
      <c r="B470" s="1" t="n">
        <v>45975</v>
      </c>
      <c r="C470" s="1" t="n">
        <v>45989</v>
      </c>
      <c r="D470" t="inlineStr">
        <is>
          <t>UPPSALA LÄN</t>
        </is>
      </c>
      <c r="E470" t="inlineStr">
        <is>
          <t>ÖSTHAMMAR</t>
        </is>
      </c>
      <c r="G470" t="n">
        <v>3.9</v>
      </c>
      <c r="H470" t="n">
        <v>0</v>
      </c>
      <c r="I470" t="n">
        <v>0</v>
      </c>
      <c r="J470" t="n">
        <v>0</v>
      </c>
      <c r="K470" t="n">
        <v>0</v>
      </c>
      <c r="L470" t="n">
        <v>0</v>
      </c>
      <c r="M470" t="n">
        <v>0</v>
      </c>
      <c r="N470" t="n">
        <v>0</v>
      </c>
      <c r="O470" t="n">
        <v>0</v>
      </c>
      <c r="P470" t="n">
        <v>0</v>
      </c>
      <c r="Q470" t="n">
        <v>0</v>
      </c>
      <c r="R470" s="2" t="inlineStr"/>
    </row>
    <row r="471" ht="15" customHeight="1">
      <c r="A471" t="inlineStr">
        <is>
          <t>A 48654-2025</t>
        </is>
      </c>
      <c r="B471" s="1" t="n">
        <v>45936.55887731481</v>
      </c>
      <c r="C471" s="1" t="n">
        <v>45989</v>
      </c>
      <c r="D471" t="inlineStr">
        <is>
          <t>UPPSALA LÄN</t>
        </is>
      </c>
      <c r="E471" t="inlineStr">
        <is>
          <t>ÖSTHAMMAR</t>
        </is>
      </c>
      <c r="F471" t="inlineStr">
        <is>
          <t>Övriga Aktiebolag</t>
        </is>
      </c>
      <c r="G471" t="n">
        <v>0.7</v>
      </c>
      <c r="H471" t="n">
        <v>0</v>
      </c>
      <c r="I471" t="n">
        <v>0</v>
      </c>
      <c r="J471" t="n">
        <v>0</v>
      </c>
      <c r="K471" t="n">
        <v>0</v>
      </c>
      <c r="L471" t="n">
        <v>0</v>
      </c>
      <c r="M471" t="n">
        <v>0</v>
      </c>
      <c r="N471" t="n">
        <v>0</v>
      </c>
      <c r="O471" t="n">
        <v>0</v>
      </c>
      <c r="P471" t="n">
        <v>0</v>
      </c>
      <c r="Q471" t="n">
        <v>0</v>
      </c>
      <c r="R471" s="2" t="inlineStr"/>
    </row>
    <row r="472" ht="15" customHeight="1">
      <c r="A472" t="inlineStr">
        <is>
          <t>A 69411-2021</t>
        </is>
      </c>
      <c r="B472" s="1" t="n">
        <v>44531.61038194445</v>
      </c>
      <c r="C472" s="1" t="n">
        <v>45989</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48854-2025</t>
        </is>
      </c>
      <c r="B473" s="1" t="n">
        <v>45937.43274305556</v>
      </c>
      <c r="C473" s="1" t="n">
        <v>45989</v>
      </c>
      <c r="D473" t="inlineStr">
        <is>
          <t>UPPSALA LÄN</t>
        </is>
      </c>
      <c r="E473" t="inlineStr">
        <is>
          <t>ÖSTHAMMAR</t>
        </is>
      </c>
      <c r="F473" t="inlineStr">
        <is>
          <t>Övriga Aktiebolag</t>
        </is>
      </c>
      <c r="G473" t="n">
        <v>18.9</v>
      </c>
      <c r="H473" t="n">
        <v>0</v>
      </c>
      <c r="I473" t="n">
        <v>0</v>
      </c>
      <c r="J473" t="n">
        <v>0</v>
      </c>
      <c r="K473" t="n">
        <v>0</v>
      </c>
      <c r="L473" t="n">
        <v>0</v>
      </c>
      <c r="M473" t="n">
        <v>0</v>
      </c>
      <c r="N473" t="n">
        <v>0</v>
      </c>
      <c r="O473" t="n">
        <v>0</v>
      </c>
      <c r="P473" t="n">
        <v>0</v>
      </c>
      <c r="Q473" t="n">
        <v>0</v>
      </c>
      <c r="R473" s="2" t="inlineStr"/>
    </row>
    <row r="474" ht="15" customHeight="1">
      <c r="A474" t="inlineStr">
        <is>
          <t>A 48857-2025</t>
        </is>
      </c>
      <c r="B474" s="1" t="n">
        <v>45937.43621527778</v>
      </c>
      <c r="C474" s="1" t="n">
        <v>45989</v>
      </c>
      <c r="D474" t="inlineStr">
        <is>
          <t>UPPSALA LÄN</t>
        </is>
      </c>
      <c r="E474" t="inlineStr">
        <is>
          <t>ÖSTHAMMAR</t>
        </is>
      </c>
      <c r="F474" t="inlineStr">
        <is>
          <t>Övriga Aktiebolag</t>
        </is>
      </c>
      <c r="G474" t="n">
        <v>1.1</v>
      </c>
      <c r="H474" t="n">
        <v>0</v>
      </c>
      <c r="I474" t="n">
        <v>0</v>
      </c>
      <c r="J474" t="n">
        <v>0</v>
      </c>
      <c r="K474" t="n">
        <v>0</v>
      </c>
      <c r="L474" t="n">
        <v>0</v>
      </c>
      <c r="M474" t="n">
        <v>0</v>
      </c>
      <c r="N474" t="n">
        <v>0</v>
      </c>
      <c r="O474" t="n">
        <v>0</v>
      </c>
      <c r="P474" t="n">
        <v>0</v>
      </c>
      <c r="Q474" t="n">
        <v>0</v>
      </c>
      <c r="R474" s="2" t="inlineStr"/>
    </row>
    <row r="475" ht="15" customHeight="1">
      <c r="A475" t="inlineStr">
        <is>
          <t>A 49831-2023</t>
        </is>
      </c>
      <c r="B475" s="1" t="n">
        <v>45212.71241898148</v>
      </c>
      <c r="C475" s="1" t="n">
        <v>45989</v>
      </c>
      <c r="D475" t="inlineStr">
        <is>
          <t>UPPSALA LÄN</t>
        </is>
      </c>
      <c r="E475" t="inlineStr">
        <is>
          <t>ÖSTHAMMAR</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49899-2023</t>
        </is>
      </c>
      <c r="B476" s="1" t="n">
        <v>45213</v>
      </c>
      <c r="C476" s="1" t="n">
        <v>45989</v>
      </c>
      <c r="D476" t="inlineStr">
        <is>
          <t>UPPSALA LÄN</t>
        </is>
      </c>
      <c r="E476" t="inlineStr">
        <is>
          <t>ÖSTHAMMAR</t>
        </is>
      </c>
      <c r="G476" t="n">
        <v>6.2</v>
      </c>
      <c r="H476" t="n">
        <v>0</v>
      </c>
      <c r="I476" t="n">
        <v>0</v>
      </c>
      <c r="J476" t="n">
        <v>0</v>
      </c>
      <c r="K476" t="n">
        <v>0</v>
      </c>
      <c r="L476" t="n">
        <v>0</v>
      </c>
      <c r="M476" t="n">
        <v>0</v>
      </c>
      <c r="N476" t="n">
        <v>0</v>
      </c>
      <c r="O476" t="n">
        <v>0</v>
      </c>
      <c r="P476" t="n">
        <v>0</v>
      </c>
      <c r="Q476" t="n">
        <v>0</v>
      </c>
      <c r="R476" s="2" t="inlineStr"/>
    </row>
    <row r="477" ht="15" customHeight="1">
      <c r="A477" t="inlineStr">
        <is>
          <t>A 17939-2025</t>
        </is>
      </c>
      <c r="B477" s="1" t="n">
        <v>45760.55671296296</v>
      </c>
      <c r="C477" s="1" t="n">
        <v>45989</v>
      </c>
      <c r="D477" t="inlineStr">
        <is>
          <t>UPPSALA LÄN</t>
        </is>
      </c>
      <c r="E477" t="inlineStr">
        <is>
          <t>ÖSTHAMMAR</t>
        </is>
      </c>
      <c r="F477" t="inlineStr">
        <is>
          <t>Bergvik skog öst AB</t>
        </is>
      </c>
      <c r="G477" t="n">
        <v>5.4</v>
      </c>
      <c r="H477" t="n">
        <v>0</v>
      </c>
      <c r="I477" t="n">
        <v>0</v>
      </c>
      <c r="J477" t="n">
        <v>0</v>
      </c>
      <c r="K477" t="n">
        <v>0</v>
      </c>
      <c r="L477" t="n">
        <v>0</v>
      </c>
      <c r="M477" t="n">
        <v>0</v>
      </c>
      <c r="N477" t="n">
        <v>0</v>
      </c>
      <c r="O477" t="n">
        <v>0</v>
      </c>
      <c r="P477" t="n">
        <v>0</v>
      </c>
      <c r="Q477" t="n">
        <v>0</v>
      </c>
      <c r="R477" s="2" t="inlineStr"/>
    </row>
    <row r="478" ht="15" customHeight="1">
      <c r="A478" t="inlineStr">
        <is>
          <t>A 17940-2025</t>
        </is>
      </c>
      <c r="B478" s="1" t="n">
        <v>45760.55842592593</v>
      </c>
      <c r="C478" s="1" t="n">
        <v>45989</v>
      </c>
      <c r="D478" t="inlineStr">
        <is>
          <t>UPPSALA LÄN</t>
        </is>
      </c>
      <c r="E478" t="inlineStr">
        <is>
          <t>ÖSTHAMMAR</t>
        </is>
      </c>
      <c r="F478" t="inlineStr">
        <is>
          <t>Bergvik skog öst AB</t>
        </is>
      </c>
      <c r="G478" t="n">
        <v>5.6</v>
      </c>
      <c r="H478" t="n">
        <v>0</v>
      </c>
      <c r="I478" t="n">
        <v>0</v>
      </c>
      <c r="J478" t="n">
        <v>0</v>
      </c>
      <c r="K478" t="n">
        <v>0</v>
      </c>
      <c r="L478" t="n">
        <v>0</v>
      </c>
      <c r="M478" t="n">
        <v>0</v>
      </c>
      <c r="N478" t="n">
        <v>0</v>
      </c>
      <c r="O478" t="n">
        <v>0</v>
      </c>
      <c r="P478" t="n">
        <v>0</v>
      </c>
      <c r="Q478" t="n">
        <v>0</v>
      </c>
      <c r="R478" s="2" t="inlineStr"/>
    </row>
    <row r="479" ht="15" customHeight="1">
      <c r="A479" t="inlineStr">
        <is>
          <t>A 57248-2025</t>
        </is>
      </c>
      <c r="B479" s="1" t="n">
        <v>45979.635625</v>
      </c>
      <c r="C479" s="1" t="n">
        <v>45989</v>
      </c>
      <c r="D479" t="inlineStr">
        <is>
          <t>UPPSALA LÄN</t>
        </is>
      </c>
      <c r="E479" t="inlineStr">
        <is>
          <t>ÖSTHAMMAR</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57156-2025</t>
        </is>
      </c>
      <c r="B480" s="1" t="n">
        <v>45979.51591435185</v>
      </c>
      <c r="C480" s="1" t="n">
        <v>45989</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5855-2022</t>
        </is>
      </c>
      <c r="B481" s="1" t="n">
        <v>44596.63290509259</v>
      </c>
      <c r="C481" s="1" t="n">
        <v>45989</v>
      </c>
      <c r="D481" t="inlineStr">
        <is>
          <t>UPPSALA LÄN</t>
        </is>
      </c>
      <c r="E481" t="inlineStr">
        <is>
          <t>ÖSTHAMMAR</t>
        </is>
      </c>
      <c r="G481" t="n">
        <v>0.9</v>
      </c>
      <c r="H481" t="n">
        <v>0</v>
      </c>
      <c r="I481" t="n">
        <v>0</v>
      </c>
      <c r="J481" t="n">
        <v>0</v>
      </c>
      <c r="K481" t="n">
        <v>0</v>
      </c>
      <c r="L481" t="n">
        <v>0</v>
      </c>
      <c r="M481" t="n">
        <v>0</v>
      </c>
      <c r="N481" t="n">
        <v>0</v>
      </c>
      <c r="O481" t="n">
        <v>0</v>
      </c>
      <c r="P481" t="n">
        <v>0</v>
      </c>
      <c r="Q481" t="n">
        <v>0</v>
      </c>
      <c r="R481" s="2" t="inlineStr"/>
    </row>
    <row r="482" ht="15" customHeight="1">
      <c r="A482" t="inlineStr">
        <is>
          <t>A 57154-2025</t>
        </is>
      </c>
      <c r="B482" s="1" t="n">
        <v>45979.51086805556</v>
      </c>
      <c r="C482" s="1" t="n">
        <v>45989</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54366-2023</t>
        </is>
      </c>
      <c r="B483" s="1" t="n">
        <v>45233</v>
      </c>
      <c r="C483" s="1" t="n">
        <v>45989</v>
      </c>
      <c r="D483" t="inlineStr">
        <is>
          <t>UPPSALA LÄN</t>
        </is>
      </c>
      <c r="E483" t="inlineStr">
        <is>
          <t>ÖSTHAMMAR</t>
        </is>
      </c>
      <c r="F483" t="inlineStr">
        <is>
          <t>Bergvik skog öst AB</t>
        </is>
      </c>
      <c r="G483" t="n">
        <v>2.9</v>
      </c>
      <c r="H483" t="n">
        <v>0</v>
      </c>
      <c r="I483" t="n">
        <v>0</v>
      </c>
      <c r="J483" t="n">
        <v>0</v>
      </c>
      <c r="K483" t="n">
        <v>0</v>
      </c>
      <c r="L483" t="n">
        <v>0</v>
      </c>
      <c r="M483" t="n">
        <v>0</v>
      </c>
      <c r="N483" t="n">
        <v>0</v>
      </c>
      <c r="O483" t="n">
        <v>0</v>
      </c>
      <c r="P483" t="n">
        <v>0</v>
      </c>
      <c r="Q483" t="n">
        <v>0</v>
      </c>
      <c r="R483" s="2" t="inlineStr"/>
    </row>
    <row r="484" ht="15" customHeight="1">
      <c r="A484" t="inlineStr">
        <is>
          <t>A 17643-2025</t>
        </is>
      </c>
      <c r="B484" s="1" t="n">
        <v>45758.32454861111</v>
      </c>
      <c r="C484" s="1" t="n">
        <v>45989</v>
      </c>
      <c r="D484" t="inlineStr">
        <is>
          <t>UPPSALA LÄN</t>
        </is>
      </c>
      <c r="E484" t="inlineStr">
        <is>
          <t>ÖSTHAMMAR</t>
        </is>
      </c>
      <c r="F484" t="inlineStr">
        <is>
          <t>Bergvik skog väst AB</t>
        </is>
      </c>
      <c r="G484" t="n">
        <v>2.6</v>
      </c>
      <c r="H484" t="n">
        <v>0</v>
      </c>
      <c r="I484" t="n">
        <v>0</v>
      </c>
      <c r="J484" t="n">
        <v>0</v>
      </c>
      <c r="K484" t="n">
        <v>0</v>
      </c>
      <c r="L484" t="n">
        <v>0</v>
      </c>
      <c r="M484" t="n">
        <v>0</v>
      </c>
      <c r="N484" t="n">
        <v>0</v>
      </c>
      <c r="O484" t="n">
        <v>0</v>
      </c>
      <c r="P484" t="n">
        <v>0</v>
      </c>
      <c r="Q484" t="n">
        <v>0</v>
      </c>
      <c r="R484" s="2" t="inlineStr"/>
    </row>
    <row r="485" ht="15" customHeight="1">
      <c r="A485" t="inlineStr">
        <is>
          <t>A 13248-2025</t>
        </is>
      </c>
      <c r="B485" s="1" t="n">
        <v>45735</v>
      </c>
      <c r="C485" s="1" t="n">
        <v>45989</v>
      </c>
      <c r="D485" t="inlineStr">
        <is>
          <t>UPPSALA LÄN</t>
        </is>
      </c>
      <c r="E485" t="inlineStr">
        <is>
          <t>ÖSTHAMMAR</t>
        </is>
      </c>
      <c r="F485" t="inlineStr">
        <is>
          <t>Kyrkan</t>
        </is>
      </c>
      <c r="G485" t="n">
        <v>12.2</v>
      </c>
      <c r="H485" t="n">
        <v>0</v>
      </c>
      <c r="I485" t="n">
        <v>0</v>
      </c>
      <c r="J485" t="n">
        <v>0</v>
      </c>
      <c r="K485" t="n">
        <v>0</v>
      </c>
      <c r="L485" t="n">
        <v>0</v>
      </c>
      <c r="M485" t="n">
        <v>0</v>
      </c>
      <c r="N485" t="n">
        <v>0</v>
      </c>
      <c r="O485" t="n">
        <v>0</v>
      </c>
      <c r="P485" t="n">
        <v>0</v>
      </c>
      <c r="Q485" t="n">
        <v>0</v>
      </c>
      <c r="R485" s="2" t="inlineStr"/>
    </row>
    <row r="486" ht="15" customHeight="1">
      <c r="A486" t="inlineStr">
        <is>
          <t>A 57257-2025</t>
        </is>
      </c>
      <c r="B486" s="1" t="n">
        <v>45979.65149305556</v>
      </c>
      <c r="C486" s="1" t="n">
        <v>45989</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26328-2025</t>
        </is>
      </c>
      <c r="B487" s="1" t="n">
        <v>45805.67305555556</v>
      </c>
      <c r="C487" s="1" t="n">
        <v>45989</v>
      </c>
      <c r="D487" t="inlineStr">
        <is>
          <t>UPPSALA LÄN</t>
        </is>
      </c>
      <c r="E487" t="inlineStr">
        <is>
          <t>ÖSTHAMMAR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51364-2021</t>
        </is>
      </c>
      <c r="B488" s="1" t="n">
        <v>44461</v>
      </c>
      <c r="C488" s="1" t="n">
        <v>45989</v>
      </c>
      <c r="D488" t="inlineStr">
        <is>
          <t>UPPSALA LÄN</t>
        </is>
      </c>
      <c r="E488" t="inlineStr">
        <is>
          <t>ÖSTHAMMAR</t>
        </is>
      </c>
      <c r="G488" t="n">
        <v>2.4</v>
      </c>
      <c r="H488" t="n">
        <v>0</v>
      </c>
      <c r="I488" t="n">
        <v>0</v>
      </c>
      <c r="J488" t="n">
        <v>0</v>
      </c>
      <c r="K488" t="n">
        <v>0</v>
      </c>
      <c r="L488" t="n">
        <v>0</v>
      </c>
      <c r="M488" t="n">
        <v>0</v>
      </c>
      <c r="N488" t="n">
        <v>0</v>
      </c>
      <c r="O488" t="n">
        <v>0</v>
      </c>
      <c r="P488" t="n">
        <v>0</v>
      </c>
      <c r="Q488" t="n">
        <v>0</v>
      </c>
      <c r="R488" s="2" t="inlineStr"/>
    </row>
    <row r="489" ht="15" customHeight="1">
      <c r="A489" t="inlineStr">
        <is>
          <t>A 61062-2023</t>
        </is>
      </c>
      <c r="B489" s="1" t="n">
        <v>45259</v>
      </c>
      <c r="C489" s="1" t="n">
        <v>45989</v>
      </c>
      <c r="D489" t="inlineStr">
        <is>
          <t>UPPSALA LÄN</t>
        </is>
      </c>
      <c r="E489" t="inlineStr">
        <is>
          <t>ÖSTHAMMAR</t>
        </is>
      </c>
      <c r="G489" t="n">
        <v>5.3</v>
      </c>
      <c r="H489" t="n">
        <v>0</v>
      </c>
      <c r="I489" t="n">
        <v>0</v>
      </c>
      <c r="J489" t="n">
        <v>0</v>
      </c>
      <c r="K489" t="n">
        <v>0</v>
      </c>
      <c r="L489" t="n">
        <v>0</v>
      </c>
      <c r="M489" t="n">
        <v>0</v>
      </c>
      <c r="N489" t="n">
        <v>0</v>
      </c>
      <c r="O489" t="n">
        <v>0</v>
      </c>
      <c r="P489" t="n">
        <v>0</v>
      </c>
      <c r="Q489" t="n">
        <v>0</v>
      </c>
      <c r="R489" s="2" t="inlineStr"/>
    </row>
    <row r="490" ht="15" customHeight="1">
      <c r="A490" t="inlineStr">
        <is>
          <t>A 57908-2025</t>
        </is>
      </c>
      <c r="B490" s="1" t="n">
        <v>45981.78886574074</v>
      </c>
      <c r="C490" s="1" t="n">
        <v>45989</v>
      </c>
      <c r="D490" t="inlineStr">
        <is>
          <t>UPPSALA LÄN</t>
        </is>
      </c>
      <c r="E490" t="inlineStr">
        <is>
          <t>ÖSTHAMMAR</t>
        </is>
      </c>
      <c r="F490" t="inlineStr">
        <is>
          <t>Bergvik skog öst AB</t>
        </is>
      </c>
      <c r="G490" t="n">
        <v>2</v>
      </c>
      <c r="H490" t="n">
        <v>0</v>
      </c>
      <c r="I490" t="n">
        <v>0</v>
      </c>
      <c r="J490" t="n">
        <v>0</v>
      </c>
      <c r="K490" t="n">
        <v>0</v>
      </c>
      <c r="L490" t="n">
        <v>0</v>
      </c>
      <c r="M490" t="n">
        <v>0</v>
      </c>
      <c r="N490" t="n">
        <v>0</v>
      </c>
      <c r="O490" t="n">
        <v>0</v>
      </c>
      <c r="P490" t="n">
        <v>0</v>
      </c>
      <c r="Q490" t="n">
        <v>0</v>
      </c>
      <c r="R490" s="2" t="inlineStr"/>
    </row>
    <row r="491" ht="15" customHeight="1">
      <c r="A491" t="inlineStr">
        <is>
          <t>A 61443-2024</t>
        </is>
      </c>
      <c r="B491" s="1" t="n">
        <v>45646.47936342593</v>
      </c>
      <c r="C491" s="1" t="n">
        <v>45989</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49773-2025</t>
        </is>
      </c>
      <c r="B492" s="1" t="n">
        <v>45940.37303240741</v>
      </c>
      <c r="C492" s="1" t="n">
        <v>45989</v>
      </c>
      <c r="D492" t="inlineStr">
        <is>
          <t>UPPSALA LÄN</t>
        </is>
      </c>
      <c r="E492" t="inlineStr">
        <is>
          <t>ÖSTHAMMAR</t>
        </is>
      </c>
      <c r="G492" t="n">
        <v>3.5</v>
      </c>
      <c r="H492" t="n">
        <v>0</v>
      </c>
      <c r="I492" t="n">
        <v>0</v>
      </c>
      <c r="J492" t="n">
        <v>0</v>
      </c>
      <c r="K492" t="n">
        <v>0</v>
      </c>
      <c r="L492" t="n">
        <v>0</v>
      </c>
      <c r="M492" t="n">
        <v>0</v>
      </c>
      <c r="N492" t="n">
        <v>0</v>
      </c>
      <c r="O492" t="n">
        <v>0</v>
      </c>
      <c r="P492" t="n">
        <v>0</v>
      </c>
      <c r="Q492" t="n">
        <v>0</v>
      </c>
      <c r="R492" s="2" t="inlineStr"/>
    </row>
    <row r="493" ht="15" customHeight="1">
      <c r="A493" t="inlineStr">
        <is>
          <t>A 26612-2023</t>
        </is>
      </c>
      <c r="B493" s="1" t="n">
        <v>45089</v>
      </c>
      <c r="C493" s="1" t="n">
        <v>45989</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47020-2025</t>
        </is>
      </c>
      <c r="B494" s="1" t="n">
        <v>45929.5775</v>
      </c>
      <c r="C494" s="1" t="n">
        <v>45989</v>
      </c>
      <c r="D494" t="inlineStr">
        <is>
          <t>UPPSALA LÄN</t>
        </is>
      </c>
      <c r="E494" t="inlineStr">
        <is>
          <t>ÖSTHAMMAR</t>
        </is>
      </c>
      <c r="G494" t="n">
        <v>2.1</v>
      </c>
      <c r="H494" t="n">
        <v>0</v>
      </c>
      <c r="I494" t="n">
        <v>0</v>
      </c>
      <c r="J494" t="n">
        <v>0</v>
      </c>
      <c r="K494" t="n">
        <v>0</v>
      </c>
      <c r="L494" t="n">
        <v>0</v>
      </c>
      <c r="M494" t="n">
        <v>0</v>
      </c>
      <c r="N494" t="n">
        <v>0</v>
      </c>
      <c r="O494" t="n">
        <v>0</v>
      </c>
      <c r="P494" t="n">
        <v>0</v>
      </c>
      <c r="Q494" t="n">
        <v>0</v>
      </c>
      <c r="R494" s="2" t="inlineStr"/>
    </row>
    <row r="495" ht="15" customHeight="1">
      <c r="A495" t="inlineStr">
        <is>
          <t>A 57907-2025</t>
        </is>
      </c>
      <c r="B495" s="1" t="n">
        <v>45981.78840277778</v>
      </c>
      <c r="C495" s="1" t="n">
        <v>45989</v>
      </c>
      <c r="D495" t="inlineStr">
        <is>
          <t>UPPSALA LÄN</t>
        </is>
      </c>
      <c r="E495" t="inlineStr">
        <is>
          <t>ÖSTHAMMAR</t>
        </is>
      </c>
      <c r="F495" t="inlineStr">
        <is>
          <t>Bergvik skog öst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51379-2025</t>
        </is>
      </c>
      <c r="B496" s="1" t="n">
        <v>45950.45677083333</v>
      </c>
      <c r="C496" s="1" t="n">
        <v>45989</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49620-2025</t>
        </is>
      </c>
      <c r="B497" s="1" t="n">
        <v>45939.58928240741</v>
      </c>
      <c r="C497" s="1" t="n">
        <v>45989</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65361-2020</t>
        </is>
      </c>
      <c r="B498" s="1" t="n">
        <v>44173</v>
      </c>
      <c r="C498" s="1" t="n">
        <v>45989</v>
      </c>
      <c r="D498" t="inlineStr">
        <is>
          <t>UPPSALA LÄN</t>
        </is>
      </c>
      <c r="E498" t="inlineStr">
        <is>
          <t>ÖSTHAMMAR</t>
        </is>
      </c>
      <c r="G498" t="n">
        <v>3.6</v>
      </c>
      <c r="H498" t="n">
        <v>0</v>
      </c>
      <c r="I498" t="n">
        <v>0</v>
      </c>
      <c r="J498" t="n">
        <v>0</v>
      </c>
      <c r="K498" t="n">
        <v>0</v>
      </c>
      <c r="L498" t="n">
        <v>0</v>
      </c>
      <c r="M498" t="n">
        <v>0</v>
      </c>
      <c r="N498" t="n">
        <v>0</v>
      </c>
      <c r="O498" t="n">
        <v>0</v>
      </c>
      <c r="P498" t="n">
        <v>0</v>
      </c>
      <c r="Q498" t="n">
        <v>0</v>
      </c>
      <c r="R498" s="2" t="inlineStr"/>
    </row>
    <row r="499" ht="15" customHeight="1">
      <c r="A499" t="inlineStr">
        <is>
          <t>A 14269-2025</t>
        </is>
      </c>
      <c r="B499" s="1" t="n">
        <v>45740.64078703704</v>
      </c>
      <c r="C499" s="1" t="n">
        <v>45989</v>
      </c>
      <c r="D499" t="inlineStr">
        <is>
          <t>UPPSALA LÄN</t>
        </is>
      </c>
      <c r="E499" t="inlineStr">
        <is>
          <t>ÖSTHAMMAR</t>
        </is>
      </c>
      <c r="G499" t="n">
        <v>1.5</v>
      </c>
      <c r="H499" t="n">
        <v>0</v>
      </c>
      <c r="I499" t="n">
        <v>0</v>
      </c>
      <c r="J499" t="n">
        <v>0</v>
      </c>
      <c r="K499" t="n">
        <v>0</v>
      </c>
      <c r="L499" t="n">
        <v>0</v>
      </c>
      <c r="M499" t="n">
        <v>0</v>
      </c>
      <c r="N499" t="n">
        <v>0</v>
      </c>
      <c r="O499" t="n">
        <v>0</v>
      </c>
      <c r="P499" t="n">
        <v>0</v>
      </c>
      <c r="Q499" t="n">
        <v>0</v>
      </c>
      <c r="R499" s="2" t="inlineStr"/>
    </row>
    <row r="500" ht="15" customHeight="1">
      <c r="A500" t="inlineStr">
        <is>
          <t>A 18088-2025</t>
        </is>
      </c>
      <c r="B500" s="1" t="n">
        <v>45761.53104166667</v>
      </c>
      <c r="C500" s="1" t="n">
        <v>45989</v>
      </c>
      <c r="D500" t="inlineStr">
        <is>
          <t>UPPSALA LÄN</t>
        </is>
      </c>
      <c r="E500" t="inlineStr">
        <is>
          <t>ÖSTHAMMAR</t>
        </is>
      </c>
      <c r="F500" t="inlineStr">
        <is>
          <t>Bergvik skog öst AB</t>
        </is>
      </c>
      <c r="G500" t="n">
        <v>1.9</v>
      </c>
      <c r="H500" t="n">
        <v>0</v>
      </c>
      <c r="I500" t="n">
        <v>0</v>
      </c>
      <c r="J500" t="n">
        <v>0</v>
      </c>
      <c r="K500" t="n">
        <v>0</v>
      </c>
      <c r="L500" t="n">
        <v>0</v>
      </c>
      <c r="M500" t="n">
        <v>0</v>
      </c>
      <c r="N500" t="n">
        <v>0</v>
      </c>
      <c r="O500" t="n">
        <v>0</v>
      </c>
      <c r="P500" t="n">
        <v>0</v>
      </c>
      <c r="Q500" t="n">
        <v>0</v>
      </c>
      <c r="R500" s="2" t="inlineStr"/>
    </row>
    <row r="501" ht="15" customHeight="1">
      <c r="A501" t="inlineStr">
        <is>
          <t>A 18095-2025</t>
        </is>
      </c>
      <c r="B501" s="1" t="n">
        <v>45761.54925925926</v>
      </c>
      <c r="C501" s="1" t="n">
        <v>45989</v>
      </c>
      <c r="D501" t="inlineStr">
        <is>
          <t>UPPSALA LÄN</t>
        </is>
      </c>
      <c r="E501" t="inlineStr">
        <is>
          <t>ÖSTHAMMAR</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16531-2025</t>
        </is>
      </c>
      <c r="B502" s="1" t="n">
        <v>45751</v>
      </c>
      <c r="C502" s="1" t="n">
        <v>45989</v>
      </c>
      <c r="D502" t="inlineStr">
        <is>
          <t>UPPSALA LÄN</t>
        </is>
      </c>
      <c r="E502" t="inlineStr">
        <is>
          <t>ÖSTHAMMAR</t>
        </is>
      </c>
      <c r="G502" t="n">
        <v>3.3</v>
      </c>
      <c r="H502" t="n">
        <v>0</v>
      </c>
      <c r="I502" t="n">
        <v>0</v>
      </c>
      <c r="J502" t="n">
        <v>0</v>
      </c>
      <c r="K502" t="n">
        <v>0</v>
      </c>
      <c r="L502" t="n">
        <v>0</v>
      </c>
      <c r="M502" t="n">
        <v>0</v>
      </c>
      <c r="N502" t="n">
        <v>0</v>
      </c>
      <c r="O502" t="n">
        <v>0</v>
      </c>
      <c r="P502" t="n">
        <v>0</v>
      </c>
      <c r="Q502" t="n">
        <v>0</v>
      </c>
      <c r="R502" s="2" t="inlineStr"/>
    </row>
    <row r="503" ht="15" customHeight="1">
      <c r="A503" t="inlineStr">
        <is>
          <t>A 25897-2023</t>
        </is>
      </c>
      <c r="B503" s="1" t="n">
        <v>45090.63300925926</v>
      </c>
      <c r="C503" s="1" t="n">
        <v>45989</v>
      </c>
      <c r="D503" t="inlineStr">
        <is>
          <t>UPPSALA LÄN</t>
        </is>
      </c>
      <c r="E503" t="inlineStr">
        <is>
          <t>ÖSTHAMMAR</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20046-2023</t>
        </is>
      </c>
      <c r="B504" s="1" t="n">
        <v>45054</v>
      </c>
      <c r="C504" s="1" t="n">
        <v>45989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41478-2024</t>
        </is>
      </c>
      <c r="B505" s="1" t="n">
        <v>45560.44158564815</v>
      </c>
      <c r="C505" s="1" t="n">
        <v>45989</v>
      </c>
      <c r="D505" t="inlineStr">
        <is>
          <t>UPPSALA LÄN</t>
        </is>
      </c>
      <c r="E505" t="inlineStr">
        <is>
          <t>ÖSTHAMMAR</t>
        </is>
      </c>
      <c r="G505" t="n">
        <v>1</v>
      </c>
      <c r="H505" t="n">
        <v>0</v>
      </c>
      <c r="I505" t="n">
        <v>0</v>
      </c>
      <c r="J505" t="n">
        <v>0</v>
      </c>
      <c r="K505" t="n">
        <v>0</v>
      </c>
      <c r="L505" t="n">
        <v>0</v>
      </c>
      <c r="M505" t="n">
        <v>0</v>
      </c>
      <c r="N505" t="n">
        <v>0</v>
      </c>
      <c r="O505" t="n">
        <v>0</v>
      </c>
      <c r="P505" t="n">
        <v>0</v>
      </c>
      <c r="Q505" t="n">
        <v>0</v>
      </c>
      <c r="R505" s="2" t="inlineStr"/>
    </row>
    <row r="506" ht="15" customHeight="1">
      <c r="A506" t="inlineStr">
        <is>
          <t>A 3638-2022</t>
        </is>
      </c>
      <c r="B506" s="1" t="n">
        <v>44578</v>
      </c>
      <c r="C506" s="1" t="n">
        <v>45989</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17969-2023</t>
        </is>
      </c>
      <c r="B507" s="1" t="n">
        <v>45040.47081018519</v>
      </c>
      <c r="C507" s="1" t="n">
        <v>45989</v>
      </c>
      <c r="D507" t="inlineStr">
        <is>
          <t>UPPSALA LÄN</t>
        </is>
      </c>
      <c r="E507" t="inlineStr">
        <is>
          <t>ÖSTHAMMAR</t>
        </is>
      </c>
      <c r="G507" t="n">
        <v>5.4</v>
      </c>
      <c r="H507" t="n">
        <v>0</v>
      </c>
      <c r="I507" t="n">
        <v>0</v>
      </c>
      <c r="J507" t="n">
        <v>0</v>
      </c>
      <c r="K507" t="n">
        <v>0</v>
      </c>
      <c r="L507" t="n">
        <v>0</v>
      </c>
      <c r="M507" t="n">
        <v>0</v>
      </c>
      <c r="N507" t="n">
        <v>0</v>
      </c>
      <c r="O507" t="n">
        <v>0</v>
      </c>
      <c r="P507" t="n">
        <v>0</v>
      </c>
      <c r="Q507" t="n">
        <v>0</v>
      </c>
      <c r="R507" s="2" t="inlineStr"/>
    </row>
    <row r="508" ht="15" customHeight="1">
      <c r="A508" t="inlineStr">
        <is>
          <t>A 58399-2025</t>
        </is>
      </c>
      <c r="B508" s="1" t="n">
        <v>45985.56244212963</v>
      </c>
      <c r="C508" s="1" t="n">
        <v>45989</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58878-2022</t>
        </is>
      </c>
      <c r="B509" s="1" t="n">
        <v>44903</v>
      </c>
      <c r="C509" s="1" t="n">
        <v>45989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12528-2024</t>
        </is>
      </c>
      <c r="B510" s="1" t="n">
        <v>45379.61878472222</v>
      </c>
      <c r="C510" s="1" t="n">
        <v>45989</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4228-2023</t>
        </is>
      </c>
      <c r="B511" s="1" t="n">
        <v>44953.48179398148</v>
      </c>
      <c r="C511" s="1" t="n">
        <v>45989</v>
      </c>
      <c r="D511" t="inlineStr">
        <is>
          <t>UPPSALA LÄN</t>
        </is>
      </c>
      <c r="E511" t="inlineStr">
        <is>
          <t>ÖSTHAMMAR</t>
        </is>
      </c>
      <c r="G511" t="n">
        <v>1</v>
      </c>
      <c r="H511" t="n">
        <v>0</v>
      </c>
      <c r="I511" t="n">
        <v>0</v>
      </c>
      <c r="J511" t="n">
        <v>0</v>
      </c>
      <c r="K511" t="n">
        <v>0</v>
      </c>
      <c r="L511" t="n">
        <v>0</v>
      </c>
      <c r="M511" t="n">
        <v>0</v>
      </c>
      <c r="N511" t="n">
        <v>0</v>
      </c>
      <c r="O511" t="n">
        <v>0</v>
      </c>
      <c r="P511" t="n">
        <v>0</v>
      </c>
      <c r="Q511" t="n">
        <v>0</v>
      </c>
      <c r="R511" s="2" t="inlineStr"/>
    </row>
    <row r="512" ht="15" customHeight="1">
      <c r="A512" t="inlineStr">
        <is>
          <t>A 18091-2023</t>
        </is>
      </c>
      <c r="B512" s="1" t="n">
        <v>45040</v>
      </c>
      <c r="C512" s="1" t="n">
        <v>45989</v>
      </c>
      <c r="D512" t="inlineStr">
        <is>
          <t>UPPSALA LÄN</t>
        </is>
      </c>
      <c r="E512" t="inlineStr">
        <is>
          <t>ÖSTHAMMAR</t>
        </is>
      </c>
      <c r="G512" t="n">
        <v>2.4</v>
      </c>
      <c r="H512" t="n">
        <v>0</v>
      </c>
      <c r="I512" t="n">
        <v>0</v>
      </c>
      <c r="J512" t="n">
        <v>0</v>
      </c>
      <c r="K512" t="n">
        <v>0</v>
      </c>
      <c r="L512" t="n">
        <v>0</v>
      </c>
      <c r="M512" t="n">
        <v>0</v>
      </c>
      <c r="N512" t="n">
        <v>0</v>
      </c>
      <c r="O512" t="n">
        <v>0</v>
      </c>
      <c r="P512" t="n">
        <v>0</v>
      </c>
      <c r="Q512" t="n">
        <v>0</v>
      </c>
      <c r="R512" s="2" t="inlineStr"/>
    </row>
    <row r="513" ht="15" customHeight="1">
      <c r="A513" t="inlineStr">
        <is>
          <t>A 66779-2021</t>
        </is>
      </c>
      <c r="B513" s="1" t="n">
        <v>44522.31700231481</v>
      </c>
      <c r="C513" s="1" t="n">
        <v>45989</v>
      </c>
      <c r="D513" t="inlineStr">
        <is>
          <t>UPPSALA LÄN</t>
        </is>
      </c>
      <c r="E513" t="inlineStr">
        <is>
          <t>ÖSTHAMMAR</t>
        </is>
      </c>
      <c r="G513" t="n">
        <v>2</v>
      </c>
      <c r="H513" t="n">
        <v>0</v>
      </c>
      <c r="I513" t="n">
        <v>0</v>
      </c>
      <c r="J513" t="n">
        <v>0</v>
      </c>
      <c r="K513" t="n">
        <v>0</v>
      </c>
      <c r="L513" t="n">
        <v>0</v>
      </c>
      <c r="M513" t="n">
        <v>0</v>
      </c>
      <c r="N513" t="n">
        <v>0</v>
      </c>
      <c r="O513" t="n">
        <v>0</v>
      </c>
      <c r="P513" t="n">
        <v>0</v>
      </c>
      <c r="Q513" t="n">
        <v>0</v>
      </c>
      <c r="R513" s="2" t="inlineStr"/>
    </row>
    <row r="514" ht="15" customHeight="1">
      <c r="A514" t="inlineStr">
        <is>
          <t>A 23197-2023</t>
        </is>
      </c>
      <c r="B514" s="1" t="n">
        <v>45075</v>
      </c>
      <c r="C514" s="1" t="n">
        <v>45989</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60079-2022</t>
        </is>
      </c>
      <c r="B515" s="1" t="n">
        <v>44909</v>
      </c>
      <c r="C515" s="1" t="n">
        <v>45989</v>
      </c>
      <c r="D515" t="inlineStr">
        <is>
          <t>UPPSALA LÄN</t>
        </is>
      </c>
      <c r="E515" t="inlineStr">
        <is>
          <t>ÖSTHAMMAR</t>
        </is>
      </c>
      <c r="G515" t="n">
        <v>9.6</v>
      </c>
      <c r="H515" t="n">
        <v>0</v>
      </c>
      <c r="I515" t="n">
        <v>0</v>
      </c>
      <c r="J515" t="n">
        <v>0</v>
      </c>
      <c r="K515" t="n">
        <v>0</v>
      </c>
      <c r="L515" t="n">
        <v>0</v>
      </c>
      <c r="M515" t="n">
        <v>0</v>
      </c>
      <c r="N515" t="n">
        <v>0</v>
      </c>
      <c r="O515" t="n">
        <v>0</v>
      </c>
      <c r="P515" t="n">
        <v>0</v>
      </c>
      <c r="Q515" t="n">
        <v>0</v>
      </c>
      <c r="R515" s="2" t="inlineStr"/>
    </row>
    <row r="516" ht="15" customHeight="1">
      <c r="A516" t="inlineStr">
        <is>
          <t>A 9267-2024</t>
        </is>
      </c>
      <c r="B516" s="1" t="n">
        <v>45358</v>
      </c>
      <c r="C516" s="1" t="n">
        <v>45989</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33758-2024</t>
        </is>
      </c>
      <c r="B517" s="1" t="n">
        <v>45520.56896990741</v>
      </c>
      <c r="C517" s="1" t="n">
        <v>45989</v>
      </c>
      <c r="D517" t="inlineStr">
        <is>
          <t>UPPSALA LÄN</t>
        </is>
      </c>
      <c r="E517" t="inlineStr">
        <is>
          <t>ÖSTHAMMAR</t>
        </is>
      </c>
      <c r="G517" t="n">
        <v>6.5</v>
      </c>
      <c r="H517" t="n">
        <v>0</v>
      </c>
      <c r="I517" t="n">
        <v>0</v>
      </c>
      <c r="J517" t="n">
        <v>0</v>
      </c>
      <c r="K517" t="n">
        <v>0</v>
      </c>
      <c r="L517" t="n">
        <v>0</v>
      </c>
      <c r="M517" t="n">
        <v>0</v>
      </c>
      <c r="N517" t="n">
        <v>0</v>
      </c>
      <c r="O517" t="n">
        <v>0</v>
      </c>
      <c r="P517" t="n">
        <v>0</v>
      </c>
      <c r="Q517" t="n">
        <v>0</v>
      </c>
      <c r="R517" s="2" t="inlineStr"/>
    </row>
    <row r="518" ht="15" customHeight="1">
      <c r="A518" t="inlineStr">
        <is>
          <t>A 35316-2024</t>
        </is>
      </c>
      <c r="B518" s="1" t="n">
        <v>45530.68873842592</v>
      </c>
      <c r="C518" s="1" t="n">
        <v>45989</v>
      </c>
      <c r="D518" t="inlineStr">
        <is>
          <t>UPPSALA LÄN</t>
        </is>
      </c>
      <c r="E518" t="inlineStr">
        <is>
          <t>ÖSTHAMMAR</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38571-2023</t>
        </is>
      </c>
      <c r="B519" s="1" t="n">
        <v>45162.6177662037</v>
      </c>
      <c r="C519" s="1" t="n">
        <v>45989</v>
      </c>
      <c r="D519" t="inlineStr">
        <is>
          <t>UPPSALA LÄN</t>
        </is>
      </c>
      <c r="E519" t="inlineStr">
        <is>
          <t>ÖSTHAMMAR</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7560-2023</t>
        </is>
      </c>
      <c r="B520" s="1" t="n">
        <v>44972.34811342593</v>
      </c>
      <c r="C520" s="1" t="n">
        <v>45989</v>
      </c>
      <c r="D520" t="inlineStr">
        <is>
          <t>UPPSALA LÄN</t>
        </is>
      </c>
      <c r="E520" t="inlineStr">
        <is>
          <t>ÖSTHAMMAR</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44184-2024</t>
        </is>
      </c>
      <c r="B521" s="1" t="n">
        <v>45572</v>
      </c>
      <c r="C521" s="1" t="n">
        <v>45989</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48083-2024</t>
        </is>
      </c>
      <c r="B522" s="1" t="n">
        <v>45589.58766203704</v>
      </c>
      <c r="C522" s="1" t="n">
        <v>45989</v>
      </c>
      <c r="D522" t="inlineStr">
        <is>
          <t>UPPSALA LÄN</t>
        </is>
      </c>
      <c r="E522" t="inlineStr">
        <is>
          <t>ÖSTHAMMAR</t>
        </is>
      </c>
      <c r="G522" t="n">
        <v>3</v>
      </c>
      <c r="H522" t="n">
        <v>0</v>
      </c>
      <c r="I522" t="n">
        <v>0</v>
      </c>
      <c r="J522" t="n">
        <v>0</v>
      </c>
      <c r="K522" t="n">
        <v>0</v>
      </c>
      <c r="L522" t="n">
        <v>0</v>
      </c>
      <c r="M522" t="n">
        <v>0</v>
      </c>
      <c r="N522" t="n">
        <v>0</v>
      </c>
      <c r="O522" t="n">
        <v>0</v>
      </c>
      <c r="P522" t="n">
        <v>0</v>
      </c>
      <c r="Q522" t="n">
        <v>0</v>
      </c>
      <c r="R522" s="2" t="inlineStr"/>
    </row>
    <row r="523" ht="15" customHeight="1">
      <c r="A523" t="inlineStr">
        <is>
          <t>A 74436-2021</t>
        </is>
      </c>
      <c r="B523" s="1" t="n">
        <v>44560.4502199074</v>
      </c>
      <c r="C523" s="1" t="n">
        <v>45989</v>
      </c>
      <c r="D523" t="inlineStr">
        <is>
          <t>UPPSALA LÄN</t>
        </is>
      </c>
      <c r="E523" t="inlineStr">
        <is>
          <t>ÖSTHAMMAR</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32778-2023</t>
        </is>
      </c>
      <c r="B524" s="1" t="n">
        <v>45123.88789351852</v>
      </c>
      <c r="C524" s="1" t="n">
        <v>45989</v>
      </c>
      <c r="D524" t="inlineStr">
        <is>
          <t>UPPSALA LÄN</t>
        </is>
      </c>
      <c r="E524" t="inlineStr">
        <is>
          <t>ÖSTHAMMAR</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33680-2024</t>
        </is>
      </c>
      <c r="B525" s="1" t="n">
        <v>45520.50712962963</v>
      </c>
      <c r="C525" s="1" t="n">
        <v>45989</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7944-2023</t>
        </is>
      </c>
      <c r="B526" s="1" t="n">
        <v>44973.66458333333</v>
      </c>
      <c r="C526" s="1" t="n">
        <v>45989</v>
      </c>
      <c r="D526" t="inlineStr">
        <is>
          <t>UPPSALA LÄN</t>
        </is>
      </c>
      <c r="E526" t="inlineStr">
        <is>
          <t>ÖSTHAMMAR</t>
        </is>
      </c>
      <c r="G526" t="n">
        <v>4.6</v>
      </c>
      <c r="H526" t="n">
        <v>0</v>
      </c>
      <c r="I526" t="n">
        <v>0</v>
      </c>
      <c r="J526" t="n">
        <v>0</v>
      </c>
      <c r="K526" t="n">
        <v>0</v>
      </c>
      <c r="L526" t="n">
        <v>0</v>
      </c>
      <c r="M526" t="n">
        <v>0</v>
      </c>
      <c r="N526" t="n">
        <v>0</v>
      </c>
      <c r="O526" t="n">
        <v>0</v>
      </c>
      <c r="P526" t="n">
        <v>0</v>
      </c>
      <c r="Q526" t="n">
        <v>0</v>
      </c>
      <c r="R526" s="2" t="inlineStr"/>
    </row>
    <row r="527" ht="15" customHeight="1">
      <c r="A527" t="inlineStr">
        <is>
          <t>A 8616-2023</t>
        </is>
      </c>
      <c r="B527" s="1" t="n">
        <v>44977</v>
      </c>
      <c r="C527" s="1" t="n">
        <v>45989</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1567-2025</t>
        </is>
      </c>
      <c r="B528" s="1" t="n">
        <v>45670</v>
      </c>
      <c r="C528" s="1" t="n">
        <v>45989</v>
      </c>
      <c r="D528" t="inlineStr">
        <is>
          <t>UPPSALA LÄN</t>
        </is>
      </c>
      <c r="E528" t="inlineStr">
        <is>
          <t>ÖSTHAMMAR</t>
        </is>
      </c>
      <c r="G528" t="n">
        <v>2.8</v>
      </c>
      <c r="H528" t="n">
        <v>0</v>
      </c>
      <c r="I528" t="n">
        <v>0</v>
      </c>
      <c r="J528" t="n">
        <v>0</v>
      </c>
      <c r="K528" t="n">
        <v>0</v>
      </c>
      <c r="L528" t="n">
        <v>0</v>
      </c>
      <c r="M528" t="n">
        <v>0</v>
      </c>
      <c r="N528" t="n">
        <v>0</v>
      </c>
      <c r="O528" t="n">
        <v>0</v>
      </c>
      <c r="P528" t="n">
        <v>0</v>
      </c>
      <c r="Q528" t="n">
        <v>0</v>
      </c>
      <c r="R528" s="2" t="inlineStr"/>
    </row>
    <row r="529" ht="15" customHeight="1">
      <c r="A529" t="inlineStr">
        <is>
          <t>A 46785-2023</t>
        </is>
      </c>
      <c r="B529" s="1" t="n">
        <v>45198</v>
      </c>
      <c r="C529" s="1" t="n">
        <v>45989</v>
      </c>
      <c r="D529" t="inlineStr">
        <is>
          <t>UPPSALA LÄN</t>
        </is>
      </c>
      <c r="E529" t="inlineStr">
        <is>
          <t>ÖSTHAMMAR</t>
        </is>
      </c>
      <c r="G529" t="n">
        <v>1.6</v>
      </c>
      <c r="H529" t="n">
        <v>0</v>
      </c>
      <c r="I529" t="n">
        <v>0</v>
      </c>
      <c r="J529" t="n">
        <v>0</v>
      </c>
      <c r="K529" t="n">
        <v>0</v>
      </c>
      <c r="L529" t="n">
        <v>0</v>
      </c>
      <c r="M529" t="n">
        <v>0</v>
      </c>
      <c r="N529" t="n">
        <v>0</v>
      </c>
      <c r="O529" t="n">
        <v>0</v>
      </c>
      <c r="P529" t="n">
        <v>0</v>
      </c>
      <c r="Q529" t="n">
        <v>0</v>
      </c>
      <c r="R529" s="2" t="inlineStr"/>
    </row>
    <row r="530" ht="15" customHeight="1">
      <c r="A530" t="inlineStr">
        <is>
          <t>A 73965-2021</t>
        </is>
      </c>
      <c r="B530" s="1" t="n">
        <v>44553.80824074074</v>
      </c>
      <c r="C530" s="1" t="n">
        <v>45989</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73592-2021</t>
        </is>
      </c>
      <c r="B531" s="1" t="n">
        <v>44552.36974537037</v>
      </c>
      <c r="C531" s="1" t="n">
        <v>45989</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31479-2023</t>
        </is>
      </c>
      <c r="B532" s="1" t="n">
        <v>45114.79793981482</v>
      </c>
      <c r="C532" s="1" t="n">
        <v>45989</v>
      </c>
      <c r="D532" t="inlineStr">
        <is>
          <t>UPPSALA LÄN</t>
        </is>
      </c>
      <c r="E532" t="inlineStr">
        <is>
          <t>ÖSTHAMMAR</t>
        </is>
      </c>
      <c r="F532" t="inlineStr">
        <is>
          <t>Bergvik skog öst AB</t>
        </is>
      </c>
      <c r="G532" t="n">
        <v>1.9</v>
      </c>
      <c r="H532" t="n">
        <v>0</v>
      </c>
      <c r="I532" t="n">
        <v>0</v>
      </c>
      <c r="J532" t="n">
        <v>0</v>
      </c>
      <c r="K532" t="n">
        <v>0</v>
      </c>
      <c r="L532" t="n">
        <v>0</v>
      </c>
      <c r="M532" t="n">
        <v>0</v>
      </c>
      <c r="N532" t="n">
        <v>0</v>
      </c>
      <c r="O532" t="n">
        <v>0</v>
      </c>
      <c r="P532" t="n">
        <v>0</v>
      </c>
      <c r="Q532" t="n">
        <v>0</v>
      </c>
      <c r="R532" s="2" t="inlineStr"/>
    </row>
    <row r="533" ht="15" customHeight="1">
      <c r="A533" t="inlineStr">
        <is>
          <t>A 24128-2023</t>
        </is>
      </c>
      <c r="B533" s="1" t="n">
        <v>45079.50289351852</v>
      </c>
      <c r="C533" s="1" t="n">
        <v>45989</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35918-2023</t>
        </is>
      </c>
      <c r="B534" s="1" t="n">
        <v>45148.64976851852</v>
      </c>
      <c r="C534" s="1" t="n">
        <v>45989</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4004-2023</t>
        </is>
      </c>
      <c r="B535" s="1" t="n">
        <v>44952</v>
      </c>
      <c r="C535" s="1" t="n">
        <v>45989</v>
      </c>
      <c r="D535" t="inlineStr">
        <is>
          <t>UPPSALA LÄN</t>
        </is>
      </c>
      <c r="E535" t="inlineStr">
        <is>
          <t>ÖSTHAMMAR</t>
        </is>
      </c>
      <c r="G535" t="n">
        <v>4.1</v>
      </c>
      <c r="H535" t="n">
        <v>0</v>
      </c>
      <c r="I535" t="n">
        <v>0</v>
      </c>
      <c r="J535" t="n">
        <v>0</v>
      </c>
      <c r="K535" t="n">
        <v>0</v>
      </c>
      <c r="L535" t="n">
        <v>0</v>
      </c>
      <c r="M535" t="n">
        <v>0</v>
      </c>
      <c r="N535" t="n">
        <v>0</v>
      </c>
      <c r="O535" t="n">
        <v>0</v>
      </c>
      <c r="P535" t="n">
        <v>0</v>
      </c>
      <c r="Q535" t="n">
        <v>0</v>
      </c>
      <c r="R535" s="2" t="inlineStr"/>
    </row>
    <row r="536" ht="15" customHeight="1">
      <c r="A536" t="inlineStr">
        <is>
          <t>A 1527-2025</t>
        </is>
      </c>
      <c r="B536" s="1" t="n">
        <v>45670</v>
      </c>
      <c r="C536" s="1" t="n">
        <v>45989</v>
      </c>
      <c r="D536" t="inlineStr">
        <is>
          <t>UPPSALA LÄN</t>
        </is>
      </c>
      <c r="E536" t="inlineStr">
        <is>
          <t>ÖSTHAMMAR</t>
        </is>
      </c>
      <c r="F536" t="inlineStr">
        <is>
          <t>Bergvik skog öst AB</t>
        </is>
      </c>
      <c r="G536" t="n">
        <v>7.7</v>
      </c>
      <c r="H536" t="n">
        <v>0</v>
      </c>
      <c r="I536" t="n">
        <v>0</v>
      </c>
      <c r="J536" t="n">
        <v>0</v>
      </c>
      <c r="K536" t="n">
        <v>0</v>
      </c>
      <c r="L536" t="n">
        <v>0</v>
      </c>
      <c r="M536" t="n">
        <v>0</v>
      </c>
      <c r="N536" t="n">
        <v>0</v>
      </c>
      <c r="O536" t="n">
        <v>0</v>
      </c>
      <c r="P536" t="n">
        <v>0</v>
      </c>
      <c r="Q536" t="n">
        <v>0</v>
      </c>
      <c r="R536" s="2" t="inlineStr"/>
    </row>
    <row r="537" ht="15" customHeight="1">
      <c r="A537" t="inlineStr">
        <is>
          <t>A 35474-2023</t>
        </is>
      </c>
      <c r="B537" s="1" t="n">
        <v>45146.68921296296</v>
      </c>
      <c r="C537" s="1" t="n">
        <v>45989</v>
      </c>
      <c r="D537" t="inlineStr">
        <is>
          <t>UPPSALA LÄN</t>
        </is>
      </c>
      <c r="E537" t="inlineStr">
        <is>
          <t>ÖSTHAMMAR</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26303-2024</t>
        </is>
      </c>
      <c r="B538" s="1" t="n">
        <v>45468</v>
      </c>
      <c r="C538" s="1" t="n">
        <v>45989</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44152-2024</t>
        </is>
      </c>
      <c r="B539" s="1" t="n">
        <v>45572</v>
      </c>
      <c r="C539" s="1" t="n">
        <v>45989</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4561-2022</t>
        </is>
      </c>
      <c r="B540" s="1" t="n">
        <v>44591.59170138889</v>
      </c>
      <c r="C540" s="1" t="n">
        <v>45989</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17651-2025</t>
        </is>
      </c>
      <c r="B541" s="1" t="n">
        <v>45758.33304398148</v>
      </c>
      <c r="C541" s="1" t="n">
        <v>45989</v>
      </c>
      <c r="D541" t="inlineStr">
        <is>
          <t>UPPSALA LÄN</t>
        </is>
      </c>
      <c r="E541" t="inlineStr">
        <is>
          <t>ÖSTHAMMAR</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10290-2025</t>
        </is>
      </c>
      <c r="B542" s="1" t="n">
        <v>45720.41847222222</v>
      </c>
      <c r="C542" s="1" t="n">
        <v>45989</v>
      </c>
      <c r="D542" t="inlineStr">
        <is>
          <t>UPPSALA LÄN</t>
        </is>
      </c>
      <c r="E542" t="inlineStr">
        <is>
          <t>ÖSTHAMMAR</t>
        </is>
      </c>
      <c r="G542" t="n">
        <v>8.6</v>
      </c>
      <c r="H542" t="n">
        <v>0</v>
      </c>
      <c r="I542" t="n">
        <v>0</v>
      </c>
      <c r="J542" t="n">
        <v>0</v>
      </c>
      <c r="K542" t="n">
        <v>0</v>
      </c>
      <c r="L542" t="n">
        <v>0</v>
      </c>
      <c r="M542" t="n">
        <v>0</v>
      </c>
      <c r="N542" t="n">
        <v>0</v>
      </c>
      <c r="O542" t="n">
        <v>0</v>
      </c>
      <c r="P542" t="n">
        <v>0</v>
      </c>
      <c r="Q542" t="n">
        <v>0</v>
      </c>
      <c r="R542" s="2" t="inlineStr"/>
    </row>
    <row r="543" ht="15" customHeight="1">
      <c r="A543" t="inlineStr">
        <is>
          <t>A 45102-2024</t>
        </is>
      </c>
      <c r="B543" s="1" t="n">
        <v>45575.58836805556</v>
      </c>
      <c r="C543" s="1" t="n">
        <v>45989</v>
      </c>
      <c r="D543" t="inlineStr">
        <is>
          <t>UPPSALA LÄN</t>
        </is>
      </c>
      <c r="E543" t="inlineStr">
        <is>
          <t>ÖSTHAMMAR</t>
        </is>
      </c>
      <c r="G543" t="n">
        <v>8.6</v>
      </c>
      <c r="H543" t="n">
        <v>0</v>
      </c>
      <c r="I543" t="n">
        <v>0</v>
      </c>
      <c r="J543" t="n">
        <v>0</v>
      </c>
      <c r="K543" t="n">
        <v>0</v>
      </c>
      <c r="L543" t="n">
        <v>0</v>
      </c>
      <c r="M543" t="n">
        <v>0</v>
      </c>
      <c r="N543" t="n">
        <v>0</v>
      </c>
      <c r="O543" t="n">
        <v>0</v>
      </c>
      <c r="P543" t="n">
        <v>0</v>
      </c>
      <c r="Q543" t="n">
        <v>0</v>
      </c>
      <c r="R543" s="2" t="inlineStr"/>
    </row>
    <row r="544" ht="15" customHeight="1">
      <c r="A544" t="inlineStr">
        <is>
          <t>A 45307-2023</t>
        </is>
      </c>
      <c r="B544" s="1" t="n">
        <v>45191</v>
      </c>
      <c r="C544" s="1" t="n">
        <v>45989</v>
      </c>
      <c r="D544" t="inlineStr">
        <is>
          <t>UPPSALA LÄN</t>
        </is>
      </c>
      <c r="E544" t="inlineStr">
        <is>
          <t>ÖSTHAMMAR</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6661-2024</t>
        </is>
      </c>
      <c r="B545" s="1" t="n">
        <v>45341.70582175926</v>
      </c>
      <c r="C545" s="1" t="n">
        <v>45989</v>
      </c>
      <c r="D545" t="inlineStr">
        <is>
          <t>UPPSALA LÄN</t>
        </is>
      </c>
      <c r="E545" t="inlineStr">
        <is>
          <t>ÖSTHAMMAR</t>
        </is>
      </c>
      <c r="G545" t="n">
        <v>0.2</v>
      </c>
      <c r="H545" t="n">
        <v>0</v>
      </c>
      <c r="I545" t="n">
        <v>0</v>
      </c>
      <c r="J545" t="n">
        <v>0</v>
      </c>
      <c r="K545" t="n">
        <v>0</v>
      </c>
      <c r="L545" t="n">
        <v>0</v>
      </c>
      <c r="M545" t="n">
        <v>0</v>
      </c>
      <c r="N545" t="n">
        <v>0</v>
      </c>
      <c r="O545" t="n">
        <v>0</v>
      </c>
      <c r="P545" t="n">
        <v>0</v>
      </c>
      <c r="Q545" t="n">
        <v>0</v>
      </c>
      <c r="R545" s="2" t="inlineStr"/>
    </row>
    <row r="546" ht="15" customHeight="1">
      <c r="A546" t="inlineStr">
        <is>
          <t>A 4101-2022</t>
        </is>
      </c>
      <c r="B546" s="1" t="n">
        <v>44588</v>
      </c>
      <c r="C546" s="1" t="n">
        <v>45989</v>
      </c>
      <c r="D546" t="inlineStr">
        <is>
          <t>UPPSALA LÄN</t>
        </is>
      </c>
      <c r="E546" t="inlineStr">
        <is>
          <t>ÖSTHAMMAR</t>
        </is>
      </c>
      <c r="G546" t="n">
        <v>4.4</v>
      </c>
      <c r="H546" t="n">
        <v>0</v>
      </c>
      <c r="I546" t="n">
        <v>0</v>
      </c>
      <c r="J546" t="n">
        <v>0</v>
      </c>
      <c r="K546" t="n">
        <v>0</v>
      </c>
      <c r="L546" t="n">
        <v>0</v>
      </c>
      <c r="M546" t="n">
        <v>0</v>
      </c>
      <c r="N546" t="n">
        <v>0</v>
      </c>
      <c r="O546" t="n">
        <v>0</v>
      </c>
      <c r="P546" t="n">
        <v>0</v>
      </c>
      <c r="Q546" t="n">
        <v>0</v>
      </c>
      <c r="R546" s="2" t="inlineStr"/>
    </row>
    <row r="547" ht="15" customHeight="1">
      <c r="A547" t="inlineStr">
        <is>
          <t>A 52478-2024</t>
        </is>
      </c>
      <c r="B547" s="1" t="n">
        <v>45609.55065972222</v>
      </c>
      <c r="C547" s="1" t="n">
        <v>45989</v>
      </c>
      <c r="D547" t="inlineStr">
        <is>
          <t>UPPSALA LÄN</t>
        </is>
      </c>
      <c r="E547" t="inlineStr">
        <is>
          <t>ÖSTHAMMAR</t>
        </is>
      </c>
      <c r="G547" t="n">
        <v>0.7</v>
      </c>
      <c r="H547" t="n">
        <v>0</v>
      </c>
      <c r="I547" t="n">
        <v>0</v>
      </c>
      <c r="J547" t="n">
        <v>0</v>
      </c>
      <c r="K547" t="n">
        <v>0</v>
      </c>
      <c r="L547" t="n">
        <v>0</v>
      </c>
      <c r="M547" t="n">
        <v>0</v>
      </c>
      <c r="N547" t="n">
        <v>0</v>
      </c>
      <c r="O547" t="n">
        <v>0</v>
      </c>
      <c r="P547" t="n">
        <v>0</v>
      </c>
      <c r="Q547" t="n">
        <v>0</v>
      </c>
      <c r="R547" s="2" t="inlineStr"/>
    </row>
    <row r="548" ht="15" customHeight="1">
      <c r="A548" t="inlineStr">
        <is>
          <t>A 5933-2022</t>
        </is>
      </c>
      <c r="B548" s="1" t="n">
        <v>44598.82957175926</v>
      </c>
      <c r="C548" s="1" t="n">
        <v>45989</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29873-2023</t>
        </is>
      </c>
      <c r="B549" s="1" t="n">
        <v>45107</v>
      </c>
      <c r="C549" s="1" t="n">
        <v>45989</v>
      </c>
      <c r="D549" t="inlineStr">
        <is>
          <t>UPPSALA LÄN</t>
        </is>
      </c>
      <c r="E549" t="inlineStr">
        <is>
          <t>ÖSTHAMMAR</t>
        </is>
      </c>
      <c r="F549" t="inlineStr">
        <is>
          <t>Naturvårdsverket</t>
        </is>
      </c>
      <c r="G549" t="n">
        <v>7.8</v>
      </c>
      <c r="H549" t="n">
        <v>0</v>
      </c>
      <c r="I549" t="n">
        <v>0</v>
      </c>
      <c r="J549" t="n">
        <v>0</v>
      </c>
      <c r="K549" t="n">
        <v>0</v>
      </c>
      <c r="L549" t="n">
        <v>0</v>
      </c>
      <c r="M549" t="n">
        <v>0</v>
      </c>
      <c r="N549" t="n">
        <v>0</v>
      </c>
      <c r="O549" t="n">
        <v>0</v>
      </c>
      <c r="P549" t="n">
        <v>0</v>
      </c>
      <c r="Q549" t="n">
        <v>0</v>
      </c>
      <c r="R549" s="2" t="inlineStr"/>
    </row>
    <row r="550" ht="15" customHeight="1">
      <c r="A550" t="inlineStr">
        <is>
          <t>A 13279-2022</t>
        </is>
      </c>
      <c r="B550" s="1" t="n">
        <v>44644</v>
      </c>
      <c r="C550" s="1" t="n">
        <v>45989</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6892-2022</t>
        </is>
      </c>
      <c r="B551" s="1" t="n">
        <v>44602</v>
      </c>
      <c r="C551" s="1" t="n">
        <v>45989</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13044-2022</t>
        </is>
      </c>
      <c r="B552" s="1" t="n">
        <v>44643</v>
      </c>
      <c r="C552" s="1" t="n">
        <v>45989</v>
      </c>
      <c r="D552" t="inlineStr">
        <is>
          <t>UPPSALA LÄN</t>
        </is>
      </c>
      <c r="E552" t="inlineStr">
        <is>
          <t>ÖSTHAMMAR</t>
        </is>
      </c>
      <c r="G552" t="n">
        <v>2.5</v>
      </c>
      <c r="H552" t="n">
        <v>0</v>
      </c>
      <c r="I552" t="n">
        <v>0</v>
      </c>
      <c r="J552" t="n">
        <v>0</v>
      </c>
      <c r="K552" t="n">
        <v>0</v>
      </c>
      <c r="L552" t="n">
        <v>0</v>
      </c>
      <c r="M552" t="n">
        <v>0</v>
      </c>
      <c r="N552" t="n">
        <v>0</v>
      </c>
      <c r="O552" t="n">
        <v>0</v>
      </c>
      <c r="P552" t="n">
        <v>0</v>
      </c>
      <c r="Q552" t="n">
        <v>0</v>
      </c>
      <c r="R552" s="2" t="inlineStr"/>
    </row>
    <row r="553" ht="15" customHeight="1">
      <c r="A553" t="inlineStr">
        <is>
          <t>A 8763-2025</t>
        </is>
      </c>
      <c r="B553" s="1" t="n">
        <v>45712.57872685185</v>
      </c>
      <c r="C553" s="1" t="n">
        <v>45989</v>
      </c>
      <c r="D553" t="inlineStr">
        <is>
          <t>UPPSALA LÄN</t>
        </is>
      </c>
      <c r="E553" t="inlineStr">
        <is>
          <t>ÖSTHAMMAR</t>
        </is>
      </c>
      <c r="G553" t="n">
        <v>0.6</v>
      </c>
      <c r="H553" t="n">
        <v>0</v>
      </c>
      <c r="I553" t="n">
        <v>0</v>
      </c>
      <c r="J553" t="n">
        <v>0</v>
      </c>
      <c r="K553" t="n">
        <v>0</v>
      </c>
      <c r="L553" t="n">
        <v>0</v>
      </c>
      <c r="M553" t="n">
        <v>0</v>
      </c>
      <c r="N553" t="n">
        <v>0</v>
      </c>
      <c r="O553" t="n">
        <v>0</v>
      </c>
      <c r="P553" t="n">
        <v>0</v>
      </c>
      <c r="Q553" t="n">
        <v>0</v>
      </c>
      <c r="R553" s="2" t="inlineStr"/>
    </row>
    <row r="554" ht="15" customHeight="1">
      <c r="A554" t="inlineStr">
        <is>
          <t>A 8623-2025</t>
        </is>
      </c>
      <c r="B554" s="1" t="n">
        <v>45711.51902777778</v>
      </c>
      <c r="C554" s="1" t="n">
        <v>45989</v>
      </c>
      <c r="D554" t="inlineStr">
        <is>
          <t>UPPSALA LÄN</t>
        </is>
      </c>
      <c r="E554" t="inlineStr">
        <is>
          <t>ÖSTHAMMAR</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8626-2025</t>
        </is>
      </c>
      <c r="B555" s="1" t="n">
        <v>45711.53565972222</v>
      </c>
      <c r="C555" s="1" t="n">
        <v>45989</v>
      </c>
      <c r="D555" t="inlineStr">
        <is>
          <t>UPPSALA LÄN</t>
        </is>
      </c>
      <c r="E555" t="inlineStr">
        <is>
          <t>ÖSTHAMMAR</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52694-2023</t>
        </is>
      </c>
      <c r="B556" s="1" t="n">
        <v>45225.76836805556</v>
      </c>
      <c r="C556" s="1" t="n">
        <v>45989</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5303-2025</t>
        </is>
      </c>
      <c r="B557" s="1" t="n">
        <v>45692</v>
      </c>
      <c r="C557" s="1" t="n">
        <v>45989</v>
      </c>
      <c r="D557" t="inlineStr">
        <is>
          <t>UPPSALA LÄN</t>
        </is>
      </c>
      <c r="E557" t="inlineStr">
        <is>
          <t>ÖSTHAMMAR</t>
        </is>
      </c>
      <c r="G557" t="n">
        <v>5</v>
      </c>
      <c r="H557" t="n">
        <v>0</v>
      </c>
      <c r="I557" t="n">
        <v>0</v>
      </c>
      <c r="J557" t="n">
        <v>0</v>
      </c>
      <c r="K557" t="n">
        <v>0</v>
      </c>
      <c r="L557" t="n">
        <v>0</v>
      </c>
      <c r="M557" t="n">
        <v>0</v>
      </c>
      <c r="N557" t="n">
        <v>0</v>
      </c>
      <c r="O557" t="n">
        <v>0</v>
      </c>
      <c r="P557" t="n">
        <v>0</v>
      </c>
      <c r="Q557" t="n">
        <v>0</v>
      </c>
      <c r="R557" s="2" t="inlineStr"/>
    </row>
    <row r="558" ht="15" customHeight="1">
      <c r="A558" t="inlineStr">
        <is>
          <t>A 24493-2023</t>
        </is>
      </c>
      <c r="B558" s="1" t="n">
        <v>45082.62603009259</v>
      </c>
      <c r="C558" s="1" t="n">
        <v>45989</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34742-2022</t>
        </is>
      </c>
      <c r="B559" s="1" t="n">
        <v>44795.61990740741</v>
      </c>
      <c r="C559" s="1" t="n">
        <v>45989</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13622-2025</t>
        </is>
      </c>
      <c r="B560" s="1" t="n">
        <v>45736</v>
      </c>
      <c r="C560" s="1" t="n">
        <v>45989</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46399-2023</t>
        </is>
      </c>
      <c r="B561" s="1" t="n">
        <v>45197.49262731482</v>
      </c>
      <c r="C561" s="1" t="n">
        <v>45989</v>
      </c>
      <c r="D561" t="inlineStr">
        <is>
          <t>UPPSALA LÄN</t>
        </is>
      </c>
      <c r="E561" t="inlineStr">
        <is>
          <t>ÖSTHAMMAR</t>
        </is>
      </c>
      <c r="G561" t="n">
        <v>5.8</v>
      </c>
      <c r="H561" t="n">
        <v>0</v>
      </c>
      <c r="I561" t="n">
        <v>0</v>
      </c>
      <c r="J561" t="n">
        <v>0</v>
      </c>
      <c r="K561" t="n">
        <v>0</v>
      </c>
      <c r="L561" t="n">
        <v>0</v>
      </c>
      <c r="M561" t="n">
        <v>0</v>
      </c>
      <c r="N561" t="n">
        <v>0</v>
      </c>
      <c r="O561" t="n">
        <v>0</v>
      </c>
      <c r="P561" t="n">
        <v>0</v>
      </c>
      <c r="Q561" t="n">
        <v>0</v>
      </c>
      <c r="R561" s="2" t="inlineStr"/>
    </row>
    <row r="562" ht="15" customHeight="1">
      <c r="A562" t="inlineStr">
        <is>
          <t>A 13358-2024</t>
        </is>
      </c>
      <c r="B562" s="1" t="n">
        <v>45387.3503125</v>
      </c>
      <c r="C562" s="1" t="n">
        <v>45989</v>
      </c>
      <c r="D562" t="inlineStr">
        <is>
          <t>UPPSALA LÄN</t>
        </is>
      </c>
      <c r="E562" t="inlineStr">
        <is>
          <t>ÖSTHAMMAR</t>
        </is>
      </c>
      <c r="G562" t="n">
        <v>2.2</v>
      </c>
      <c r="H562" t="n">
        <v>0</v>
      </c>
      <c r="I562" t="n">
        <v>0</v>
      </c>
      <c r="J562" t="n">
        <v>0</v>
      </c>
      <c r="K562" t="n">
        <v>0</v>
      </c>
      <c r="L562" t="n">
        <v>0</v>
      </c>
      <c r="M562" t="n">
        <v>0</v>
      </c>
      <c r="N562" t="n">
        <v>0</v>
      </c>
      <c r="O562" t="n">
        <v>0</v>
      </c>
      <c r="P562" t="n">
        <v>0</v>
      </c>
      <c r="Q562" t="n">
        <v>0</v>
      </c>
      <c r="R562" s="2" t="inlineStr"/>
    </row>
    <row r="563" ht="15" customHeight="1">
      <c r="A563" t="inlineStr">
        <is>
          <t>A 55079-2024</t>
        </is>
      </c>
      <c r="B563" s="1" t="n">
        <v>45621.42747685185</v>
      </c>
      <c r="C563" s="1" t="n">
        <v>45989</v>
      </c>
      <c r="D563" t="inlineStr">
        <is>
          <t>UPPSALA LÄN</t>
        </is>
      </c>
      <c r="E563" t="inlineStr">
        <is>
          <t>ÖSTHAMMAR</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44805.63708333333</v>
      </c>
      <c r="C564" s="1" t="n">
        <v>45989</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53733-2023</t>
        </is>
      </c>
      <c r="B565" s="1" t="n">
        <v>45230.76862268519</v>
      </c>
      <c r="C565" s="1" t="n">
        <v>45989</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53735-2023</t>
        </is>
      </c>
      <c r="B566" s="1" t="n">
        <v>45230.77258101852</v>
      </c>
      <c r="C566" s="1" t="n">
        <v>45989</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21522-2022</t>
        </is>
      </c>
      <c r="B567" s="1" t="n">
        <v>44706</v>
      </c>
      <c r="C567" s="1" t="n">
        <v>45989</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14187-2022</t>
        </is>
      </c>
      <c r="B568" s="1" t="n">
        <v>44651.5625</v>
      </c>
      <c r="C568" s="1" t="n">
        <v>45989</v>
      </c>
      <c r="D568" t="inlineStr">
        <is>
          <t>UPPSALA LÄN</t>
        </is>
      </c>
      <c r="E568" t="inlineStr">
        <is>
          <t>ÖSTHAMMAR</t>
        </is>
      </c>
      <c r="F568" t="inlineStr">
        <is>
          <t>Övriga Aktiebolag</t>
        </is>
      </c>
      <c r="G568" t="n">
        <v>14.1</v>
      </c>
      <c r="H568" t="n">
        <v>0</v>
      </c>
      <c r="I568" t="n">
        <v>0</v>
      </c>
      <c r="J568" t="n">
        <v>0</v>
      </c>
      <c r="K568" t="n">
        <v>0</v>
      </c>
      <c r="L568" t="n">
        <v>0</v>
      </c>
      <c r="M568" t="n">
        <v>0</v>
      </c>
      <c r="N568" t="n">
        <v>0</v>
      </c>
      <c r="O568" t="n">
        <v>0</v>
      </c>
      <c r="P568" t="n">
        <v>0</v>
      </c>
      <c r="Q568" t="n">
        <v>0</v>
      </c>
      <c r="R568" s="2" t="inlineStr"/>
    </row>
    <row r="569" ht="15" customHeight="1">
      <c r="A569" t="inlineStr">
        <is>
          <t>A 7997-2022</t>
        </is>
      </c>
      <c r="B569" s="1" t="n">
        <v>44609</v>
      </c>
      <c r="C569" s="1" t="n">
        <v>45989</v>
      </c>
      <c r="D569" t="inlineStr">
        <is>
          <t>UPPSALA LÄN</t>
        </is>
      </c>
      <c r="E569" t="inlineStr">
        <is>
          <t>ÖSTHAMMAR</t>
        </is>
      </c>
      <c r="G569" t="n">
        <v>1.8</v>
      </c>
      <c r="H569" t="n">
        <v>0</v>
      </c>
      <c r="I569" t="n">
        <v>0</v>
      </c>
      <c r="J569" t="n">
        <v>0</v>
      </c>
      <c r="K569" t="n">
        <v>0</v>
      </c>
      <c r="L569" t="n">
        <v>0</v>
      </c>
      <c r="M569" t="n">
        <v>0</v>
      </c>
      <c r="N569" t="n">
        <v>0</v>
      </c>
      <c r="O569" t="n">
        <v>0</v>
      </c>
      <c r="P569" t="n">
        <v>0</v>
      </c>
      <c r="Q569" t="n">
        <v>0</v>
      </c>
      <c r="R569" s="2" t="inlineStr"/>
    </row>
    <row r="570" ht="15" customHeight="1">
      <c r="A570" t="inlineStr">
        <is>
          <t>A 4676-2025</t>
        </is>
      </c>
      <c r="B570" s="1" t="n">
        <v>45687.8313425926</v>
      </c>
      <c r="C570" s="1" t="n">
        <v>45989</v>
      </c>
      <c r="D570" t="inlineStr">
        <is>
          <t>UPPSALA LÄN</t>
        </is>
      </c>
      <c r="E570" t="inlineStr">
        <is>
          <t>ÖSTHAMMAR</t>
        </is>
      </c>
      <c r="G570" t="n">
        <v>3.7</v>
      </c>
      <c r="H570" t="n">
        <v>0</v>
      </c>
      <c r="I570" t="n">
        <v>0</v>
      </c>
      <c r="J570" t="n">
        <v>0</v>
      </c>
      <c r="K570" t="n">
        <v>0</v>
      </c>
      <c r="L570" t="n">
        <v>0</v>
      </c>
      <c r="M570" t="n">
        <v>0</v>
      </c>
      <c r="N570" t="n">
        <v>0</v>
      </c>
      <c r="O570" t="n">
        <v>0</v>
      </c>
      <c r="P570" t="n">
        <v>0</v>
      </c>
      <c r="Q570" t="n">
        <v>0</v>
      </c>
      <c r="R570" s="2" t="inlineStr"/>
    </row>
    <row r="571" ht="15" customHeight="1">
      <c r="A571" t="inlineStr">
        <is>
          <t>A 55837-2023</t>
        </is>
      </c>
      <c r="B571" s="1" t="n">
        <v>45239</v>
      </c>
      <c r="C571" s="1" t="n">
        <v>45989</v>
      </c>
      <c r="D571" t="inlineStr">
        <is>
          <t>UPPSALA LÄN</t>
        </is>
      </c>
      <c r="E571" t="inlineStr">
        <is>
          <t>ÖSTHAMMAR</t>
        </is>
      </c>
      <c r="G571" t="n">
        <v>0.5</v>
      </c>
      <c r="H571" t="n">
        <v>0</v>
      </c>
      <c r="I571" t="n">
        <v>0</v>
      </c>
      <c r="J571" t="n">
        <v>0</v>
      </c>
      <c r="K571" t="n">
        <v>0</v>
      </c>
      <c r="L571" t="n">
        <v>0</v>
      </c>
      <c r="M571" t="n">
        <v>0</v>
      </c>
      <c r="N571" t="n">
        <v>0</v>
      </c>
      <c r="O571" t="n">
        <v>0</v>
      </c>
      <c r="P571" t="n">
        <v>0</v>
      </c>
      <c r="Q571" t="n">
        <v>0</v>
      </c>
      <c r="R571" s="2" t="inlineStr"/>
    </row>
    <row r="572" ht="15" customHeight="1">
      <c r="A572" t="inlineStr">
        <is>
          <t>A 13093-2022</t>
        </is>
      </c>
      <c r="B572" s="1" t="n">
        <v>44643.93269675926</v>
      </c>
      <c r="C572" s="1" t="n">
        <v>45989</v>
      </c>
      <c r="D572" t="inlineStr">
        <is>
          <t>UPPSALA LÄN</t>
        </is>
      </c>
      <c r="E572" t="inlineStr">
        <is>
          <t>ÖSTHAMMAR</t>
        </is>
      </c>
      <c r="F572" t="inlineStr">
        <is>
          <t>Bergvik skog öst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45795-2023</t>
        </is>
      </c>
      <c r="B573" s="1" t="n">
        <v>45195</v>
      </c>
      <c r="C573" s="1" t="n">
        <v>45989</v>
      </c>
      <c r="D573" t="inlineStr">
        <is>
          <t>UPPSALA LÄN</t>
        </is>
      </c>
      <c r="E573" t="inlineStr">
        <is>
          <t>ÖSTHAMMAR</t>
        </is>
      </c>
      <c r="G573" t="n">
        <v>4</v>
      </c>
      <c r="H573" t="n">
        <v>0</v>
      </c>
      <c r="I573" t="n">
        <v>0</v>
      </c>
      <c r="J573" t="n">
        <v>0</v>
      </c>
      <c r="K573" t="n">
        <v>0</v>
      </c>
      <c r="L573" t="n">
        <v>0</v>
      </c>
      <c r="M573" t="n">
        <v>0</v>
      </c>
      <c r="N573" t="n">
        <v>0</v>
      </c>
      <c r="O573" t="n">
        <v>0</v>
      </c>
      <c r="P573" t="n">
        <v>0</v>
      </c>
      <c r="Q573" t="n">
        <v>0</v>
      </c>
      <c r="R573" s="2" t="inlineStr"/>
    </row>
    <row r="574" ht="15" customHeight="1">
      <c r="A574" t="inlineStr">
        <is>
          <t>A 38600-2023</t>
        </is>
      </c>
      <c r="B574" s="1" t="n">
        <v>45162</v>
      </c>
      <c r="C574" s="1" t="n">
        <v>45989</v>
      </c>
      <c r="D574" t="inlineStr">
        <is>
          <t>UPPSALA LÄN</t>
        </is>
      </c>
      <c r="E574" t="inlineStr">
        <is>
          <t>ÖSTHAMMAR</t>
        </is>
      </c>
      <c r="F574" t="inlineStr">
        <is>
          <t>Bergvik skog väst AB</t>
        </is>
      </c>
      <c r="G574" t="n">
        <v>0.1</v>
      </c>
      <c r="H574" t="n">
        <v>0</v>
      </c>
      <c r="I574" t="n">
        <v>0</v>
      </c>
      <c r="J574" t="n">
        <v>0</v>
      </c>
      <c r="K574" t="n">
        <v>0</v>
      </c>
      <c r="L574" t="n">
        <v>0</v>
      </c>
      <c r="M574" t="n">
        <v>0</v>
      </c>
      <c r="N574" t="n">
        <v>0</v>
      </c>
      <c r="O574" t="n">
        <v>0</v>
      </c>
      <c r="P574" t="n">
        <v>0</v>
      </c>
      <c r="Q574" t="n">
        <v>0</v>
      </c>
      <c r="R574" s="2" t="inlineStr"/>
    </row>
    <row r="575" ht="15" customHeight="1">
      <c r="A575" t="inlineStr">
        <is>
          <t>A 8624-2025</t>
        </is>
      </c>
      <c r="B575" s="1" t="n">
        <v>45711.52333333333</v>
      </c>
      <c r="C575" s="1" t="n">
        <v>45989</v>
      </c>
      <c r="D575" t="inlineStr">
        <is>
          <t>UPPSALA LÄN</t>
        </is>
      </c>
      <c r="E575" t="inlineStr">
        <is>
          <t>ÖSTHAMMAR</t>
        </is>
      </c>
      <c r="F575" t="inlineStr">
        <is>
          <t>Bergvik skog väst AB</t>
        </is>
      </c>
      <c r="G575" t="n">
        <v>2.8</v>
      </c>
      <c r="H575" t="n">
        <v>0</v>
      </c>
      <c r="I575" t="n">
        <v>0</v>
      </c>
      <c r="J575" t="n">
        <v>0</v>
      </c>
      <c r="K575" t="n">
        <v>0</v>
      </c>
      <c r="L575" t="n">
        <v>0</v>
      </c>
      <c r="M575" t="n">
        <v>0</v>
      </c>
      <c r="N575" t="n">
        <v>0</v>
      </c>
      <c r="O575" t="n">
        <v>0</v>
      </c>
      <c r="P575" t="n">
        <v>0</v>
      </c>
      <c r="Q575" t="n">
        <v>0</v>
      </c>
      <c r="R575" s="2" t="inlineStr"/>
    </row>
    <row r="576" ht="15" customHeight="1">
      <c r="A576" t="inlineStr">
        <is>
          <t>A 17644-2025</t>
        </is>
      </c>
      <c r="B576" s="1" t="n">
        <v>45758.32645833334</v>
      </c>
      <c r="C576" s="1" t="n">
        <v>45989</v>
      </c>
      <c r="D576" t="inlineStr">
        <is>
          <t>UPPSALA LÄN</t>
        </is>
      </c>
      <c r="E576" t="inlineStr">
        <is>
          <t>ÖSTHAMMAR</t>
        </is>
      </c>
      <c r="F576" t="inlineStr">
        <is>
          <t>Bergvik skog väst AB</t>
        </is>
      </c>
      <c r="G576" t="n">
        <v>6.1</v>
      </c>
      <c r="H576" t="n">
        <v>0</v>
      </c>
      <c r="I576" t="n">
        <v>0</v>
      </c>
      <c r="J576" t="n">
        <v>0</v>
      </c>
      <c r="K576" t="n">
        <v>0</v>
      </c>
      <c r="L576" t="n">
        <v>0</v>
      </c>
      <c r="M576" t="n">
        <v>0</v>
      </c>
      <c r="N576" t="n">
        <v>0</v>
      </c>
      <c r="O576" t="n">
        <v>0</v>
      </c>
      <c r="P576" t="n">
        <v>0</v>
      </c>
      <c r="Q576" t="n">
        <v>0</v>
      </c>
      <c r="R576" s="2" t="inlineStr"/>
    </row>
    <row r="577" ht="15" customHeight="1">
      <c r="A577" t="inlineStr">
        <is>
          <t>A 20385-2025</t>
        </is>
      </c>
      <c r="B577" s="1" t="n">
        <v>45775.44483796296</v>
      </c>
      <c r="C577" s="1" t="n">
        <v>45989</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18183-2022</t>
        </is>
      </c>
      <c r="B578" s="1" t="n">
        <v>44684</v>
      </c>
      <c r="C578" s="1" t="n">
        <v>45989</v>
      </c>
      <c r="D578" t="inlineStr">
        <is>
          <t>UPPSALA LÄN</t>
        </is>
      </c>
      <c r="E578" t="inlineStr">
        <is>
          <t>ÖSTHAMMAR</t>
        </is>
      </c>
      <c r="G578" t="n">
        <v>0.2</v>
      </c>
      <c r="H578" t="n">
        <v>0</v>
      </c>
      <c r="I578" t="n">
        <v>0</v>
      </c>
      <c r="J578" t="n">
        <v>0</v>
      </c>
      <c r="K578" t="n">
        <v>0</v>
      </c>
      <c r="L578" t="n">
        <v>0</v>
      </c>
      <c r="M578" t="n">
        <v>0</v>
      </c>
      <c r="N578" t="n">
        <v>0</v>
      </c>
      <c r="O578" t="n">
        <v>0</v>
      </c>
      <c r="P578" t="n">
        <v>0</v>
      </c>
      <c r="Q578" t="n">
        <v>0</v>
      </c>
      <c r="R578" s="2" t="inlineStr"/>
    </row>
    <row r="579" ht="15" customHeight="1">
      <c r="A579" t="inlineStr">
        <is>
          <t>A 4304-2025</t>
        </is>
      </c>
      <c r="B579" s="1" t="n">
        <v>45685.68193287037</v>
      </c>
      <c r="C579" s="1" t="n">
        <v>45989</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28170-2023</t>
        </is>
      </c>
      <c r="B580" s="1" t="n">
        <v>45093</v>
      </c>
      <c r="C580" s="1" t="n">
        <v>45989</v>
      </c>
      <c r="D580" t="inlineStr">
        <is>
          <t>UPPSALA LÄN</t>
        </is>
      </c>
      <c r="E580" t="inlineStr">
        <is>
          <t>ÖSTHAMMAR</t>
        </is>
      </c>
      <c r="G580" t="n">
        <v>7.2</v>
      </c>
      <c r="H580" t="n">
        <v>0</v>
      </c>
      <c r="I580" t="n">
        <v>0</v>
      </c>
      <c r="J580" t="n">
        <v>0</v>
      </c>
      <c r="K580" t="n">
        <v>0</v>
      </c>
      <c r="L580" t="n">
        <v>0</v>
      </c>
      <c r="M580" t="n">
        <v>0</v>
      </c>
      <c r="N580" t="n">
        <v>0</v>
      </c>
      <c r="O580" t="n">
        <v>0</v>
      </c>
      <c r="P580" t="n">
        <v>0</v>
      </c>
      <c r="Q580" t="n">
        <v>0</v>
      </c>
      <c r="R580" s="2" t="inlineStr"/>
    </row>
    <row r="581" ht="15" customHeight="1">
      <c r="A581" t="inlineStr">
        <is>
          <t>A 16933-2022</t>
        </is>
      </c>
      <c r="B581" s="1" t="n">
        <v>44676</v>
      </c>
      <c r="C581" s="1" t="n">
        <v>45989</v>
      </c>
      <c r="D581" t="inlineStr">
        <is>
          <t>UPPSALA LÄN</t>
        </is>
      </c>
      <c r="E581" t="inlineStr">
        <is>
          <t>ÖSTHAMMAR</t>
        </is>
      </c>
      <c r="G581" t="n">
        <v>1.3</v>
      </c>
      <c r="H581" t="n">
        <v>0</v>
      </c>
      <c r="I581" t="n">
        <v>0</v>
      </c>
      <c r="J581" t="n">
        <v>0</v>
      </c>
      <c r="K581" t="n">
        <v>0</v>
      </c>
      <c r="L581" t="n">
        <v>0</v>
      </c>
      <c r="M581" t="n">
        <v>0</v>
      </c>
      <c r="N581" t="n">
        <v>0</v>
      </c>
      <c r="O581" t="n">
        <v>0</v>
      </c>
      <c r="P581" t="n">
        <v>0</v>
      </c>
      <c r="Q581" t="n">
        <v>0</v>
      </c>
      <c r="R581" s="2" t="inlineStr"/>
    </row>
    <row r="582" ht="15" customHeight="1">
      <c r="A582" t="inlineStr">
        <is>
          <t>A 23741-2024</t>
        </is>
      </c>
      <c r="B582" s="1" t="n">
        <v>45455</v>
      </c>
      <c r="C582" s="1" t="n">
        <v>45989</v>
      </c>
      <c r="D582" t="inlineStr">
        <is>
          <t>UPPSALA LÄN</t>
        </is>
      </c>
      <c r="E582" t="inlineStr">
        <is>
          <t>ÖSTHAMMAR</t>
        </is>
      </c>
      <c r="F582" t="inlineStr">
        <is>
          <t>Bergvik skog öst AB</t>
        </is>
      </c>
      <c r="G582" t="n">
        <v>1.9</v>
      </c>
      <c r="H582" t="n">
        <v>0</v>
      </c>
      <c r="I582" t="n">
        <v>0</v>
      </c>
      <c r="J582" t="n">
        <v>0</v>
      </c>
      <c r="K582" t="n">
        <v>0</v>
      </c>
      <c r="L582" t="n">
        <v>0</v>
      </c>
      <c r="M582" t="n">
        <v>0</v>
      </c>
      <c r="N582" t="n">
        <v>0</v>
      </c>
      <c r="O582" t="n">
        <v>0</v>
      </c>
      <c r="P582" t="n">
        <v>0</v>
      </c>
      <c r="Q582" t="n">
        <v>0</v>
      </c>
      <c r="R582" s="2" t="inlineStr"/>
    </row>
    <row r="583" ht="15" customHeight="1">
      <c r="A583" t="inlineStr">
        <is>
          <t>A 9264-2024</t>
        </is>
      </c>
      <c r="B583" s="1" t="n">
        <v>45358</v>
      </c>
      <c r="C583" s="1" t="n">
        <v>45989</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57043-2022</t>
        </is>
      </c>
      <c r="B584" s="1" t="n">
        <v>44895.36748842592</v>
      </c>
      <c r="C584" s="1" t="n">
        <v>45989</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47390-2023</t>
        </is>
      </c>
      <c r="B585" s="1" t="n">
        <v>45202</v>
      </c>
      <c r="C585" s="1" t="n">
        <v>45989</v>
      </c>
      <c r="D585" t="inlineStr">
        <is>
          <t>UPPSALA LÄN</t>
        </is>
      </c>
      <c r="E585" t="inlineStr">
        <is>
          <t>ÖSTHAMMAR</t>
        </is>
      </c>
      <c r="G585" t="n">
        <v>3.7</v>
      </c>
      <c r="H585" t="n">
        <v>0</v>
      </c>
      <c r="I585" t="n">
        <v>0</v>
      </c>
      <c r="J585" t="n">
        <v>0</v>
      </c>
      <c r="K585" t="n">
        <v>0</v>
      </c>
      <c r="L585" t="n">
        <v>0</v>
      </c>
      <c r="M585" t="n">
        <v>0</v>
      </c>
      <c r="N585" t="n">
        <v>0</v>
      </c>
      <c r="O585" t="n">
        <v>0</v>
      </c>
      <c r="P585" t="n">
        <v>0</v>
      </c>
      <c r="Q585" t="n">
        <v>0</v>
      </c>
      <c r="R585" s="2" t="inlineStr"/>
    </row>
    <row r="586" ht="15" customHeight="1">
      <c r="A586" t="inlineStr">
        <is>
          <t>A 15928-2022</t>
        </is>
      </c>
      <c r="B586" s="1" t="n">
        <v>44664</v>
      </c>
      <c r="C586" s="1" t="n">
        <v>45989</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28228-2022</t>
        </is>
      </c>
      <c r="B587" s="1" t="n">
        <v>44746.65873842593</v>
      </c>
      <c r="C587" s="1" t="n">
        <v>45989</v>
      </c>
      <c r="D587" t="inlineStr">
        <is>
          <t>UPPSALA LÄN</t>
        </is>
      </c>
      <c r="E587" t="inlineStr">
        <is>
          <t>ÖSTHAMMAR</t>
        </is>
      </c>
      <c r="G587" t="n">
        <v>2.7</v>
      </c>
      <c r="H587" t="n">
        <v>0</v>
      </c>
      <c r="I587" t="n">
        <v>0</v>
      </c>
      <c r="J587" t="n">
        <v>0</v>
      </c>
      <c r="K587" t="n">
        <v>0</v>
      </c>
      <c r="L587" t="n">
        <v>0</v>
      </c>
      <c r="M587" t="n">
        <v>0</v>
      </c>
      <c r="N587" t="n">
        <v>0</v>
      </c>
      <c r="O587" t="n">
        <v>0</v>
      </c>
      <c r="P587" t="n">
        <v>0</v>
      </c>
      <c r="Q587" t="n">
        <v>0</v>
      </c>
      <c r="R587" s="2" t="inlineStr"/>
    </row>
    <row r="588" ht="15" customHeight="1">
      <c r="A588" t="inlineStr">
        <is>
          <t>A 15445-2022</t>
        </is>
      </c>
      <c r="B588" s="1" t="n">
        <v>44660.4987962963</v>
      </c>
      <c r="C588" s="1" t="n">
        <v>45989</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10275-2025</t>
        </is>
      </c>
      <c r="B589" s="1" t="n">
        <v>45720.39715277778</v>
      </c>
      <c r="C589" s="1" t="n">
        <v>45989</v>
      </c>
      <c r="D589" t="inlineStr">
        <is>
          <t>UPPSALA LÄN</t>
        </is>
      </c>
      <c r="E589" t="inlineStr">
        <is>
          <t>ÖSTHAMMAR</t>
        </is>
      </c>
      <c r="G589" t="n">
        <v>6.2</v>
      </c>
      <c r="H589" t="n">
        <v>0</v>
      </c>
      <c r="I589" t="n">
        <v>0</v>
      </c>
      <c r="J589" t="n">
        <v>0</v>
      </c>
      <c r="K589" t="n">
        <v>0</v>
      </c>
      <c r="L589" t="n">
        <v>0</v>
      </c>
      <c r="M589" t="n">
        <v>0</v>
      </c>
      <c r="N589" t="n">
        <v>0</v>
      </c>
      <c r="O589" t="n">
        <v>0</v>
      </c>
      <c r="P589" t="n">
        <v>0</v>
      </c>
      <c r="Q589" t="n">
        <v>0</v>
      </c>
      <c r="R589" s="2" t="inlineStr"/>
    </row>
    <row r="590" ht="15" customHeight="1">
      <c r="A590" t="inlineStr">
        <is>
          <t>A 14124-2022</t>
        </is>
      </c>
      <c r="B590" s="1" t="n">
        <v>44651.40924768519</v>
      </c>
      <c r="C590" s="1" t="n">
        <v>45989</v>
      </c>
      <c r="D590" t="inlineStr">
        <is>
          <t>UPPSALA LÄN</t>
        </is>
      </c>
      <c r="E590" t="inlineStr">
        <is>
          <t>ÖSTHAMMAR</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37812-2022</t>
        </is>
      </c>
      <c r="B591" s="1" t="n">
        <v>44810</v>
      </c>
      <c r="C591" s="1" t="n">
        <v>45989</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19501-2025</t>
        </is>
      </c>
      <c r="B592" s="1" t="n">
        <v>45770.4015625</v>
      </c>
      <c r="C592" s="1" t="n">
        <v>45989</v>
      </c>
      <c r="D592" t="inlineStr">
        <is>
          <t>UPPSALA LÄN</t>
        </is>
      </c>
      <c r="E592" t="inlineStr">
        <is>
          <t>ÖSTHAMMAR</t>
        </is>
      </c>
      <c r="F592" t="inlineStr">
        <is>
          <t>Övriga Aktiebolag</t>
        </is>
      </c>
      <c r="G592" t="n">
        <v>17.3</v>
      </c>
      <c r="H592" t="n">
        <v>0</v>
      </c>
      <c r="I592" t="n">
        <v>0</v>
      </c>
      <c r="J592" t="n">
        <v>0</v>
      </c>
      <c r="K592" t="n">
        <v>0</v>
      </c>
      <c r="L592" t="n">
        <v>0</v>
      </c>
      <c r="M592" t="n">
        <v>0</v>
      </c>
      <c r="N592" t="n">
        <v>0</v>
      </c>
      <c r="O592" t="n">
        <v>0</v>
      </c>
      <c r="P592" t="n">
        <v>0</v>
      </c>
      <c r="Q592" t="n">
        <v>0</v>
      </c>
      <c r="R592" s="2" t="inlineStr"/>
    </row>
    <row r="593" ht="15" customHeight="1">
      <c r="A593" t="inlineStr">
        <is>
          <t>A 41821-2023</t>
        </is>
      </c>
      <c r="B593" s="1" t="n">
        <v>45176</v>
      </c>
      <c r="C593" s="1" t="n">
        <v>45989</v>
      </c>
      <c r="D593" t="inlineStr">
        <is>
          <t>UPPSALA LÄN</t>
        </is>
      </c>
      <c r="E593" t="inlineStr">
        <is>
          <t>ÖSTHAMMAR</t>
        </is>
      </c>
      <c r="G593" t="n">
        <v>0.9</v>
      </c>
      <c r="H593" t="n">
        <v>0</v>
      </c>
      <c r="I593" t="n">
        <v>0</v>
      </c>
      <c r="J593" t="n">
        <v>0</v>
      </c>
      <c r="K593" t="n">
        <v>0</v>
      </c>
      <c r="L593" t="n">
        <v>0</v>
      </c>
      <c r="M593" t="n">
        <v>0</v>
      </c>
      <c r="N593" t="n">
        <v>0</v>
      </c>
      <c r="O593" t="n">
        <v>0</v>
      </c>
      <c r="P593" t="n">
        <v>0</v>
      </c>
      <c r="Q593" t="n">
        <v>0</v>
      </c>
      <c r="R593" s="2" t="inlineStr"/>
    </row>
    <row r="594" ht="15" customHeight="1">
      <c r="A594" t="inlineStr">
        <is>
          <t>A 32742-2022</t>
        </is>
      </c>
      <c r="B594" s="1" t="n">
        <v>44783.69886574074</v>
      </c>
      <c r="C594" s="1" t="n">
        <v>45989</v>
      </c>
      <c r="D594" t="inlineStr">
        <is>
          <t>UPPSALA LÄN</t>
        </is>
      </c>
      <c r="E594" t="inlineStr">
        <is>
          <t>ÖSTHAMMAR</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41308-2023</t>
        </is>
      </c>
      <c r="B595" s="1" t="n">
        <v>45174.62788194444</v>
      </c>
      <c r="C595" s="1" t="n">
        <v>45989</v>
      </c>
      <c r="D595" t="inlineStr">
        <is>
          <t>UPPSALA LÄN</t>
        </is>
      </c>
      <c r="E595" t="inlineStr">
        <is>
          <t>ÖSTHAMMAR</t>
        </is>
      </c>
      <c r="F595" t="inlineStr">
        <is>
          <t>Övriga Aktiebolag</t>
        </is>
      </c>
      <c r="G595" t="n">
        <v>2.8</v>
      </c>
      <c r="H595" t="n">
        <v>0</v>
      </c>
      <c r="I595" t="n">
        <v>0</v>
      </c>
      <c r="J595" t="n">
        <v>0</v>
      </c>
      <c r="K595" t="n">
        <v>0</v>
      </c>
      <c r="L595" t="n">
        <v>0</v>
      </c>
      <c r="M595" t="n">
        <v>0</v>
      </c>
      <c r="N595" t="n">
        <v>0</v>
      </c>
      <c r="O595" t="n">
        <v>0</v>
      </c>
      <c r="P595" t="n">
        <v>0</v>
      </c>
      <c r="Q595" t="n">
        <v>0</v>
      </c>
      <c r="R595" s="2" t="inlineStr"/>
    </row>
    <row r="596" ht="15" customHeight="1">
      <c r="A596" t="inlineStr">
        <is>
          <t>A 49833-2023</t>
        </is>
      </c>
      <c r="B596" s="1" t="n">
        <v>45212.71481481481</v>
      </c>
      <c r="C596" s="1" t="n">
        <v>45989</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17433-2025</t>
        </is>
      </c>
      <c r="B597" s="1" t="n">
        <v>45757.40733796296</v>
      </c>
      <c r="C597" s="1" t="n">
        <v>45989</v>
      </c>
      <c r="D597" t="inlineStr">
        <is>
          <t>UPPSALA LÄN</t>
        </is>
      </c>
      <c r="E597" t="inlineStr">
        <is>
          <t>ÖSTHAMMAR</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45550-2023</t>
        </is>
      </c>
      <c r="B598" s="1" t="n">
        <v>45194.57125</v>
      </c>
      <c r="C598" s="1" t="n">
        <v>45989</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54368-2023</t>
        </is>
      </c>
      <c r="B599" s="1" t="n">
        <v>45233.33221064815</v>
      </c>
      <c r="C599" s="1" t="n">
        <v>45989</v>
      </c>
      <c r="D599" t="inlineStr">
        <is>
          <t>UPPSALA LÄN</t>
        </is>
      </c>
      <c r="E599" t="inlineStr">
        <is>
          <t>ÖSTHAMMAR</t>
        </is>
      </c>
      <c r="F599" t="inlineStr">
        <is>
          <t>Bergvik skog öst AB</t>
        </is>
      </c>
      <c r="G599" t="n">
        <v>3</v>
      </c>
      <c r="H599" t="n">
        <v>0</v>
      </c>
      <c r="I599" t="n">
        <v>0</v>
      </c>
      <c r="J599" t="n">
        <v>0</v>
      </c>
      <c r="K599" t="n">
        <v>0</v>
      </c>
      <c r="L599" t="n">
        <v>0</v>
      </c>
      <c r="M599" t="n">
        <v>0</v>
      </c>
      <c r="N599" t="n">
        <v>0</v>
      </c>
      <c r="O599" t="n">
        <v>0</v>
      </c>
      <c r="P599" t="n">
        <v>0</v>
      </c>
      <c r="Q599" t="n">
        <v>0</v>
      </c>
      <c r="R599" s="2" t="inlineStr"/>
    </row>
    <row r="600" ht="15" customHeight="1">
      <c r="A600" t="inlineStr">
        <is>
          <t>A 17931-2025</t>
        </is>
      </c>
      <c r="B600" s="1" t="n">
        <v>45759.56894675926</v>
      </c>
      <c r="C600" s="1" t="n">
        <v>45989</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17938-2025</t>
        </is>
      </c>
      <c r="B601" s="1" t="n">
        <v>45760.55626157407</v>
      </c>
      <c r="C601" s="1" t="n">
        <v>45989</v>
      </c>
      <c r="D601" t="inlineStr">
        <is>
          <t>UPPSALA LÄN</t>
        </is>
      </c>
      <c r="E601" t="inlineStr">
        <is>
          <t>ÖSTHAMMAR</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8791-2025</t>
        </is>
      </c>
      <c r="B602" s="1" t="n">
        <v>45712</v>
      </c>
      <c r="C602" s="1" t="n">
        <v>45989</v>
      </c>
      <c r="D602" t="inlineStr">
        <is>
          <t>UPPSALA LÄN</t>
        </is>
      </c>
      <c r="E602" t="inlineStr">
        <is>
          <t>ÖSTHAMMAR</t>
        </is>
      </c>
      <c r="G602" t="n">
        <v>0.6</v>
      </c>
      <c r="H602" t="n">
        <v>0</v>
      </c>
      <c r="I602" t="n">
        <v>0</v>
      </c>
      <c r="J602" t="n">
        <v>0</v>
      </c>
      <c r="K602" t="n">
        <v>0</v>
      </c>
      <c r="L602" t="n">
        <v>0</v>
      </c>
      <c r="M602" t="n">
        <v>0</v>
      </c>
      <c r="N602" t="n">
        <v>0</v>
      </c>
      <c r="O602" t="n">
        <v>0</v>
      </c>
      <c r="P602" t="n">
        <v>0</v>
      </c>
      <c r="Q602" t="n">
        <v>0</v>
      </c>
      <c r="R602" s="2" t="inlineStr"/>
    </row>
    <row r="603" ht="15" customHeight="1">
      <c r="A603" t="inlineStr">
        <is>
          <t>A 26552-2022</t>
        </is>
      </c>
      <c r="B603" s="1" t="n">
        <v>44739</v>
      </c>
      <c r="C603" s="1" t="n">
        <v>45989</v>
      </c>
      <c r="D603" t="inlineStr">
        <is>
          <t>UPPSALA LÄN</t>
        </is>
      </c>
      <c r="E603" t="inlineStr">
        <is>
          <t>ÖSTHAMMAR</t>
        </is>
      </c>
      <c r="G603" t="n">
        <v>2.2</v>
      </c>
      <c r="H603" t="n">
        <v>0</v>
      </c>
      <c r="I603" t="n">
        <v>0</v>
      </c>
      <c r="J603" t="n">
        <v>0</v>
      </c>
      <c r="K603" t="n">
        <v>0</v>
      </c>
      <c r="L603" t="n">
        <v>0</v>
      </c>
      <c r="M603" t="n">
        <v>0</v>
      </c>
      <c r="N603" t="n">
        <v>0</v>
      </c>
      <c r="O603" t="n">
        <v>0</v>
      </c>
      <c r="P603" t="n">
        <v>0</v>
      </c>
      <c r="Q603" t="n">
        <v>0</v>
      </c>
      <c r="R603" s="2" t="inlineStr"/>
    </row>
    <row r="604" ht="15" customHeight="1">
      <c r="A604" t="inlineStr">
        <is>
          <t>A 7216-2025</t>
        </is>
      </c>
      <c r="B604" s="1" t="n">
        <v>45702.47630787037</v>
      </c>
      <c r="C604" s="1" t="n">
        <v>45989</v>
      </c>
      <c r="D604" t="inlineStr">
        <is>
          <t>UPPSALA LÄN</t>
        </is>
      </c>
      <c r="E604" t="inlineStr">
        <is>
          <t>ÖSTHAMMAR</t>
        </is>
      </c>
      <c r="F604" t="inlineStr">
        <is>
          <t>Övriga Aktiebolag</t>
        </is>
      </c>
      <c r="G604" t="n">
        <v>12.5</v>
      </c>
      <c r="H604" t="n">
        <v>0</v>
      </c>
      <c r="I604" t="n">
        <v>0</v>
      </c>
      <c r="J604" t="n">
        <v>0</v>
      </c>
      <c r="K604" t="n">
        <v>0</v>
      </c>
      <c r="L604" t="n">
        <v>0</v>
      </c>
      <c r="M604" t="n">
        <v>0</v>
      </c>
      <c r="N604" t="n">
        <v>0</v>
      </c>
      <c r="O604" t="n">
        <v>0</v>
      </c>
      <c r="P604" t="n">
        <v>0</v>
      </c>
      <c r="Q604" t="n">
        <v>0</v>
      </c>
      <c r="R604" s="2" t="inlineStr"/>
    </row>
    <row r="605" ht="15" customHeight="1">
      <c r="A605" t="inlineStr">
        <is>
          <t>A 31137-2022</t>
        </is>
      </c>
      <c r="B605" s="1" t="n">
        <v>44770.42166666667</v>
      </c>
      <c r="C605" s="1" t="n">
        <v>45989</v>
      </c>
      <c r="D605" t="inlineStr">
        <is>
          <t>UPPSALA LÄN</t>
        </is>
      </c>
      <c r="E605" t="inlineStr">
        <is>
          <t>ÖSTHAMMAR</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18094-2025</t>
        </is>
      </c>
      <c r="B606" s="1" t="n">
        <v>45761.54710648148</v>
      </c>
      <c r="C606" s="1" t="n">
        <v>45989</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44815-2022</t>
        </is>
      </c>
      <c r="B607" s="1" t="n">
        <v>44841.40452546296</v>
      </c>
      <c r="C607" s="1" t="n">
        <v>45989</v>
      </c>
      <c r="D607" t="inlineStr">
        <is>
          <t>UPPSALA LÄN</t>
        </is>
      </c>
      <c r="E607" t="inlineStr">
        <is>
          <t>ÖSTHAMMAR</t>
        </is>
      </c>
      <c r="G607" t="n">
        <v>1.8</v>
      </c>
      <c r="H607" t="n">
        <v>0</v>
      </c>
      <c r="I607" t="n">
        <v>0</v>
      </c>
      <c r="J607" t="n">
        <v>0</v>
      </c>
      <c r="K607" t="n">
        <v>0</v>
      </c>
      <c r="L607" t="n">
        <v>0</v>
      </c>
      <c r="M607" t="n">
        <v>0</v>
      </c>
      <c r="N607" t="n">
        <v>0</v>
      </c>
      <c r="O607" t="n">
        <v>0</v>
      </c>
      <c r="P607" t="n">
        <v>0</v>
      </c>
      <c r="Q607" t="n">
        <v>0</v>
      </c>
      <c r="R607" s="2" t="inlineStr"/>
    </row>
    <row r="608" ht="15" customHeight="1">
      <c r="A608" t="inlineStr">
        <is>
          <t>A 29753-2022</t>
        </is>
      </c>
      <c r="B608" s="1" t="n">
        <v>44755</v>
      </c>
      <c r="C608" s="1" t="n">
        <v>45989</v>
      </c>
      <c r="D608" t="inlineStr">
        <is>
          <t>UPPSALA LÄN</t>
        </is>
      </c>
      <c r="E608" t="inlineStr">
        <is>
          <t>ÖSTHAMMAR</t>
        </is>
      </c>
      <c r="G608" t="n">
        <v>9.4</v>
      </c>
      <c r="H608" t="n">
        <v>0</v>
      </c>
      <c r="I608" t="n">
        <v>0</v>
      </c>
      <c r="J608" t="n">
        <v>0</v>
      </c>
      <c r="K608" t="n">
        <v>0</v>
      </c>
      <c r="L608" t="n">
        <v>0</v>
      </c>
      <c r="M608" t="n">
        <v>0</v>
      </c>
      <c r="N608" t="n">
        <v>0</v>
      </c>
      <c r="O608" t="n">
        <v>0</v>
      </c>
      <c r="P608" t="n">
        <v>0</v>
      </c>
      <c r="Q608" t="n">
        <v>0</v>
      </c>
      <c r="R608" s="2" t="inlineStr"/>
    </row>
    <row r="609" ht="15" customHeight="1">
      <c r="A609" t="inlineStr">
        <is>
          <t>A 20072-2025</t>
        </is>
      </c>
      <c r="B609" s="1" t="n">
        <v>45772</v>
      </c>
      <c r="C609" s="1" t="n">
        <v>45989</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52629-2023</t>
        </is>
      </c>
      <c r="B610" s="1" t="n">
        <v>45225</v>
      </c>
      <c r="C610" s="1" t="n">
        <v>45989</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9642-2024</t>
        </is>
      </c>
      <c r="B611" s="1" t="n">
        <v>45362.36296296296</v>
      </c>
      <c r="C611" s="1" t="n">
        <v>45989</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31549-2022</t>
        </is>
      </c>
      <c r="B612" s="1" t="n">
        <v>44775.400625</v>
      </c>
      <c r="C612" s="1" t="n">
        <v>45989</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47522-2023</t>
        </is>
      </c>
      <c r="B613" s="1" t="n">
        <v>45203</v>
      </c>
      <c r="C613" s="1" t="n">
        <v>45989</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13738-2023</t>
        </is>
      </c>
      <c r="B614" s="1" t="n">
        <v>45007.37081018519</v>
      </c>
      <c r="C614" s="1" t="n">
        <v>45989</v>
      </c>
      <c r="D614" t="inlineStr">
        <is>
          <t>UPPSALA LÄN</t>
        </is>
      </c>
      <c r="E614" t="inlineStr">
        <is>
          <t>ÖSTHAMMAR</t>
        </is>
      </c>
      <c r="G614" t="n">
        <v>0.7</v>
      </c>
      <c r="H614" t="n">
        <v>0</v>
      </c>
      <c r="I614" t="n">
        <v>0</v>
      </c>
      <c r="J614" t="n">
        <v>0</v>
      </c>
      <c r="K614" t="n">
        <v>0</v>
      </c>
      <c r="L614" t="n">
        <v>0</v>
      </c>
      <c r="M614" t="n">
        <v>0</v>
      </c>
      <c r="N614" t="n">
        <v>0</v>
      </c>
      <c r="O614" t="n">
        <v>0</v>
      </c>
      <c r="P614" t="n">
        <v>0</v>
      </c>
      <c r="Q614" t="n">
        <v>0</v>
      </c>
      <c r="R614" s="2" t="inlineStr"/>
    </row>
    <row r="615" ht="15" customHeight="1">
      <c r="A615" t="inlineStr">
        <is>
          <t>A 34971-2022</t>
        </is>
      </c>
      <c r="B615" s="1" t="n">
        <v>44796.66613425926</v>
      </c>
      <c r="C615" s="1" t="n">
        <v>45989</v>
      </c>
      <c r="D615" t="inlineStr">
        <is>
          <t>UPPSALA LÄN</t>
        </is>
      </c>
      <c r="E615" t="inlineStr">
        <is>
          <t>ÖSTHAMMAR</t>
        </is>
      </c>
      <c r="F615" t="inlineStr">
        <is>
          <t>Bergvik skog öst AB</t>
        </is>
      </c>
      <c r="G615" t="n">
        <v>2.3</v>
      </c>
      <c r="H615" t="n">
        <v>0</v>
      </c>
      <c r="I615" t="n">
        <v>0</v>
      </c>
      <c r="J615" t="n">
        <v>0</v>
      </c>
      <c r="K615" t="n">
        <v>0</v>
      </c>
      <c r="L615" t="n">
        <v>0</v>
      </c>
      <c r="M615" t="n">
        <v>0</v>
      </c>
      <c r="N615" t="n">
        <v>0</v>
      </c>
      <c r="O615" t="n">
        <v>0</v>
      </c>
      <c r="P615" t="n">
        <v>0</v>
      </c>
      <c r="Q615" t="n">
        <v>0</v>
      </c>
      <c r="R615" s="2" t="inlineStr"/>
    </row>
    <row r="616" ht="15" customHeight="1">
      <c r="A616" t="inlineStr">
        <is>
          <t>A 55646-2021</t>
        </is>
      </c>
      <c r="B616" s="1" t="n">
        <v>44476.3632175926</v>
      </c>
      <c r="C616" s="1" t="n">
        <v>45989</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16240-2025</t>
        </is>
      </c>
      <c r="B617" s="1" t="n">
        <v>45746</v>
      </c>
      <c r="C617" s="1" t="n">
        <v>45989</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20038-2023</t>
        </is>
      </c>
      <c r="B618" s="1" t="n">
        <v>45054.65834490741</v>
      </c>
      <c r="C618" s="1" t="n">
        <v>45989</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6121-2024</t>
        </is>
      </c>
      <c r="B619" s="1" t="n">
        <v>45337.4219212963</v>
      </c>
      <c r="C619" s="1" t="n">
        <v>45989</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8699-2025</t>
        </is>
      </c>
      <c r="B620" s="1" t="n">
        <v>45712.47983796296</v>
      </c>
      <c r="C620" s="1" t="n">
        <v>45989</v>
      </c>
      <c r="D620" t="inlineStr">
        <is>
          <t>UPPSALA LÄN</t>
        </is>
      </c>
      <c r="E620" t="inlineStr">
        <is>
          <t>ÖSTHAMMAR</t>
        </is>
      </c>
      <c r="G620" t="n">
        <v>5.6</v>
      </c>
      <c r="H620" t="n">
        <v>0</v>
      </c>
      <c r="I620" t="n">
        <v>0</v>
      </c>
      <c r="J620" t="n">
        <v>0</v>
      </c>
      <c r="K620" t="n">
        <v>0</v>
      </c>
      <c r="L620" t="n">
        <v>0</v>
      </c>
      <c r="M620" t="n">
        <v>0</v>
      </c>
      <c r="N620" t="n">
        <v>0</v>
      </c>
      <c r="O620" t="n">
        <v>0</v>
      </c>
      <c r="P620" t="n">
        <v>0</v>
      </c>
      <c r="Q620" t="n">
        <v>0</v>
      </c>
      <c r="R620" s="2" t="inlineStr"/>
    </row>
    <row r="621" ht="15" customHeight="1">
      <c r="A621" t="inlineStr">
        <is>
          <t>A 15031-2025</t>
        </is>
      </c>
      <c r="B621" s="1" t="n">
        <v>45743.67333333333</v>
      </c>
      <c r="C621" s="1" t="n">
        <v>45989</v>
      </c>
      <c r="D621" t="inlineStr">
        <is>
          <t>UPPSALA LÄN</t>
        </is>
      </c>
      <c r="E621" t="inlineStr">
        <is>
          <t>ÖSTHAMMAR</t>
        </is>
      </c>
      <c r="G621" t="n">
        <v>9.6</v>
      </c>
      <c r="H621" t="n">
        <v>0</v>
      </c>
      <c r="I621" t="n">
        <v>0</v>
      </c>
      <c r="J621" t="n">
        <v>0</v>
      </c>
      <c r="K621" t="n">
        <v>0</v>
      </c>
      <c r="L621" t="n">
        <v>0</v>
      </c>
      <c r="M621" t="n">
        <v>0</v>
      </c>
      <c r="N621" t="n">
        <v>0</v>
      </c>
      <c r="O621" t="n">
        <v>0</v>
      </c>
      <c r="P621" t="n">
        <v>0</v>
      </c>
      <c r="Q621" t="n">
        <v>0</v>
      </c>
      <c r="R621" s="2" t="inlineStr"/>
    </row>
    <row r="622" ht="15" customHeight="1">
      <c r="A622" t="inlineStr">
        <is>
          <t>A 60555-2023</t>
        </is>
      </c>
      <c r="B622" s="1" t="n">
        <v>45259</v>
      </c>
      <c r="C622" s="1" t="n">
        <v>45989</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60584-2021</t>
        </is>
      </c>
      <c r="B623" s="1" t="n">
        <v>44496</v>
      </c>
      <c r="C623" s="1" t="n">
        <v>45989</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17652-2025</t>
        </is>
      </c>
      <c r="B624" s="1" t="n">
        <v>45758.33583333333</v>
      </c>
      <c r="C624" s="1" t="n">
        <v>45989</v>
      </c>
      <c r="D624" t="inlineStr">
        <is>
          <t>UPPSALA LÄN</t>
        </is>
      </c>
      <c r="E624" t="inlineStr">
        <is>
          <t>ÖSTHAMMAR</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48719-2023</t>
        </is>
      </c>
      <c r="B625" s="1" t="n">
        <v>45208.70452546296</v>
      </c>
      <c r="C625" s="1" t="n">
        <v>45989</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33784-2024</t>
        </is>
      </c>
      <c r="B626" s="1" t="n">
        <v>45520</v>
      </c>
      <c r="C626" s="1" t="n">
        <v>45989</v>
      </c>
      <c r="D626" t="inlineStr">
        <is>
          <t>UPPSALA LÄN</t>
        </is>
      </c>
      <c r="E626" t="inlineStr">
        <is>
          <t>ÖSTHAMMAR</t>
        </is>
      </c>
      <c r="F626" t="inlineStr">
        <is>
          <t>Naturvårdsverket</t>
        </is>
      </c>
      <c r="G626" t="n">
        <v>0.6</v>
      </c>
      <c r="H626" t="n">
        <v>0</v>
      </c>
      <c r="I626" t="n">
        <v>0</v>
      </c>
      <c r="J626" t="n">
        <v>0</v>
      </c>
      <c r="K626" t="n">
        <v>0</v>
      </c>
      <c r="L626" t="n">
        <v>0</v>
      </c>
      <c r="M626" t="n">
        <v>0</v>
      </c>
      <c r="N626" t="n">
        <v>0</v>
      </c>
      <c r="O626" t="n">
        <v>0</v>
      </c>
      <c r="P626" t="n">
        <v>0</v>
      </c>
      <c r="Q626" t="n">
        <v>0</v>
      </c>
      <c r="R626" s="2" t="inlineStr"/>
    </row>
    <row r="627" ht="15" customHeight="1">
      <c r="A627" t="inlineStr">
        <is>
          <t>A 33601-2024</t>
        </is>
      </c>
      <c r="B627" s="1" t="n">
        <v>45520</v>
      </c>
      <c r="C627" s="1" t="n">
        <v>45989</v>
      </c>
      <c r="D627" t="inlineStr">
        <is>
          <t>UPPSALA LÄN</t>
        </is>
      </c>
      <c r="E627" t="inlineStr">
        <is>
          <t>ÖSTHAMMAR</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19009-2023</t>
        </is>
      </c>
      <c r="B628" s="1" t="n">
        <v>45045</v>
      </c>
      <c r="C628" s="1" t="n">
        <v>45989</v>
      </c>
      <c r="D628" t="inlineStr">
        <is>
          <t>UPPSALA LÄN</t>
        </is>
      </c>
      <c r="E628" t="inlineStr">
        <is>
          <t>ÖSTHAMMAR</t>
        </is>
      </c>
      <c r="F628" t="inlineStr">
        <is>
          <t>Bergvik skog öst AB</t>
        </is>
      </c>
      <c r="G628" t="n">
        <v>0.2</v>
      </c>
      <c r="H628" t="n">
        <v>0</v>
      </c>
      <c r="I628" t="n">
        <v>0</v>
      </c>
      <c r="J628" t="n">
        <v>0</v>
      </c>
      <c r="K628" t="n">
        <v>0</v>
      </c>
      <c r="L628" t="n">
        <v>0</v>
      </c>
      <c r="M628" t="n">
        <v>0</v>
      </c>
      <c r="N628" t="n">
        <v>0</v>
      </c>
      <c r="O628" t="n">
        <v>0</v>
      </c>
      <c r="P628" t="n">
        <v>0</v>
      </c>
      <c r="Q628" t="n">
        <v>0</v>
      </c>
      <c r="R628" s="2" t="inlineStr"/>
    </row>
    <row r="629" ht="15" customHeight="1">
      <c r="A629" t="inlineStr">
        <is>
          <t>A 4151-2021</t>
        </is>
      </c>
      <c r="B629" s="1" t="n">
        <v>44221</v>
      </c>
      <c r="C629" s="1" t="n">
        <v>45989</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30755-2024</t>
        </is>
      </c>
      <c r="B630" s="1" t="n">
        <v>45496</v>
      </c>
      <c r="C630" s="1" t="n">
        <v>45989</v>
      </c>
      <c r="D630" t="inlineStr">
        <is>
          <t>UPPSALA LÄN</t>
        </is>
      </c>
      <c r="E630" t="inlineStr">
        <is>
          <t>ÖSTHAMMAR</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9052-2023</t>
        </is>
      </c>
      <c r="B631" s="1" t="n">
        <v>44979</v>
      </c>
      <c r="C631" s="1" t="n">
        <v>45989</v>
      </c>
      <c r="D631" t="inlineStr">
        <is>
          <t>UPPSALA LÄN</t>
        </is>
      </c>
      <c r="E631" t="inlineStr">
        <is>
          <t>ÖSTHAMMAR</t>
        </is>
      </c>
      <c r="F631" t="inlineStr">
        <is>
          <t>Kyrkan</t>
        </is>
      </c>
      <c r="G631" t="n">
        <v>0.2</v>
      </c>
      <c r="H631" t="n">
        <v>0</v>
      </c>
      <c r="I631" t="n">
        <v>0</v>
      </c>
      <c r="J631" t="n">
        <v>0</v>
      </c>
      <c r="K631" t="n">
        <v>0</v>
      </c>
      <c r="L631" t="n">
        <v>0</v>
      </c>
      <c r="M631" t="n">
        <v>0</v>
      </c>
      <c r="N631" t="n">
        <v>0</v>
      </c>
      <c r="O631" t="n">
        <v>0</v>
      </c>
      <c r="P631" t="n">
        <v>0</v>
      </c>
      <c r="Q631" t="n">
        <v>0</v>
      </c>
      <c r="R631" s="2" t="inlineStr"/>
    </row>
    <row r="632" ht="15" customHeight="1">
      <c r="A632" t="inlineStr">
        <is>
          <t>A 33760-2024</t>
        </is>
      </c>
      <c r="B632" s="1" t="n">
        <v>45520</v>
      </c>
      <c r="C632" s="1" t="n">
        <v>45989</v>
      </c>
      <c r="D632" t="inlineStr">
        <is>
          <t>UPPSALA LÄN</t>
        </is>
      </c>
      <c r="E632" t="inlineStr">
        <is>
          <t>ÖSTHAMMAR</t>
        </is>
      </c>
      <c r="F632" t="inlineStr">
        <is>
          <t>Övriga Aktiebolag</t>
        </is>
      </c>
      <c r="G632" t="n">
        <v>0.7</v>
      </c>
      <c r="H632" t="n">
        <v>0</v>
      </c>
      <c r="I632" t="n">
        <v>0</v>
      </c>
      <c r="J632" t="n">
        <v>0</v>
      </c>
      <c r="K632" t="n">
        <v>0</v>
      </c>
      <c r="L632" t="n">
        <v>0</v>
      </c>
      <c r="M632" t="n">
        <v>0</v>
      </c>
      <c r="N632" t="n">
        <v>0</v>
      </c>
      <c r="O632" t="n">
        <v>0</v>
      </c>
      <c r="P632" t="n">
        <v>0</v>
      </c>
      <c r="Q632" t="n">
        <v>0</v>
      </c>
      <c r="R632" s="2" t="inlineStr"/>
    </row>
    <row r="633" ht="15" customHeight="1">
      <c r="A633" t="inlineStr">
        <is>
          <t>A 3725-2022</t>
        </is>
      </c>
      <c r="B633" s="1" t="n">
        <v>44586</v>
      </c>
      <c r="C633" s="1" t="n">
        <v>45989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8006-2023</t>
        </is>
      </c>
      <c r="B634" s="1" t="n">
        <v>44973</v>
      </c>
      <c r="C634" s="1" t="n">
        <v>45989</v>
      </c>
      <c r="D634" t="inlineStr">
        <is>
          <t>UPPSALA LÄN</t>
        </is>
      </c>
      <c r="E634" t="inlineStr">
        <is>
          <t>ÖSTHAMMAR</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11469-2023</t>
        </is>
      </c>
      <c r="B635" s="1" t="n">
        <v>44993.60099537037</v>
      </c>
      <c r="C635" s="1" t="n">
        <v>45989</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20324-2021</t>
        </is>
      </c>
      <c r="B636" s="1" t="n">
        <v>44308</v>
      </c>
      <c r="C636" s="1" t="n">
        <v>45989</v>
      </c>
      <c r="D636" t="inlineStr">
        <is>
          <t>UPPSALA LÄN</t>
        </is>
      </c>
      <c r="E636" t="inlineStr">
        <is>
          <t>ÖSTHAMMAR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25033-2021</t>
        </is>
      </c>
      <c r="B637" s="1" t="n">
        <v>44341.590625</v>
      </c>
      <c r="C637" s="1" t="n">
        <v>45989</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16212-2021</t>
        </is>
      </c>
      <c r="B638" s="1" t="n">
        <v>44287</v>
      </c>
      <c r="C638" s="1" t="n">
        <v>45989</v>
      </c>
      <c r="D638" t="inlineStr">
        <is>
          <t>UPPSALA LÄN</t>
        </is>
      </c>
      <c r="E638" t="inlineStr">
        <is>
          <t>ÖSTHAMMAR</t>
        </is>
      </c>
      <c r="G638" t="n">
        <v>1.6</v>
      </c>
      <c r="H638" t="n">
        <v>0</v>
      </c>
      <c r="I638" t="n">
        <v>0</v>
      </c>
      <c r="J638" t="n">
        <v>0</v>
      </c>
      <c r="K638" t="n">
        <v>0</v>
      </c>
      <c r="L638" t="n">
        <v>0</v>
      </c>
      <c r="M638" t="n">
        <v>0</v>
      </c>
      <c r="N638" t="n">
        <v>0</v>
      </c>
      <c r="O638" t="n">
        <v>0</v>
      </c>
      <c r="P638" t="n">
        <v>0</v>
      </c>
      <c r="Q638" t="n">
        <v>0</v>
      </c>
      <c r="R638" s="2" t="inlineStr"/>
    </row>
    <row r="639" ht="15" customHeight="1">
      <c r="A639" t="inlineStr">
        <is>
          <t>A 63577-2020</t>
        </is>
      </c>
      <c r="B639" s="1" t="n">
        <v>44165</v>
      </c>
      <c r="C639" s="1" t="n">
        <v>45989</v>
      </c>
      <c r="D639" t="inlineStr">
        <is>
          <t>UPPSALA LÄN</t>
        </is>
      </c>
      <c r="E639" t="inlineStr">
        <is>
          <t>ÖSTHAMMAR</t>
        </is>
      </c>
      <c r="G639" t="n">
        <v>0.9</v>
      </c>
      <c r="H639" t="n">
        <v>0</v>
      </c>
      <c r="I639" t="n">
        <v>0</v>
      </c>
      <c r="J639" t="n">
        <v>0</v>
      </c>
      <c r="K639" t="n">
        <v>0</v>
      </c>
      <c r="L639" t="n">
        <v>0</v>
      </c>
      <c r="M639" t="n">
        <v>0</v>
      </c>
      <c r="N639" t="n">
        <v>0</v>
      </c>
      <c r="O639" t="n">
        <v>0</v>
      </c>
      <c r="P639" t="n">
        <v>0</v>
      </c>
      <c r="Q639" t="n">
        <v>0</v>
      </c>
      <c r="R639" s="2" t="inlineStr"/>
    </row>
    <row r="640" ht="15" customHeight="1">
      <c r="A640" t="inlineStr">
        <is>
          <t>A 18113-2023</t>
        </is>
      </c>
      <c r="B640" s="1" t="n">
        <v>45040</v>
      </c>
      <c r="C640" s="1" t="n">
        <v>45989</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23120-2021</t>
        </is>
      </c>
      <c r="B641" s="1" t="n">
        <v>44330</v>
      </c>
      <c r="C641" s="1" t="n">
        <v>45989</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52389-2022</t>
        </is>
      </c>
      <c r="B642" s="1" t="n">
        <v>44874.38325231482</v>
      </c>
      <c r="C642" s="1" t="n">
        <v>45989</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1238-2022</t>
        </is>
      </c>
      <c r="B643" s="1" t="n">
        <v>44572.5827662037</v>
      </c>
      <c r="C643" s="1" t="n">
        <v>45989</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44949.4377662037</v>
      </c>
      <c r="C644" s="1" t="n">
        <v>45989</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4233-2023</t>
        </is>
      </c>
      <c r="B645" s="1" t="n">
        <v>44953.48619212963</v>
      </c>
      <c r="C645" s="1" t="n">
        <v>45989</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30811-2023</t>
        </is>
      </c>
      <c r="B646" s="1" t="n">
        <v>45112.86422453704</v>
      </c>
      <c r="C646" s="1" t="n">
        <v>45989</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8708-2022</t>
        </is>
      </c>
      <c r="B647" s="1" t="n">
        <v>44613.77238425926</v>
      </c>
      <c r="C647" s="1" t="n">
        <v>45989</v>
      </c>
      <c r="D647" t="inlineStr">
        <is>
          <t>UPPSALA LÄN</t>
        </is>
      </c>
      <c r="E647" t="inlineStr">
        <is>
          <t>ÖSTHAMMAR</t>
        </is>
      </c>
      <c r="G647" t="n">
        <v>4.3</v>
      </c>
      <c r="H647" t="n">
        <v>0</v>
      </c>
      <c r="I647" t="n">
        <v>0</v>
      </c>
      <c r="J647" t="n">
        <v>0</v>
      </c>
      <c r="K647" t="n">
        <v>0</v>
      </c>
      <c r="L647" t="n">
        <v>0</v>
      </c>
      <c r="M647" t="n">
        <v>0</v>
      </c>
      <c r="N647" t="n">
        <v>0</v>
      </c>
      <c r="O647" t="n">
        <v>0</v>
      </c>
      <c r="P647" t="n">
        <v>0</v>
      </c>
      <c r="Q647" t="n">
        <v>0</v>
      </c>
      <c r="R647" s="2" t="inlineStr"/>
    </row>
    <row r="648" ht="15" customHeight="1">
      <c r="A648" t="inlineStr">
        <is>
          <t>A 11547-2022</t>
        </is>
      </c>
      <c r="B648" s="1" t="n">
        <v>44631.43116898148</v>
      </c>
      <c r="C648" s="1" t="n">
        <v>45989</v>
      </c>
      <c r="D648" t="inlineStr">
        <is>
          <t>UPPSALA LÄN</t>
        </is>
      </c>
      <c r="E648" t="inlineStr">
        <is>
          <t>ÖSTHAMMAR</t>
        </is>
      </c>
      <c r="G648" t="n">
        <v>4.4</v>
      </c>
      <c r="H648" t="n">
        <v>0</v>
      </c>
      <c r="I648" t="n">
        <v>0</v>
      </c>
      <c r="J648" t="n">
        <v>0</v>
      </c>
      <c r="K648" t="n">
        <v>0</v>
      </c>
      <c r="L648" t="n">
        <v>0</v>
      </c>
      <c r="M648" t="n">
        <v>0</v>
      </c>
      <c r="N648" t="n">
        <v>0</v>
      </c>
      <c r="O648" t="n">
        <v>0</v>
      </c>
      <c r="P648" t="n">
        <v>0</v>
      </c>
      <c r="Q648" t="n">
        <v>0</v>
      </c>
      <c r="R648" s="2" t="inlineStr"/>
    </row>
    <row r="649" ht="15" customHeight="1">
      <c r="A649" t="inlineStr">
        <is>
          <t>A 25269-2024</t>
        </is>
      </c>
      <c r="B649" s="1" t="n">
        <v>45462</v>
      </c>
      <c r="C649" s="1" t="n">
        <v>45989</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59382-2022</t>
        </is>
      </c>
      <c r="B650" s="1" t="n">
        <v>44905.50363425926</v>
      </c>
      <c r="C650" s="1" t="n">
        <v>45989</v>
      </c>
      <c r="D650" t="inlineStr">
        <is>
          <t>UPPSALA LÄN</t>
        </is>
      </c>
      <c r="E650" t="inlineStr">
        <is>
          <t>ÖSTHAMMAR</t>
        </is>
      </c>
      <c r="G650" t="n">
        <v>2.9</v>
      </c>
      <c r="H650" t="n">
        <v>0</v>
      </c>
      <c r="I650" t="n">
        <v>0</v>
      </c>
      <c r="J650" t="n">
        <v>0</v>
      </c>
      <c r="K650" t="n">
        <v>0</v>
      </c>
      <c r="L650" t="n">
        <v>0</v>
      </c>
      <c r="M650" t="n">
        <v>0</v>
      </c>
      <c r="N650" t="n">
        <v>0</v>
      </c>
      <c r="O650" t="n">
        <v>0</v>
      </c>
      <c r="P650" t="n">
        <v>0</v>
      </c>
      <c r="Q650" t="n">
        <v>0</v>
      </c>
      <c r="R650" s="2" t="inlineStr"/>
    </row>
    <row r="651" ht="15" customHeight="1">
      <c r="A651" t="inlineStr">
        <is>
          <t>A 25969-2023</t>
        </is>
      </c>
      <c r="B651" s="1" t="n">
        <v>45090</v>
      </c>
      <c r="C651" s="1" t="n">
        <v>45989</v>
      </c>
      <c r="D651" t="inlineStr">
        <is>
          <t>UPPSALA LÄN</t>
        </is>
      </c>
      <c r="E651" t="inlineStr">
        <is>
          <t>ÖSTHAMMAR</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56903-2023</t>
        </is>
      </c>
      <c r="B652" s="1" t="n">
        <v>45244.56943287037</v>
      </c>
      <c r="C652" s="1" t="n">
        <v>45989</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67151-2021</t>
        </is>
      </c>
      <c r="B653" s="1" t="n">
        <v>44523</v>
      </c>
      <c r="C653" s="1" t="n">
        <v>45989</v>
      </c>
      <c r="D653" t="inlineStr">
        <is>
          <t>UPPSALA LÄN</t>
        </is>
      </c>
      <c r="E653" t="inlineStr">
        <is>
          <t>ÖSTHAMMAR</t>
        </is>
      </c>
      <c r="G653" t="n">
        <v>2.4</v>
      </c>
      <c r="H653" t="n">
        <v>0</v>
      </c>
      <c r="I653" t="n">
        <v>0</v>
      </c>
      <c r="J653" t="n">
        <v>0</v>
      </c>
      <c r="K653" t="n">
        <v>0</v>
      </c>
      <c r="L653" t="n">
        <v>0</v>
      </c>
      <c r="M653" t="n">
        <v>0</v>
      </c>
      <c r="N653" t="n">
        <v>0</v>
      </c>
      <c r="O653" t="n">
        <v>0</v>
      </c>
      <c r="P653" t="n">
        <v>0</v>
      </c>
      <c r="Q653" t="n">
        <v>0</v>
      </c>
      <c r="R653" s="2" t="inlineStr"/>
    </row>
    <row r="654" ht="15" customHeight="1">
      <c r="A654" t="inlineStr">
        <is>
          <t>A 29824-2023</t>
        </is>
      </c>
      <c r="B654" s="1" t="n">
        <v>45107</v>
      </c>
      <c r="C654" s="1" t="n">
        <v>45989</v>
      </c>
      <c r="D654" t="inlineStr">
        <is>
          <t>UPPSALA LÄN</t>
        </is>
      </c>
      <c r="E654" t="inlineStr">
        <is>
          <t>ÖSTHAMMAR</t>
        </is>
      </c>
      <c r="F654" t="inlineStr">
        <is>
          <t>Naturvårdsverket</t>
        </is>
      </c>
      <c r="G654" t="n">
        <v>1.6</v>
      </c>
      <c r="H654" t="n">
        <v>0</v>
      </c>
      <c r="I654" t="n">
        <v>0</v>
      </c>
      <c r="J654" t="n">
        <v>0</v>
      </c>
      <c r="K654" t="n">
        <v>0</v>
      </c>
      <c r="L654" t="n">
        <v>0</v>
      </c>
      <c r="M654" t="n">
        <v>0</v>
      </c>
      <c r="N654" t="n">
        <v>0</v>
      </c>
      <c r="O654" t="n">
        <v>0</v>
      </c>
      <c r="P654" t="n">
        <v>0</v>
      </c>
      <c r="Q654" t="n">
        <v>0</v>
      </c>
      <c r="R654" s="2" t="inlineStr"/>
    </row>
    <row r="655" ht="15" customHeight="1">
      <c r="A655" t="inlineStr">
        <is>
          <t>A 64586-2021</t>
        </is>
      </c>
      <c r="B655" s="1" t="n">
        <v>44511</v>
      </c>
      <c r="C655" s="1" t="n">
        <v>45989</v>
      </c>
      <c r="D655" t="inlineStr">
        <is>
          <t>UPPSALA LÄN</t>
        </is>
      </c>
      <c r="E655" t="inlineStr">
        <is>
          <t>ÖSTHAMMAR</t>
        </is>
      </c>
      <c r="G655" t="n">
        <v>2</v>
      </c>
      <c r="H655" t="n">
        <v>0</v>
      </c>
      <c r="I655" t="n">
        <v>0</v>
      </c>
      <c r="J655" t="n">
        <v>0</v>
      </c>
      <c r="K655" t="n">
        <v>0</v>
      </c>
      <c r="L655" t="n">
        <v>0</v>
      </c>
      <c r="M655" t="n">
        <v>0</v>
      </c>
      <c r="N655" t="n">
        <v>0</v>
      </c>
      <c r="O655" t="n">
        <v>0</v>
      </c>
      <c r="P655" t="n">
        <v>0</v>
      </c>
      <c r="Q655" t="n">
        <v>0</v>
      </c>
      <c r="R655" s="2" t="inlineStr"/>
    </row>
    <row r="656" ht="15" customHeight="1">
      <c r="A656" t="inlineStr">
        <is>
          <t>A 17009-2021</t>
        </is>
      </c>
      <c r="B656" s="1" t="n">
        <v>44295.63969907408</v>
      </c>
      <c r="C656" s="1" t="n">
        <v>45989</v>
      </c>
      <c r="D656" t="inlineStr">
        <is>
          <t>UPPSALA LÄN</t>
        </is>
      </c>
      <c r="E656" t="inlineStr">
        <is>
          <t>ÖSTHAMMAR</t>
        </is>
      </c>
      <c r="F656" t="inlineStr">
        <is>
          <t>Bergvik skog öst AB</t>
        </is>
      </c>
      <c r="G656" t="n">
        <v>3.2</v>
      </c>
      <c r="H656" t="n">
        <v>0</v>
      </c>
      <c r="I656" t="n">
        <v>0</v>
      </c>
      <c r="J656" t="n">
        <v>0</v>
      </c>
      <c r="K656" t="n">
        <v>0</v>
      </c>
      <c r="L656" t="n">
        <v>0</v>
      </c>
      <c r="M656" t="n">
        <v>0</v>
      </c>
      <c r="N656" t="n">
        <v>0</v>
      </c>
      <c r="O656" t="n">
        <v>0</v>
      </c>
      <c r="P656" t="n">
        <v>0</v>
      </c>
      <c r="Q656" t="n">
        <v>0</v>
      </c>
      <c r="R656" s="2" t="inlineStr"/>
    </row>
    <row r="657" ht="15" customHeight="1">
      <c r="A657" t="inlineStr">
        <is>
          <t>A 13755-2023</t>
        </is>
      </c>
      <c r="B657" s="1" t="n">
        <v>45007</v>
      </c>
      <c r="C657" s="1" t="n">
        <v>45989</v>
      </c>
      <c r="D657" t="inlineStr">
        <is>
          <t>UPPSALA LÄN</t>
        </is>
      </c>
      <c r="E657" t="inlineStr">
        <is>
          <t>ÖSTHAMMAR</t>
        </is>
      </c>
      <c r="G657" t="n">
        <v>2.4</v>
      </c>
      <c r="H657" t="n">
        <v>0</v>
      </c>
      <c r="I657" t="n">
        <v>0</v>
      </c>
      <c r="J657" t="n">
        <v>0</v>
      </c>
      <c r="K657" t="n">
        <v>0</v>
      </c>
      <c r="L657" t="n">
        <v>0</v>
      </c>
      <c r="M657" t="n">
        <v>0</v>
      </c>
      <c r="N657" t="n">
        <v>0</v>
      </c>
      <c r="O657" t="n">
        <v>0</v>
      </c>
      <c r="P657" t="n">
        <v>0</v>
      </c>
      <c r="Q657" t="n">
        <v>0</v>
      </c>
      <c r="R657" s="2" t="inlineStr"/>
    </row>
    <row r="658" ht="15" customHeight="1">
      <c r="A658" t="inlineStr">
        <is>
          <t>A 64774-2023</t>
        </is>
      </c>
      <c r="B658" s="1" t="n">
        <v>45282</v>
      </c>
      <c r="C658" s="1" t="n">
        <v>45989</v>
      </c>
      <c r="D658" t="inlineStr">
        <is>
          <t>UPPSALA LÄN</t>
        </is>
      </c>
      <c r="E658" t="inlineStr">
        <is>
          <t>ÖSTHAMMAR</t>
        </is>
      </c>
      <c r="F658" t="inlineStr">
        <is>
          <t>Övriga Aktiebolag</t>
        </is>
      </c>
      <c r="G658" t="n">
        <v>3.7</v>
      </c>
      <c r="H658" t="n">
        <v>0</v>
      </c>
      <c r="I658" t="n">
        <v>0</v>
      </c>
      <c r="J658" t="n">
        <v>0</v>
      </c>
      <c r="K658" t="n">
        <v>0</v>
      </c>
      <c r="L658" t="n">
        <v>0</v>
      </c>
      <c r="M658" t="n">
        <v>0</v>
      </c>
      <c r="N658" t="n">
        <v>0</v>
      </c>
      <c r="O658" t="n">
        <v>0</v>
      </c>
      <c r="P658" t="n">
        <v>0</v>
      </c>
      <c r="Q658" t="n">
        <v>0</v>
      </c>
      <c r="R658" s="2" t="inlineStr"/>
    </row>
    <row r="659" ht="15" customHeight="1">
      <c r="A659" t="inlineStr">
        <is>
          <t>A 65020-2021</t>
        </is>
      </c>
      <c r="B659" s="1" t="n">
        <v>44515</v>
      </c>
      <c r="C659" s="1" t="n">
        <v>45989</v>
      </c>
      <c r="D659" t="inlineStr">
        <is>
          <t>UPPSALA LÄN</t>
        </is>
      </c>
      <c r="E659" t="inlineStr">
        <is>
          <t>ÖSTHAMMAR</t>
        </is>
      </c>
      <c r="F659" t="inlineStr">
        <is>
          <t>Sveaskog</t>
        </is>
      </c>
      <c r="G659" t="n">
        <v>4.7</v>
      </c>
      <c r="H659" t="n">
        <v>0</v>
      </c>
      <c r="I659" t="n">
        <v>0</v>
      </c>
      <c r="J659" t="n">
        <v>0</v>
      </c>
      <c r="K659" t="n">
        <v>0</v>
      </c>
      <c r="L659" t="n">
        <v>0</v>
      </c>
      <c r="M659" t="n">
        <v>0</v>
      </c>
      <c r="N659" t="n">
        <v>0</v>
      </c>
      <c r="O659" t="n">
        <v>0</v>
      </c>
      <c r="P659" t="n">
        <v>0</v>
      </c>
      <c r="Q659" t="n">
        <v>0</v>
      </c>
      <c r="R659" s="2" t="inlineStr"/>
    </row>
    <row r="660" ht="15" customHeight="1">
      <c r="A660" t="inlineStr">
        <is>
          <t>A 2085-2022</t>
        </is>
      </c>
      <c r="B660" s="1" t="n">
        <v>44576.78626157407</v>
      </c>
      <c r="C660" s="1" t="n">
        <v>45989</v>
      </c>
      <c r="D660" t="inlineStr">
        <is>
          <t>UPPSALA LÄN</t>
        </is>
      </c>
      <c r="E660" t="inlineStr">
        <is>
          <t>ÖSTHAMMAR</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14671-2022</t>
        </is>
      </c>
      <c r="B661" s="1" t="n">
        <v>44655.80475694445</v>
      </c>
      <c r="C661" s="1" t="n">
        <v>45989</v>
      </c>
      <c r="D661" t="inlineStr">
        <is>
          <t>UPPSALA LÄN</t>
        </is>
      </c>
      <c r="E661" t="inlineStr">
        <is>
          <t>ÖSTHAMMAR</t>
        </is>
      </c>
      <c r="G661" t="n">
        <v>1.9</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45989</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41996-2024</t>
        </is>
      </c>
      <c r="B663" s="1" t="n">
        <v>45561</v>
      </c>
      <c r="C663" s="1" t="n">
        <v>45989</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15449-2022</t>
        </is>
      </c>
      <c r="B664" s="1" t="n">
        <v>44660.91659722223</v>
      </c>
      <c r="C664" s="1" t="n">
        <v>45989</v>
      </c>
      <c r="D664" t="inlineStr">
        <is>
          <t>UPPSALA LÄN</t>
        </is>
      </c>
      <c r="E664" t="inlineStr">
        <is>
          <t>ÖSTHAMMAR</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1439-2025</t>
        </is>
      </c>
      <c r="B665" s="1" t="n">
        <v>45669.69075231482</v>
      </c>
      <c r="C665" s="1" t="n">
        <v>45989</v>
      </c>
      <c r="D665" t="inlineStr">
        <is>
          <t>UPPSALA LÄN</t>
        </is>
      </c>
      <c r="E665" t="inlineStr">
        <is>
          <t>ÖSTHAMMAR</t>
        </is>
      </c>
      <c r="G665" t="n">
        <v>1</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45989</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5215-2025</t>
        </is>
      </c>
      <c r="B667" s="1" t="n">
        <v>45691</v>
      </c>
      <c r="C667" s="1" t="n">
        <v>45989</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65028-2021</t>
        </is>
      </c>
      <c r="B668" s="1" t="n">
        <v>44515</v>
      </c>
      <c r="C668" s="1" t="n">
        <v>45989</v>
      </c>
      <c r="D668" t="inlineStr">
        <is>
          <t>UPPSALA LÄN</t>
        </is>
      </c>
      <c r="E668" t="inlineStr">
        <is>
          <t>ÖSTHAMMAR</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1525-2025</t>
        </is>
      </c>
      <c r="B669" s="1" t="n">
        <v>45670.47300925926</v>
      </c>
      <c r="C669" s="1" t="n">
        <v>45989</v>
      </c>
      <c r="D669" t="inlineStr">
        <is>
          <t>UPPSALA LÄN</t>
        </is>
      </c>
      <c r="E669" t="inlineStr">
        <is>
          <t>ÖSTHAMMAR</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61257-2022</t>
        </is>
      </c>
      <c r="B670" s="1" t="n">
        <v>44915.59418981482</v>
      </c>
      <c r="C670" s="1" t="n">
        <v>45989</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36857-2023</t>
        </is>
      </c>
      <c r="B671" s="1" t="n">
        <v>45154.55175925926</v>
      </c>
      <c r="C671" s="1" t="n">
        <v>45989</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6206-2022</t>
        </is>
      </c>
      <c r="B672" s="1" t="n">
        <v>44600.35755787037</v>
      </c>
      <c r="C672" s="1" t="n">
        <v>45989</v>
      </c>
      <c r="D672" t="inlineStr">
        <is>
          <t>UPPSALA LÄN</t>
        </is>
      </c>
      <c r="E672" t="inlineStr">
        <is>
          <t>ÖSTHAMMAR</t>
        </is>
      </c>
      <c r="G672" t="n">
        <v>7.4</v>
      </c>
      <c r="H672" t="n">
        <v>0</v>
      </c>
      <c r="I672" t="n">
        <v>0</v>
      </c>
      <c r="J672" t="n">
        <v>0</v>
      </c>
      <c r="K672" t="n">
        <v>0</v>
      </c>
      <c r="L672" t="n">
        <v>0</v>
      </c>
      <c r="M672" t="n">
        <v>0</v>
      </c>
      <c r="N672" t="n">
        <v>0</v>
      </c>
      <c r="O672" t="n">
        <v>0</v>
      </c>
      <c r="P672" t="n">
        <v>0</v>
      </c>
      <c r="Q672" t="n">
        <v>0</v>
      </c>
      <c r="R672" s="2" t="inlineStr"/>
    </row>
    <row r="673" ht="15" customHeight="1">
      <c r="A673" t="inlineStr">
        <is>
          <t>A 6143-2022</t>
        </is>
      </c>
      <c r="B673" s="1" t="n">
        <v>44599.72306712963</v>
      </c>
      <c r="C673" s="1" t="n">
        <v>45989</v>
      </c>
      <c r="D673" t="inlineStr">
        <is>
          <t>UPPSALA LÄN</t>
        </is>
      </c>
      <c r="E673" t="inlineStr">
        <is>
          <t>ÖSTHAMMAR</t>
        </is>
      </c>
      <c r="G673" t="n">
        <v>3.4</v>
      </c>
      <c r="H673" t="n">
        <v>0</v>
      </c>
      <c r="I673" t="n">
        <v>0</v>
      </c>
      <c r="J673" t="n">
        <v>0</v>
      </c>
      <c r="K673" t="n">
        <v>0</v>
      </c>
      <c r="L673" t="n">
        <v>0</v>
      </c>
      <c r="M673" t="n">
        <v>0</v>
      </c>
      <c r="N673" t="n">
        <v>0</v>
      </c>
      <c r="O673" t="n">
        <v>0</v>
      </c>
      <c r="P673" t="n">
        <v>0</v>
      </c>
      <c r="Q673" t="n">
        <v>0</v>
      </c>
      <c r="R673" s="2" t="inlineStr"/>
    </row>
    <row r="674" ht="15" customHeight="1">
      <c r="A674" t="inlineStr">
        <is>
          <t>A 3514-2023</t>
        </is>
      </c>
      <c r="B674" s="1" t="n">
        <v>44950</v>
      </c>
      <c r="C674" s="1" t="n">
        <v>45989</v>
      </c>
      <c r="D674" t="inlineStr">
        <is>
          <t>UPPSALA LÄN</t>
        </is>
      </c>
      <c r="E674" t="inlineStr">
        <is>
          <t>ÖSTHAMMAR</t>
        </is>
      </c>
      <c r="F674" t="inlineStr">
        <is>
          <t>Övriga Aktiebolag</t>
        </is>
      </c>
      <c r="G674" t="n">
        <v>1.9</v>
      </c>
      <c r="H674" t="n">
        <v>0</v>
      </c>
      <c r="I674" t="n">
        <v>0</v>
      </c>
      <c r="J674" t="n">
        <v>0</v>
      </c>
      <c r="K674" t="n">
        <v>0</v>
      </c>
      <c r="L674" t="n">
        <v>0</v>
      </c>
      <c r="M674" t="n">
        <v>0</v>
      </c>
      <c r="N674" t="n">
        <v>0</v>
      </c>
      <c r="O674" t="n">
        <v>0</v>
      </c>
      <c r="P674" t="n">
        <v>0</v>
      </c>
      <c r="Q674" t="n">
        <v>0</v>
      </c>
      <c r="R674" s="2" t="inlineStr"/>
    </row>
    <row r="675" ht="15" customHeight="1">
      <c r="A675" t="inlineStr">
        <is>
          <t>A 45561-2023</t>
        </is>
      </c>
      <c r="B675" s="1" t="n">
        <v>45194.59335648148</v>
      </c>
      <c r="C675" s="1" t="n">
        <v>45989</v>
      </c>
      <c r="D675" t="inlineStr">
        <is>
          <t>UPPSALA LÄN</t>
        </is>
      </c>
      <c r="E675" t="inlineStr">
        <is>
          <t>ÖSTHAMMAR</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43439-2024</t>
        </is>
      </c>
      <c r="B676" s="1" t="n">
        <v>45568</v>
      </c>
      <c r="C676" s="1" t="n">
        <v>45989</v>
      </c>
      <c r="D676" t="inlineStr">
        <is>
          <t>UPPSALA LÄN</t>
        </is>
      </c>
      <c r="E676" t="inlineStr">
        <is>
          <t>ÖSTHAMMAR</t>
        </is>
      </c>
      <c r="G676" t="n">
        <v>1</v>
      </c>
      <c r="H676" t="n">
        <v>0</v>
      </c>
      <c r="I676" t="n">
        <v>0</v>
      </c>
      <c r="J676" t="n">
        <v>0</v>
      </c>
      <c r="K676" t="n">
        <v>0</v>
      </c>
      <c r="L676" t="n">
        <v>0</v>
      </c>
      <c r="M676" t="n">
        <v>0</v>
      </c>
      <c r="N676" t="n">
        <v>0</v>
      </c>
      <c r="O676" t="n">
        <v>0</v>
      </c>
      <c r="P676" t="n">
        <v>0</v>
      </c>
      <c r="Q676" t="n">
        <v>0</v>
      </c>
      <c r="R676" s="2" t="inlineStr"/>
    </row>
    <row r="677" ht="15" customHeight="1">
      <c r="A677" t="inlineStr">
        <is>
          <t>A 59880-2022</t>
        </is>
      </c>
      <c r="B677" s="1" t="n">
        <v>44908.69575231482</v>
      </c>
      <c r="C677" s="1" t="n">
        <v>45989</v>
      </c>
      <c r="D677" t="inlineStr">
        <is>
          <t>UPPSALA LÄN</t>
        </is>
      </c>
      <c r="E677" t="inlineStr">
        <is>
          <t>ÖSTHAMMAR</t>
        </is>
      </c>
      <c r="G677" t="n">
        <v>1.4</v>
      </c>
      <c r="H677" t="n">
        <v>0</v>
      </c>
      <c r="I677" t="n">
        <v>0</v>
      </c>
      <c r="J677" t="n">
        <v>0</v>
      </c>
      <c r="K677" t="n">
        <v>0</v>
      </c>
      <c r="L677" t="n">
        <v>0</v>
      </c>
      <c r="M677" t="n">
        <v>0</v>
      </c>
      <c r="N677" t="n">
        <v>0</v>
      </c>
      <c r="O677" t="n">
        <v>0</v>
      </c>
      <c r="P677" t="n">
        <v>0</v>
      </c>
      <c r="Q677" t="n">
        <v>0</v>
      </c>
      <c r="R677" s="2" t="inlineStr"/>
    </row>
    <row r="678" ht="15" customHeight="1">
      <c r="A678" t="inlineStr">
        <is>
          <t>A 4562-2022</t>
        </is>
      </c>
      <c r="B678" s="1" t="n">
        <v>44591</v>
      </c>
      <c r="C678" s="1" t="n">
        <v>45989</v>
      </c>
      <c r="D678" t="inlineStr">
        <is>
          <t>UPPSALA LÄN</t>
        </is>
      </c>
      <c r="E678" t="inlineStr">
        <is>
          <t>ÖSTHAMMAR</t>
        </is>
      </c>
      <c r="G678" t="n">
        <v>3.4</v>
      </c>
      <c r="H678" t="n">
        <v>0</v>
      </c>
      <c r="I678" t="n">
        <v>0</v>
      </c>
      <c r="J678" t="n">
        <v>0</v>
      </c>
      <c r="K678" t="n">
        <v>0</v>
      </c>
      <c r="L678" t="n">
        <v>0</v>
      </c>
      <c r="M678" t="n">
        <v>0</v>
      </c>
      <c r="N678" t="n">
        <v>0</v>
      </c>
      <c r="O678" t="n">
        <v>0</v>
      </c>
      <c r="P678" t="n">
        <v>0</v>
      </c>
      <c r="Q678" t="n">
        <v>0</v>
      </c>
      <c r="R678" s="2" t="inlineStr"/>
    </row>
    <row r="679" ht="15" customHeight="1">
      <c r="A679" t="inlineStr">
        <is>
          <t>A 4099-2025</t>
        </is>
      </c>
      <c r="B679" s="1" t="n">
        <v>45684</v>
      </c>
      <c r="C679" s="1" t="n">
        <v>45989</v>
      </c>
      <c r="D679" t="inlineStr">
        <is>
          <t>UPPSALA LÄN</t>
        </is>
      </c>
      <c r="E679" t="inlineStr">
        <is>
          <t>ÖSTHAMMAR</t>
        </is>
      </c>
      <c r="G679" t="n">
        <v>0.7</v>
      </c>
      <c r="H679" t="n">
        <v>0</v>
      </c>
      <c r="I679" t="n">
        <v>0</v>
      </c>
      <c r="J679" t="n">
        <v>0</v>
      </c>
      <c r="K679" t="n">
        <v>0</v>
      </c>
      <c r="L679" t="n">
        <v>0</v>
      </c>
      <c r="M679" t="n">
        <v>0</v>
      </c>
      <c r="N679" t="n">
        <v>0</v>
      </c>
      <c r="O679" t="n">
        <v>0</v>
      </c>
      <c r="P679" t="n">
        <v>0</v>
      </c>
      <c r="Q679" t="n">
        <v>0</v>
      </c>
      <c r="R679" s="2" t="inlineStr"/>
    </row>
    <row r="680" ht="15" customHeight="1">
      <c r="A680" t="inlineStr">
        <is>
          <t>A 41538-2021</t>
        </is>
      </c>
      <c r="B680" s="1" t="n">
        <v>44425.35016203704</v>
      </c>
      <c r="C680" s="1" t="n">
        <v>45989</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36301-2023</t>
        </is>
      </c>
      <c r="B681" s="1" t="n">
        <v>45152.37296296296</v>
      </c>
      <c r="C681" s="1" t="n">
        <v>45989</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28429-2023</t>
        </is>
      </c>
      <c r="B682" s="1" t="n">
        <v>45102.58728009259</v>
      </c>
      <c r="C682" s="1" t="n">
        <v>45989</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35309-2023</t>
        </is>
      </c>
      <c r="B683" s="1" t="n">
        <v>45146</v>
      </c>
      <c r="C683" s="1" t="n">
        <v>45989</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835-2025</t>
        </is>
      </c>
      <c r="B684" s="1" t="n">
        <v>45665.58465277778</v>
      </c>
      <c r="C684" s="1" t="n">
        <v>45989</v>
      </c>
      <c r="D684" t="inlineStr">
        <is>
          <t>UPPSALA LÄN</t>
        </is>
      </c>
      <c r="E684" t="inlineStr">
        <is>
          <t>ÖSTHAMMAR</t>
        </is>
      </c>
      <c r="F684" t="inlineStr">
        <is>
          <t>Övriga Aktiebolag</t>
        </is>
      </c>
      <c r="G684" t="n">
        <v>4.8</v>
      </c>
      <c r="H684" t="n">
        <v>0</v>
      </c>
      <c r="I684" t="n">
        <v>0</v>
      </c>
      <c r="J684" t="n">
        <v>0</v>
      </c>
      <c r="K684" t="n">
        <v>0</v>
      </c>
      <c r="L684" t="n">
        <v>0</v>
      </c>
      <c r="M684" t="n">
        <v>0</v>
      </c>
      <c r="N684" t="n">
        <v>0</v>
      </c>
      <c r="O684" t="n">
        <v>0</v>
      </c>
      <c r="P684" t="n">
        <v>0</v>
      </c>
      <c r="Q684" t="n">
        <v>0</v>
      </c>
      <c r="R684" s="2" t="inlineStr"/>
    </row>
    <row r="685" ht="15" customHeight="1">
      <c r="A685" t="inlineStr">
        <is>
          <t>A 67199-2021</t>
        </is>
      </c>
      <c r="B685" s="1" t="n">
        <v>44523.46197916667</v>
      </c>
      <c r="C685" s="1" t="n">
        <v>45989</v>
      </c>
      <c r="D685" t="inlineStr">
        <is>
          <t>UPPSALA LÄN</t>
        </is>
      </c>
      <c r="E685" t="inlineStr">
        <is>
          <t>ÖSTHAMMAR</t>
        </is>
      </c>
      <c r="G685" t="n">
        <v>2.3</v>
      </c>
      <c r="H685" t="n">
        <v>0</v>
      </c>
      <c r="I685" t="n">
        <v>0</v>
      </c>
      <c r="J685" t="n">
        <v>0</v>
      </c>
      <c r="K685" t="n">
        <v>0</v>
      </c>
      <c r="L685" t="n">
        <v>0</v>
      </c>
      <c r="M685" t="n">
        <v>0</v>
      </c>
      <c r="N685" t="n">
        <v>0</v>
      </c>
      <c r="O685" t="n">
        <v>0</v>
      </c>
      <c r="P685" t="n">
        <v>0</v>
      </c>
      <c r="Q685" t="n">
        <v>0</v>
      </c>
      <c r="R685" s="2" t="inlineStr"/>
    </row>
    <row r="686" ht="15" customHeight="1">
      <c r="A686" t="inlineStr">
        <is>
          <t>A 24259-2022</t>
        </is>
      </c>
      <c r="B686" s="1" t="n">
        <v>44725</v>
      </c>
      <c r="C686" s="1" t="n">
        <v>45989</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24367-2022</t>
        </is>
      </c>
      <c r="B687" s="1" t="n">
        <v>44726.42716435185</v>
      </c>
      <c r="C687" s="1" t="n">
        <v>45989</v>
      </c>
      <c r="D687" t="inlineStr">
        <is>
          <t>UPPSALA LÄN</t>
        </is>
      </c>
      <c r="E687" t="inlineStr">
        <is>
          <t>ÖSTHAMMAR</t>
        </is>
      </c>
      <c r="G687" t="n">
        <v>2.7</v>
      </c>
      <c r="H687" t="n">
        <v>0</v>
      </c>
      <c r="I687" t="n">
        <v>0</v>
      </c>
      <c r="J687" t="n">
        <v>0</v>
      </c>
      <c r="K687" t="n">
        <v>0</v>
      </c>
      <c r="L687" t="n">
        <v>0</v>
      </c>
      <c r="M687" t="n">
        <v>0</v>
      </c>
      <c r="N687" t="n">
        <v>0</v>
      </c>
      <c r="O687" t="n">
        <v>0</v>
      </c>
      <c r="P687" t="n">
        <v>0</v>
      </c>
      <c r="Q687" t="n">
        <v>0</v>
      </c>
      <c r="R687" s="2" t="inlineStr"/>
    </row>
    <row r="688" ht="15" customHeight="1">
      <c r="A688" t="inlineStr">
        <is>
          <t>A 49897-2023</t>
        </is>
      </c>
      <c r="B688" s="1" t="n">
        <v>45213.84846064815</v>
      </c>
      <c r="C688" s="1" t="n">
        <v>45989</v>
      </c>
      <c r="D688" t="inlineStr">
        <is>
          <t>UPPSALA LÄN</t>
        </is>
      </c>
      <c r="E688" t="inlineStr">
        <is>
          <t>ÖSTHAMMAR</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34922-2023</t>
        </is>
      </c>
      <c r="B689" s="1" t="n">
        <v>45142.48359953704</v>
      </c>
      <c r="C689" s="1" t="n">
        <v>45989</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50998-2023</t>
        </is>
      </c>
      <c r="B690" s="1" t="n">
        <v>45218.5586574074</v>
      </c>
      <c r="C690" s="1" t="n">
        <v>45989</v>
      </c>
      <c r="D690" t="inlineStr">
        <is>
          <t>UPPSALA LÄN</t>
        </is>
      </c>
      <c r="E690" t="inlineStr">
        <is>
          <t>ÖSTHAMMAR</t>
        </is>
      </c>
      <c r="G690" t="n">
        <v>3.6</v>
      </c>
      <c r="H690" t="n">
        <v>0</v>
      </c>
      <c r="I690" t="n">
        <v>0</v>
      </c>
      <c r="J690" t="n">
        <v>0</v>
      </c>
      <c r="K690" t="n">
        <v>0</v>
      </c>
      <c r="L690" t="n">
        <v>0</v>
      </c>
      <c r="M690" t="n">
        <v>0</v>
      </c>
      <c r="N690" t="n">
        <v>0</v>
      </c>
      <c r="O690" t="n">
        <v>0</v>
      </c>
      <c r="P690" t="n">
        <v>0</v>
      </c>
      <c r="Q690" t="n">
        <v>0</v>
      </c>
      <c r="R690" s="2" t="inlineStr"/>
    </row>
    <row r="691" ht="15" customHeight="1">
      <c r="A691" t="inlineStr">
        <is>
          <t>A 31669-2022</t>
        </is>
      </c>
      <c r="B691" s="1" t="n">
        <v>44775</v>
      </c>
      <c r="C691" s="1" t="n">
        <v>45989</v>
      </c>
      <c r="D691" t="inlineStr">
        <is>
          <t>UPPSALA LÄN</t>
        </is>
      </c>
      <c r="E691" t="inlineStr">
        <is>
          <t>ÖSTHAMMAR</t>
        </is>
      </c>
      <c r="G691" t="n">
        <v>6</v>
      </c>
      <c r="H691" t="n">
        <v>0</v>
      </c>
      <c r="I691" t="n">
        <v>0</v>
      </c>
      <c r="J691" t="n">
        <v>0</v>
      </c>
      <c r="K691" t="n">
        <v>0</v>
      </c>
      <c r="L691" t="n">
        <v>0</v>
      </c>
      <c r="M691" t="n">
        <v>0</v>
      </c>
      <c r="N691" t="n">
        <v>0</v>
      </c>
      <c r="O691" t="n">
        <v>0</v>
      </c>
      <c r="P691" t="n">
        <v>0</v>
      </c>
      <c r="Q691" t="n">
        <v>0</v>
      </c>
      <c r="R691" s="2" t="inlineStr"/>
    </row>
    <row r="692" ht="15" customHeight="1">
      <c r="A692" t="inlineStr">
        <is>
          <t>A 48856-2024</t>
        </is>
      </c>
      <c r="B692" s="1" t="n">
        <v>45593</v>
      </c>
      <c r="C692" s="1" t="n">
        <v>45989</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17947-2022</t>
        </is>
      </c>
      <c r="B693" s="1" t="n">
        <v>44683</v>
      </c>
      <c r="C693" s="1" t="n">
        <v>45989</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21862-2023</t>
        </is>
      </c>
      <c r="B694" s="1" t="n">
        <v>45068</v>
      </c>
      <c r="C694" s="1" t="n">
        <v>45989</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12654-2025</t>
        </is>
      </c>
      <c r="B695" s="1" t="n">
        <v>45733.41601851852</v>
      </c>
      <c r="C695" s="1" t="n">
        <v>45989</v>
      </c>
      <c r="D695" t="inlineStr">
        <is>
          <t>UPPSALA LÄN</t>
        </is>
      </c>
      <c r="E695" t="inlineStr">
        <is>
          <t>ÖSTHAMMAR</t>
        </is>
      </c>
      <c r="G695" t="n">
        <v>9.9</v>
      </c>
      <c r="H695" t="n">
        <v>0</v>
      </c>
      <c r="I695" t="n">
        <v>0</v>
      </c>
      <c r="J695" t="n">
        <v>0</v>
      </c>
      <c r="K695" t="n">
        <v>0</v>
      </c>
      <c r="L695" t="n">
        <v>0</v>
      </c>
      <c r="M695" t="n">
        <v>0</v>
      </c>
      <c r="N695" t="n">
        <v>0</v>
      </c>
      <c r="O695" t="n">
        <v>0</v>
      </c>
      <c r="P695" t="n">
        <v>0</v>
      </c>
      <c r="Q695" t="n">
        <v>0</v>
      </c>
      <c r="R695" s="2" t="inlineStr"/>
    </row>
    <row r="696" ht="15" customHeight="1">
      <c r="A696" t="inlineStr">
        <is>
          <t>A 27308-2023</t>
        </is>
      </c>
      <c r="B696" s="1" t="n">
        <v>45096.65381944444</v>
      </c>
      <c r="C696" s="1" t="n">
        <v>45989</v>
      </c>
      <c r="D696" t="inlineStr">
        <is>
          <t>UPPSALA LÄN</t>
        </is>
      </c>
      <c r="E696" t="inlineStr">
        <is>
          <t>ÖSTHAMMAR</t>
        </is>
      </c>
      <c r="F696" t="inlineStr">
        <is>
          <t>Bergvik skog öst AB</t>
        </is>
      </c>
      <c r="G696" t="n">
        <v>2.4</v>
      </c>
      <c r="H696" t="n">
        <v>0</v>
      </c>
      <c r="I696" t="n">
        <v>0</v>
      </c>
      <c r="J696" t="n">
        <v>0</v>
      </c>
      <c r="K696" t="n">
        <v>0</v>
      </c>
      <c r="L696" t="n">
        <v>0</v>
      </c>
      <c r="M696" t="n">
        <v>0</v>
      </c>
      <c r="N696" t="n">
        <v>0</v>
      </c>
      <c r="O696" t="n">
        <v>0</v>
      </c>
      <c r="P696" t="n">
        <v>0</v>
      </c>
      <c r="Q696" t="n">
        <v>0</v>
      </c>
      <c r="R696" s="2" t="inlineStr"/>
    </row>
    <row r="697" ht="15" customHeight="1">
      <c r="A697" t="inlineStr">
        <is>
          <t>A 28420-2023</t>
        </is>
      </c>
      <c r="B697" s="1" t="n">
        <v>45102.33054398148</v>
      </c>
      <c r="C697" s="1" t="n">
        <v>45989</v>
      </c>
      <c r="D697" t="inlineStr">
        <is>
          <t>UPPSALA LÄN</t>
        </is>
      </c>
      <c r="E697" t="inlineStr">
        <is>
          <t>ÖSTHAMMAR</t>
        </is>
      </c>
      <c r="F697" t="inlineStr">
        <is>
          <t>Bergvik skog öst AB</t>
        </is>
      </c>
      <c r="G697" t="n">
        <v>3.2</v>
      </c>
      <c r="H697" t="n">
        <v>0</v>
      </c>
      <c r="I697" t="n">
        <v>0</v>
      </c>
      <c r="J697" t="n">
        <v>0</v>
      </c>
      <c r="K697" t="n">
        <v>0</v>
      </c>
      <c r="L697" t="n">
        <v>0</v>
      </c>
      <c r="M697" t="n">
        <v>0</v>
      </c>
      <c r="N697" t="n">
        <v>0</v>
      </c>
      <c r="O697" t="n">
        <v>0</v>
      </c>
      <c r="P697" t="n">
        <v>0</v>
      </c>
      <c r="Q697" t="n">
        <v>0</v>
      </c>
      <c r="R697" s="2" t="inlineStr"/>
    </row>
    <row r="698" ht="15" customHeight="1">
      <c r="A698" t="inlineStr">
        <is>
          <t>A 40547-2023</t>
        </is>
      </c>
      <c r="B698" s="1" t="n">
        <v>45170.45050925926</v>
      </c>
      <c r="C698" s="1" t="n">
        <v>45989</v>
      </c>
      <c r="D698" t="inlineStr">
        <is>
          <t>UPPSALA LÄN</t>
        </is>
      </c>
      <c r="E698" t="inlineStr">
        <is>
          <t>ÖSTHAMMAR</t>
        </is>
      </c>
      <c r="G698" t="n">
        <v>2.1</v>
      </c>
      <c r="H698" t="n">
        <v>0</v>
      </c>
      <c r="I698" t="n">
        <v>0</v>
      </c>
      <c r="J698" t="n">
        <v>0</v>
      </c>
      <c r="K698" t="n">
        <v>0</v>
      </c>
      <c r="L698" t="n">
        <v>0</v>
      </c>
      <c r="M698" t="n">
        <v>0</v>
      </c>
      <c r="N698" t="n">
        <v>0</v>
      </c>
      <c r="O698" t="n">
        <v>0</v>
      </c>
      <c r="P698" t="n">
        <v>0</v>
      </c>
      <c r="Q698" t="n">
        <v>0</v>
      </c>
      <c r="R698" s="2" t="inlineStr"/>
    </row>
    <row r="699" ht="15" customHeight="1">
      <c r="A699" t="inlineStr">
        <is>
          <t>A 10449-2023</t>
        </is>
      </c>
      <c r="B699" s="1" t="n">
        <v>44987</v>
      </c>
      <c r="C699" s="1" t="n">
        <v>45989</v>
      </c>
      <c r="D699" t="inlineStr">
        <is>
          <t>UPPSALA LÄN</t>
        </is>
      </c>
      <c r="E699" t="inlineStr">
        <is>
          <t>ÖSTHAMMAR</t>
        </is>
      </c>
      <c r="G699" t="n">
        <v>3.1</v>
      </c>
      <c r="H699" t="n">
        <v>0</v>
      </c>
      <c r="I699" t="n">
        <v>0</v>
      </c>
      <c r="J699" t="n">
        <v>0</v>
      </c>
      <c r="K699" t="n">
        <v>0</v>
      </c>
      <c r="L699" t="n">
        <v>0</v>
      </c>
      <c r="M699" t="n">
        <v>0</v>
      </c>
      <c r="N699" t="n">
        <v>0</v>
      </c>
      <c r="O699" t="n">
        <v>0</v>
      </c>
      <c r="P699" t="n">
        <v>0</v>
      </c>
      <c r="Q699" t="n">
        <v>0</v>
      </c>
      <c r="R699" s="2" t="inlineStr"/>
    </row>
    <row r="700" ht="15" customHeight="1">
      <c r="A700" t="inlineStr">
        <is>
          <t>A 31035-2022</t>
        </is>
      </c>
      <c r="B700" s="1" t="n">
        <v>44768.88685185185</v>
      </c>
      <c r="C700" s="1" t="n">
        <v>45989</v>
      </c>
      <c r="D700" t="inlineStr">
        <is>
          <t>UPPSALA LÄN</t>
        </is>
      </c>
      <c r="E700" t="inlineStr">
        <is>
          <t>ÖSTHAMMAR</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22798-2023</t>
        </is>
      </c>
      <c r="B701" s="1" t="n">
        <v>45072</v>
      </c>
      <c r="C701" s="1" t="n">
        <v>45989</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10982-2023</t>
        </is>
      </c>
      <c r="B702" s="1" t="n">
        <v>44991.62203703704</v>
      </c>
      <c r="C702" s="1" t="n">
        <v>45989</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40637-2022</t>
        </is>
      </c>
      <c r="B703" s="1" t="n">
        <v>44824</v>
      </c>
      <c r="C703" s="1" t="n">
        <v>45989</v>
      </c>
      <c r="D703" t="inlineStr">
        <is>
          <t>UPPSALA LÄN</t>
        </is>
      </c>
      <c r="E703" t="inlineStr">
        <is>
          <t>ÖSTHAMMAR</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6046-2025</t>
        </is>
      </c>
      <c r="B704" s="1" t="n">
        <v>45695</v>
      </c>
      <c r="C704" s="1" t="n">
        <v>45989</v>
      </c>
      <c r="D704" t="inlineStr">
        <is>
          <t>UPPSALA LÄN</t>
        </is>
      </c>
      <c r="E704" t="inlineStr">
        <is>
          <t>ÖSTHAMMAR</t>
        </is>
      </c>
      <c r="G704" t="n">
        <v>0.8</v>
      </c>
      <c r="H704" t="n">
        <v>0</v>
      </c>
      <c r="I704" t="n">
        <v>0</v>
      </c>
      <c r="J704" t="n">
        <v>0</v>
      </c>
      <c r="K704" t="n">
        <v>0</v>
      </c>
      <c r="L704" t="n">
        <v>0</v>
      </c>
      <c r="M704" t="n">
        <v>0</v>
      </c>
      <c r="N704" t="n">
        <v>0</v>
      </c>
      <c r="O704" t="n">
        <v>0</v>
      </c>
      <c r="P704" t="n">
        <v>0</v>
      </c>
      <c r="Q704" t="n">
        <v>0</v>
      </c>
      <c r="R704" s="2" t="inlineStr"/>
      <c r="U704">
        <f>HYPERLINK("https://klasma.github.io/Logging_0382/knärot/A 6046-2025 karta knärot.png", "A 6046-2025")</f>
        <v/>
      </c>
      <c r="V704">
        <f>HYPERLINK("https://klasma.github.io/Logging_0382/klagomål/A 6046-2025 FSC-klagomål.docx", "A 6046-2025")</f>
        <v/>
      </c>
      <c r="W704">
        <f>HYPERLINK("https://klasma.github.io/Logging_0382/klagomålsmail/A 6046-2025 FSC-klagomål mail.docx", "A 6046-2025")</f>
        <v/>
      </c>
      <c r="X704">
        <f>HYPERLINK("https://klasma.github.io/Logging_0382/tillsyn/A 6046-2025 tillsynsbegäran.docx", "A 6046-2025")</f>
        <v/>
      </c>
      <c r="Y704">
        <f>HYPERLINK("https://klasma.github.io/Logging_0382/tillsynsmail/A 6046-2025 tillsynsbegäran mail.docx", "A 6046-2025")</f>
        <v/>
      </c>
    </row>
    <row r="705" ht="15" customHeight="1">
      <c r="A705" t="inlineStr">
        <is>
          <t>A 21624-2023</t>
        </is>
      </c>
      <c r="B705" s="1" t="n">
        <v>45063.65543981481</v>
      </c>
      <c r="C705" s="1" t="n">
        <v>45989</v>
      </c>
      <c r="D705" t="inlineStr">
        <is>
          <t>UPPSALA LÄN</t>
        </is>
      </c>
      <c r="E705" t="inlineStr">
        <is>
          <t>ÖSTHAMMAR</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6120-2024</t>
        </is>
      </c>
      <c r="B706" s="1" t="n">
        <v>45337.41784722222</v>
      </c>
      <c r="C706" s="1" t="n">
        <v>45989</v>
      </c>
      <c r="D706" t="inlineStr">
        <is>
          <t>UPPSALA LÄN</t>
        </is>
      </c>
      <c r="E706" t="inlineStr">
        <is>
          <t>ÖSTHAMMAR</t>
        </is>
      </c>
      <c r="G706" t="n">
        <v>0.7</v>
      </c>
      <c r="H706" t="n">
        <v>0</v>
      </c>
      <c r="I706" t="n">
        <v>0</v>
      </c>
      <c r="J706" t="n">
        <v>0</v>
      </c>
      <c r="K706" t="n">
        <v>0</v>
      </c>
      <c r="L706" t="n">
        <v>0</v>
      </c>
      <c r="M706" t="n">
        <v>0</v>
      </c>
      <c r="N706" t="n">
        <v>0</v>
      </c>
      <c r="O706" t="n">
        <v>0</v>
      </c>
      <c r="P706" t="n">
        <v>0</v>
      </c>
      <c r="Q706" t="n">
        <v>0</v>
      </c>
      <c r="R706" s="2" t="inlineStr"/>
    </row>
    <row r="707" ht="15" customHeight="1">
      <c r="A707" t="inlineStr">
        <is>
          <t>A 58270-2023</t>
        </is>
      </c>
      <c r="B707" s="1" t="n">
        <v>45250.49961805555</v>
      </c>
      <c r="C707" s="1" t="n">
        <v>45989</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22804-2022</t>
        </is>
      </c>
      <c r="B708" s="1" t="n">
        <v>44715</v>
      </c>
      <c r="C708" s="1" t="n">
        <v>45989</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57003-2021</t>
        </is>
      </c>
      <c r="B709" s="1" t="n">
        <v>44482.47577546296</v>
      </c>
      <c r="C709" s="1" t="n">
        <v>45989</v>
      </c>
      <c r="D709" t="inlineStr">
        <is>
          <t>UPPSALA LÄN</t>
        </is>
      </c>
      <c r="E709" t="inlineStr">
        <is>
          <t>ÖSTHAMMAR</t>
        </is>
      </c>
      <c r="G709" t="n">
        <v>1.9</v>
      </c>
      <c r="H709" t="n">
        <v>0</v>
      </c>
      <c r="I709" t="n">
        <v>0</v>
      </c>
      <c r="J709" t="n">
        <v>0</v>
      </c>
      <c r="K709" t="n">
        <v>0</v>
      </c>
      <c r="L709" t="n">
        <v>0</v>
      </c>
      <c r="M709" t="n">
        <v>0</v>
      </c>
      <c r="N709" t="n">
        <v>0</v>
      </c>
      <c r="O709" t="n">
        <v>0</v>
      </c>
      <c r="P709" t="n">
        <v>0</v>
      </c>
      <c r="Q709" t="n">
        <v>0</v>
      </c>
      <c r="R709" s="2" t="inlineStr"/>
    </row>
    <row r="710" ht="15" customHeight="1">
      <c r="A710" t="inlineStr">
        <is>
          <t>A 73483-2021</t>
        </is>
      </c>
      <c r="B710" s="1" t="n">
        <v>44550</v>
      </c>
      <c r="C710" s="1" t="n">
        <v>45989</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24033-2023</t>
        </is>
      </c>
      <c r="B711" s="1" t="n">
        <v>45078</v>
      </c>
      <c r="C711" s="1" t="n">
        <v>45989</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12262-2023</t>
        </is>
      </c>
      <c r="B712" s="1" t="n">
        <v>44998.66662037037</v>
      </c>
      <c r="C712" s="1" t="n">
        <v>45989</v>
      </c>
      <c r="D712" t="inlineStr">
        <is>
          <t>UPPSALA LÄN</t>
        </is>
      </c>
      <c r="E712" t="inlineStr">
        <is>
          <t>ÖSTHAMMAR</t>
        </is>
      </c>
      <c r="G712" t="n">
        <v>4.1</v>
      </c>
      <c r="H712" t="n">
        <v>0</v>
      </c>
      <c r="I712" t="n">
        <v>0</v>
      </c>
      <c r="J712" t="n">
        <v>0</v>
      </c>
      <c r="K712" t="n">
        <v>0</v>
      </c>
      <c r="L712" t="n">
        <v>0</v>
      </c>
      <c r="M712" t="n">
        <v>0</v>
      </c>
      <c r="N712" t="n">
        <v>0</v>
      </c>
      <c r="O712" t="n">
        <v>0</v>
      </c>
      <c r="P712" t="n">
        <v>0</v>
      </c>
      <c r="Q712" t="n">
        <v>0</v>
      </c>
      <c r="R712" s="2" t="inlineStr"/>
    </row>
    <row r="713" ht="15" customHeight="1">
      <c r="A713" t="inlineStr">
        <is>
          <t>A 5254-2025</t>
        </is>
      </c>
      <c r="B713" s="1" t="n">
        <v>45692</v>
      </c>
      <c r="C713" s="1" t="n">
        <v>45989</v>
      </c>
      <c r="D713" t="inlineStr">
        <is>
          <t>UPPSALA LÄN</t>
        </is>
      </c>
      <c r="E713" t="inlineStr">
        <is>
          <t>ÖSTHAMMAR</t>
        </is>
      </c>
      <c r="G713" t="n">
        <v>5</v>
      </c>
      <c r="H713" t="n">
        <v>0</v>
      </c>
      <c r="I713" t="n">
        <v>0</v>
      </c>
      <c r="J713" t="n">
        <v>0</v>
      </c>
      <c r="K713" t="n">
        <v>0</v>
      </c>
      <c r="L713" t="n">
        <v>0</v>
      </c>
      <c r="M713" t="n">
        <v>0</v>
      </c>
      <c r="N713" t="n">
        <v>0</v>
      </c>
      <c r="O713" t="n">
        <v>0</v>
      </c>
      <c r="P713" t="n">
        <v>0</v>
      </c>
      <c r="Q713" t="n">
        <v>0</v>
      </c>
      <c r="R713" s="2" t="inlineStr"/>
    </row>
    <row r="714" ht="15" customHeight="1">
      <c r="A714" t="inlineStr">
        <is>
          <t>A 44807-2024</t>
        </is>
      </c>
      <c r="B714" s="1" t="n">
        <v>45574.65427083334</v>
      </c>
      <c r="C714" s="1" t="n">
        <v>45989</v>
      </c>
      <c r="D714" t="inlineStr">
        <is>
          <t>UPPSALA LÄN</t>
        </is>
      </c>
      <c r="E714" t="inlineStr">
        <is>
          <t>ÖSTHAMMAR</t>
        </is>
      </c>
      <c r="G714" t="n">
        <v>2.9</v>
      </c>
      <c r="H714" t="n">
        <v>0</v>
      </c>
      <c r="I714" t="n">
        <v>0</v>
      </c>
      <c r="J714" t="n">
        <v>0</v>
      </c>
      <c r="K714" t="n">
        <v>0</v>
      </c>
      <c r="L714" t="n">
        <v>0</v>
      </c>
      <c r="M714" t="n">
        <v>0</v>
      </c>
      <c r="N714" t="n">
        <v>0</v>
      </c>
      <c r="O714" t="n">
        <v>0</v>
      </c>
      <c r="P714" t="n">
        <v>0</v>
      </c>
      <c r="Q714" t="n">
        <v>0</v>
      </c>
      <c r="R714" s="2" t="inlineStr"/>
    </row>
    <row r="715" ht="15" customHeight="1">
      <c r="A715" t="inlineStr">
        <is>
          <t>A 7195-2023</t>
        </is>
      </c>
      <c r="B715" s="1" t="n">
        <v>44970</v>
      </c>
      <c r="C715" s="1" t="n">
        <v>45989</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37568-2022</t>
        </is>
      </c>
      <c r="B716" s="1" t="n">
        <v>44809</v>
      </c>
      <c r="C716" s="1" t="n">
        <v>45989</v>
      </c>
      <c r="D716" t="inlineStr">
        <is>
          <t>UPPSALA LÄN</t>
        </is>
      </c>
      <c r="E716" t="inlineStr">
        <is>
          <t>ÖSTHAMMAR</t>
        </is>
      </c>
      <c r="G716" t="n">
        <v>1.1</v>
      </c>
      <c r="H716" t="n">
        <v>0</v>
      </c>
      <c r="I716" t="n">
        <v>0</v>
      </c>
      <c r="J716" t="n">
        <v>0</v>
      </c>
      <c r="K716" t="n">
        <v>0</v>
      </c>
      <c r="L716" t="n">
        <v>0</v>
      </c>
      <c r="M716" t="n">
        <v>0</v>
      </c>
      <c r="N716" t="n">
        <v>0</v>
      </c>
      <c r="O716" t="n">
        <v>0</v>
      </c>
      <c r="P716" t="n">
        <v>0</v>
      </c>
      <c r="Q716" t="n">
        <v>0</v>
      </c>
      <c r="R716" s="2" t="inlineStr"/>
    </row>
    <row r="717" ht="15" customHeight="1">
      <c r="A717" t="inlineStr">
        <is>
          <t>A 9542-2023</t>
        </is>
      </c>
      <c r="B717" s="1" t="n">
        <v>44981</v>
      </c>
      <c r="C717" s="1" t="n">
        <v>45989</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55100-2024</t>
        </is>
      </c>
      <c r="B718" s="1" t="n">
        <v>45621.4405787037</v>
      </c>
      <c r="C718" s="1" t="n">
        <v>45989</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26774-2023</t>
        </is>
      </c>
      <c r="B719" s="1" t="n">
        <v>45093.47947916666</v>
      </c>
      <c r="C719" s="1" t="n">
        <v>45989</v>
      </c>
      <c r="D719" t="inlineStr">
        <is>
          <t>UPPSALA LÄN</t>
        </is>
      </c>
      <c r="E719" t="inlineStr">
        <is>
          <t>ÖSTHAMMAR</t>
        </is>
      </c>
      <c r="F719" t="inlineStr">
        <is>
          <t>Bergvik skog öst AB</t>
        </is>
      </c>
      <c r="G719" t="n">
        <v>2.1</v>
      </c>
      <c r="H719" t="n">
        <v>0</v>
      </c>
      <c r="I719" t="n">
        <v>0</v>
      </c>
      <c r="J719" t="n">
        <v>0</v>
      </c>
      <c r="K719" t="n">
        <v>0</v>
      </c>
      <c r="L719" t="n">
        <v>0</v>
      </c>
      <c r="M719" t="n">
        <v>0</v>
      </c>
      <c r="N719" t="n">
        <v>0</v>
      </c>
      <c r="O719" t="n">
        <v>0</v>
      </c>
      <c r="P719" t="n">
        <v>0</v>
      </c>
      <c r="Q719" t="n">
        <v>0</v>
      </c>
      <c r="R719" s="2" t="inlineStr"/>
    </row>
    <row r="720" ht="15" customHeight="1">
      <c r="A720" t="inlineStr">
        <is>
          <t>A 67848-2021</t>
        </is>
      </c>
      <c r="B720" s="1" t="n">
        <v>44525</v>
      </c>
      <c r="C720" s="1" t="n">
        <v>45989</v>
      </c>
      <c r="D720" t="inlineStr">
        <is>
          <t>UPPSALA LÄN</t>
        </is>
      </c>
      <c r="E720" t="inlineStr">
        <is>
          <t>ÖSTHAMMAR</t>
        </is>
      </c>
      <c r="G720" t="n">
        <v>1</v>
      </c>
      <c r="H720" t="n">
        <v>0</v>
      </c>
      <c r="I720" t="n">
        <v>0</v>
      </c>
      <c r="J720" t="n">
        <v>0</v>
      </c>
      <c r="K720" t="n">
        <v>0</v>
      </c>
      <c r="L720" t="n">
        <v>0</v>
      </c>
      <c r="M720" t="n">
        <v>0</v>
      </c>
      <c r="N720" t="n">
        <v>0</v>
      </c>
      <c r="O720" t="n">
        <v>0</v>
      </c>
      <c r="P720" t="n">
        <v>0</v>
      </c>
      <c r="Q720" t="n">
        <v>0</v>
      </c>
      <c r="R720" s="2" t="inlineStr"/>
    </row>
    <row r="721" ht="15" customHeight="1">
      <c r="A721" t="inlineStr">
        <is>
          <t>A 55097-2024</t>
        </is>
      </c>
      <c r="B721" s="1" t="n">
        <v>45621.43855324074</v>
      </c>
      <c r="C721" s="1" t="n">
        <v>45989</v>
      </c>
      <c r="D721" t="inlineStr">
        <is>
          <t>UPPSALA LÄN</t>
        </is>
      </c>
      <c r="E721" t="inlineStr">
        <is>
          <t>ÖSTHAMMAR</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18230-2025</t>
        </is>
      </c>
      <c r="B722" s="1" t="n">
        <v>45761.87114583333</v>
      </c>
      <c r="C722" s="1" t="n">
        <v>45989</v>
      </c>
      <c r="D722" t="inlineStr">
        <is>
          <t>UPPSALA LÄN</t>
        </is>
      </c>
      <c r="E722" t="inlineStr">
        <is>
          <t>ÖSTHAMMAR</t>
        </is>
      </c>
      <c r="F722" t="inlineStr">
        <is>
          <t>Bergvik skog öst AB</t>
        </is>
      </c>
      <c r="G722" t="n">
        <v>4.2</v>
      </c>
      <c r="H722" t="n">
        <v>0</v>
      </c>
      <c r="I722" t="n">
        <v>0</v>
      </c>
      <c r="J722" t="n">
        <v>0</v>
      </c>
      <c r="K722" t="n">
        <v>0</v>
      </c>
      <c r="L722" t="n">
        <v>0</v>
      </c>
      <c r="M722" t="n">
        <v>0</v>
      </c>
      <c r="N722" t="n">
        <v>0</v>
      </c>
      <c r="O722" t="n">
        <v>0</v>
      </c>
      <c r="P722" t="n">
        <v>0</v>
      </c>
      <c r="Q722" t="n">
        <v>0</v>
      </c>
      <c r="R722" s="2" t="inlineStr"/>
    </row>
    <row r="723" ht="15" customHeight="1">
      <c r="A723" t="inlineStr">
        <is>
          <t>A 37865-2023</t>
        </is>
      </c>
      <c r="B723" s="1" t="n">
        <v>45160</v>
      </c>
      <c r="C723" s="1" t="n">
        <v>45989</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7100-2025</t>
        </is>
      </c>
      <c r="B724" s="1" t="n">
        <v>45701.83930555556</v>
      </c>
      <c r="C724" s="1" t="n">
        <v>45989</v>
      </c>
      <c r="D724" t="inlineStr">
        <is>
          <t>UPPSALA LÄN</t>
        </is>
      </c>
      <c r="E724" t="inlineStr">
        <is>
          <t>ÖSTHAMMAR</t>
        </is>
      </c>
      <c r="G724" t="n">
        <v>4.3</v>
      </c>
      <c r="H724" t="n">
        <v>0</v>
      </c>
      <c r="I724" t="n">
        <v>0</v>
      </c>
      <c r="J724" t="n">
        <v>0</v>
      </c>
      <c r="K724" t="n">
        <v>0</v>
      </c>
      <c r="L724" t="n">
        <v>0</v>
      </c>
      <c r="M724" t="n">
        <v>0</v>
      </c>
      <c r="N724" t="n">
        <v>0</v>
      </c>
      <c r="O724" t="n">
        <v>0</v>
      </c>
      <c r="P724" t="n">
        <v>0</v>
      </c>
      <c r="Q724" t="n">
        <v>0</v>
      </c>
      <c r="R724" s="2" t="inlineStr"/>
    </row>
    <row r="725" ht="15" customHeight="1">
      <c r="A725" t="inlineStr">
        <is>
          <t>A 54314-2023</t>
        </is>
      </c>
      <c r="B725" s="1" t="n">
        <v>45225</v>
      </c>
      <c r="C725" s="1" t="n">
        <v>45989</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49796-2024</t>
        </is>
      </c>
      <c r="B726" s="1" t="n">
        <v>45597</v>
      </c>
      <c r="C726" s="1" t="n">
        <v>45989</v>
      </c>
      <c r="D726" t="inlineStr">
        <is>
          <t>UPPSALA LÄN</t>
        </is>
      </c>
      <c r="E726" t="inlineStr">
        <is>
          <t>ÖSTHAMMAR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1791-2023</t>
        </is>
      </c>
      <c r="B727" s="1" t="n">
        <v>44938</v>
      </c>
      <c r="C727" s="1" t="n">
        <v>45989</v>
      </c>
      <c r="D727" t="inlineStr">
        <is>
          <t>UPPSALA LÄN</t>
        </is>
      </c>
      <c r="E727" t="inlineStr">
        <is>
          <t>ÖSTHAMMAR</t>
        </is>
      </c>
      <c r="G727" t="n">
        <v>2</v>
      </c>
      <c r="H727" t="n">
        <v>0</v>
      </c>
      <c r="I727" t="n">
        <v>0</v>
      </c>
      <c r="J727" t="n">
        <v>0</v>
      </c>
      <c r="K727" t="n">
        <v>0</v>
      </c>
      <c r="L727" t="n">
        <v>0</v>
      </c>
      <c r="M727" t="n">
        <v>0</v>
      </c>
      <c r="N727" t="n">
        <v>0</v>
      </c>
      <c r="O727" t="n">
        <v>0</v>
      </c>
      <c r="P727" t="n">
        <v>0</v>
      </c>
      <c r="Q727" t="n">
        <v>0</v>
      </c>
      <c r="R727" s="2" t="inlineStr"/>
    </row>
    <row r="728" ht="15" customHeight="1">
      <c r="A728" t="inlineStr">
        <is>
          <t>A 21132-2025</t>
        </is>
      </c>
      <c r="B728" s="1" t="n">
        <v>45778.4108912037</v>
      </c>
      <c r="C728" s="1" t="n">
        <v>45989</v>
      </c>
      <c r="D728" t="inlineStr">
        <is>
          <t>UPPSALA LÄN</t>
        </is>
      </c>
      <c r="E728" t="inlineStr">
        <is>
          <t>ÖSTHAMMAR</t>
        </is>
      </c>
      <c r="G728" t="n">
        <v>10.1</v>
      </c>
      <c r="H728" t="n">
        <v>0</v>
      </c>
      <c r="I728" t="n">
        <v>0</v>
      </c>
      <c r="J728" t="n">
        <v>0</v>
      </c>
      <c r="K728" t="n">
        <v>0</v>
      </c>
      <c r="L728" t="n">
        <v>0</v>
      </c>
      <c r="M728" t="n">
        <v>0</v>
      </c>
      <c r="N728" t="n">
        <v>0</v>
      </c>
      <c r="O728" t="n">
        <v>0</v>
      </c>
      <c r="P728" t="n">
        <v>0</v>
      </c>
      <c r="Q728" t="n">
        <v>0</v>
      </c>
      <c r="R728" s="2" t="inlineStr"/>
    </row>
    <row r="729" ht="15" customHeight="1">
      <c r="A729" t="inlineStr">
        <is>
          <t>A 21133-2025</t>
        </is>
      </c>
      <c r="B729" s="1" t="n">
        <v>45778.415625</v>
      </c>
      <c r="C729" s="1" t="n">
        <v>45989</v>
      </c>
      <c r="D729" t="inlineStr">
        <is>
          <t>UPPSALA LÄN</t>
        </is>
      </c>
      <c r="E729" t="inlineStr">
        <is>
          <t>ÖSTHAMMAR</t>
        </is>
      </c>
      <c r="G729" t="n">
        <v>1.5</v>
      </c>
      <c r="H729" t="n">
        <v>0</v>
      </c>
      <c r="I729" t="n">
        <v>0</v>
      </c>
      <c r="J729" t="n">
        <v>0</v>
      </c>
      <c r="K729" t="n">
        <v>0</v>
      </c>
      <c r="L729" t="n">
        <v>0</v>
      </c>
      <c r="M729" t="n">
        <v>0</v>
      </c>
      <c r="N729" t="n">
        <v>0</v>
      </c>
      <c r="O729" t="n">
        <v>0</v>
      </c>
      <c r="P729" t="n">
        <v>0</v>
      </c>
      <c r="Q729" t="n">
        <v>0</v>
      </c>
      <c r="R729" s="2" t="inlineStr"/>
    </row>
    <row r="730" ht="15" customHeight="1">
      <c r="A730" t="inlineStr">
        <is>
          <t>A 42262-2024</t>
        </is>
      </c>
      <c r="B730" s="1" t="n">
        <v>45562</v>
      </c>
      <c r="C730" s="1" t="n">
        <v>45989</v>
      </c>
      <c r="D730" t="inlineStr">
        <is>
          <t>UPPSALA LÄN</t>
        </is>
      </c>
      <c r="E730" t="inlineStr">
        <is>
          <t>ÖSTHAMMAR</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44796-2024</t>
        </is>
      </c>
      <c r="B731" s="1" t="n">
        <v>45574</v>
      </c>
      <c r="C731" s="1" t="n">
        <v>45989</v>
      </c>
      <c r="D731" t="inlineStr">
        <is>
          <t>UPPSALA LÄN</t>
        </is>
      </c>
      <c r="E731" t="inlineStr">
        <is>
          <t>ÖSTHAMMAR</t>
        </is>
      </c>
      <c r="G731" t="n">
        <v>4.7</v>
      </c>
      <c r="H731" t="n">
        <v>0</v>
      </c>
      <c r="I731" t="n">
        <v>0</v>
      </c>
      <c r="J731" t="n">
        <v>0</v>
      </c>
      <c r="K731" t="n">
        <v>0</v>
      </c>
      <c r="L731" t="n">
        <v>0</v>
      </c>
      <c r="M731" t="n">
        <v>0</v>
      </c>
      <c r="N731" t="n">
        <v>0</v>
      </c>
      <c r="O731" t="n">
        <v>0</v>
      </c>
      <c r="P731" t="n">
        <v>0</v>
      </c>
      <c r="Q731" t="n">
        <v>0</v>
      </c>
      <c r="R731" s="2" t="inlineStr"/>
    </row>
    <row r="732" ht="15" customHeight="1">
      <c r="A732" t="inlineStr">
        <is>
          <t>A 22488-2025</t>
        </is>
      </c>
      <c r="B732" s="1" t="n">
        <v>45786.64865740741</v>
      </c>
      <c r="C732" s="1" t="n">
        <v>45989</v>
      </c>
      <c r="D732" t="inlineStr">
        <is>
          <t>UPPSALA LÄN</t>
        </is>
      </c>
      <c r="E732" t="inlineStr">
        <is>
          <t>ÖSTHAMMAR</t>
        </is>
      </c>
      <c r="F732" t="inlineStr">
        <is>
          <t>Bergvik skog öst AB</t>
        </is>
      </c>
      <c r="G732" t="n">
        <v>14.9</v>
      </c>
      <c r="H732" t="n">
        <v>0</v>
      </c>
      <c r="I732" t="n">
        <v>0</v>
      </c>
      <c r="J732" t="n">
        <v>0</v>
      </c>
      <c r="K732" t="n">
        <v>0</v>
      </c>
      <c r="L732" t="n">
        <v>0</v>
      </c>
      <c r="M732" t="n">
        <v>0</v>
      </c>
      <c r="N732" t="n">
        <v>0</v>
      </c>
      <c r="O732" t="n">
        <v>0</v>
      </c>
      <c r="P732" t="n">
        <v>0</v>
      </c>
      <c r="Q732" t="n">
        <v>0</v>
      </c>
      <c r="R732" s="2" t="inlineStr"/>
    </row>
    <row r="733" ht="15" customHeight="1">
      <c r="A733" t="inlineStr">
        <is>
          <t>A 36954-2024</t>
        </is>
      </c>
      <c r="B733" s="1" t="n">
        <v>45538.71109953704</v>
      </c>
      <c r="C733" s="1" t="n">
        <v>45989</v>
      </c>
      <c r="D733" t="inlineStr">
        <is>
          <t>UPPSALA LÄN</t>
        </is>
      </c>
      <c r="E733" t="inlineStr">
        <is>
          <t>ÖSTHAMMAR</t>
        </is>
      </c>
      <c r="F733" t="inlineStr">
        <is>
          <t>Bergvik skog öst AB</t>
        </is>
      </c>
      <c r="G733" t="n">
        <v>5.1</v>
      </c>
      <c r="H733" t="n">
        <v>0</v>
      </c>
      <c r="I733" t="n">
        <v>0</v>
      </c>
      <c r="J733" t="n">
        <v>0</v>
      </c>
      <c r="K733" t="n">
        <v>0</v>
      </c>
      <c r="L733" t="n">
        <v>0</v>
      </c>
      <c r="M733" t="n">
        <v>0</v>
      </c>
      <c r="N733" t="n">
        <v>0</v>
      </c>
      <c r="O733" t="n">
        <v>0</v>
      </c>
      <c r="P733" t="n">
        <v>0</v>
      </c>
      <c r="Q733" t="n">
        <v>0</v>
      </c>
      <c r="R733" s="2" t="inlineStr"/>
    </row>
    <row r="734" ht="15" customHeight="1">
      <c r="A734" t="inlineStr">
        <is>
          <t>A 22483-2025</t>
        </is>
      </c>
      <c r="B734" s="1" t="n">
        <v>45786.64141203704</v>
      </c>
      <c r="C734" s="1" t="n">
        <v>45989</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59291-2023</t>
        </is>
      </c>
      <c r="B735" s="1" t="n">
        <v>45253.57559027777</v>
      </c>
      <c r="C735" s="1" t="n">
        <v>45989</v>
      </c>
      <c r="D735" t="inlineStr">
        <is>
          <t>UPPSALA LÄN</t>
        </is>
      </c>
      <c r="E735" t="inlineStr">
        <is>
          <t>ÖSTHAMMAR</t>
        </is>
      </c>
      <c r="G735" t="n">
        <v>1.7</v>
      </c>
      <c r="H735" t="n">
        <v>0</v>
      </c>
      <c r="I735" t="n">
        <v>0</v>
      </c>
      <c r="J735" t="n">
        <v>0</v>
      </c>
      <c r="K735" t="n">
        <v>0</v>
      </c>
      <c r="L735" t="n">
        <v>0</v>
      </c>
      <c r="M735" t="n">
        <v>0</v>
      </c>
      <c r="N735" t="n">
        <v>0</v>
      </c>
      <c r="O735" t="n">
        <v>0</v>
      </c>
      <c r="P735" t="n">
        <v>0</v>
      </c>
      <c r="Q735" t="n">
        <v>0</v>
      </c>
      <c r="R735" s="2" t="inlineStr"/>
    </row>
    <row r="736" ht="15" customHeight="1">
      <c r="A736" t="inlineStr">
        <is>
          <t>A 43685-2024</t>
        </is>
      </c>
      <c r="B736" s="1" t="n">
        <v>45569</v>
      </c>
      <c r="C736" s="1" t="n">
        <v>45989</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38575-2024</t>
        </is>
      </c>
      <c r="B737" s="1" t="n">
        <v>45546.64221064815</v>
      </c>
      <c r="C737" s="1" t="n">
        <v>45989</v>
      </c>
      <c r="D737" t="inlineStr">
        <is>
          <t>UPPSALA LÄN</t>
        </is>
      </c>
      <c r="E737" t="inlineStr">
        <is>
          <t>ÖSTHAMMAR</t>
        </is>
      </c>
      <c r="F737" t="inlineStr">
        <is>
          <t>Bergvik skog öst AB</t>
        </is>
      </c>
      <c r="G737" t="n">
        <v>5.1</v>
      </c>
      <c r="H737" t="n">
        <v>0</v>
      </c>
      <c r="I737" t="n">
        <v>0</v>
      </c>
      <c r="J737" t="n">
        <v>0</v>
      </c>
      <c r="K737" t="n">
        <v>0</v>
      </c>
      <c r="L737" t="n">
        <v>0</v>
      </c>
      <c r="M737" t="n">
        <v>0</v>
      </c>
      <c r="N737" t="n">
        <v>0</v>
      </c>
      <c r="O737" t="n">
        <v>0</v>
      </c>
      <c r="P737" t="n">
        <v>0</v>
      </c>
      <c r="Q737" t="n">
        <v>0</v>
      </c>
      <c r="R737" s="2" t="inlineStr"/>
    </row>
    <row r="738" ht="15" customHeight="1">
      <c r="A738" t="inlineStr">
        <is>
          <t>A 43993-2024</t>
        </is>
      </c>
      <c r="B738" s="1" t="n">
        <v>45572.52690972222</v>
      </c>
      <c r="C738" s="1" t="n">
        <v>45989</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22492-2025</t>
        </is>
      </c>
      <c r="B739" s="1" t="n">
        <v>45786.65072916666</v>
      </c>
      <c r="C739" s="1" t="n">
        <v>45989</v>
      </c>
      <c r="D739" t="inlineStr">
        <is>
          <t>UPPSALA LÄN</t>
        </is>
      </c>
      <c r="E739" t="inlineStr">
        <is>
          <t>ÖSTHAMMAR</t>
        </is>
      </c>
      <c r="F739" t="inlineStr">
        <is>
          <t>Bergvik skog öst AB</t>
        </is>
      </c>
      <c r="G739" t="n">
        <v>16.6</v>
      </c>
      <c r="H739" t="n">
        <v>0</v>
      </c>
      <c r="I739" t="n">
        <v>0</v>
      </c>
      <c r="J739" t="n">
        <v>0</v>
      </c>
      <c r="K739" t="n">
        <v>0</v>
      </c>
      <c r="L739" t="n">
        <v>0</v>
      </c>
      <c r="M739" t="n">
        <v>0</v>
      </c>
      <c r="N739" t="n">
        <v>0</v>
      </c>
      <c r="O739" t="n">
        <v>0</v>
      </c>
      <c r="P739" t="n">
        <v>0</v>
      </c>
      <c r="Q739" t="n">
        <v>0</v>
      </c>
      <c r="R739" s="2" t="inlineStr"/>
    </row>
    <row r="740" ht="15" customHeight="1">
      <c r="A740" t="inlineStr">
        <is>
          <t>A 5931-2022</t>
        </is>
      </c>
      <c r="B740" s="1" t="n">
        <v>44598.82700231481</v>
      </c>
      <c r="C740" s="1" t="n">
        <v>45989</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43655-2024</t>
        </is>
      </c>
      <c r="B741" s="1" t="n">
        <v>45569</v>
      </c>
      <c r="C741" s="1" t="n">
        <v>45989</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43683-2024</t>
        </is>
      </c>
      <c r="B742" s="1" t="n">
        <v>45569.57518518518</v>
      </c>
      <c r="C742" s="1" t="n">
        <v>45989</v>
      </c>
      <c r="D742" t="inlineStr">
        <is>
          <t>UPPSALA LÄN</t>
        </is>
      </c>
      <c r="E742" t="inlineStr">
        <is>
          <t>ÖSTHAMMAR</t>
        </is>
      </c>
      <c r="G742" t="n">
        <v>4.7</v>
      </c>
      <c r="H742" t="n">
        <v>0</v>
      </c>
      <c r="I742" t="n">
        <v>0</v>
      </c>
      <c r="J742" t="n">
        <v>0</v>
      </c>
      <c r="K742" t="n">
        <v>0</v>
      </c>
      <c r="L742" t="n">
        <v>0</v>
      </c>
      <c r="M742" t="n">
        <v>0</v>
      </c>
      <c r="N742" t="n">
        <v>0</v>
      </c>
      <c r="O742" t="n">
        <v>0</v>
      </c>
      <c r="P742" t="n">
        <v>0</v>
      </c>
      <c r="Q742" t="n">
        <v>0</v>
      </c>
      <c r="R742" s="2" t="inlineStr"/>
    </row>
    <row r="743" ht="15" customHeight="1">
      <c r="A743" t="inlineStr">
        <is>
          <t>A 32483-2024</t>
        </is>
      </c>
      <c r="B743" s="1" t="n">
        <v>45513.36644675926</v>
      </c>
      <c r="C743" s="1" t="n">
        <v>45989</v>
      </c>
      <c r="D743" t="inlineStr">
        <is>
          <t>UPPSALA LÄN</t>
        </is>
      </c>
      <c r="E743" t="inlineStr">
        <is>
          <t>ÖSTHAMMAR</t>
        </is>
      </c>
      <c r="F743" t="inlineStr">
        <is>
          <t>Kyrkan</t>
        </is>
      </c>
      <c r="G743" t="n">
        <v>4.7</v>
      </c>
      <c r="H743" t="n">
        <v>0</v>
      </c>
      <c r="I743" t="n">
        <v>0</v>
      </c>
      <c r="J743" t="n">
        <v>0</v>
      </c>
      <c r="K743" t="n">
        <v>0</v>
      </c>
      <c r="L743" t="n">
        <v>0</v>
      </c>
      <c r="M743" t="n">
        <v>0</v>
      </c>
      <c r="N743" t="n">
        <v>0</v>
      </c>
      <c r="O743" t="n">
        <v>0</v>
      </c>
      <c r="P743" t="n">
        <v>0</v>
      </c>
      <c r="Q743" t="n">
        <v>0</v>
      </c>
      <c r="R743" s="2" t="inlineStr"/>
    </row>
    <row r="744" ht="15" customHeight="1">
      <c r="A744" t="inlineStr">
        <is>
          <t>A 14595-2023</t>
        </is>
      </c>
      <c r="B744" s="1" t="n">
        <v>45013.57858796296</v>
      </c>
      <c r="C744" s="1" t="n">
        <v>45989</v>
      </c>
      <c r="D744" t="inlineStr">
        <is>
          <t>UPPSALA LÄN</t>
        </is>
      </c>
      <c r="E744" t="inlineStr">
        <is>
          <t>ÖSTHAMMAR</t>
        </is>
      </c>
      <c r="G744" t="n">
        <v>5</v>
      </c>
      <c r="H744" t="n">
        <v>0</v>
      </c>
      <c r="I744" t="n">
        <v>0</v>
      </c>
      <c r="J744" t="n">
        <v>0</v>
      </c>
      <c r="K744" t="n">
        <v>0</v>
      </c>
      <c r="L744" t="n">
        <v>0</v>
      </c>
      <c r="M744" t="n">
        <v>0</v>
      </c>
      <c r="N744" t="n">
        <v>0</v>
      </c>
      <c r="O744" t="n">
        <v>0</v>
      </c>
      <c r="P744" t="n">
        <v>0</v>
      </c>
      <c r="Q744" t="n">
        <v>0</v>
      </c>
      <c r="R744" s="2" t="inlineStr"/>
    </row>
    <row r="745" ht="15" customHeight="1">
      <c r="A745" t="inlineStr">
        <is>
          <t>A 33685-2024</t>
        </is>
      </c>
      <c r="B745" s="1" t="n">
        <v>45520.51063657407</v>
      </c>
      <c r="C745" s="1" t="n">
        <v>45989</v>
      </c>
      <c r="D745" t="inlineStr">
        <is>
          <t>UPPSALA LÄN</t>
        </is>
      </c>
      <c r="E745" t="inlineStr">
        <is>
          <t>ÖSTHAMMAR</t>
        </is>
      </c>
      <c r="F745" t="inlineStr">
        <is>
          <t>Bergvik skog öst AB</t>
        </is>
      </c>
      <c r="G745" t="n">
        <v>3.8</v>
      </c>
      <c r="H745" t="n">
        <v>0</v>
      </c>
      <c r="I745" t="n">
        <v>0</v>
      </c>
      <c r="J745" t="n">
        <v>0</v>
      </c>
      <c r="K745" t="n">
        <v>0</v>
      </c>
      <c r="L745" t="n">
        <v>0</v>
      </c>
      <c r="M745" t="n">
        <v>0</v>
      </c>
      <c r="N745" t="n">
        <v>0</v>
      </c>
      <c r="O745" t="n">
        <v>0</v>
      </c>
      <c r="P745" t="n">
        <v>0</v>
      </c>
      <c r="Q745" t="n">
        <v>0</v>
      </c>
      <c r="R745" s="2" t="inlineStr"/>
    </row>
    <row r="746" ht="15" customHeight="1">
      <c r="A746" t="inlineStr">
        <is>
          <t>A 44027-2024</t>
        </is>
      </c>
      <c r="B746" s="1" t="n">
        <v>45572</v>
      </c>
      <c r="C746" s="1" t="n">
        <v>45989</v>
      </c>
      <c r="D746" t="inlineStr">
        <is>
          <t>UPPSALA LÄN</t>
        </is>
      </c>
      <c r="E746" t="inlineStr">
        <is>
          <t>ÖSTHAMMAR</t>
        </is>
      </c>
      <c r="G746" t="n">
        <v>6</v>
      </c>
      <c r="H746" t="n">
        <v>0</v>
      </c>
      <c r="I746" t="n">
        <v>0</v>
      </c>
      <c r="J746" t="n">
        <v>0</v>
      </c>
      <c r="K746" t="n">
        <v>0</v>
      </c>
      <c r="L746" t="n">
        <v>0</v>
      </c>
      <c r="M746" t="n">
        <v>0</v>
      </c>
      <c r="N746" t="n">
        <v>0</v>
      </c>
      <c r="O746" t="n">
        <v>0</v>
      </c>
      <c r="P746" t="n">
        <v>0</v>
      </c>
      <c r="Q746" t="n">
        <v>0</v>
      </c>
      <c r="R746" s="2" t="inlineStr"/>
    </row>
    <row r="747" ht="15" customHeight="1">
      <c r="A747" t="inlineStr">
        <is>
          <t>A 23305-2025</t>
        </is>
      </c>
      <c r="B747" s="1" t="n">
        <v>45791.60127314815</v>
      </c>
      <c r="C747" s="1" t="n">
        <v>45989</v>
      </c>
      <c r="D747" t="inlineStr">
        <is>
          <t>UPPSALA LÄN</t>
        </is>
      </c>
      <c r="E747" t="inlineStr">
        <is>
          <t>ÖSTHAMMAR</t>
        </is>
      </c>
      <c r="G747" t="n">
        <v>1.9</v>
      </c>
      <c r="H747" t="n">
        <v>0</v>
      </c>
      <c r="I747" t="n">
        <v>0</v>
      </c>
      <c r="J747" t="n">
        <v>0</v>
      </c>
      <c r="K747" t="n">
        <v>0</v>
      </c>
      <c r="L747" t="n">
        <v>0</v>
      </c>
      <c r="M747" t="n">
        <v>0</v>
      </c>
      <c r="N747" t="n">
        <v>0</v>
      </c>
      <c r="O747" t="n">
        <v>0</v>
      </c>
      <c r="P747" t="n">
        <v>0</v>
      </c>
      <c r="Q747" t="n">
        <v>0</v>
      </c>
      <c r="R747" s="2" t="inlineStr"/>
    </row>
    <row r="748" ht="15" customHeight="1">
      <c r="A748" t="inlineStr">
        <is>
          <t>A 24606-2024</t>
        </is>
      </c>
      <c r="B748" s="1" t="n">
        <v>45460</v>
      </c>
      <c r="C748" s="1" t="n">
        <v>45989</v>
      </c>
      <c r="D748" t="inlineStr">
        <is>
          <t>UPPSALA LÄN</t>
        </is>
      </c>
      <c r="E748" t="inlineStr">
        <is>
          <t>ÖSTHAMMAR</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23968-2025</t>
        </is>
      </c>
      <c r="B749" s="1" t="n">
        <v>45796</v>
      </c>
      <c r="C749" s="1" t="n">
        <v>45989</v>
      </c>
      <c r="D749" t="inlineStr">
        <is>
          <t>UPPSALA LÄN</t>
        </is>
      </c>
      <c r="E749" t="inlineStr">
        <is>
          <t>ÖSTHAMMAR</t>
        </is>
      </c>
      <c r="F749" t="inlineStr">
        <is>
          <t>Bergvik skog öst AB</t>
        </is>
      </c>
      <c r="G749" t="n">
        <v>7.5</v>
      </c>
      <c r="H749" t="n">
        <v>0</v>
      </c>
      <c r="I749" t="n">
        <v>0</v>
      </c>
      <c r="J749" t="n">
        <v>0</v>
      </c>
      <c r="K749" t="n">
        <v>0</v>
      </c>
      <c r="L749" t="n">
        <v>0</v>
      </c>
      <c r="M749" t="n">
        <v>0</v>
      </c>
      <c r="N749" t="n">
        <v>0</v>
      </c>
      <c r="O749" t="n">
        <v>0</v>
      </c>
      <c r="P749" t="n">
        <v>0</v>
      </c>
      <c r="Q749" t="n">
        <v>0</v>
      </c>
      <c r="R749" s="2" t="inlineStr"/>
    </row>
    <row r="750" ht="15" customHeight="1">
      <c r="A750" t="inlineStr">
        <is>
          <t>A 24160-2024</t>
        </is>
      </c>
      <c r="B750" s="1" t="n">
        <v>45456</v>
      </c>
      <c r="C750" s="1" t="n">
        <v>45989</v>
      </c>
      <c r="D750" t="inlineStr">
        <is>
          <t>UPPSALA LÄN</t>
        </is>
      </c>
      <c r="E750" t="inlineStr">
        <is>
          <t>ÖSTHAMMAR</t>
        </is>
      </c>
      <c r="F750" t="inlineStr">
        <is>
          <t>Bergvik skog öst AB</t>
        </is>
      </c>
      <c r="G750" t="n">
        <v>0.7</v>
      </c>
      <c r="H750" t="n">
        <v>0</v>
      </c>
      <c r="I750" t="n">
        <v>0</v>
      </c>
      <c r="J750" t="n">
        <v>0</v>
      </c>
      <c r="K750" t="n">
        <v>0</v>
      </c>
      <c r="L750" t="n">
        <v>0</v>
      </c>
      <c r="M750" t="n">
        <v>0</v>
      </c>
      <c r="N750" t="n">
        <v>0</v>
      </c>
      <c r="O750" t="n">
        <v>0</v>
      </c>
      <c r="P750" t="n">
        <v>0</v>
      </c>
      <c r="Q750" t="n">
        <v>0</v>
      </c>
      <c r="R750" s="2" t="inlineStr"/>
    </row>
    <row r="751" ht="15" customHeight="1">
      <c r="A751" t="inlineStr">
        <is>
          <t>A 1584-2025</t>
        </is>
      </c>
      <c r="B751" s="1" t="n">
        <v>45670</v>
      </c>
      <c r="C751" s="1" t="n">
        <v>45989</v>
      </c>
      <c r="D751" t="inlineStr">
        <is>
          <t>UPPSALA LÄN</t>
        </is>
      </c>
      <c r="E751" t="inlineStr">
        <is>
          <t>ÖSTHAMMAR</t>
        </is>
      </c>
      <c r="G751" t="n">
        <v>0.7</v>
      </c>
      <c r="H751" t="n">
        <v>0</v>
      </c>
      <c r="I751" t="n">
        <v>0</v>
      </c>
      <c r="J751" t="n">
        <v>0</v>
      </c>
      <c r="K751" t="n">
        <v>0</v>
      </c>
      <c r="L751" t="n">
        <v>0</v>
      </c>
      <c r="M751" t="n">
        <v>0</v>
      </c>
      <c r="N751" t="n">
        <v>0</v>
      </c>
      <c r="O751" t="n">
        <v>0</v>
      </c>
      <c r="P751" t="n">
        <v>0</v>
      </c>
      <c r="Q751" t="n">
        <v>0</v>
      </c>
      <c r="R751" s="2" t="inlineStr"/>
    </row>
    <row r="752" ht="15" customHeight="1">
      <c r="A752" t="inlineStr">
        <is>
          <t>A 24174-2025</t>
        </is>
      </c>
      <c r="B752" s="1" t="n">
        <v>45796.69207175926</v>
      </c>
      <c r="C752" s="1" t="n">
        <v>45989</v>
      </c>
      <c r="D752" t="inlineStr">
        <is>
          <t>UPPSALA LÄN</t>
        </is>
      </c>
      <c r="E752" t="inlineStr">
        <is>
          <t>ÖSTHAMMAR</t>
        </is>
      </c>
      <c r="G752" t="n">
        <v>4.9</v>
      </c>
      <c r="H752" t="n">
        <v>0</v>
      </c>
      <c r="I752" t="n">
        <v>0</v>
      </c>
      <c r="J752" t="n">
        <v>0</v>
      </c>
      <c r="K752" t="n">
        <v>0</v>
      </c>
      <c r="L752" t="n">
        <v>0</v>
      </c>
      <c r="M752" t="n">
        <v>0</v>
      </c>
      <c r="N752" t="n">
        <v>0</v>
      </c>
      <c r="O752" t="n">
        <v>0</v>
      </c>
      <c r="P752" t="n">
        <v>0</v>
      </c>
      <c r="Q752" t="n">
        <v>0</v>
      </c>
      <c r="R752" s="2" t="inlineStr"/>
    </row>
    <row r="753">
      <c r="A753" t="inlineStr">
        <is>
          <t>A 30972-2024</t>
        </is>
      </c>
      <c r="B753" s="1" t="n">
        <v>45499.47106481482</v>
      </c>
      <c r="C753" s="1" t="n">
        <v>45989</v>
      </c>
      <c r="D753" t="inlineStr">
        <is>
          <t>UPPSALA LÄN</t>
        </is>
      </c>
      <c r="E753" t="inlineStr">
        <is>
          <t>ÖSTHAMMAR</t>
        </is>
      </c>
      <c r="F753" t="inlineStr">
        <is>
          <t>Bergvik skog öst AB</t>
        </is>
      </c>
      <c r="G753" t="n">
        <v>0.8</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2025-11-28T10:23:20Z</dcterms:created>
  <dcterms:modified xmlns:dcterms="http://purl.org/dc/terms/" xmlns:xsi="http://www.w3.org/2001/XMLSchema-instance" xsi:type="dcterms:W3CDTF">2025-11-28T10:23:21Z</dcterms:modified>
</cp:coreProperties>
</file>