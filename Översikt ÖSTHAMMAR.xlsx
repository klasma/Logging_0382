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45735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45735</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45735</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45735</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45735</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45735</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45735</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45735</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45735</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45735</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45735</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45735</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45735</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45735</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45735</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45735</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45735</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45735</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45735</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45735</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45735</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45735</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45735</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45735</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45735</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45735</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45735</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45735</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45735</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45735</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45735</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45735</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45735</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45735</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45735</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45735</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45735</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45735</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45735</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45735</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45735</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45735</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45735</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45735</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45735</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45735</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45735</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45735</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45735</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45735</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45735</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45735</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45735</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45735</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45735</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45735</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45735</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45735</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45735</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45735</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45735</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45735</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45735</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45735</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45735</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45735</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45735</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45735</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45735</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45735</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45735</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45735</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45735</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45735</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45735</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45735</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45735</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45735</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45735</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45735</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45735</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45735</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45735</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45735</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45735</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45735</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45735</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45735</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45735</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45735</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45735</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45735</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45735</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45735</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45735</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45735</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45735</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45735</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45735</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45735</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45735</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45735</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45735</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45735</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45735</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45735</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45735</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45735</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45735</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45735</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45735</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45735</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45735</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45735</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45735</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45735</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45735</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45735</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45735</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45735</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45735</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45735</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45735</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45735</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45735</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45735</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45735</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45735</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45735</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45735</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45735</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45735</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45735</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45735</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45735</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45735</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45735</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45735</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45735</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45735</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45735</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45735</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45735</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45735</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45735</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45735</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45735</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45735</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45735</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45735</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45735</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45735</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45735</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45735</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45735</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45735</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45735</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45735</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45735</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45735</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45735</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45735</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45735</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45735</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45735</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45735</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45735</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45735</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45735</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45735</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45735</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45735</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45735</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45735</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45735</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45735</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45735</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45735</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45735</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45735</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45735</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45735</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45735</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45735</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45735</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45735</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45735</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45735</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45735</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45735</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45735</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45735</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45735</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45735</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45735</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45735</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45735</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45735</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45735</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45735</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45735</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45735</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45735</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45735</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45735</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45735</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45735</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45735</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45735</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45735</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45735</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45735</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45735</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45735</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45735</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45735</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45735</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45735</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45735</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45735</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45735</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45735</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45735</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45735</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45735</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45735</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45735</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45735</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45735</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45735</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45735</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45735</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45735</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45735</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45735</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45735</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45735</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45735</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45735</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45735</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45735</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45735</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45735</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45735</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45735</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45735</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45735</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45735</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45735</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45735</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45735</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45735</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45735</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45735</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45735</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45735</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45735</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45735</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45735</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45735</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45735</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45735</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45735</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45735</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45735</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45735</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45735</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45735</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45735</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45735</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45735</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45735</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45735</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45735</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45735</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45735</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45735</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45735</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45735</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45735</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45735</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45735</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45735</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45735</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45735</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45735</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45735</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45735</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45735</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45735</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45735</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45735</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45735</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45735</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45735</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45735</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45735</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45735</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45735</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45735</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45735</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45735</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45735</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45735</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45735</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45735</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45735</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45735</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45735</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45735</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45735</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45735</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45735</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45735</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45735</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45735</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45735</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45735</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45735</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45735</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45735</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45735</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45735</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45735</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45735</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45735</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45735</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45735</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45735</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45735</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45735</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45735</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45735</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45735</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45735</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45735</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45735</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45735</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45735</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45735</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45735</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45735</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45735</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45735</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45735</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45735</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45735</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45735</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45735</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45735</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45735</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45735</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45735</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45735</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45735</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45735</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45735</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45735</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45735</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45735</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45735</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45735</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45735</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45735</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45735</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45735</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45735</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45735</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45735</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45735</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45735</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45735</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45735</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45735</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45735</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45735</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45735</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45735</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45735</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45735</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45735</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45735</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45735</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45735</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45735</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45735</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45735</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45735</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45735</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45735</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45735</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45735</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45735</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45735</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45735</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45735</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45735</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45735</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45735</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45735</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45735</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45735</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45735</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45735</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45735</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45735</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45735</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45735</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45735</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45735</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45735</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45735</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45735</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45735</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45735</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45735</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45735</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45735</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45735</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45735</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45735</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45735</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45735</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45735</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45735</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45735</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45735</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45735</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45735</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45735</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45735</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45735</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45735</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45735</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45735</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45735</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45735</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45735</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45735</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45735</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45735</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45735</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45735</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45735</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45735</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45735</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45735</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45735</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45735</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45735</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45735</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45735</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45735</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45735</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45735</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45735</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45735</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45735</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45735</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45735</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45735</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45735</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45735</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45735</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45735</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45735</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45735</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45735</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45735</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45735</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45735</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45735</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45735</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45735</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45735</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45735</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45735</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45735</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45735</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45735</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45735</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45735</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45735</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45735</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45735</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45735</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45735</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45735</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45735</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45735</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45735</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45735</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45735</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45735</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45735</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45735</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45735</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45735</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45735</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45735</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45735</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45735</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45735</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45735</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45735</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45735</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45735</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45735</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45735</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45735</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45735</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45735</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45735</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45735</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45735</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45735</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45735</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45735</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45735</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45735</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45735</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45735</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45735</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45735</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45735</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45735</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45735</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45735</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45735</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45735</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45735</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45735</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45735</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45735</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45735</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45735</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45735</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45735</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45735</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45735</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45735</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45735</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45735</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45735</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45735</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45735</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45735</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45735</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45735</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45735</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45735</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45735</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45735</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45735</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45735</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45735</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45735</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45735</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45735</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45735</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45735</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45735</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45735</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45735</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45735</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45735</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45735</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45735</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45735</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45735</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45735</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45735</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45735</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45735</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45735</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45735</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45735</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45735</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45735</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45735</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45735</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45735</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45735</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45735</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45735</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45735</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45735</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45735</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45735</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45735</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45735</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45735</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45735</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45735</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45735</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45735</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45735</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45735</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45735</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45735</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45735</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45735</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45735</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45735</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45735</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45735</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45735</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45735</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45735</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45735</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45735</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45735</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45735</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45735</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45735</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45735</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45735</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45735</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45735</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45735</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45735</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45735</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45735</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45735</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45735</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45735</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45735</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45735</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45735</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45735</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45735</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45735</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45735</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45735</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45735</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45735</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45735</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45735</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45735</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45735</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45735</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45735</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45735</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45735</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45735</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45735</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45735</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45735</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45735</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45735</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45735</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45735</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45735</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45735</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45735</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45735</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45735</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45735</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45735</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45735</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45735</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45735</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45735</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45735</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45735</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45735</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45735</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45735</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45735</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45735</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45735</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45735</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45735</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45735</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45735</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45735</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45735</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45735</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45735</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45735</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45735</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45735</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45735</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45735</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45735</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45735</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45735</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45735</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45735</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45735</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45735</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45735</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45735</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45735</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45735</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45735</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45735</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45735</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45735</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45735</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45735</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45735</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45735</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45735</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45735</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45735</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45735</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45735</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45735</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45735</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45735</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45735</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45735</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45735</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45735</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45735</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45735</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45735</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45735</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45735</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45735</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45735</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45735</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45735</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45735</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45735</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45735</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45735</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45735</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45735</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45735</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45735</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45735</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45735</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45735</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45735</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45735</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45735</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45735</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45735</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45735</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45735</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45735</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45735</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45735</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45735</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45735</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45735</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45735</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45735</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45735</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45735</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45735</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45735</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45735</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45735</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45735</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45735</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45735</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45735</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45735</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45735</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45735</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45735</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45735</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45735</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45735</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45735</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45735</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45735</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45735</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45735</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45735</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45735</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45735</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45735</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45735</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45735</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45735</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45735</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45735</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45735</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45735</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45735</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45735</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45735</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45735</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45735</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45735</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45735</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45735</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45735</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45735</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45735</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45735</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45735</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45735</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45735</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45735</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45735</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45735</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45735</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45735</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45735</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45735</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45735</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45735</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45735</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45735</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45735</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45735</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45735</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45735</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45735</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45735</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45735</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45735</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45735</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45735</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45735</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45735</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45735</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45735</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45735</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45735</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45735</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45735</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45735</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45735</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45735</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45735</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45735</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45735</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45735</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45735</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45735</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45735</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45735</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45735</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45735</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45735</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45735</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45735</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45735</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45735</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45735</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45735</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45735</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45735</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45735</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45735</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45735</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45735</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45735</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45735</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45735</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45735</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45735</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45735</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45735</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45735</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45735</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45735</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45735</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45735</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45735</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45735</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45735</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45735</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45735</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45735</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45735</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45735</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45735</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45735</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45735</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45735</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45735</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45735</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45735</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45735</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45735</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45735</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45735</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45735</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45735</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45735</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45735</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45735</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45735</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45735</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45735</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45735</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45735</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45735</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45735</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45735</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45735</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45735</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45735</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45735</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45735</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45735</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45735</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45735</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45735</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45735</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45735</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45735</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45735</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45735</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45735</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45735</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45735</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45735</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45735</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45735</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45735</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45735</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45735</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45735</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45735</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45735</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45735</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45735</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45735</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45735</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45735</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45735</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45735</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45735</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45735</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45735</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45735</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45735</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45735</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45735</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45735</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45735</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45735</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45735</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45735</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45735</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45735</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45735</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45735</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45735</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45735</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45735</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45735</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45735</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45735</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45735</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45735</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45735</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45735</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45735</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45735</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45735</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45735</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45735</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45735</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45735</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45735</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45735</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45735</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45735</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45735</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45735</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45735</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45735</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45735</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45735</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45735</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45735</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45735</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45735</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45735</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45735</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45735</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45735</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45735</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45735</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45735</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45735</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45735</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45735</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45735</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45735</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45735</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45735</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45735</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45735</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45735</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45735</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45735</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45735</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45735</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45735</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45735</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45735</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45735</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45735</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45735</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45735</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45735</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45735</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45735</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45735</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45735</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45735</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45735</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45735</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45735</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45735</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45735</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45735</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45735</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45735</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45735</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45735</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45735</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45735</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45735</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45735</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45735</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45735</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45735</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45735</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45735</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45735</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45735</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45735</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45735</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45735</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45735</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45735</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45735</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45735</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45735</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45735</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45735</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45735</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45735</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45735</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45735</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45735</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45735</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45735</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45735</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45735</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45735</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45735</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45735</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45735</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45735</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45735</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45735</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45735</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45735</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45735</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45735</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45735</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45735</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45735</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45735</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45735</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45735</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45735</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45735</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45735</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45735</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45735</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45735</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45735</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45735</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45735</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45735</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45735</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45735</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45735</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45735</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45735</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45735</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45735</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45735</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45735</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45735</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45735</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45735</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45735</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45735</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45735</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45735</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45735</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45735</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45735</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45735</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45735</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45735</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45735</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45735</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45735</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45735</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45735</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45735</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45735</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45735</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45735</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45735</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45735</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45735</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45735</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45735</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45735</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45735</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45735</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45735</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45735</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45735</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45735</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45735</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45735</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45735</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45735</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45735</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45735</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45735</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45735</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45735</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45735</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45735</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45735</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45735</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45735</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45735</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45735</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45735</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45735</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45735</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45735</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45735</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45735</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45735</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45735</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45735</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45735</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45735</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45735</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45735</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45735</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45735</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45735</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45735</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45735</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45735</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45735</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45735</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45735</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45735</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45735</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45735</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45735</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45735</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45735</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45735</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45735</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45735</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45735</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45735</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45735</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45735</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45735</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45735</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45735</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45735</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45735</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45735</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45735</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45735</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45735</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45735</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45735</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45735</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45735</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45735</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45735</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45735</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45735</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45735</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45735</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45735</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45735</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45735</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45735</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45735</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45735</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45735</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45735</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45735</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45735</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45735</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45735</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45735</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45735</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45735</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45735</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45735</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45735</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45735</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45735</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45735</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45735</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45735</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45735</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45735</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45735</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45735</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45735</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45735</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45735</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45735</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45735</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45735</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45735</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45735</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45735</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45735</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45735</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45735</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45735</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45735</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45735</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45735</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45735</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45735</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45735</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45735</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45735</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45735</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45735</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45735</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45735</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45735</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45735</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45735</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45735</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45735</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45735</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45735</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45735</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45735</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45735</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45735</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45735</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45735</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45735</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45735</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45735</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45735</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45735</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45735</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45735</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45735</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45735</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45735</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45735</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45735</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45735</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45735</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45735</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45735</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45735</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45735</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45735</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45735</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45735</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45735</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45735</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45735</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45735</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45735</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45735</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45735</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45735</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45735</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45735</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45735</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45735</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45735</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45735</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45735</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45735</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45735</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45735</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45735</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45735</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45735</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45735</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45735</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45735</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45735</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45735</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45735</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45735</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45735</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45735</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45735</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45735</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45735</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45735</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45735</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45735</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45735</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45735</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45735</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45735</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45735</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45735</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45735</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45735</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45735</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45735</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45735</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45735</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45735</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45735</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45735</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45735</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45735</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45735</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45735</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45735</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45735</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45735</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45735</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45735</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45735</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45735</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45735</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45735</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45735</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45735</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45735</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45735</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45735</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45735</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45735</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45735</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45735</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45735</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45735</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45735</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45735</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45735</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45735</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45735</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45735</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5254-2025</t>
        </is>
      </c>
      <c r="B1360" s="1" t="n">
        <v>45692</v>
      </c>
      <c r="C1360" s="1" t="n">
        <v>45735</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45735</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45735</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45735</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5962-2025</t>
        </is>
      </c>
      <c r="B1364" s="1" t="n">
        <v>45695</v>
      </c>
      <c r="C1364" s="1" t="n">
        <v>45735</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6039-2025</t>
        </is>
      </c>
      <c r="B1365" s="1" t="n">
        <v>45695</v>
      </c>
      <c r="C1365" s="1" t="n">
        <v>45735</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6046-2025</t>
        </is>
      </c>
      <c r="B1366" s="1" t="n">
        <v>45695</v>
      </c>
      <c r="C1366" s="1" t="n">
        <v>45735</v>
      </c>
      <c r="D1366" t="inlineStr">
        <is>
          <t>UPPSALA LÄN</t>
        </is>
      </c>
      <c r="E1366" t="inlineStr">
        <is>
          <t>ÖSTHAMMAR</t>
        </is>
      </c>
      <c r="G1366" t="n">
        <v>0.8</v>
      </c>
      <c r="H1366" t="n">
        <v>0</v>
      </c>
      <c r="I1366" t="n">
        <v>0</v>
      </c>
      <c r="J1366" t="n">
        <v>0</v>
      </c>
      <c r="K1366" t="n">
        <v>0</v>
      </c>
      <c r="L1366" t="n">
        <v>0</v>
      </c>
      <c r="M1366" t="n">
        <v>0</v>
      </c>
      <c r="N1366" t="n">
        <v>0</v>
      </c>
      <c r="O1366" t="n">
        <v>0</v>
      </c>
      <c r="P1366" t="n">
        <v>0</v>
      </c>
      <c r="Q1366" t="n">
        <v>0</v>
      </c>
      <c r="R1366" s="2" t="inlineStr"/>
      <c r="U1366">
        <f>HYPERLINK("https://klasma.github.io/Logging_0382/knärot/A 6046-2025 karta knärot.png", "A 6046-2025")</f>
        <v/>
      </c>
      <c r="V1366">
        <f>HYPERLINK("https://klasma.github.io/Logging_0382/klagomål/A 6046-2025 FSC-klagomål.docx", "A 6046-2025")</f>
        <v/>
      </c>
      <c r="W1366">
        <f>HYPERLINK("https://klasma.github.io/Logging_0382/klagomålsmail/A 6046-2025 FSC-klagomål mail.docx", "A 6046-2025")</f>
        <v/>
      </c>
      <c r="X1366">
        <f>HYPERLINK("https://klasma.github.io/Logging_0382/tillsyn/A 6046-2025 tillsynsbegäran.docx", "A 6046-2025")</f>
        <v/>
      </c>
      <c r="Y1366">
        <f>HYPERLINK("https://klasma.github.io/Logging_0382/tillsynsmail/A 6046-2025 tillsynsbegäran mail.docx", "A 6046-2025")</f>
        <v/>
      </c>
    </row>
    <row r="1367" ht="15" customHeight="1">
      <c r="A1367" t="inlineStr">
        <is>
          <t>A 6048-2025</t>
        </is>
      </c>
      <c r="B1367" s="1" t="n">
        <v>45695</v>
      </c>
      <c r="C1367" s="1" t="n">
        <v>45735</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6325-2025</t>
        </is>
      </c>
      <c r="B1368" s="1" t="n">
        <v>45698</v>
      </c>
      <c r="C1368" s="1" t="n">
        <v>45735</v>
      </c>
      <c r="D1368" t="inlineStr">
        <is>
          <t>UPPSALA LÄN</t>
        </is>
      </c>
      <c r="E1368" t="inlineStr">
        <is>
          <t>ÖSTHAMMAR</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6184-2025</t>
        </is>
      </c>
      <c r="B1369" s="1" t="n">
        <v>45698</v>
      </c>
      <c r="C1369" s="1" t="n">
        <v>45735</v>
      </c>
      <c r="D1369" t="inlineStr">
        <is>
          <t>UPPSALA LÄN</t>
        </is>
      </c>
      <c r="E1369" t="inlineStr">
        <is>
          <t>ÖSTHAMMAR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6327-2025</t>
        </is>
      </c>
      <c r="B1370" s="1" t="n">
        <v>45698</v>
      </c>
      <c r="C1370" s="1" t="n">
        <v>45735</v>
      </c>
      <c r="D1370" t="inlineStr">
        <is>
          <t>UPPSALA LÄN</t>
        </is>
      </c>
      <c r="E1370" t="inlineStr">
        <is>
          <t>ÖSTHAMMAR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6537-2025</t>
        </is>
      </c>
      <c r="B1371" s="1" t="n">
        <v>45699</v>
      </c>
      <c r="C1371" s="1" t="n">
        <v>45735</v>
      </c>
      <c r="D1371" t="inlineStr">
        <is>
          <t>UPPSALA LÄN</t>
        </is>
      </c>
      <c r="E1371" t="inlineStr">
        <is>
          <t>ÖSTHAMMAR</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6360-2025</t>
        </is>
      </c>
      <c r="B1372" s="1" t="n">
        <v>45699</v>
      </c>
      <c r="C1372" s="1" t="n">
        <v>45735</v>
      </c>
      <c r="D1372" t="inlineStr">
        <is>
          <t>UPPSALA LÄN</t>
        </is>
      </c>
      <c r="E1372" t="inlineStr">
        <is>
          <t>ÖSTHAMMAR</t>
        </is>
      </c>
      <c r="F1372" t="inlineStr">
        <is>
          <t>Bergvik skog öst AB</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6548-2025</t>
        </is>
      </c>
      <c r="B1373" s="1" t="n">
        <v>45699</v>
      </c>
      <c r="C1373" s="1" t="n">
        <v>45735</v>
      </c>
      <c r="D1373" t="inlineStr">
        <is>
          <t>UPPSALA LÄN</t>
        </is>
      </c>
      <c r="E1373" t="inlineStr">
        <is>
          <t>ÖSTHAMMAR</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6552-2025</t>
        </is>
      </c>
      <c r="B1374" s="1" t="n">
        <v>45699</v>
      </c>
      <c r="C1374" s="1" t="n">
        <v>45735</v>
      </c>
      <c r="D1374" t="inlineStr">
        <is>
          <t>UPPSALA LÄN</t>
        </is>
      </c>
      <c r="E1374" t="inlineStr">
        <is>
          <t>ÖSTHAMMAR</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6543-2025</t>
        </is>
      </c>
      <c r="B1375" s="1" t="n">
        <v>45699</v>
      </c>
      <c r="C1375" s="1" t="n">
        <v>45735</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6359-2025</t>
        </is>
      </c>
      <c r="B1376" s="1" t="n">
        <v>45699</v>
      </c>
      <c r="C1376" s="1" t="n">
        <v>45735</v>
      </c>
      <c r="D1376" t="inlineStr">
        <is>
          <t>UPPSALA LÄN</t>
        </is>
      </c>
      <c r="E1376" t="inlineStr">
        <is>
          <t>ÖSTHAMMAR</t>
        </is>
      </c>
      <c r="F1376" t="inlineStr">
        <is>
          <t>Bergvik skog öst AB</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6343-2025</t>
        </is>
      </c>
      <c r="B1377" s="1" t="n">
        <v>45699</v>
      </c>
      <c r="C1377" s="1" t="n">
        <v>45735</v>
      </c>
      <c r="D1377" t="inlineStr">
        <is>
          <t>UPPSALA LÄN</t>
        </is>
      </c>
      <c r="E1377" t="inlineStr">
        <is>
          <t>ÖSTHAMMAR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45735</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45735</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45735</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45735</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8624-2025</t>
        </is>
      </c>
      <c r="B1382" s="1" t="n">
        <v>45711</v>
      </c>
      <c r="C1382" s="1" t="n">
        <v>45735</v>
      </c>
      <c r="D1382" t="inlineStr">
        <is>
          <t>UPPSALA LÄN</t>
        </is>
      </c>
      <c r="E1382" t="inlineStr">
        <is>
          <t>ÖSTHAMMAR</t>
        </is>
      </c>
      <c r="F1382" t="inlineStr">
        <is>
          <t>Bergvik skog väst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8623-2025</t>
        </is>
      </c>
      <c r="B1383" s="1" t="n">
        <v>45711</v>
      </c>
      <c r="C1383" s="1" t="n">
        <v>45735</v>
      </c>
      <c r="D1383" t="inlineStr">
        <is>
          <t>UPPSALA LÄN</t>
        </is>
      </c>
      <c r="E1383" t="inlineStr">
        <is>
          <t>ÖSTHAMMAR</t>
        </is>
      </c>
      <c r="F1383" t="inlineStr">
        <is>
          <t>Bergvik skog väst AB</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8626-2025</t>
        </is>
      </c>
      <c r="B1384" s="1" t="n">
        <v>45711</v>
      </c>
      <c r="C1384" s="1" t="n">
        <v>45735</v>
      </c>
      <c r="D1384" t="inlineStr">
        <is>
          <t>UPPSALA LÄN</t>
        </is>
      </c>
      <c r="E1384" t="inlineStr">
        <is>
          <t>ÖSTHAMMAR</t>
        </is>
      </c>
      <c r="F1384" t="inlineStr">
        <is>
          <t>Bergvik skog väst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8699-2025</t>
        </is>
      </c>
      <c r="B1385" s="1" t="n">
        <v>45712</v>
      </c>
      <c r="C1385" s="1" t="n">
        <v>45735</v>
      </c>
      <c r="D1385" t="inlineStr">
        <is>
          <t>UPPSALA LÄN</t>
        </is>
      </c>
      <c r="E1385" t="inlineStr">
        <is>
          <t>ÖSTHAMMAR</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8769-2025</t>
        </is>
      </c>
      <c r="B1386" s="1" t="n">
        <v>45712</v>
      </c>
      <c r="C1386" s="1" t="n">
        <v>45735</v>
      </c>
      <c r="D1386" t="inlineStr">
        <is>
          <t>UPPSALA LÄN</t>
        </is>
      </c>
      <c r="E1386" t="inlineStr">
        <is>
          <t>ÖSTHAMMAR</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8791-2025</t>
        </is>
      </c>
      <c r="B1387" s="1" t="n">
        <v>45712</v>
      </c>
      <c r="C1387" s="1" t="n">
        <v>45735</v>
      </c>
      <c r="D1387" t="inlineStr">
        <is>
          <t>UPPSALA LÄN</t>
        </is>
      </c>
      <c r="E1387" t="inlineStr">
        <is>
          <t>ÖSTHAMMAR</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8763-2025</t>
        </is>
      </c>
      <c r="B1388" s="1" t="n">
        <v>45712</v>
      </c>
      <c r="C1388" s="1" t="n">
        <v>45735</v>
      </c>
      <c r="D1388" t="inlineStr">
        <is>
          <t>UPPSALA LÄN</t>
        </is>
      </c>
      <c r="E1388" t="inlineStr">
        <is>
          <t>ÖSTHAMMAR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8904-2025</t>
        </is>
      </c>
      <c r="B1389" s="1" t="n">
        <v>45713</v>
      </c>
      <c r="C1389" s="1" t="n">
        <v>45735</v>
      </c>
      <c r="D1389" t="inlineStr">
        <is>
          <t>UPPSALA LÄN</t>
        </is>
      </c>
      <c r="E1389" t="inlineStr">
        <is>
          <t>ÖSTHAMMAR</t>
        </is>
      </c>
      <c r="F1389" t="inlineStr">
        <is>
          <t>Bergvik skog öst AB</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8908-2025</t>
        </is>
      </c>
      <c r="B1390" s="1" t="n">
        <v>45713</v>
      </c>
      <c r="C1390" s="1" t="n">
        <v>45735</v>
      </c>
      <c r="D1390" t="inlineStr">
        <is>
          <t>UPPSALA LÄN</t>
        </is>
      </c>
      <c r="E1390" t="inlineStr">
        <is>
          <t>ÖSTHAMMAR</t>
        </is>
      </c>
      <c r="F1390" t="inlineStr">
        <is>
          <t>Bergvik skog öst AB</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8902-2025</t>
        </is>
      </c>
      <c r="B1391" s="1" t="n">
        <v>45713</v>
      </c>
      <c r="C1391" s="1" t="n">
        <v>45735</v>
      </c>
      <c r="D1391" t="inlineStr">
        <is>
          <t>UPPSALA LÄN</t>
        </is>
      </c>
      <c r="E1391" t="inlineStr">
        <is>
          <t>ÖSTHAMMAR</t>
        </is>
      </c>
      <c r="F1391" t="inlineStr">
        <is>
          <t>Bergvik skog öst AB</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8874-2025</t>
        </is>
      </c>
      <c r="B1392" s="1" t="n">
        <v>45713</v>
      </c>
      <c r="C1392" s="1" t="n">
        <v>45735</v>
      </c>
      <c r="D1392" t="inlineStr">
        <is>
          <t>UPPSALA LÄN</t>
        </is>
      </c>
      <c r="E1392" t="inlineStr">
        <is>
          <t>ÖSTHAMMAR</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9121-2025</t>
        </is>
      </c>
      <c r="B1393" s="1" t="n">
        <v>45713</v>
      </c>
      <c r="C1393" s="1" t="n">
        <v>45735</v>
      </c>
      <c r="D1393" t="inlineStr">
        <is>
          <t>UPPSALA LÄN</t>
        </is>
      </c>
      <c r="E1393" t="inlineStr">
        <is>
          <t>ÖSTHAMMAR</t>
        </is>
      </c>
      <c r="F1393" t="inlineStr">
        <is>
          <t>Bergvik skog öst AB</t>
        </is>
      </c>
      <c r="G1393" t="n">
        <v>14.6</v>
      </c>
      <c r="H1393" t="n">
        <v>0</v>
      </c>
      <c r="I1393" t="n">
        <v>0</v>
      </c>
      <c r="J1393" t="n">
        <v>0</v>
      </c>
      <c r="K1393" t="n">
        <v>0</v>
      </c>
      <c r="L1393" t="n">
        <v>0</v>
      </c>
      <c r="M1393" t="n">
        <v>0</v>
      </c>
      <c r="N1393" t="n">
        <v>0</v>
      </c>
      <c r="O1393" t="n">
        <v>0</v>
      </c>
      <c r="P1393" t="n">
        <v>0</v>
      </c>
      <c r="Q1393" t="n">
        <v>0</v>
      </c>
      <c r="R1393" s="2" t="inlineStr"/>
    </row>
    <row r="1394" ht="15" customHeight="1">
      <c r="A1394" t="inlineStr">
        <is>
          <t>A 9304-2025</t>
        </is>
      </c>
      <c r="B1394" s="1" t="n">
        <v>45714</v>
      </c>
      <c r="C1394" s="1" t="n">
        <v>45735</v>
      </c>
      <c r="D1394" t="inlineStr">
        <is>
          <t>UPPSALA LÄN</t>
        </is>
      </c>
      <c r="E1394" t="inlineStr">
        <is>
          <t>ÖSTHAMMAR</t>
        </is>
      </c>
      <c r="F1394" t="inlineStr">
        <is>
          <t>Bergvik skog öst AB</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9303-2025</t>
        </is>
      </c>
      <c r="B1395" s="1" t="n">
        <v>45714</v>
      </c>
      <c r="C1395" s="1" t="n">
        <v>45735</v>
      </c>
      <c r="D1395" t="inlineStr">
        <is>
          <t>UPPSALA LÄN</t>
        </is>
      </c>
      <c r="E1395" t="inlineStr">
        <is>
          <t>ÖSTHAMMAR</t>
        </is>
      </c>
      <c r="F1395" t="inlineStr">
        <is>
          <t>Bergvik skog öst AB</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9307-2025</t>
        </is>
      </c>
      <c r="B1396" s="1" t="n">
        <v>45714</v>
      </c>
      <c r="C1396" s="1" t="n">
        <v>45735</v>
      </c>
      <c r="D1396" t="inlineStr">
        <is>
          <t>UPPSALA LÄN</t>
        </is>
      </c>
      <c r="E1396" t="inlineStr">
        <is>
          <t>ÖSTHAMMAR</t>
        </is>
      </c>
      <c r="F1396" t="inlineStr">
        <is>
          <t>Bergvik skog öst AB</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9212-2025</t>
        </is>
      </c>
      <c r="B1397" s="1" t="n">
        <v>45714</v>
      </c>
      <c r="C1397" s="1" t="n">
        <v>45735</v>
      </c>
      <c r="D1397" t="inlineStr">
        <is>
          <t>UPPSALA LÄN</t>
        </is>
      </c>
      <c r="E1397" t="inlineStr">
        <is>
          <t>ÖSTHAMMAR</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9774-2025</t>
        </is>
      </c>
      <c r="B1398" s="1" t="n">
        <v>45716</v>
      </c>
      <c r="C1398" s="1" t="n">
        <v>45735</v>
      </c>
      <c r="D1398" t="inlineStr">
        <is>
          <t>UPPSALA LÄN</t>
        </is>
      </c>
      <c r="E1398" t="inlineStr">
        <is>
          <t>ÖSTHAMMAR</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9772-2025</t>
        </is>
      </c>
      <c r="B1399" s="1" t="n">
        <v>45716</v>
      </c>
      <c r="C1399" s="1" t="n">
        <v>45735</v>
      </c>
      <c r="D1399" t="inlineStr">
        <is>
          <t>UPPSALA LÄN</t>
        </is>
      </c>
      <c r="E1399" t="inlineStr">
        <is>
          <t>ÖSTHAMMAR</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10076-2025</t>
        </is>
      </c>
      <c r="B1400" s="1" t="n">
        <v>45719</v>
      </c>
      <c r="C1400" s="1" t="n">
        <v>45735</v>
      </c>
      <c r="D1400" t="inlineStr">
        <is>
          <t>UPPSALA LÄN</t>
        </is>
      </c>
      <c r="E1400" t="inlineStr">
        <is>
          <t>ÖSTHAMMAR</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10027-2025</t>
        </is>
      </c>
      <c r="B1401" s="1" t="n">
        <v>45719</v>
      </c>
      <c r="C1401" s="1" t="n">
        <v>45735</v>
      </c>
      <c r="D1401" t="inlineStr">
        <is>
          <t>UPPSALA LÄN</t>
        </is>
      </c>
      <c r="E1401" t="inlineStr">
        <is>
          <t>ÖSTHAMMAR</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10117-2025</t>
        </is>
      </c>
      <c r="B1402" s="1" t="n">
        <v>45719</v>
      </c>
      <c r="C1402" s="1" t="n">
        <v>45735</v>
      </c>
      <c r="D1402" t="inlineStr">
        <is>
          <t>UPPSALA LÄN</t>
        </is>
      </c>
      <c r="E1402" t="inlineStr">
        <is>
          <t>ÖSTHAMMAR</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10174-2025</t>
        </is>
      </c>
      <c r="B1403" s="1" t="n">
        <v>45719</v>
      </c>
      <c r="C1403" s="1" t="n">
        <v>45735</v>
      </c>
      <c r="D1403" t="inlineStr">
        <is>
          <t>UPPSALA LÄN</t>
        </is>
      </c>
      <c r="E1403" t="inlineStr">
        <is>
          <t>ÖSTHAMMAR</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10290-2025</t>
        </is>
      </c>
      <c r="B1404" s="1" t="n">
        <v>45720</v>
      </c>
      <c r="C1404" s="1" t="n">
        <v>45735</v>
      </c>
      <c r="D1404" t="inlineStr">
        <is>
          <t>UPPSALA LÄN</t>
        </is>
      </c>
      <c r="E1404" t="inlineStr">
        <is>
          <t>ÖSTHAMMAR</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10275-2025</t>
        </is>
      </c>
      <c r="B1405" s="1" t="n">
        <v>45720</v>
      </c>
      <c r="C1405" s="1" t="n">
        <v>45735</v>
      </c>
      <c r="D1405" t="inlineStr">
        <is>
          <t>UPPSALA LÄN</t>
        </is>
      </c>
      <c r="E1405" t="inlineStr">
        <is>
          <t>ÖSTHAMMAR</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10495-2025</t>
        </is>
      </c>
      <c r="B1406" s="1" t="n">
        <v>45721</v>
      </c>
      <c r="C1406" s="1" t="n">
        <v>45735</v>
      </c>
      <c r="D1406" t="inlineStr">
        <is>
          <t>UPPSALA LÄN</t>
        </is>
      </c>
      <c r="E1406" t="inlineStr">
        <is>
          <t>ÖSTHAMMAR</t>
        </is>
      </c>
      <c r="F1406" t="inlineStr">
        <is>
          <t>Sveaskog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10730-2025</t>
        </is>
      </c>
      <c r="B1407" s="1" t="n">
        <v>45722</v>
      </c>
      <c r="C1407" s="1" t="n">
        <v>45735</v>
      </c>
      <c r="D1407" t="inlineStr">
        <is>
          <t>UPPSALA LÄN</t>
        </is>
      </c>
      <c r="E1407" t="inlineStr">
        <is>
          <t>ÖSTHAMMAR</t>
        </is>
      </c>
      <c r="F1407" t="inlineStr">
        <is>
          <t>Bergvik skog öst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11255-2025</t>
        </is>
      </c>
      <c r="B1408" s="1" t="n">
        <v>45726</v>
      </c>
      <c r="C1408" s="1" t="n">
        <v>45735</v>
      </c>
      <c r="D1408" t="inlineStr">
        <is>
          <t>UPPSALA LÄN</t>
        </is>
      </c>
      <c r="E1408" t="inlineStr">
        <is>
          <t>ÖSTHAMMAR</t>
        </is>
      </c>
      <c r="F1408" t="inlineStr">
        <is>
          <t>Kyrkan</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11491-2025</t>
        </is>
      </c>
      <c r="B1409" s="1" t="n">
        <v>45726</v>
      </c>
      <c r="C1409" s="1" t="n">
        <v>45735</v>
      </c>
      <c r="D1409" t="inlineStr">
        <is>
          <t>UPPSALA LÄN</t>
        </is>
      </c>
      <c r="E1409" t="inlineStr">
        <is>
          <t>ÖSTHAMMAR</t>
        </is>
      </c>
      <c r="F1409" t="inlineStr">
        <is>
          <t>Bergvik skog öst AB</t>
        </is>
      </c>
      <c r="G1409" t="n">
        <v>24.4</v>
      </c>
      <c r="H1409" t="n">
        <v>0</v>
      </c>
      <c r="I1409" t="n">
        <v>0</v>
      </c>
      <c r="J1409" t="n">
        <v>0</v>
      </c>
      <c r="K1409" t="n">
        <v>0</v>
      </c>
      <c r="L1409" t="n">
        <v>0</v>
      </c>
      <c r="M1409" t="n">
        <v>0</v>
      </c>
      <c r="N1409" t="n">
        <v>0</v>
      </c>
      <c r="O1409" t="n">
        <v>0</v>
      </c>
      <c r="P1409" t="n">
        <v>0</v>
      </c>
      <c r="Q1409" t="n">
        <v>0</v>
      </c>
      <c r="R1409" s="2" t="inlineStr"/>
    </row>
    <row r="1410" ht="15" customHeight="1">
      <c r="A1410" t="inlineStr">
        <is>
          <t>A 11612-2025</t>
        </is>
      </c>
      <c r="B1410" s="1" t="n">
        <v>45727</v>
      </c>
      <c r="C1410" s="1" t="n">
        <v>45735</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12340-2025</t>
        </is>
      </c>
      <c r="B1411" s="1" t="n">
        <v>45730</v>
      </c>
      <c r="C1411" s="1" t="n">
        <v>45735</v>
      </c>
      <c r="D1411" t="inlineStr">
        <is>
          <t>UPPSALA LÄN</t>
        </is>
      </c>
      <c r="E1411" t="inlineStr">
        <is>
          <t>ÖSTHAMMAR</t>
        </is>
      </c>
      <c r="F1411" t="inlineStr">
        <is>
          <t>Bergvik skog öst AB</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12592-2025</t>
        </is>
      </c>
      <c r="B1412" s="1" t="n">
        <v>45732</v>
      </c>
      <c r="C1412" s="1" t="n">
        <v>45735</v>
      </c>
      <c r="D1412" t="inlineStr">
        <is>
          <t>UPPSALA LÄN</t>
        </is>
      </c>
      <c r="E1412" t="inlineStr">
        <is>
          <t>ÖSTHAMMAR</t>
        </is>
      </c>
      <c r="F1412" t="inlineStr">
        <is>
          <t>Bergvik skog öst AB</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12591-2025</t>
        </is>
      </c>
      <c r="B1413" s="1" t="n">
        <v>45732</v>
      </c>
      <c r="C1413" s="1" t="n">
        <v>45735</v>
      </c>
      <c r="D1413" t="inlineStr">
        <is>
          <t>UPPSALA LÄN</t>
        </is>
      </c>
      <c r="E1413" t="inlineStr">
        <is>
          <t>ÖSTHAMMAR</t>
        </is>
      </c>
      <c r="F1413" t="inlineStr">
        <is>
          <t>Bergvik skog öst AB</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12903-2025</t>
        </is>
      </c>
      <c r="B1414" s="1" t="n">
        <v>45733</v>
      </c>
      <c r="C1414" s="1" t="n">
        <v>45735</v>
      </c>
      <c r="D1414" t="inlineStr">
        <is>
          <t>UPPSALA LÄN</t>
        </is>
      </c>
      <c r="E1414" t="inlineStr">
        <is>
          <t>ÖSTHAMMAR</t>
        </is>
      </c>
      <c r="F1414" t="inlineStr">
        <is>
          <t>Bergvik skog öst AB</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12654-2025</t>
        </is>
      </c>
      <c r="B1415" s="1" t="n">
        <v>45733</v>
      </c>
      <c r="C1415" s="1" t="n">
        <v>45735</v>
      </c>
      <c r="D1415" t="inlineStr">
        <is>
          <t>UPPSALA LÄN</t>
        </is>
      </c>
      <c r="E1415" t="inlineStr">
        <is>
          <t>ÖSTHAMMAR</t>
        </is>
      </c>
      <c r="G1415" t="n">
        <v>9.9</v>
      </c>
      <c r="H1415" t="n">
        <v>0</v>
      </c>
      <c r="I1415" t="n">
        <v>0</v>
      </c>
      <c r="J1415" t="n">
        <v>0</v>
      </c>
      <c r="K1415" t="n">
        <v>0</v>
      </c>
      <c r="L1415" t="n">
        <v>0</v>
      </c>
      <c r="M1415" t="n">
        <v>0</v>
      </c>
      <c r="N1415" t="n">
        <v>0</v>
      </c>
      <c r="O1415" t="n">
        <v>0</v>
      </c>
      <c r="P1415" t="n">
        <v>0</v>
      </c>
      <c r="Q1415" t="n">
        <v>0</v>
      </c>
      <c r="R1415" s="2" t="inlineStr"/>
    </row>
    <row r="1416" ht="15" customHeight="1">
      <c r="A1416" t="inlineStr">
        <is>
          <t>A 12904-2025</t>
        </is>
      </c>
      <c r="B1416" s="1" t="n">
        <v>45733</v>
      </c>
      <c r="C1416" s="1" t="n">
        <v>45735</v>
      </c>
      <c r="D1416" t="inlineStr">
        <is>
          <t>UPPSALA LÄN</t>
        </is>
      </c>
      <c r="E1416" t="inlineStr">
        <is>
          <t>ÖSTHAMMAR</t>
        </is>
      </c>
      <c r="F1416" t="inlineStr">
        <is>
          <t>Bergvik skog öst AB</t>
        </is>
      </c>
      <c r="G1416" t="n">
        <v>2.4</v>
      </c>
      <c r="H1416" t="n">
        <v>0</v>
      </c>
      <c r="I1416" t="n">
        <v>0</v>
      </c>
      <c r="J1416" t="n">
        <v>0</v>
      </c>
      <c r="K1416" t="n">
        <v>0</v>
      </c>
      <c r="L1416" t="n">
        <v>0</v>
      </c>
      <c r="M1416" t="n">
        <v>0</v>
      </c>
      <c r="N1416" t="n">
        <v>0</v>
      </c>
      <c r="O1416" t="n">
        <v>0</v>
      </c>
      <c r="P1416" t="n">
        <v>0</v>
      </c>
      <c r="Q1416" t="n">
        <v>0</v>
      </c>
      <c r="R1416" s="2" t="inlineStr"/>
    </row>
    <row r="1417">
      <c r="A1417" t="inlineStr">
        <is>
          <t>A 12945-2025</t>
        </is>
      </c>
      <c r="B1417" s="1" t="n">
        <v>45734</v>
      </c>
      <c r="C1417" s="1" t="n">
        <v>45735</v>
      </c>
      <c r="D1417" t="inlineStr">
        <is>
          <t>UPPSALA LÄN</t>
        </is>
      </c>
      <c r="E1417" t="inlineStr">
        <is>
          <t>ÖSTHAMMAR</t>
        </is>
      </c>
      <c r="G1417" t="n">
        <v>2.1</v>
      </c>
      <c r="H1417" t="n">
        <v>0</v>
      </c>
      <c r="I1417" t="n">
        <v>0</v>
      </c>
      <c r="J1417" t="n">
        <v>0</v>
      </c>
      <c r="K1417" t="n">
        <v>0</v>
      </c>
      <c r="L1417" t="n">
        <v>0</v>
      </c>
      <c r="M1417" t="n">
        <v>0</v>
      </c>
      <c r="N1417" t="n">
        <v>0</v>
      </c>
      <c r="O1417" t="n">
        <v>0</v>
      </c>
      <c r="P1417" t="n">
        <v>0</v>
      </c>
      <c r="Q1417" t="n">
        <v>0</v>
      </c>
      <c r="R1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2025-03-19T17:27:13Z</dcterms:created>
  <dcterms:modified xmlns:dcterms="http://purl.org/dc/terms/" xmlns:xsi="http://www.w3.org/2001/XMLSchema-instance" xsi:type="dcterms:W3CDTF">2025-03-19T17:27:14Z</dcterms:modified>
</cp:coreProperties>
</file>