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45362</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45362</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45362</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45362</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45362</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45362</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45362</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45362</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45362</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45362</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45362</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45362</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45362</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45362</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45362</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45362</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45362</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56952-2023</t>
        </is>
      </c>
      <c r="B21" s="1" t="n">
        <v>45244</v>
      </c>
      <c r="C21" s="1" t="n">
        <v>45362</v>
      </c>
      <c r="D21" t="inlineStr">
        <is>
          <t>UPPSALA LÄN</t>
        </is>
      </c>
      <c r="E21" t="inlineStr">
        <is>
          <t>ÖSTHAMMAR</t>
        </is>
      </c>
      <c r="G21" t="n">
        <v>4.2</v>
      </c>
      <c r="H21" t="n">
        <v>2</v>
      </c>
      <c r="I21" t="n">
        <v>1</v>
      </c>
      <c r="J21" t="n">
        <v>4</v>
      </c>
      <c r="K21" t="n">
        <v>1</v>
      </c>
      <c r="L21" t="n">
        <v>0</v>
      </c>
      <c r="M21" t="n">
        <v>0</v>
      </c>
      <c r="N21" t="n">
        <v>0</v>
      </c>
      <c r="O21" t="n">
        <v>5</v>
      </c>
      <c r="P21" t="n">
        <v>1</v>
      </c>
      <c r="Q21" t="n">
        <v>6</v>
      </c>
      <c r="R21" s="2" t="inlineStr">
        <is>
          <t>Knärot
Garnlav
Granticka
Spillkråka
Tallticka
Blodticka</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1303-2024</t>
        </is>
      </c>
      <c r="B22" s="1" t="n">
        <v>45303</v>
      </c>
      <c r="C22" s="1" t="n">
        <v>45362</v>
      </c>
      <c r="D22" t="inlineStr">
        <is>
          <t>UPPSALA LÄN</t>
        </is>
      </c>
      <c r="E22" t="inlineStr">
        <is>
          <t>ÖSTHAMMAR</t>
        </is>
      </c>
      <c r="F22" t="inlineStr">
        <is>
          <t>Övriga Aktiebolag</t>
        </is>
      </c>
      <c r="G22" t="n">
        <v>19.5</v>
      </c>
      <c r="H22" t="n">
        <v>2</v>
      </c>
      <c r="I22" t="n">
        <v>3</v>
      </c>
      <c r="J22" t="n">
        <v>1</v>
      </c>
      <c r="K22" t="n">
        <v>0</v>
      </c>
      <c r="L22" t="n">
        <v>0</v>
      </c>
      <c r="M22" t="n">
        <v>0</v>
      </c>
      <c r="N22" t="n">
        <v>0</v>
      </c>
      <c r="O22" t="n">
        <v>1</v>
      </c>
      <c r="P22" t="n">
        <v>0</v>
      </c>
      <c r="Q22" t="n">
        <v>6</v>
      </c>
      <c r="R22" s="2" t="inlineStr">
        <is>
          <t>Dofttaggsvamp
Kamjordstjärna
Rödgul trumpetsvamp
Vårärt
Blåsippa
Revlummer</t>
        </is>
      </c>
      <c r="S22">
        <f>HYPERLINK("https://klasma.github.io/Logging_0382/artfynd/A 1303-2024 artfynd.xlsx", "A 1303-2024")</f>
        <v/>
      </c>
      <c r="T22">
        <f>HYPERLINK("https://klasma.github.io/Logging_0382/kartor/A 1303-2024 karta.png", "A 1303-2024")</f>
        <v/>
      </c>
      <c r="V22">
        <f>HYPERLINK("https://klasma.github.io/Logging_0382/klagomål/A 1303-2024 FSC-klagomål.docx", "A 1303-2024")</f>
        <v/>
      </c>
      <c r="W22">
        <f>HYPERLINK("https://klasma.github.io/Logging_0382/klagomålsmail/A 1303-2024 FSC-klagomål mail.docx", "A 1303-2024")</f>
        <v/>
      </c>
      <c r="X22">
        <f>HYPERLINK("https://klasma.github.io/Logging_0382/tillsyn/A 1303-2024 tillsynsbegäran.docx", "A 1303-2024")</f>
        <v/>
      </c>
      <c r="Y22">
        <f>HYPERLINK("https://klasma.github.io/Logging_0382/tillsynsmail/A 1303-2024 tillsynsbegäran mail.docx", "A 1303-2024")</f>
        <v/>
      </c>
    </row>
    <row r="23" ht="15" customHeight="1">
      <c r="A23" t="inlineStr">
        <is>
          <t>A 70575-2018</t>
        </is>
      </c>
      <c r="B23" s="1" t="n">
        <v>43447</v>
      </c>
      <c r="C23" s="1" t="n">
        <v>45362</v>
      </c>
      <c r="D23" t="inlineStr">
        <is>
          <t>UPPSALA LÄN</t>
        </is>
      </c>
      <c r="E23" t="inlineStr">
        <is>
          <t>ÖSTHAMMAR</t>
        </is>
      </c>
      <c r="G23" t="n">
        <v>2.4</v>
      </c>
      <c r="H23" t="n">
        <v>3</v>
      </c>
      <c r="I23" t="n">
        <v>0</v>
      </c>
      <c r="J23" t="n">
        <v>3</v>
      </c>
      <c r="K23" t="n">
        <v>0</v>
      </c>
      <c r="L23" t="n">
        <v>1</v>
      </c>
      <c r="M23" t="n">
        <v>0</v>
      </c>
      <c r="N23" t="n">
        <v>0</v>
      </c>
      <c r="O23" t="n">
        <v>4</v>
      </c>
      <c r="P23" t="n">
        <v>1</v>
      </c>
      <c r="Q23" t="n">
        <v>5</v>
      </c>
      <c r="R23" s="2" t="inlineStr">
        <is>
          <t>Ask
Gultoppig fingersvamp
Spillkråka
Talltita
Blåsippa</t>
        </is>
      </c>
      <c r="S23">
        <f>HYPERLINK("https://klasma.github.io/Logging_0382/artfynd/A 70575-2018 artfynd.xlsx", "A 70575-2018")</f>
        <v/>
      </c>
      <c r="T23">
        <f>HYPERLINK("https://klasma.github.io/Logging_0382/kartor/A 70575-2018 karta.png", "A 70575-2018")</f>
        <v/>
      </c>
      <c r="V23">
        <f>HYPERLINK("https://klasma.github.io/Logging_0382/klagomål/A 70575-2018 FSC-klagomål.docx", "A 70575-2018")</f>
        <v/>
      </c>
      <c r="W23">
        <f>HYPERLINK("https://klasma.github.io/Logging_0382/klagomålsmail/A 70575-2018 FSC-klagomål mail.docx", "A 70575-2018")</f>
        <v/>
      </c>
      <c r="X23">
        <f>HYPERLINK("https://klasma.github.io/Logging_0382/tillsyn/A 70575-2018 tillsynsbegäran.docx", "A 70575-2018")</f>
        <v/>
      </c>
      <c r="Y23">
        <f>HYPERLINK("https://klasma.github.io/Logging_0382/tillsynsmail/A 70575-2018 tillsynsbegäran mail.docx", "A 70575-2018")</f>
        <v/>
      </c>
      <c r="Z23">
        <f>HYPERLINK("https://klasma.github.io/Logging_0382/fåglar/A 70575-2018 prioriterade fågelarter.docx", "A 70575-2018")</f>
        <v/>
      </c>
    </row>
    <row r="24" ht="15" customHeight="1">
      <c r="A24" t="inlineStr">
        <is>
          <t>A 15023-2019</t>
        </is>
      </c>
      <c r="B24" s="1" t="n">
        <v>43538</v>
      </c>
      <c r="C24" s="1" t="n">
        <v>45362</v>
      </c>
      <c r="D24" t="inlineStr">
        <is>
          <t>UPPSALA LÄN</t>
        </is>
      </c>
      <c r="E24" t="inlineStr">
        <is>
          <t>ÖSTHAMMAR</t>
        </is>
      </c>
      <c r="G24" t="n">
        <v>5</v>
      </c>
      <c r="H24" t="n">
        <v>3</v>
      </c>
      <c r="I24" t="n">
        <v>2</v>
      </c>
      <c r="J24" t="n">
        <v>1</v>
      </c>
      <c r="K24" t="n">
        <v>1</v>
      </c>
      <c r="L24" t="n">
        <v>0</v>
      </c>
      <c r="M24" t="n">
        <v>0</v>
      </c>
      <c r="N24" t="n">
        <v>0</v>
      </c>
      <c r="O24" t="n">
        <v>2</v>
      </c>
      <c r="P24" t="n">
        <v>1</v>
      </c>
      <c r="Q24" t="n">
        <v>5</v>
      </c>
      <c r="R24" s="2" t="inlineStr">
        <is>
          <t>Knottblomster
Majviva
Axag
Flugblomster
Fläcknycklar</t>
        </is>
      </c>
      <c r="S24">
        <f>HYPERLINK("https://klasma.github.io/Logging_0382/artfynd/A 15023-2019 artfynd.xlsx", "A 15023-2019")</f>
        <v/>
      </c>
      <c r="T24">
        <f>HYPERLINK("https://klasma.github.io/Logging_0382/kartor/A 15023-2019 karta.png", "A 15023-2019")</f>
        <v/>
      </c>
      <c r="V24">
        <f>HYPERLINK("https://klasma.github.io/Logging_0382/klagomål/A 15023-2019 FSC-klagomål.docx", "A 15023-2019")</f>
        <v/>
      </c>
      <c r="W24">
        <f>HYPERLINK("https://klasma.github.io/Logging_0382/klagomålsmail/A 15023-2019 FSC-klagomål mail.docx", "A 15023-2019")</f>
        <v/>
      </c>
      <c r="X24">
        <f>HYPERLINK("https://klasma.github.io/Logging_0382/tillsyn/A 15023-2019 tillsynsbegäran.docx", "A 15023-2019")</f>
        <v/>
      </c>
      <c r="Y24">
        <f>HYPERLINK("https://klasma.github.io/Logging_0382/tillsynsmail/A 15023-2019 tillsynsbegäran mail.docx", "A 15023-2019")</f>
        <v/>
      </c>
    </row>
    <row r="25" ht="15" customHeight="1">
      <c r="A25" t="inlineStr">
        <is>
          <t>A 31098-2019</t>
        </is>
      </c>
      <c r="B25" s="1" t="n">
        <v>43635</v>
      </c>
      <c r="C25" s="1" t="n">
        <v>45362</v>
      </c>
      <c r="D25" t="inlineStr">
        <is>
          <t>UPPSALA LÄN</t>
        </is>
      </c>
      <c r="E25" t="inlineStr">
        <is>
          <t>ÖSTHAMMAR</t>
        </is>
      </c>
      <c r="F25" t="inlineStr">
        <is>
          <t>Övriga statliga verk och myndigheter</t>
        </is>
      </c>
      <c r="G25" t="n">
        <v>6.9</v>
      </c>
      <c r="H25" t="n">
        <v>5</v>
      </c>
      <c r="I25" t="n">
        <v>0</v>
      </c>
      <c r="J25" t="n">
        <v>5</v>
      </c>
      <c r="K25" t="n">
        <v>0</v>
      </c>
      <c r="L25" t="n">
        <v>0</v>
      </c>
      <c r="M25" t="n">
        <v>0</v>
      </c>
      <c r="N25" t="n">
        <v>0</v>
      </c>
      <c r="O25" t="n">
        <v>5</v>
      </c>
      <c r="P25" t="n">
        <v>0</v>
      </c>
      <c r="Q25" t="n">
        <v>5</v>
      </c>
      <c r="R25" s="2" t="inlineStr">
        <is>
          <t>Grönsångare
Rödvingetrast
Skrattmås
Svartvit flugsnappare
Ärtsångare</t>
        </is>
      </c>
      <c r="S25">
        <f>HYPERLINK("https://klasma.github.io/Logging_0382/artfynd/A 31098-2019 artfynd.xlsx", "A 31098-2019")</f>
        <v/>
      </c>
      <c r="T25">
        <f>HYPERLINK("https://klasma.github.io/Logging_0382/kartor/A 31098-2019 karta.png", "A 31098-2019")</f>
        <v/>
      </c>
      <c r="V25">
        <f>HYPERLINK("https://klasma.github.io/Logging_0382/klagomål/A 31098-2019 FSC-klagomål.docx", "A 31098-2019")</f>
        <v/>
      </c>
      <c r="W25">
        <f>HYPERLINK("https://klasma.github.io/Logging_0382/klagomålsmail/A 31098-2019 FSC-klagomål mail.docx", "A 31098-2019")</f>
        <v/>
      </c>
      <c r="X25">
        <f>HYPERLINK("https://klasma.github.io/Logging_0382/tillsyn/A 31098-2019 tillsynsbegäran.docx", "A 31098-2019")</f>
        <v/>
      </c>
      <c r="Y25">
        <f>HYPERLINK("https://klasma.github.io/Logging_0382/tillsynsmail/A 31098-2019 tillsynsbegäran mail.docx", "A 31098-2019")</f>
        <v/>
      </c>
      <c r="Z25">
        <f>HYPERLINK("https://klasma.github.io/Logging_0382/fåglar/A 31098-2019 prioriterade fågelarter.docx", "A 31098-2019")</f>
        <v/>
      </c>
    </row>
    <row r="26" ht="15" customHeight="1">
      <c r="A26" t="inlineStr">
        <is>
          <t>A 33096-2020</t>
        </is>
      </c>
      <c r="B26" s="1" t="n">
        <v>44021</v>
      </c>
      <c r="C26" s="1" t="n">
        <v>45362</v>
      </c>
      <c r="D26" t="inlineStr">
        <is>
          <t>UPPSALA LÄN</t>
        </is>
      </c>
      <c r="E26" t="inlineStr">
        <is>
          <t>ÖSTHAMMAR</t>
        </is>
      </c>
      <c r="G26" t="n">
        <v>1.9</v>
      </c>
      <c r="H26" t="n">
        <v>2</v>
      </c>
      <c r="I26" t="n">
        <v>1</v>
      </c>
      <c r="J26" t="n">
        <v>3</v>
      </c>
      <c r="K26" t="n">
        <v>1</v>
      </c>
      <c r="L26" t="n">
        <v>0</v>
      </c>
      <c r="M26" t="n">
        <v>0</v>
      </c>
      <c r="N26" t="n">
        <v>0</v>
      </c>
      <c r="O26" t="n">
        <v>4</v>
      </c>
      <c r="P26" t="n">
        <v>1</v>
      </c>
      <c r="Q26" t="n">
        <v>5</v>
      </c>
      <c r="R26" s="2" t="inlineStr">
        <is>
          <t>Knärot
Dofttaggsvamp
Gultoppig fingersvamp
Orange taggsvamp
Skogsknipprot</t>
        </is>
      </c>
      <c r="S26">
        <f>HYPERLINK("https://klasma.github.io/Logging_0382/artfynd/A 33096-2020 artfynd.xlsx", "A 33096-2020")</f>
        <v/>
      </c>
      <c r="T26">
        <f>HYPERLINK("https://klasma.github.io/Logging_0382/kartor/A 33096-2020 karta.png", "A 33096-2020")</f>
        <v/>
      </c>
      <c r="U26">
        <f>HYPERLINK("https://klasma.github.io/Logging_0382/knärot/A 33096-2020 karta knärot.png", "A 33096-2020")</f>
        <v/>
      </c>
      <c r="V26">
        <f>HYPERLINK("https://klasma.github.io/Logging_0382/klagomål/A 33096-2020 FSC-klagomål.docx", "A 33096-2020")</f>
        <v/>
      </c>
      <c r="W26">
        <f>HYPERLINK("https://klasma.github.io/Logging_0382/klagomålsmail/A 33096-2020 FSC-klagomål mail.docx", "A 33096-2020")</f>
        <v/>
      </c>
      <c r="X26">
        <f>HYPERLINK("https://klasma.github.io/Logging_0382/tillsyn/A 33096-2020 tillsynsbegäran.docx", "A 33096-2020")</f>
        <v/>
      </c>
      <c r="Y26">
        <f>HYPERLINK("https://klasma.github.io/Logging_0382/tillsynsmail/A 33096-2020 tillsynsbegäran mail.docx", "A 33096-2020")</f>
        <v/>
      </c>
    </row>
    <row r="27" ht="15" customHeight="1">
      <c r="A27" t="inlineStr">
        <is>
          <t>A 72667-2021</t>
        </is>
      </c>
      <c r="B27" s="1" t="n">
        <v>44546</v>
      </c>
      <c r="C27" s="1" t="n">
        <v>45362</v>
      </c>
      <c r="D27" t="inlineStr">
        <is>
          <t>UPPSALA LÄN</t>
        </is>
      </c>
      <c r="E27" t="inlineStr">
        <is>
          <t>ÖSTHAMMAR</t>
        </is>
      </c>
      <c r="G27" t="n">
        <v>1.2</v>
      </c>
      <c r="H27" t="n">
        <v>0</v>
      </c>
      <c r="I27" t="n">
        <v>4</v>
      </c>
      <c r="J27" t="n">
        <v>0</v>
      </c>
      <c r="K27" t="n">
        <v>1</v>
      </c>
      <c r="L27" t="n">
        <v>0</v>
      </c>
      <c r="M27" t="n">
        <v>0</v>
      </c>
      <c r="N27" t="n">
        <v>0</v>
      </c>
      <c r="O27" t="n">
        <v>1</v>
      </c>
      <c r="P27" t="n">
        <v>1</v>
      </c>
      <c r="Q27" t="n">
        <v>5</v>
      </c>
      <c r="R27" s="2" t="inlineStr">
        <is>
          <t>Duvspindling
Anisspindling
Olivspindling
Strimspindling
Svavelriska</t>
        </is>
      </c>
      <c r="S27">
        <f>HYPERLINK("https://klasma.github.io/Logging_0382/artfynd/A 72667-2021 artfynd.xlsx", "A 72667-2021")</f>
        <v/>
      </c>
      <c r="T27">
        <f>HYPERLINK("https://klasma.github.io/Logging_0382/kartor/A 72667-2021 karta.png", "A 72667-2021")</f>
        <v/>
      </c>
      <c r="V27">
        <f>HYPERLINK("https://klasma.github.io/Logging_0382/klagomål/A 72667-2021 FSC-klagomål.docx", "A 72667-2021")</f>
        <v/>
      </c>
      <c r="W27">
        <f>HYPERLINK("https://klasma.github.io/Logging_0382/klagomålsmail/A 72667-2021 FSC-klagomål mail.docx", "A 72667-2021")</f>
        <v/>
      </c>
      <c r="X27">
        <f>HYPERLINK("https://klasma.github.io/Logging_0382/tillsyn/A 72667-2021 tillsynsbegäran.docx", "A 72667-2021")</f>
        <v/>
      </c>
      <c r="Y27">
        <f>HYPERLINK("https://klasma.github.io/Logging_0382/tillsynsmail/A 72667-2021 tillsynsbegäran mail.docx", "A 72667-2021")</f>
        <v/>
      </c>
    </row>
    <row r="28" ht="15" customHeight="1">
      <c r="A28" t="inlineStr">
        <is>
          <t>A 74364-2021</t>
        </is>
      </c>
      <c r="B28" s="1" t="n">
        <v>44559</v>
      </c>
      <c r="C28" s="1" t="n">
        <v>45362</v>
      </c>
      <c r="D28" t="inlineStr">
        <is>
          <t>UPPSALA LÄN</t>
        </is>
      </c>
      <c r="E28" t="inlineStr">
        <is>
          <t>ÖSTHAMMAR</t>
        </is>
      </c>
      <c r="G28" t="n">
        <v>3.5</v>
      </c>
      <c r="H28" t="n">
        <v>3</v>
      </c>
      <c r="I28" t="n">
        <v>3</v>
      </c>
      <c r="J28" t="n">
        <v>0</v>
      </c>
      <c r="K28" t="n">
        <v>0</v>
      </c>
      <c r="L28" t="n">
        <v>0</v>
      </c>
      <c r="M28" t="n">
        <v>0</v>
      </c>
      <c r="N28" t="n">
        <v>0</v>
      </c>
      <c r="O28" t="n">
        <v>0</v>
      </c>
      <c r="P28" t="n">
        <v>0</v>
      </c>
      <c r="Q28" t="n">
        <v>5</v>
      </c>
      <c r="R28" s="2" t="inlineStr">
        <is>
          <t>Bronshjon
Skogsknipprot
Sårläka
Blåsippa
Lopplummer</t>
        </is>
      </c>
      <c r="S28">
        <f>HYPERLINK("https://klasma.github.io/Logging_0382/artfynd/A 74364-2021 artfynd.xlsx", "A 74364-2021")</f>
        <v/>
      </c>
      <c r="T28">
        <f>HYPERLINK("https://klasma.github.io/Logging_0382/kartor/A 74364-2021 karta.png", "A 74364-2021")</f>
        <v/>
      </c>
      <c r="V28">
        <f>HYPERLINK("https://klasma.github.io/Logging_0382/klagomål/A 74364-2021 FSC-klagomål.docx", "A 74364-2021")</f>
        <v/>
      </c>
      <c r="W28">
        <f>HYPERLINK("https://klasma.github.io/Logging_0382/klagomålsmail/A 74364-2021 FSC-klagomål mail.docx", "A 74364-2021")</f>
        <v/>
      </c>
      <c r="X28">
        <f>HYPERLINK("https://klasma.github.io/Logging_0382/tillsyn/A 74364-2021 tillsynsbegäran.docx", "A 74364-2021")</f>
        <v/>
      </c>
      <c r="Y28">
        <f>HYPERLINK("https://klasma.github.io/Logging_0382/tillsynsmail/A 74364-2021 tillsynsbegäran mail.docx", "A 74364-2021")</f>
        <v/>
      </c>
    </row>
    <row r="29" ht="15" customHeight="1">
      <c r="A29" t="inlineStr">
        <is>
          <t>A 1224-2022</t>
        </is>
      </c>
      <c r="B29" s="1" t="n">
        <v>44572</v>
      </c>
      <c r="C29" s="1" t="n">
        <v>45362</v>
      </c>
      <c r="D29" t="inlineStr">
        <is>
          <t>UPPSALA LÄN</t>
        </is>
      </c>
      <c r="E29" t="inlineStr">
        <is>
          <t>ÖSTHAMMAR</t>
        </is>
      </c>
      <c r="G29" t="n">
        <v>4.7</v>
      </c>
      <c r="H29" t="n">
        <v>2</v>
      </c>
      <c r="I29" t="n">
        <v>4</v>
      </c>
      <c r="J29" t="n">
        <v>0</v>
      </c>
      <c r="K29" t="n">
        <v>0</v>
      </c>
      <c r="L29" t="n">
        <v>0</v>
      </c>
      <c r="M29" t="n">
        <v>0</v>
      </c>
      <c r="N29" t="n">
        <v>0</v>
      </c>
      <c r="O29" t="n">
        <v>0</v>
      </c>
      <c r="P29" t="n">
        <v>0</v>
      </c>
      <c r="Q29" t="n">
        <v>5</v>
      </c>
      <c r="R29" s="2" t="inlineStr">
        <is>
          <t>Skogsknipprot
Svavelriska
Trubbfjädermossa
Vårärt
Blåsippa</t>
        </is>
      </c>
      <c r="S29">
        <f>HYPERLINK("https://klasma.github.io/Logging_0382/artfynd/A 1224-2022 artfynd.xlsx", "A 1224-2022")</f>
        <v/>
      </c>
      <c r="T29">
        <f>HYPERLINK("https://klasma.github.io/Logging_0382/kartor/A 1224-2022 karta.png", "A 1224-2022")</f>
        <v/>
      </c>
      <c r="V29">
        <f>HYPERLINK("https://klasma.github.io/Logging_0382/klagomål/A 1224-2022 FSC-klagomål.docx", "A 1224-2022")</f>
        <v/>
      </c>
      <c r="W29">
        <f>HYPERLINK("https://klasma.github.io/Logging_0382/klagomålsmail/A 1224-2022 FSC-klagomål mail.docx", "A 1224-2022")</f>
        <v/>
      </c>
      <c r="X29">
        <f>HYPERLINK("https://klasma.github.io/Logging_0382/tillsyn/A 1224-2022 tillsynsbegäran.docx", "A 1224-2022")</f>
        <v/>
      </c>
      <c r="Y29">
        <f>HYPERLINK("https://klasma.github.io/Logging_0382/tillsynsmail/A 1224-2022 tillsynsbegäran mail.docx", "A 1224-2022")</f>
        <v/>
      </c>
    </row>
    <row r="30" ht="15" customHeight="1">
      <c r="A30" t="inlineStr">
        <is>
          <t>A 8753-2022</t>
        </is>
      </c>
      <c r="B30" s="1" t="n">
        <v>44614</v>
      </c>
      <c r="C30" s="1" t="n">
        <v>45362</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15556-2022</t>
        </is>
      </c>
      <c r="B31" s="1" t="n">
        <v>44662</v>
      </c>
      <c r="C31" s="1" t="n">
        <v>45362</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24563-2022</t>
        </is>
      </c>
      <c r="B32" s="1" t="n">
        <v>44727</v>
      </c>
      <c r="C32" s="1" t="n">
        <v>45362</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39763-2022</t>
        </is>
      </c>
      <c r="B33" s="1" t="n">
        <v>44819</v>
      </c>
      <c r="C33" s="1" t="n">
        <v>45362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43992-2022</t>
        </is>
      </c>
      <c r="B34" s="1" t="n">
        <v>44837</v>
      </c>
      <c r="C34" s="1" t="n">
        <v>45362</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13604-2023</t>
        </is>
      </c>
      <c r="B35" s="1" t="n">
        <v>45006</v>
      </c>
      <c r="C35" s="1" t="n">
        <v>45362</v>
      </c>
      <c r="D35" t="inlineStr">
        <is>
          <t>UPPSALA LÄN</t>
        </is>
      </c>
      <c r="E35" t="inlineStr">
        <is>
          <t>ÖSTHAMMAR</t>
        </is>
      </c>
      <c r="G35" t="n">
        <v>5.7</v>
      </c>
      <c r="H35" t="n">
        <v>0</v>
      </c>
      <c r="I35" t="n">
        <v>4</v>
      </c>
      <c r="J35" t="n">
        <v>1</v>
      </c>
      <c r="K35" t="n">
        <v>0</v>
      </c>
      <c r="L35" t="n">
        <v>0</v>
      </c>
      <c r="M35" t="n">
        <v>0</v>
      </c>
      <c r="N35" t="n">
        <v>0</v>
      </c>
      <c r="O35" t="n">
        <v>1</v>
      </c>
      <c r="P35" t="n">
        <v>0</v>
      </c>
      <c r="Q35" t="n">
        <v>5</v>
      </c>
      <c r="R35" s="2" t="inlineStr">
        <is>
          <t>Odörspindling
Anisspindling
Diskvaxskivling
Olivspindling
Rödgul trumpetsvamp</t>
        </is>
      </c>
      <c r="S35">
        <f>HYPERLINK("https://klasma.github.io/Logging_0382/artfynd/A 13604-2023 artfynd.xlsx", "A 13604-2023")</f>
        <v/>
      </c>
      <c r="T35">
        <f>HYPERLINK("https://klasma.github.io/Logging_0382/kartor/A 13604-2023 karta.png", "A 13604-2023")</f>
        <v/>
      </c>
      <c r="V35">
        <f>HYPERLINK("https://klasma.github.io/Logging_0382/klagomål/A 13604-2023 FSC-klagomål.docx", "A 13604-2023")</f>
        <v/>
      </c>
      <c r="W35">
        <f>HYPERLINK("https://klasma.github.io/Logging_0382/klagomålsmail/A 13604-2023 FSC-klagomål mail.docx", "A 13604-2023")</f>
        <v/>
      </c>
      <c r="X35">
        <f>HYPERLINK("https://klasma.github.io/Logging_0382/tillsyn/A 13604-2023 tillsynsbegäran.docx", "A 13604-2023")</f>
        <v/>
      </c>
      <c r="Y35">
        <f>HYPERLINK("https://klasma.github.io/Logging_0382/tillsynsmail/A 13604-2023 tillsynsbegäran mail.docx", "A 13604-2023")</f>
        <v/>
      </c>
    </row>
    <row r="36" ht="15" customHeight="1">
      <c r="A36" t="inlineStr">
        <is>
          <t>A 23498-2023</t>
        </is>
      </c>
      <c r="B36" s="1" t="n">
        <v>45076</v>
      </c>
      <c r="C36" s="1" t="n">
        <v>45362</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28211-2023</t>
        </is>
      </c>
      <c r="B37" s="1" t="n">
        <v>45099</v>
      </c>
      <c r="C37" s="1" t="n">
        <v>45362</v>
      </c>
      <c r="D37" t="inlineStr">
        <is>
          <t>UPPSALA LÄN</t>
        </is>
      </c>
      <c r="E37" t="inlineStr">
        <is>
          <t>ÖSTHAMMAR</t>
        </is>
      </c>
      <c r="G37" t="n">
        <v>3.2</v>
      </c>
      <c r="H37" t="n">
        <v>5</v>
      </c>
      <c r="I37" t="n">
        <v>0</v>
      </c>
      <c r="J37" t="n">
        <v>1</v>
      </c>
      <c r="K37" t="n">
        <v>2</v>
      </c>
      <c r="L37" t="n">
        <v>2</v>
      </c>
      <c r="M37" t="n">
        <v>0</v>
      </c>
      <c r="N37" t="n">
        <v>0</v>
      </c>
      <c r="O37" t="n">
        <v>5</v>
      </c>
      <c r="P37" t="n">
        <v>4</v>
      </c>
      <c r="Q37" t="n">
        <v>5</v>
      </c>
      <c r="R37" s="2" t="inlineStr">
        <is>
          <t>Ejder
Grönfink
Havstrut
Kricka
Rödvingetrast</t>
        </is>
      </c>
      <c r="S37">
        <f>HYPERLINK("https://klasma.github.io/Logging_0382/artfynd/A 28211-2023 artfynd.xlsx", "A 28211-2023")</f>
        <v/>
      </c>
      <c r="T37">
        <f>HYPERLINK("https://klasma.github.io/Logging_0382/kartor/A 28211-2023 karta.png", "A 28211-2023")</f>
        <v/>
      </c>
      <c r="V37">
        <f>HYPERLINK("https://klasma.github.io/Logging_0382/klagomål/A 28211-2023 FSC-klagomål.docx", "A 28211-2023")</f>
        <v/>
      </c>
      <c r="W37">
        <f>HYPERLINK("https://klasma.github.io/Logging_0382/klagomålsmail/A 28211-2023 FSC-klagomål mail.docx", "A 28211-2023")</f>
        <v/>
      </c>
      <c r="X37">
        <f>HYPERLINK("https://klasma.github.io/Logging_0382/tillsyn/A 28211-2023 tillsynsbegäran.docx", "A 28211-2023")</f>
        <v/>
      </c>
      <c r="Y37">
        <f>HYPERLINK("https://klasma.github.io/Logging_0382/tillsynsmail/A 28211-2023 tillsynsbegäran mail.docx", "A 28211-2023")</f>
        <v/>
      </c>
      <c r="Z37">
        <f>HYPERLINK("https://klasma.github.io/Logging_0382/fåglar/A 28211-2023 prioriterade fågelarter.docx", "A 28211-2023")</f>
        <v/>
      </c>
    </row>
    <row r="38" ht="15" customHeight="1">
      <c r="A38" t="inlineStr">
        <is>
          <t>A 46964-2023</t>
        </is>
      </c>
      <c r="B38" s="1" t="n">
        <v>45201</v>
      </c>
      <c r="C38" s="1" t="n">
        <v>45362</v>
      </c>
      <c r="D38" t="inlineStr">
        <is>
          <t>UPPSALA LÄN</t>
        </is>
      </c>
      <c r="E38" t="inlineStr">
        <is>
          <t>ÖSTHAMMAR</t>
        </is>
      </c>
      <c r="G38" t="n">
        <v>1.1</v>
      </c>
      <c r="H38" t="n">
        <v>0</v>
      </c>
      <c r="I38" t="n">
        <v>3</v>
      </c>
      <c r="J38" t="n">
        <v>2</v>
      </c>
      <c r="K38" t="n">
        <v>0</v>
      </c>
      <c r="L38" t="n">
        <v>0</v>
      </c>
      <c r="M38" t="n">
        <v>0</v>
      </c>
      <c r="N38" t="n">
        <v>0</v>
      </c>
      <c r="O38" t="n">
        <v>2</v>
      </c>
      <c r="P38" t="n">
        <v>0</v>
      </c>
      <c r="Q38" t="n">
        <v>5</v>
      </c>
      <c r="R38" s="2" t="inlineStr">
        <is>
          <t>Granticka
Orange taggsvamp
Anisspindling
Granbarkgnagare
Trådticka</t>
        </is>
      </c>
      <c r="S38">
        <f>HYPERLINK("https://klasma.github.io/Logging_0382/artfynd/A 46964-2023 artfynd.xlsx", "A 46964-2023")</f>
        <v/>
      </c>
      <c r="T38">
        <f>HYPERLINK("https://klasma.github.io/Logging_0382/kartor/A 46964-2023 karta.png", "A 46964-2023")</f>
        <v/>
      </c>
      <c r="V38">
        <f>HYPERLINK("https://klasma.github.io/Logging_0382/klagomål/A 46964-2023 FSC-klagomål.docx", "A 46964-2023")</f>
        <v/>
      </c>
      <c r="W38">
        <f>HYPERLINK("https://klasma.github.io/Logging_0382/klagomålsmail/A 46964-2023 FSC-klagomål mail.docx", "A 46964-2023")</f>
        <v/>
      </c>
      <c r="X38">
        <f>HYPERLINK("https://klasma.github.io/Logging_0382/tillsyn/A 46964-2023 tillsynsbegäran.docx", "A 46964-2023")</f>
        <v/>
      </c>
      <c r="Y38">
        <f>HYPERLINK("https://klasma.github.io/Logging_0382/tillsynsmail/A 46964-2023 tillsynsbegäran mail.docx", "A 46964-2023")</f>
        <v/>
      </c>
    </row>
    <row r="39" ht="15" customHeight="1">
      <c r="A39" t="inlineStr">
        <is>
          <t>A 48277-2023</t>
        </is>
      </c>
      <c r="B39" s="1" t="n">
        <v>45205</v>
      </c>
      <c r="C39" s="1" t="n">
        <v>45362</v>
      </c>
      <c r="D39" t="inlineStr">
        <is>
          <t>UPPSALA LÄN</t>
        </is>
      </c>
      <c r="E39" t="inlineStr">
        <is>
          <t>ÖSTHAMMAR</t>
        </is>
      </c>
      <c r="G39" t="n">
        <v>4.2</v>
      </c>
      <c r="H39" t="n">
        <v>1</v>
      </c>
      <c r="I39" t="n">
        <v>2</v>
      </c>
      <c r="J39" t="n">
        <v>2</v>
      </c>
      <c r="K39" t="n">
        <v>1</v>
      </c>
      <c r="L39" t="n">
        <v>0</v>
      </c>
      <c r="M39" t="n">
        <v>0</v>
      </c>
      <c r="N39" t="n">
        <v>0</v>
      </c>
      <c r="O39" t="n">
        <v>3</v>
      </c>
      <c r="P39" t="n">
        <v>1</v>
      </c>
      <c r="Q39" t="n">
        <v>5</v>
      </c>
      <c r="R39" s="2" t="inlineStr">
        <is>
          <t>Gul lammticka
Odörspindling
Svart taggsvamp
Nästrot
Zontaggsvamp</t>
        </is>
      </c>
      <c r="S39">
        <f>HYPERLINK("https://klasma.github.io/Logging_0382/artfynd/A 48277-2023 artfynd.xlsx", "A 48277-2023")</f>
        <v/>
      </c>
      <c r="T39">
        <f>HYPERLINK("https://klasma.github.io/Logging_0382/kartor/A 48277-2023 karta.png", "A 48277-2023")</f>
        <v/>
      </c>
      <c r="V39">
        <f>HYPERLINK("https://klasma.github.io/Logging_0382/klagomål/A 48277-2023 FSC-klagomål.docx", "A 48277-2023")</f>
        <v/>
      </c>
      <c r="W39">
        <f>HYPERLINK("https://klasma.github.io/Logging_0382/klagomålsmail/A 48277-2023 FSC-klagomål mail.docx", "A 48277-2023")</f>
        <v/>
      </c>
      <c r="X39">
        <f>HYPERLINK("https://klasma.github.io/Logging_0382/tillsyn/A 48277-2023 tillsynsbegäran.docx", "A 48277-2023")</f>
        <v/>
      </c>
      <c r="Y39">
        <f>HYPERLINK("https://klasma.github.io/Logging_0382/tillsynsmail/A 48277-2023 tillsynsbegäran mail.docx", "A 48277-2023")</f>
        <v/>
      </c>
    </row>
    <row r="40" ht="15" customHeight="1">
      <c r="A40" t="inlineStr">
        <is>
          <t>A 20696-2019</t>
        </is>
      </c>
      <c r="B40" s="1" t="n">
        <v>43573</v>
      </c>
      <c r="C40" s="1" t="n">
        <v>45362</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45362</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45362</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45362</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45362</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c r="Z44">
        <f>HYPERLINK("https://klasma.github.io/Logging_0382/fåglar/A 52659-2022 prioriterade fågelarter.docx", "A 52659-2022")</f>
        <v/>
      </c>
    </row>
    <row r="45" ht="15" customHeight="1">
      <c r="A45" t="inlineStr">
        <is>
          <t>A 26600-2023</t>
        </is>
      </c>
      <c r="B45" s="1" t="n">
        <v>45092</v>
      </c>
      <c r="C45" s="1" t="n">
        <v>45362</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c r="Z45">
        <f>HYPERLINK("https://klasma.github.io/Logging_0382/fåglar/A 26600-2023 prioriterade fågelarter.docx", "A 26600-2023")</f>
        <v/>
      </c>
    </row>
    <row r="46" ht="15" customHeight="1">
      <c r="A46" t="inlineStr">
        <is>
          <t>A 3285-2019</t>
        </is>
      </c>
      <c r="B46" s="1" t="n">
        <v>43480</v>
      </c>
      <c r="C46" s="1" t="n">
        <v>45362</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45362</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c r="Z47">
        <f>HYPERLINK("https://klasma.github.io/Logging_0382/fåglar/A 8385-2020 prioriterade fågelarter.docx", "A 8385-2020")</f>
        <v/>
      </c>
    </row>
    <row r="48" ht="15" customHeight="1">
      <c r="A48" t="inlineStr">
        <is>
          <t>A 33035-2021</t>
        </is>
      </c>
      <c r="B48" s="1" t="n">
        <v>44376</v>
      </c>
      <c r="C48" s="1" t="n">
        <v>45362</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45362</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45362</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45362</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45362</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45362</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45362</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45362</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45362</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45362</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c r="Z57">
        <f>HYPERLINK("https://klasma.github.io/Logging_0382/fåglar/A 19884-2023 prioriterade fågelarter.docx", "A 19884-2023")</f>
        <v/>
      </c>
    </row>
    <row r="58" ht="15" customHeight="1">
      <c r="A58" t="inlineStr">
        <is>
          <t>A 20115-2023</t>
        </is>
      </c>
      <c r="B58" s="1" t="n">
        <v>45055</v>
      </c>
      <c r="C58" s="1" t="n">
        <v>45362</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45362</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53731-2023</t>
        </is>
      </c>
      <c r="B60" s="1" t="n">
        <v>45230</v>
      </c>
      <c r="C60" s="1" t="n">
        <v>45362</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45362</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45362</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45362</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45362</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45362</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45362</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45362</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45362</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c r="Z68">
        <f>HYPERLINK("https://klasma.github.io/Logging_0382/fåglar/A 59416-2020 prioriterade fågelarter.docx", "A 59416-2020")</f>
        <v/>
      </c>
    </row>
    <row r="69" ht="15" customHeight="1">
      <c r="A69" t="inlineStr">
        <is>
          <t>A 6223-2021</t>
        </is>
      </c>
      <c r="B69" s="1" t="n">
        <v>44235</v>
      </c>
      <c r="C69" s="1" t="n">
        <v>45362</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45362</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45362</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45362</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45362</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45362</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45362</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45362</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45362</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45362</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c r="Z78">
        <f>HYPERLINK("https://klasma.github.io/Logging_0382/fåglar/A 49910-2022 prioriterade fågelarter.docx", "A 49910-2022")</f>
        <v/>
      </c>
    </row>
    <row r="79" ht="15" customHeight="1">
      <c r="A79" t="inlineStr">
        <is>
          <t>A 52654-2022</t>
        </is>
      </c>
      <c r="B79" s="1" t="n">
        <v>44874</v>
      </c>
      <c r="C79" s="1" t="n">
        <v>45362</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45362</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c r="Z80">
        <f>HYPERLINK("https://klasma.github.io/Logging_0382/fåglar/A 52658-2022 prioriterade fågelarter.docx", "A 52658-2022")</f>
        <v/>
      </c>
    </row>
    <row r="81" ht="15" customHeight="1">
      <c r="A81" t="inlineStr">
        <is>
          <t>A 6981-2023</t>
        </is>
      </c>
      <c r="B81" s="1" t="n">
        <v>44967</v>
      </c>
      <c r="C81" s="1" t="n">
        <v>45362</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45362</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45362</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45362</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c r="Z84">
        <f>HYPERLINK("https://klasma.github.io/Logging_0382/fåglar/A 26602-2023 prioriterade fågelarter.docx", "A 26602-2023")</f>
        <v/>
      </c>
    </row>
    <row r="85" ht="15" customHeight="1">
      <c r="A85" t="inlineStr">
        <is>
          <t>A 36876-2023</t>
        </is>
      </c>
      <c r="B85" s="1" t="n">
        <v>45154</v>
      </c>
      <c r="C85" s="1" t="n">
        <v>45362</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45362</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45362</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45362</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45362</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45362</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45362</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45362</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45362</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45362</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45362</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45362</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45362</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45362</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45362</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45362</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45362</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45362</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45362</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45362</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45362</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45362</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45362</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45362</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45362</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45362</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45362</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45362</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45362</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45362</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45362</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45362</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45362</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45362</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45362</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45362</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45362</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45362</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45362</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45362</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45362</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45362</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45362</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45362</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45362</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45362</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45362</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45362</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45362</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45362</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45362</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45362</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45362</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45362</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45362</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45362</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45362</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45362</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45362</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45362</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45362</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45362</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45362</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45362</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45362</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45362</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45362</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45362</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45362</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45362</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45362</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45362</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45362</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45362</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45362</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45362</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45362</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45362</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45362</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45362</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45362</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45362</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45362</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45362</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45362</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45362</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45362</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45362</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45362</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45362</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45362</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45362</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45362</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45362</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45362</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45362</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45362</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45362</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45362</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45362</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45362</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45362</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45362</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45362</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45362</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45362</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45362</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45362</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45362</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45362</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45362</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45362</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45362</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45362</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45362</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45362</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45362</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45362</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45362</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45362</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45362</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45362</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45362</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45362</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45362</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45362</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45362</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45362</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45362</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45362</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45362</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45362</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45362</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45362</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45362</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45362</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45362</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45362</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45362</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45362</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45362</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45362</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45362</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45362</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45362</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45362</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45362</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45362</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45362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45362</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45362</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45362</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45362</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45362</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45362</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45362</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45362</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45362</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45362</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45362</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45362</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45362</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45362</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45362</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45362</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45362</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45362</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45362</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45362</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45362</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45362</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45362</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45362</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45362</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45362</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45362</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45362</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45362</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45362</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45362</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45362</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45362</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45362</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45362</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45362</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45362</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45362</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45362</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45362</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45362</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45362</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45362</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45362</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45362</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45362</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45362</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45362</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45362</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45362</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45362</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45362</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45362</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45362</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45362</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45362</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45362</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45362</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45362</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45362</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45362</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45362</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45362</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45362</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45362</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45362</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45362</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45362</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45362</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45362</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45362</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45362</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45362</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45362</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45362</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45362</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45362</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45362</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45362</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45362</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45362</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45362</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45362</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45362</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45362</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45362</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45362</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45362</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45362</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45362</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45362</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45362</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45362</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45362</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45362</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45362</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45362</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45362</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45362</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45362</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45362</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45362</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45362</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45362</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45362</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45362</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45362</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45362</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45362</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45362</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45362</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45362</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45362</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45362</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45362</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45362</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45362</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45362</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45362</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45362</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45362</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45362</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45362</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45362</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45362</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45362</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45362</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45362</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45362</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45362</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45362</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45362</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45362</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45362</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45362</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45362</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45362</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45362</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45362</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45362</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45362</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45362</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45362</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45362</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45362</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45362</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45362</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45362</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45362</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45362</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45362</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45362</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45362</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45362</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45362</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45362</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45362</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45362</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45362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45362</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45362</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45362</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45362</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45362</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45362</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45362</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45362</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45362</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45362</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45362</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45362</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45362</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45362</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45362</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45362</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45362</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45362</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45362</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45362</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45362</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45362</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45362</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45362</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45362</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45362</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45362</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45362</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45362</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45362</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45362</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45362</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45362</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45362</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45362</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45362</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45362</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45362</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45362</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45362</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45362</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45362</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45362</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45362</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45362</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45362</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45362</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45362</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45362</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45362</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45362</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45362</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45362</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45362</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45362</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45362</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45362</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45362</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45362</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45362</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45362</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45362</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45362</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45362</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45362</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45362</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45362</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45362</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45362</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45362</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45362</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45362</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45362</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45362</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45362</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45362</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45362</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45362</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45362</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45362</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45362</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45362</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45362</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45362</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45362</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45362</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45362</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45362</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45362</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45362</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45362</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45362</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45362</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45362</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45362</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45362</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45362</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45362</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45362</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45362</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45362</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45362</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45362</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45362</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45362</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45362</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45362</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45362</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45362</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45362</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45362</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45362</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45362</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45362</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45362</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45362</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45362</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45362</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45362</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45362</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45362</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45362</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45362</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45362</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45362</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45362</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45362</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45362</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45362</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45362</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45362</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45362</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45362</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45362</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45362</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45362</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45362</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45362</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45362</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45362</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45362</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45362</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45362</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45362</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45362</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45362</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45362</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45362</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45362</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45362</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45362</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45362</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45362</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45362</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45362</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45362</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45362</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45362</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45362</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45362</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45362</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45362</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45362</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45362</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45362</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45362</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45362</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45362</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45362</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45362</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45362</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45362</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45362</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45362</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45362</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45362</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45362</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45362</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45362</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45362</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45362</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45362</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45362</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45362</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45362</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45362</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45362</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45362</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45362</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45362</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45362</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45362</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45362</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45362</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45362</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45362</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45362</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45362</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45362</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45362</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45362</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45362</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45362</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45362</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45362</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45362</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45362</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45362</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45362</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45362</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45362</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45362</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45362</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45362</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45362</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45362</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45362</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45362</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45362</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45362</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45362</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45362</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45362</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45362</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45362</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45362</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45362</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45362</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45362</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45362</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45362</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45362</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45362</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45362</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45362</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45362</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45362</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45362</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45362</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45362</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45362</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45362</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45362</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45362</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45362</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45362</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45362</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45362</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45362</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45362</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45362</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45362</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45362</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45362</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45362</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45362</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45362</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45362</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45362</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45362</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45362</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45362</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45362</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45362</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45362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45362</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45362</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45362</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45362</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45362</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45362</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45362</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45362</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45362</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45362</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45362</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45362</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45362</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45362</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45362</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45362</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45362</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45362</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45362</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45362</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45362</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45362</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45362</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45362</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45362</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45362</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45362</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45362</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45362</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45362</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45362</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45362</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45362</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45362</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45362</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45362</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45362</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45362</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45362</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45362</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45362</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45362</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45362</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45362</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45362</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45362</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45362</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45362</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45362</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45362</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45362</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45362</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45362</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45362</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45362</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45362</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45362</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45362</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45362</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45362</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45362</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45362</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45362</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45362</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45362</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45362</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45362</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45362</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45362</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45362</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45362</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45362</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45362</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45362</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45362</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45362</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45362</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45362</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45362</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45362</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45362</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45362</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45362</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45362</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45362</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45362</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45362</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45362</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45362</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45362</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45362</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45362</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45362</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45362</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45362</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45362</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45362</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45362</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45362</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45362</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45362</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45362</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45362</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45362</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45362</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45362</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45362</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45362</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45362</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45362</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45362</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45362</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45362</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45362</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45362</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45362</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45362</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45362</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45362</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45362</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45362</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45362</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45362</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45362</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45362</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45362</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45362</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45362</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45362</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45362</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45362</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45362</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45362</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45362</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45362</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45362</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45362</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45362</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45362</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45362</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45362</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45362</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45362</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45362</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45362</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45362</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45362</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45362</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45362</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45362</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45362</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45362</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45362</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45362</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45362</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45362</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45362</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45362</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45362</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45362</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45362</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45362</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45362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45362</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45362</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45362</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45362</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45362</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45362</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45362</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45362</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45362</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45362</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45362</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45362</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45362</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45362</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45362</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45362</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45362</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45362</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45362</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45362</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45362</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45362</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45362</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45362</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45362</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45362</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45362</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45362</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45362</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45362</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45362</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45362</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45362</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45362</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45362</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45362</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45362</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45362</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45362</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45362</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45362</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45362</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45362</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45362</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45362</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45362</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45362</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45362</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45362</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45362</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45362</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45362</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45362</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45362</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45362</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45362</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45362</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45362</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45362</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45362</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45362</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45362</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45362</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45362</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45362</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45362</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45362</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45362</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45362</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45362</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45362</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45362</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45362</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45362</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45362</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45362</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45362</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45362</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45362</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45362</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45362</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45362</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45362</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45362</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45362</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45362</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45362</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45362</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45362</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45362</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45362</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45362</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45362</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45362</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45362</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45362</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45362</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45362</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45362</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45362</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45362</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45362</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45362</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45362</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45362</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45362</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45362</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45362</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45362</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45362</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45362</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45362</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45362</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45362</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45362</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45362</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45362</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45362</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45362</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45362</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45362</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45362</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45362</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45362</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45362</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45362</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45362</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45362</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45362</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45362</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45362</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45362</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45362</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45362</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45362</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45362</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45362</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45362</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45362</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45362</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45362</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45362</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45362</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45362</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45362</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45362</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45362</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45362</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45362</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45362</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45362</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45362</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45362</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45362</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45362</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45362</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45362</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45362</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45362</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45362</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45362</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45362</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45362</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45362</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45362</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45362</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45362</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45362</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45362</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45362</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45362</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45362</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45362</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45362</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45362</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45362</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45362</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45362</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45362</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45362</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45362</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45362</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45362</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45362</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45362</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45362</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45362</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45362</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45362</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45362</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45362</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45362</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45362</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45362</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45362</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45362</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45362</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45362</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45362</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45362</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45362</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45362</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45362</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45362</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45362</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45362</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45362</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45362</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45362</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45362</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45362</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45362</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45362</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45362</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45362</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45362</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45362</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45362</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45362</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45362</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45362</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45362</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45362</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45362</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45362</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45362</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45362</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45362</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45362</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45362</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45362</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45362</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45362</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45362</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45362</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45362</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45362</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45362</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45362</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45362</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45362</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45362</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45362</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45362</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45362</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45362</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45362</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45362</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45362</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45362</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45362</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45362</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45362</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45362</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6106-2024</t>
        </is>
      </c>
      <c r="B1075" s="1" t="n">
        <v>45337</v>
      </c>
      <c r="C1075" s="1" t="n">
        <v>45362</v>
      </c>
      <c r="D1075" t="inlineStr">
        <is>
          <t>UPPSALA LÄN</t>
        </is>
      </c>
      <c r="E1075" t="inlineStr">
        <is>
          <t>ÖSTHAMMAR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45362</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6120-2024</t>
        </is>
      </c>
      <c r="B1077" s="1" t="n">
        <v>45337</v>
      </c>
      <c r="C1077" s="1" t="n">
        <v>45362</v>
      </c>
      <c r="D1077" t="inlineStr">
        <is>
          <t>UPPSALA LÄN</t>
        </is>
      </c>
      <c r="E1077" t="inlineStr">
        <is>
          <t>ÖSTHAMMAR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45362</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45362</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45362</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6656-2024</t>
        </is>
      </c>
      <c r="B1081" s="1" t="n">
        <v>45341</v>
      </c>
      <c r="C1081" s="1" t="n">
        <v>45362</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8673-2024</t>
        </is>
      </c>
      <c r="B1082" s="1" t="n">
        <v>45356</v>
      </c>
      <c r="C1082" s="1" t="n">
        <v>45362</v>
      </c>
      <c r="D1082" t="inlineStr">
        <is>
          <t>UPPSALA LÄN</t>
        </is>
      </c>
      <c r="E1082" t="inlineStr">
        <is>
          <t>ÖSTHAMMAR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9267-2024</t>
        </is>
      </c>
      <c r="B1083" s="1" t="n">
        <v>45358</v>
      </c>
      <c r="C1083" s="1" t="n">
        <v>45362</v>
      </c>
      <c r="D1083" t="inlineStr">
        <is>
          <t>UPPSALA LÄN</t>
        </is>
      </c>
      <c r="E1083" t="inlineStr">
        <is>
          <t>ÖSTHAMMAR</t>
        </is>
      </c>
      <c r="F1083" t="inlineStr">
        <is>
          <t>Bergvik skog öst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9291-2024</t>
        </is>
      </c>
      <c r="B1084" s="1" t="n">
        <v>45358</v>
      </c>
      <c r="C1084" s="1" t="n">
        <v>45362</v>
      </c>
      <c r="D1084" t="inlineStr">
        <is>
          <t>UPPSALA LÄN</t>
        </is>
      </c>
      <c r="E1084" t="inlineStr">
        <is>
          <t>ÖSTHAMMAR</t>
        </is>
      </c>
      <c r="G1084" t="n">
        <v>1.7</v>
      </c>
      <c r="H1084" t="n">
        <v>0</v>
      </c>
      <c r="I1084" t="n">
        <v>0</v>
      </c>
      <c r="J1084" t="n">
        <v>0</v>
      </c>
      <c r="K1084" t="n">
        <v>0</v>
      </c>
      <c r="L1084" t="n">
        <v>0</v>
      </c>
      <c r="M1084" t="n">
        <v>0</v>
      </c>
      <c r="N1084" t="n">
        <v>0</v>
      </c>
      <c r="O1084" t="n">
        <v>0</v>
      </c>
      <c r="P1084" t="n">
        <v>0</v>
      </c>
      <c r="Q1084" t="n">
        <v>0</v>
      </c>
      <c r="R1084" s="2" t="inlineStr"/>
    </row>
    <row r="1085">
      <c r="A1085" t="inlineStr">
        <is>
          <t>A 9264-2024</t>
        </is>
      </c>
      <c r="B1085" s="1" t="n">
        <v>45358</v>
      </c>
      <c r="C1085" s="1" t="n">
        <v>45362</v>
      </c>
      <c r="D1085" t="inlineStr">
        <is>
          <t>UPPSALA LÄN</t>
        </is>
      </c>
      <c r="E1085" t="inlineStr">
        <is>
          <t>ÖSTHAMMAR</t>
        </is>
      </c>
      <c r="F1085" t="inlineStr">
        <is>
          <t>Bergvik skog öst AB</t>
        </is>
      </c>
      <c r="G1085" t="n">
        <v>0.4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2024-03-11T13:48:15Z</dcterms:created>
  <dcterms:modified xmlns:dcterms="http://purl.org/dc/terms/" xmlns:xsi="http://www.w3.org/2001/XMLSchema-instance" xsi:type="dcterms:W3CDTF">2024-03-11T13:48:16Z</dcterms:modified>
</cp:coreProperties>
</file>