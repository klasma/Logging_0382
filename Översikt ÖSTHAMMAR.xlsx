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45888</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29556-2023</t>
        </is>
      </c>
      <c r="B3" s="1" t="n">
        <v>45106</v>
      </c>
      <c r="C3" s="1" t="n">
        <v>45888</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45888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45888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45888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42562-2020</t>
        </is>
      </c>
      <c r="B7" s="1" t="n">
        <v>44077</v>
      </c>
      <c r="C7" s="1" t="n">
        <v>45888</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45888</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45888</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45888</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45888</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45888</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45888</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31207-2022</t>
        </is>
      </c>
      <c r="B14" s="1" t="n">
        <v>44771</v>
      </c>
      <c r="C14" s="1" t="n">
        <v>45888</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45888</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55518-2024</t>
        </is>
      </c>
      <c r="B16" s="1" t="n">
        <v>45622</v>
      </c>
      <c r="C16" s="1" t="n">
        <v>45888</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45888</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45888</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45888</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49910-2022</t>
        </is>
      </c>
      <c r="B20" s="1" t="n">
        <v>44865</v>
      </c>
      <c r="C20" s="1" t="n">
        <v>45888</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45888</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45888</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48277-2023</t>
        </is>
      </c>
      <c r="B23" s="1" t="n">
        <v>45205</v>
      </c>
      <c r="C23" s="1" t="n">
        <v>45888</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23496-2023</t>
        </is>
      </c>
      <c r="B24" s="1" t="n">
        <v>45076</v>
      </c>
      <c r="C24" s="1" t="n">
        <v>45888</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39763-2022</t>
        </is>
      </c>
      <c r="B25" s="1" t="n">
        <v>44819.44055555556</v>
      </c>
      <c r="C25" s="1" t="n">
        <v>45888</v>
      </c>
      <c r="D25" t="inlineStr">
        <is>
          <t>UPPSALA LÄN</t>
        </is>
      </c>
      <c r="E25" t="inlineStr">
        <is>
          <t>ÖSTHAMMAR</t>
        </is>
      </c>
      <c r="G25" t="n">
        <v>7</v>
      </c>
      <c r="H25" t="n">
        <v>1</v>
      </c>
      <c r="I25" t="n">
        <v>1</v>
      </c>
      <c r="J25" t="n">
        <v>2</v>
      </c>
      <c r="K25" t="n">
        <v>2</v>
      </c>
      <c r="L25" t="n">
        <v>0</v>
      </c>
      <c r="M25" t="n">
        <v>0</v>
      </c>
      <c r="N25" t="n">
        <v>0</v>
      </c>
      <c r="O25" t="n">
        <v>4</v>
      </c>
      <c r="P25" t="n">
        <v>2</v>
      </c>
      <c r="Q25" t="n">
        <v>5</v>
      </c>
      <c r="R25" s="2" t="inlineStr">
        <is>
          <t>Knärot
Violgubbe
Blek fingersvamp
Orange taggsvamp
Fjällig taggsvamp s.str.</t>
        </is>
      </c>
      <c r="S25">
        <f>HYPERLINK("https://klasma.github.io/Logging_0382/artfynd/A 39763-2022 artfynd.xlsx", "A 39763-2022")</f>
        <v/>
      </c>
      <c r="T25">
        <f>HYPERLINK("https://klasma.github.io/Logging_0382/kartor/A 39763-2022 karta.png", "A 39763-2022")</f>
        <v/>
      </c>
      <c r="U25">
        <f>HYPERLINK("https://klasma.github.io/Logging_0382/knärot/A 39763-2022 karta knärot.png", "A 39763-2022")</f>
        <v/>
      </c>
      <c r="V25">
        <f>HYPERLINK("https://klasma.github.io/Logging_0382/klagomål/A 39763-2022 FSC-klagomål.docx", "A 39763-2022")</f>
        <v/>
      </c>
      <c r="W25">
        <f>HYPERLINK("https://klasma.github.io/Logging_0382/klagomålsmail/A 39763-2022 FSC-klagomål mail.docx", "A 39763-2022")</f>
        <v/>
      </c>
      <c r="X25">
        <f>HYPERLINK("https://klasma.github.io/Logging_0382/tillsyn/A 39763-2022 tillsynsbegäran.docx", "A 39763-2022")</f>
        <v/>
      </c>
      <c r="Y25">
        <f>HYPERLINK("https://klasma.github.io/Logging_0382/tillsynsmail/A 39763-2022 tillsynsbegäran mail.docx", "A 39763-2022")</f>
        <v/>
      </c>
    </row>
    <row r="26" ht="15" customHeight="1">
      <c r="A26" t="inlineStr">
        <is>
          <t>A 64564-2021</t>
        </is>
      </c>
      <c r="B26" s="1" t="n">
        <v>44511</v>
      </c>
      <c r="C26" s="1" t="n">
        <v>45888</v>
      </c>
      <c r="D26" t="inlineStr">
        <is>
          <t>UPPSALA LÄN</t>
        </is>
      </c>
      <c r="E26" t="inlineStr">
        <is>
          <t>ÖSTHAMMAR</t>
        </is>
      </c>
      <c r="G26" t="n">
        <v>7.2</v>
      </c>
      <c r="H26" t="n">
        <v>1</v>
      </c>
      <c r="I26" t="n">
        <v>2</v>
      </c>
      <c r="J26" t="n">
        <v>1</v>
      </c>
      <c r="K26" t="n">
        <v>1</v>
      </c>
      <c r="L26" t="n">
        <v>0</v>
      </c>
      <c r="M26" t="n">
        <v>0</v>
      </c>
      <c r="N26" t="n">
        <v>0</v>
      </c>
      <c r="O26" t="n">
        <v>2</v>
      </c>
      <c r="P26" t="n">
        <v>1</v>
      </c>
      <c r="Q26" t="n">
        <v>5</v>
      </c>
      <c r="R26" s="2" t="inlineStr">
        <is>
          <t>Violgubbe
Gultoppig fingersvamp
Kalktallört
Rödgul trumpetsvamp
Tjäder</t>
        </is>
      </c>
      <c r="S26">
        <f>HYPERLINK("https://klasma.github.io/Logging_0382/artfynd/A 64564-2021 artfynd.xlsx", "A 64564-2021")</f>
        <v/>
      </c>
      <c r="T26">
        <f>HYPERLINK("https://klasma.github.io/Logging_0382/kartor/A 64564-2021 karta.png", "A 64564-2021")</f>
        <v/>
      </c>
      <c r="V26">
        <f>HYPERLINK("https://klasma.github.io/Logging_0382/klagomål/A 64564-2021 FSC-klagomål.docx", "A 64564-2021")</f>
        <v/>
      </c>
      <c r="W26">
        <f>HYPERLINK("https://klasma.github.io/Logging_0382/klagomålsmail/A 64564-2021 FSC-klagomål mail.docx", "A 64564-2021")</f>
        <v/>
      </c>
      <c r="X26">
        <f>HYPERLINK("https://klasma.github.io/Logging_0382/tillsyn/A 64564-2021 tillsynsbegäran.docx", "A 64564-2021")</f>
        <v/>
      </c>
      <c r="Y26">
        <f>HYPERLINK("https://klasma.github.io/Logging_0382/tillsynsmail/A 64564-2021 tillsynsbegäran mail.docx", "A 64564-2021")</f>
        <v/>
      </c>
      <c r="Z26">
        <f>HYPERLINK("https://klasma.github.io/Logging_0382/fåglar/A 64564-2021 prioriterade fågelarter.docx", "A 64564-2021")</f>
        <v/>
      </c>
    </row>
    <row r="27" ht="15" customHeight="1">
      <c r="A27" t="inlineStr">
        <is>
          <t>A 8753-2022</t>
        </is>
      </c>
      <c r="B27" s="1" t="n">
        <v>44614</v>
      </c>
      <c r="C27" s="1" t="n">
        <v>45888</v>
      </c>
      <c r="D27" t="inlineStr">
        <is>
          <t>UPPSALA LÄN</t>
        </is>
      </c>
      <c r="E27" t="inlineStr">
        <is>
          <t>ÖSTHAMMAR</t>
        </is>
      </c>
      <c r="G27" t="n">
        <v>5.3</v>
      </c>
      <c r="H27" t="n">
        <v>0</v>
      </c>
      <c r="I27" t="n">
        <v>3</v>
      </c>
      <c r="J27" t="n">
        <v>0</v>
      </c>
      <c r="K27" t="n">
        <v>2</v>
      </c>
      <c r="L27" t="n">
        <v>0</v>
      </c>
      <c r="M27" t="n">
        <v>0</v>
      </c>
      <c r="N27" t="n">
        <v>0</v>
      </c>
      <c r="O27" t="n">
        <v>2</v>
      </c>
      <c r="P27" t="n">
        <v>2</v>
      </c>
      <c r="Q27" t="n">
        <v>5</v>
      </c>
      <c r="R27" s="2" t="inlineStr">
        <is>
          <t>Gyllenspindling
Spricktaggsvamp
Olivspindling
Skarp dropptaggsvamp
Svavelriska</t>
        </is>
      </c>
      <c r="S27">
        <f>HYPERLINK("https://klasma.github.io/Logging_0382/artfynd/A 8753-2022 artfynd.xlsx", "A 8753-2022")</f>
        <v/>
      </c>
      <c r="T27">
        <f>HYPERLINK("https://klasma.github.io/Logging_0382/kartor/A 8753-2022 karta.png", "A 8753-2022")</f>
        <v/>
      </c>
      <c r="V27">
        <f>HYPERLINK("https://klasma.github.io/Logging_0382/klagomål/A 8753-2022 FSC-klagomål.docx", "A 8753-2022")</f>
        <v/>
      </c>
      <c r="W27">
        <f>HYPERLINK("https://klasma.github.io/Logging_0382/klagomålsmail/A 8753-2022 FSC-klagomål mail.docx", "A 8753-2022")</f>
        <v/>
      </c>
      <c r="X27">
        <f>HYPERLINK("https://klasma.github.io/Logging_0382/tillsyn/A 8753-2022 tillsynsbegäran.docx", "A 8753-2022")</f>
        <v/>
      </c>
      <c r="Y27">
        <f>HYPERLINK("https://klasma.github.io/Logging_0382/tillsynsmail/A 8753-2022 tillsynsbegäran mail.docx", "A 8753-2022")</f>
        <v/>
      </c>
    </row>
    <row r="28" ht="15" customHeight="1">
      <c r="A28" t="inlineStr">
        <is>
          <t>A 55492-2023</t>
        </is>
      </c>
      <c r="B28" s="1" t="n">
        <v>45238</v>
      </c>
      <c r="C28" s="1" t="n">
        <v>45888</v>
      </c>
      <c r="D28" t="inlineStr">
        <is>
          <t>UPPSALA LÄN</t>
        </is>
      </c>
      <c r="E28" t="inlineStr">
        <is>
          <t>ÖSTHAMMAR</t>
        </is>
      </c>
      <c r="G28" t="n">
        <v>3.1</v>
      </c>
      <c r="H28" t="n">
        <v>4</v>
      </c>
      <c r="I28" t="n">
        <v>2</v>
      </c>
      <c r="J28" t="n">
        <v>0</v>
      </c>
      <c r="K28" t="n">
        <v>2</v>
      </c>
      <c r="L28" t="n">
        <v>0</v>
      </c>
      <c r="M28" t="n">
        <v>0</v>
      </c>
      <c r="N28" t="n">
        <v>0</v>
      </c>
      <c r="O28" t="n">
        <v>2</v>
      </c>
      <c r="P28" t="n">
        <v>2</v>
      </c>
      <c r="Q28" t="n">
        <v>5</v>
      </c>
      <c r="R28" s="2" t="inlineStr">
        <is>
          <t>Knärot
Violgubbe
Skogsknipprot
Tvåblad
Fläcknycklar</t>
        </is>
      </c>
      <c r="S28">
        <f>HYPERLINK("https://klasma.github.io/Logging_0382/artfynd/A 55492-2023 artfynd.xlsx", "A 55492-2023")</f>
        <v/>
      </c>
      <c r="T28">
        <f>HYPERLINK("https://klasma.github.io/Logging_0382/kartor/A 55492-2023 karta.png", "A 55492-2023")</f>
        <v/>
      </c>
      <c r="U28">
        <f>HYPERLINK("https://klasma.github.io/Logging_0382/knärot/A 55492-2023 karta knärot.png", "A 55492-2023")</f>
        <v/>
      </c>
      <c r="V28">
        <f>HYPERLINK("https://klasma.github.io/Logging_0382/klagomål/A 55492-2023 FSC-klagomål.docx", "A 55492-2023")</f>
        <v/>
      </c>
      <c r="W28">
        <f>HYPERLINK("https://klasma.github.io/Logging_0382/klagomålsmail/A 55492-2023 FSC-klagomål mail.docx", "A 55492-2023")</f>
        <v/>
      </c>
      <c r="X28">
        <f>HYPERLINK("https://klasma.github.io/Logging_0382/tillsyn/A 55492-2023 tillsynsbegäran.docx", "A 55492-2023")</f>
        <v/>
      </c>
      <c r="Y28">
        <f>HYPERLINK("https://klasma.github.io/Logging_0382/tillsynsmail/A 55492-2023 tillsynsbegäran mail.docx", "A 55492-2023")</f>
        <v/>
      </c>
    </row>
    <row r="29" ht="15" customHeight="1">
      <c r="A29" t="inlineStr">
        <is>
          <t>A 24563-2022</t>
        </is>
      </c>
      <c r="B29" s="1" t="n">
        <v>44727</v>
      </c>
      <c r="C29" s="1" t="n">
        <v>45888</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43992-2022</t>
        </is>
      </c>
      <c r="B30" s="1" t="n">
        <v>44837</v>
      </c>
      <c r="C30" s="1" t="n">
        <v>45888</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15556-2022</t>
        </is>
      </c>
      <c r="B31" s="1" t="n">
        <v>44662</v>
      </c>
      <c r="C31" s="1" t="n">
        <v>45888</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23498-2023</t>
        </is>
      </c>
      <c r="B32" s="1" t="n">
        <v>45076</v>
      </c>
      <c r="C32" s="1" t="n">
        <v>45888</v>
      </c>
      <c r="D32" t="inlineStr">
        <is>
          <t>UPPSALA LÄN</t>
        </is>
      </c>
      <c r="E32" t="inlineStr">
        <is>
          <t>ÖSTHAMMAR</t>
        </is>
      </c>
      <c r="F32" t="inlineStr">
        <is>
          <t>Sveaskog</t>
        </is>
      </c>
      <c r="G32" t="n">
        <v>1.4</v>
      </c>
      <c r="H32" t="n">
        <v>5</v>
      </c>
      <c r="I32" t="n">
        <v>0</v>
      </c>
      <c r="J32" t="n">
        <v>3</v>
      </c>
      <c r="K32" t="n">
        <v>1</v>
      </c>
      <c r="L32" t="n">
        <v>1</v>
      </c>
      <c r="M32" t="n">
        <v>0</v>
      </c>
      <c r="N32" t="n">
        <v>0</v>
      </c>
      <c r="O32" t="n">
        <v>5</v>
      </c>
      <c r="P32" t="n">
        <v>2</v>
      </c>
      <c r="Q32" t="n">
        <v>5</v>
      </c>
      <c r="R32" s="2" t="inlineStr">
        <is>
          <t>Grönfink
Gråtrut
Gulsparv
Svartvit flugsnappare
Talltita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26056-2025</t>
        </is>
      </c>
      <c r="B33" s="1" t="n">
        <v>45804.79280092593</v>
      </c>
      <c r="C33" s="1" t="n">
        <v>45888</v>
      </c>
      <c r="D33" t="inlineStr">
        <is>
          <t>UPPSALA LÄN</t>
        </is>
      </c>
      <c r="E33" t="inlineStr">
        <is>
          <t>ÖSTHAMMAR</t>
        </is>
      </c>
      <c r="F33" t="inlineStr">
        <is>
          <t>Bergvik skog väst AB</t>
        </is>
      </c>
      <c r="G33" t="n">
        <v>4.7</v>
      </c>
      <c r="H33" t="n">
        <v>0</v>
      </c>
      <c r="I33" t="n">
        <v>0</v>
      </c>
      <c r="J33" t="n">
        <v>4</v>
      </c>
      <c r="K33" t="n">
        <v>1</v>
      </c>
      <c r="L33" t="n">
        <v>0</v>
      </c>
      <c r="M33" t="n">
        <v>0</v>
      </c>
      <c r="N33" t="n">
        <v>0</v>
      </c>
      <c r="O33" t="n">
        <v>5</v>
      </c>
      <c r="P33" t="n">
        <v>1</v>
      </c>
      <c r="Q33" t="n">
        <v>5</v>
      </c>
      <c r="R33" s="2" t="inlineStr">
        <is>
          <t>Skägglavmätare
Jungfrulinspraktmal
Mindre träfjäril
Piltecknad fältmätare
Större borstspinnare</t>
        </is>
      </c>
      <c r="S33">
        <f>HYPERLINK("https://klasma.github.io/Logging_0382/artfynd/A 26056-2025 artfynd.xlsx", "A 26056-2025")</f>
        <v/>
      </c>
      <c r="T33">
        <f>HYPERLINK("https://klasma.github.io/Logging_0382/kartor/A 26056-2025 karta.png", "A 26056-2025")</f>
        <v/>
      </c>
      <c r="V33">
        <f>HYPERLINK("https://klasma.github.io/Logging_0382/klagomål/A 26056-2025 FSC-klagomål.docx", "A 26056-2025")</f>
        <v/>
      </c>
      <c r="W33">
        <f>HYPERLINK("https://klasma.github.io/Logging_0382/klagomålsmail/A 26056-2025 FSC-klagomål mail.docx", "A 26056-2025")</f>
        <v/>
      </c>
      <c r="X33">
        <f>HYPERLINK("https://klasma.github.io/Logging_0382/tillsyn/A 26056-2025 tillsynsbegäran.docx", "A 26056-2025")</f>
        <v/>
      </c>
      <c r="Y33">
        <f>HYPERLINK("https://klasma.github.io/Logging_0382/tillsynsmail/A 26056-2025 tillsynsbegäran mail.docx", "A 26056-2025")</f>
        <v/>
      </c>
    </row>
    <row r="34" ht="15" customHeight="1">
      <c r="A34" t="inlineStr">
        <is>
          <t>A 52808-2022</t>
        </is>
      </c>
      <c r="B34" s="1" t="n">
        <v>44875</v>
      </c>
      <c r="C34" s="1" t="n">
        <v>45888</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45888</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33051-2021</t>
        </is>
      </c>
      <c r="B36" s="1" t="n">
        <v>44376</v>
      </c>
      <c r="C36" s="1" t="n">
        <v>45888</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221-2025</t>
        </is>
      </c>
      <c r="B37" s="1" t="n">
        <v>45660</v>
      </c>
      <c r="C37" s="1" t="n">
        <v>45888</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74364-2021</t>
        </is>
      </c>
      <c r="B38" s="1" t="n">
        <v>44559</v>
      </c>
      <c r="C38" s="1" t="n">
        <v>45888</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45888</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48352-2022</t>
        </is>
      </c>
      <c r="B40" s="1" t="n">
        <v>44858</v>
      </c>
      <c r="C40" s="1" t="n">
        <v>45888</v>
      </c>
      <c r="D40" t="inlineStr">
        <is>
          <t>UPPSALA LÄN</t>
        </is>
      </c>
      <c r="E40" t="inlineStr">
        <is>
          <t>ÖSTHAMMAR</t>
        </is>
      </c>
      <c r="G40" t="n">
        <v>4.8</v>
      </c>
      <c r="H40" t="n">
        <v>0</v>
      </c>
      <c r="I40" t="n">
        <v>2</v>
      </c>
      <c r="J40" t="n">
        <v>2</v>
      </c>
      <c r="K40" t="n">
        <v>0</v>
      </c>
      <c r="L40" t="n">
        <v>0</v>
      </c>
      <c r="M40" t="n">
        <v>0</v>
      </c>
      <c r="N40" t="n">
        <v>0</v>
      </c>
      <c r="O40" t="n">
        <v>2</v>
      </c>
      <c r="P40" t="n">
        <v>0</v>
      </c>
      <c r="Q40" t="n">
        <v>4</v>
      </c>
      <c r="R40" s="2" t="inlineStr">
        <is>
          <t>Gultoppig fingersvamp
Svart taggsvamp
Anisspindling
Diskvaxskivling</t>
        </is>
      </c>
      <c r="S40">
        <f>HYPERLINK("https://klasma.github.io/Logging_0382/artfynd/A 48352-2022 artfynd.xlsx", "A 48352-2022")</f>
        <v/>
      </c>
      <c r="T40">
        <f>HYPERLINK("https://klasma.github.io/Logging_0382/kartor/A 48352-2022 karta.png", "A 48352-2022")</f>
        <v/>
      </c>
      <c r="V40">
        <f>HYPERLINK("https://klasma.github.io/Logging_0382/klagomål/A 48352-2022 FSC-klagomål.docx", "A 48352-2022")</f>
        <v/>
      </c>
      <c r="W40">
        <f>HYPERLINK("https://klasma.github.io/Logging_0382/klagomålsmail/A 48352-2022 FSC-klagomål mail.docx", "A 48352-2022")</f>
        <v/>
      </c>
      <c r="X40">
        <f>HYPERLINK("https://klasma.github.io/Logging_0382/tillsyn/A 48352-2022 tillsynsbegäran.docx", "A 48352-2022")</f>
        <v/>
      </c>
      <c r="Y40">
        <f>HYPERLINK("https://klasma.github.io/Logging_0382/tillsynsmail/A 48352-2022 tillsynsbegäran mail.docx", "A 48352-2022")</f>
        <v/>
      </c>
    </row>
    <row r="41" ht="15" customHeight="1">
      <c r="A41" t="inlineStr">
        <is>
          <t>A 54492-2024</t>
        </is>
      </c>
      <c r="B41" s="1" t="n">
        <v>45617</v>
      </c>
      <c r="C41" s="1" t="n">
        <v>45888</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55051-2021</t>
        </is>
      </c>
      <c r="B42" s="1" t="n">
        <v>44474</v>
      </c>
      <c r="C42" s="1" t="n">
        <v>45888</v>
      </c>
      <c r="D42" t="inlineStr">
        <is>
          <t>UPPSALA LÄN</t>
        </is>
      </c>
      <c r="E42" t="inlineStr">
        <is>
          <t>ÖSTHAMMAR</t>
        </is>
      </c>
      <c r="F42" t="inlineStr">
        <is>
          <t>Bergvik skog öst AB</t>
        </is>
      </c>
      <c r="G42" t="n">
        <v>6.5</v>
      </c>
      <c r="H42" t="n">
        <v>1</v>
      </c>
      <c r="I42" t="n">
        <v>2</v>
      </c>
      <c r="J42" t="n">
        <v>0</v>
      </c>
      <c r="K42" t="n">
        <v>0</v>
      </c>
      <c r="L42" t="n">
        <v>0</v>
      </c>
      <c r="M42" t="n">
        <v>0</v>
      </c>
      <c r="N42" t="n">
        <v>0</v>
      </c>
      <c r="O42" t="n">
        <v>0</v>
      </c>
      <c r="P42" t="n">
        <v>0</v>
      </c>
      <c r="Q42" t="n">
        <v>3</v>
      </c>
      <c r="R42" s="2" t="inlineStr">
        <is>
          <t>Svart trolldruva
Tibast
Blåsippa</t>
        </is>
      </c>
      <c r="S42">
        <f>HYPERLINK("https://klasma.github.io/Logging_0382/artfynd/A 55051-2021 artfynd.xlsx", "A 55051-2021")</f>
        <v/>
      </c>
      <c r="T42">
        <f>HYPERLINK("https://klasma.github.io/Logging_0382/kartor/A 55051-2021 karta.png", "A 55051-2021")</f>
        <v/>
      </c>
      <c r="V42">
        <f>HYPERLINK("https://klasma.github.io/Logging_0382/klagomål/A 55051-2021 FSC-klagomål.docx", "A 55051-2021")</f>
        <v/>
      </c>
      <c r="W42">
        <f>HYPERLINK("https://klasma.github.io/Logging_0382/klagomålsmail/A 55051-2021 FSC-klagomål mail.docx", "A 55051-2021")</f>
        <v/>
      </c>
      <c r="X42">
        <f>HYPERLINK("https://klasma.github.io/Logging_0382/tillsyn/A 55051-2021 tillsynsbegäran.docx", "A 55051-2021")</f>
        <v/>
      </c>
      <c r="Y42">
        <f>HYPERLINK("https://klasma.github.io/Logging_0382/tillsynsmail/A 55051-2021 tillsynsbegäran mail.docx", "A 55051-2021")</f>
        <v/>
      </c>
    </row>
    <row r="43" ht="15" customHeight="1">
      <c r="A43" t="inlineStr">
        <is>
          <t>A 46204-2023</t>
        </is>
      </c>
      <c r="B43" s="1" t="n">
        <v>45190</v>
      </c>
      <c r="C43" s="1" t="n">
        <v>45888</v>
      </c>
      <c r="D43" t="inlineStr">
        <is>
          <t>UPPSALA LÄN</t>
        </is>
      </c>
      <c r="E43" t="inlineStr">
        <is>
          <t>ÖSTHAMMAR</t>
        </is>
      </c>
      <c r="F43" t="inlineStr">
        <is>
          <t>Övriga statliga verk och myndigheter</t>
        </is>
      </c>
      <c r="G43" t="n">
        <v>3.5</v>
      </c>
      <c r="H43" t="n">
        <v>3</v>
      </c>
      <c r="I43" t="n">
        <v>0</v>
      </c>
      <c r="J43" t="n">
        <v>3</v>
      </c>
      <c r="K43" t="n">
        <v>0</v>
      </c>
      <c r="L43" t="n">
        <v>0</v>
      </c>
      <c r="M43" t="n">
        <v>0</v>
      </c>
      <c r="N43" t="n">
        <v>0</v>
      </c>
      <c r="O43" t="n">
        <v>3</v>
      </c>
      <c r="P43" t="n">
        <v>0</v>
      </c>
      <c r="Q43" t="n">
        <v>3</v>
      </c>
      <c r="R43" s="2" t="inlineStr">
        <is>
          <t>Grönsångare
Gulsparv
Ärtsångare</t>
        </is>
      </c>
      <c r="S43">
        <f>HYPERLINK("https://klasma.github.io/Logging_0382/artfynd/A 46204-2023 artfynd.xlsx", "A 46204-2023")</f>
        <v/>
      </c>
      <c r="T43">
        <f>HYPERLINK("https://klasma.github.io/Logging_0382/kartor/A 46204-2023 karta.png", "A 46204-2023")</f>
        <v/>
      </c>
      <c r="V43">
        <f>HYPERLINK("https://klasma.github.io/Logging_0382/klagomål/A 46204-2023 FSC-klagomål.docx", "A 46204-2023")</f>
        <v/>
      </c>
      <c r="W43">
        <f>HYPERLINK("https://klasma.github.io/Logging_0382/klagomålsmail/A 46204-2023 FSC-klagomål mail.docx", "A 46204-2023")</f>
        <v/>
      </c>
      <c r="X43">
        <f>HYPERLINK("https://klasma.github.io/Logging_0382/tillsyn/A 46204-2023 tillsynsbegäran.docx", "A 46204-2023")</f>
        <v/>
      </c>
      <c r="Y43">
        <f>HYPERLINK("https://klasma.github.io/Logging_0382/tillsynsmail/A 46204-2023 tillsynsbegäran mail.docx", "A 46204-2023")</f>
        <v/>
      </c>
      <c r="Z43">
        <f>HYPERLINK("https://klasma.github.io/Logging_0382/fåglar/A 46204-2023 prioriterade fågelarter.docx", "A 46204-2023")</f>
        <v/>
      </c>
    </row>
    <row r="44" ht="15" customHeight="1">
      <c r="A44" t="inlineStr">
        <is>
          <t>A 25044-2025</t>
        </is>
      </c>
      <c r="B44" s="1" t="n">
        <v>45799.66607638889</v>
      </c>
      <c r="C44" s="1" t="n">
        <v>45888</v>
      </c>
      <c r="D44" t="inlineStr">
        <is>
          <t>UPPSALA LÄN</t>
        </is>
      </c>
      <c r="E44" t="inlineStr">
        <is>
          <t>ÖSTHAMMAR</t>
        </is>
      </c>
      <c r="F44" t="inlineStr">
        <is>
          <t>Bergvik skog öst AB</t>
        </is>
      </c>
      <c r="G44" t="n">
        <v>8.199999999999999</v>
      </c>
      <c r="H44" t="n">
        <v>2</v>
      </c>
      <c r="I44" t="n">
        <v>2</v>
      </c>
      <c r="J44" t="n">
        <v>0</v>
      </c>
      <c r="K44" t="n">
        <v>0</v>
      </c>
      <c r="L44" t="n">
        <v>0</v>
      </c>
      <c r="M44" t="n">
        <v>0</v>
      </c>
      <c r="N44" t="n">
        <v>0</v>
      </c>
      <c r="O44" t="n">
        <v>0</v>
      </c>
      <c r="P44" t="n">
        <v>0</v>
      </c>
      <c r="Q44" t="n">
        <v>3</v>
      </c>
      <c r="R44" s="2" t="inlineStr">
        <is>
          <t>Tvåblad
Vårärt
Blåsippa</t>
        </is>
      </c>
      <c r="S44">
        <f>HYPERLINK("https://klasma.github.io/Logging_0382/artfynd/A 25044-2025 artfynd.xlsx", "A 25044-2025")</f>
        <v/>
      </c>
      <c r="T44">
        <f>HYPERLINK("https://klasma.github.io/Logging_0382/kartor/A 25044-2025 karta.png", "A 25044-2025")</f>
        <v/>
      </c>
      <c r="V44">
        <f>HYPERLINK("https://klasma.github.io/Logging_0382/klagomål/A 25044-2025 FSC-klagomål.docx", "A 25044-2025")</f>
        <v/>
      </c>
      <c r="W44">
        <f>HYPERLINK("https://klasma.github.io/Logging_0382/klagomålsmail/A 25044-2025 FSC-klagomål mail.docx", "A 25044-2025")</f>
        <v/>
      </c>
      <c r="X44">
        <f>HYPERLINK("https://klasma.github.io/Logging_0382/tillsyn/A 25044-2025 tillsynsbegäran.docx", "A 25044-2025")</f>
        <v/>
      </c>
      <c r="Y44">
        <f>HYPERLINK("https://klasma.github.io/Logging_0382/tillsynsmail/A 25044-2025 tillsynsbegäran mail.docx", "A 25044-2025")</f>
        <v/>
      </c>
    </row>
    <row r="45" ht="15" customHeight="1">
      <c r="A45" t="inlineStr">
        <is>
          <t>A 17004-2024</t>
        </is>
      </c>
      <c r="B45" s="1" t="n">
        <v>45412</v>
      </c>
      <c r="C45" s="1" t="n">
        <v>45888</v>
      </c>
      <c r="D45" t="inlineStr">
        <is>
          <t>UPPSALA LÄN</t>
        </is>
      </c>
      <c r="E45" t="inlineStr">
        <is>
          <t>ÖSTHAMMAR</t>
        </is>
      </c>
      <c r="F45" t="inlineStr">
        <is>
          <t>Bergvik skog öst AB</t>
        </is>
      </c>
      <c r="G45" t="n">
        <v>24.4</v>
      </c>
      <c r="H45" t="n">
        <v>0</v>
      </c>
      <c r="I45" t="n">
        <v>2</v>
      </c>
      <c r="J45" t="n">
        <v>0</v>
      </c>
      <c r="K45" t="n">
        <v>0</v>
      </c>
      <c r="L45" t="n">
        <v>0</v>
      </c>
      <c r="M45" t="n">
        <v>1</v>
      </c>
      <c r="N45" t="n">
        <v>0</v>
      </c>
      <c r="O45" t="n">
        <v>1</v>
      </c>
      <c r="P45" t="n">
        <v>1</v>
      </c>
      <c r="Q45" t="n">
        <v>3</v>
      </c>
      <c r="R45" s="2" t="inlineStr">
        <is>
          <t>Skogsalm
Myskmadra
Underviol</t>
        </is>
      </c>
      <c r="S45">
        <f>HYPERLINK("https://klasma.github.io/Logging_0382/artfynd/A 17004-2024 artfynd.xlsx", "A 17004-2024")</f>
        <v/>
      </c>
      <c r="T45">
        <f>HYPERLINK("https://klasma.github.io/Logging_0382/kartor/A 17004-2024 karta.png", "A 17004-2024")</f>
        <v/>
      </c>
      <c r="V45">
        <f>HYPERLINK("https://klasma.github.io/Logging_0382/klagomål/A 17004-2024 FSC-klagomål.docx", "A 17004-2024")</f>
        <v/>
      </c>
      <c r="W45">
        <f>HYPERLINK("https://klasma.github.io/Logging_0382/klagomålsmail/A 17004-2024 FSC-klagomål mail.docx", "A 17004-2024")</f>
        <v/>
      </c>
      <c r="X45">
        <f>HYPERLINK("https://klasma.github.io/Logging_0382/tillsyn/A 17004-2024 tillsynsbegäran.docx", "A 17004-2024")</f>
        <v/>
      </c>
      <c r="Y45">
        <f>HYPERLINK("https://klasma.github.io/Logging_0382/tillsynsmail/A 17004-2024 tillsynsbegäran mail.docx", "A 17004-2024")</f>
        <v/>
      </c>
    </row>
    <row r="46" ht="15" customHeight="1">
      <c r="A46" t="inlineStr">
        <is>
          <t>A 9683-2023</t>
        </is>
      </c>
      <c r="B46" s="1" t="n">
        <v>44984.43856481482</v>
      </c>
      <c r="C46" s="1" t="n">
        <v>45888</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45888</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26557-2022</t>
        </is>
      </c>
      <c r="B48" s="1" t="n">
        <v>44739</v>
      </c>
      <c r="C48" s="1" t="n">
        <v>45888</v>
      </c>
      <c r="D48" t="inlineStr">
        <is>
          <t>UPPSALA LÄN</t>
        </is>
      </c>
      <c r="E48" t="inlineStr">
        <is>
          <t>ÖSTHAMMAR</t>
        </is>
      </c>
      <c r="F48" t="inlineStr">
        <is>
          <t>Övriga statliga verk och myndigheter</t>
        </is>
      </c>
      <c r="G48" t="n">
        <v>1.7</v>
      </c>
      <c r="H48" t="n">
        <v>3</v>
      </c>
      <c r="I48" t="n">
        <v>0</v>
      </c>
      <c r="J48" t="n">
        <v>3</v>
      </c>
      <c r="K48" t="n">
        <v>0</v>
      </c>
      <c r="L48" t="n">
        <v>0</v>
      </c>
      <c r="M48" t="n">
        <v>0</v>
      </c>
      <c r="N48" t="n">
        <v>0</v>
      </c>
      <c r="O48" t="n">
        <v>3</v>
      </c>
      <c r="P48" t="n">
        <v>0</v>
      </c>
      <c r="Q48" t="n">
        <v>3</v>
      </c>
      <c r="R48" s="2" t="inlineStr">
        <is>
          <t>Järpe
Mindre hackspett
Spillkråka</t>
        </is>
      </c>
      <c r="S48">
        <f>HYPERLINK("https://klasma.github.io/Logging_0382/artfynd/A 26557-2022 artfynd.xlsx", "A 26557-2022")</f>
        <v/>
      </c>
      <c r="T48">
        <f>HYPERLINK("https://klasma.github.io/Logging_0382/kartor/A 26557-2022 karta.png", "A 26557-2022")</f>
        <v/>
      </c>
      <c r="V48">
        <f>HYPERLINK("https://klasma.github.io/Logging_0382/klagomål/A 26557-2022 FSC-klagomål.docx", "A 26557-2022")</f>
        <v/>
      </c>
      <c r="W48">
        <f>HYPERLINK("https://klasma.github.io/Logging_0382/klagomålsmail/A 26557-2022 FSC-klagomål mail.docx", "A 26557-2022")</f>
        <v/>
      </c>
      <c r="X48">
        <f>HYPERLINK("https://klasma.github.io/Logging_0382/tillsyn/A 26557-2022 tillsynsbegäran.docx", "A 26557-2022")</f>
        <v/>
      </c>
      <c r="Y48">
        <f>HYPERLINK("https://klasma.github.io/Logging_0382/tillsynsmail/A 26557-2022 tillsynsbegäran mail.docx", "A 26557-2022")</f>
        <v/>
      </c>
      <c r="Z48">
        <f>HYPERLINK("https://klasma.github.io/Logging_0382/fåglar/A 26557-2022 prioriterade fågelarter.docx", "A 26557-2022")</f>
        <v/>
      </c>
    </row>
    <row r="49" ht="15" customHeight="1">
      <c r="A49" t="inlineStr">
        <is>
          <t>A 45714-2020</t>
        </is>
      </c>
      <c r="B49" s="1" t="n">
        <v>44090</v>
      </c>
      <c r="C49" s="1" t="n">
        <v>45888</v>
      </c>
      <c r="D49" t="inlineStr">
        <is>
          <t>UPPSALA LÄN</t>
        </is>
      </c>
      <c r="E49" t="inlineStr">
        <is>
          <t>ÖSTHAMMAR</t>
        </is>
      </c>
      <c r="F49" t="inlineStr">
        <is>
          <t>Övriga Aktiebolag</t>
        </is>
      </c>
      <c r="G49" t="n">
        <v>10.8</v>
      </c>
      <c r="H49" t="n">
        <v>1</v>
      </c>
      <c r="I49" t="n">
        <v>1</v>
      </c>
      <c r="J49" t="n">
        <v>2</v>
      </c>
      <c r="K49" t="n">
        <v>0</v>
      </c>
      <c r="L49" t="n">
        <v>0</v>
      </c>
      <c r="M49" t="n">
        <v>0</v>
      </c>
      <c r="N49" t="n">
        <v>0</v>
      </c>
      <c r="O49" t="n">
        <v>2</v>
      </c>
      <c r="P49" t="n">
        <v>0</v>
      </c>
      <c r="Q49" t="n">
        <v>3</v>
      </c>
      <c r="R49" s="2" t="inlineStr">
        <is>
          <t>Slåtterfibbla
Solvända
Skogsknipprot</t>
        </is>
      </c>
      <c r="S49">
        <f>HYPERLINK("https://klasma.github.io/Logging_0382/artfynd/A 45714-2020 artfynd.xlsx", "A 45714-2020")</f>
        <v/>
      </c>
      <c r="T49">
        <f>HYPERLINK("https://klasma.github.io/Logging_0382/kartor/A 45714-2020 karta.png", "A 45714-2020")</f>
        <v/>
      </c>
      <c r="V49">
        <f>HYPERLINK("https://klasma.github.io/Logging_0382/klagomål/A 45714-2020 FSC-klagomål.docx", "A 45714-2020")</f>
        <v/>
      </c>
      <c r="W49">
        <f>HYPERLINK("https://klasma.github.io/Logging_0382/klagomålsmail/A 45714-2020 FSC-klagomål mail.docx", "A 45714-2020")</f>
        <v/>
      </c>
      <c r="X49">
        <f>HYPERLINK("https://klasma.github.io/Logging_0382/tillsyn/A 45714-2020 tillsynsbegäran.docx", "A 45714-2020")</f>
        <v/>
      </c>
      <c r="Y49">
        <f>HYPERLINK("https://klasma.github.io/Logging_0382/tillsynsmail/A 45714-2020 tillsynsbegäran mail.docx", "A 45714-2020")</f>
        <v/>
      </c>
    </row>
    <row r="50" ht="15" customHeight="1">
      <c r="A50" t="inlineStr">
        <is>
          <t>A 9715-2024</t>
        </is>
      </c>
      <c r="B50" s="1" t="n">
        <v>45362.53928240741</v>
      </c>
      <c r="C50" s="1" t="n">
        <v>45888</v>
      </c>
      <c r="D50" t="inlineStr">
        <is>
          <t>UPPSALA LÄN</t>
        </is>
      </c>
      <c r="E50" t="inlineStr">
        <is>
          <t>ÖSTHAMMAR</t>
        </is>
      </c>
      <c r="G50" t="n">
        <v>4.7</v>
      </c>
      <c r="H50" t="n">
        <v>2</v>
      </c>
      <c r="I50" t="n">
        <v>2</v>
      </c>
      <c r="J50" t="n">
        <v>0</v>
      </c>
      <c r="K50" t="n">
        <v>1</v>
      </c>
      <c r="L50" t="n">
        <v>0</v>
      </c>
      <c r="M50" t="n">
        <v>0</v>
      </c>
      <c r="N50" t="n">
        <v>0</v>
      </c>
      <c r="O50" t="n">
        <v>1</v>
      </c>
      <c r="P50" t="n">
        <v>1</v>
      </c>
      <c r="Q50" t="n">
        <v>3</v>
      </c>
      <c r="R50" s="2" t="inlineStr">
        <is>
          <t>Knärot
Skogsknipprot
Vedticka</t>
        </is>
      </c>
      <c r="S50">
        <f>HYPERLINK("https://klasma.github.io/Logging_0382/artfynd/A 9715-2024 artfynd.xlsx", "A 9715-2024")</f>
        <v/>
      </c>
      <c r="T50">
        <f>HYPERLINK("https://klasma.github.io/Logging_0382/kartor/A 9715-2024 karta.png", "A 9715-2024")</f>
        <v/>
      </c>
      <c r="U50">
        <f>HYPERLINK("https://klasma.github.io/Logging_0382/knärot/A 9715-2024 karta knärot.png", "A 9715-2024")</f>
        <v/>
      </c>
      <c r="V50">
        <f>HYPERLINK("https://klasma.github.io/Logging_0382/klagomål/A 9715-2024 FSC-klagomål.docx", "A 9715-2024")</f>
        <v/>
      </c>
      <c r="W50">
        <f>HYPERLINK("https://klasma.github.io/Logging_0382/klagomålsmail/A 9715-2024 FSC-klagomål mail.docx", "A 9715-2024")</f>
        <v/>
      </c>
      <c r="X50">
        <f>HYPERLINK("https://klasma.github.io/Logging_0382/tillsyn/A 9715-2024 tillsynsbegäran.docx", "A 9715-2024")</f>
        <v/>
      </c>
      <c r="Y50">
        <f>HYPERLINK("https://klasma.github.io/Logging_0382/tillsynsmail/A 9715-2024 tillsynsbegäran mail.docx", "A 9715-2024")</f>
        <v/>
      </c>
    </row>
    <row r="51" ht="15" customHeight="1">
      <c r="A51" t="inlineStr">
        <is>
          <t>A 60078-2021</t>
        </is>
      </c>
      <c r="B51" s="1" t="n">
        <v>44495</v>
      </c>
      <c r="C51" s="1" t="n">
        <v>45888</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45888</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45888</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13287-2022</t>
        </is>
      </c>
      <c r="B54" s="1" t="n">
        <v>44644</v>
      </c>
      <c r="C54" s="1" t="n">
        <v>45888</v>
      </c>
      <c r="D54" t="inlineStr">
        <is>
          <t>UPPSALA LÄN</t>
        </is>
      </c>
      <c r="E54" t="inlineStr">
        <is>
          <t>ÖSTHAMMAR</t>
        </is>
      </c>
      <c r="G54" t="n">
        <v>14.6</v>
      </c>
      <c r="H54" t="n">
        <v>0</v>
      </c>
      <c r="I54" t="n">
        <v>1</v>
      </c>
      <c r="J54" t="n">
        <v>0</v>
      </c>
      <c r="K54" t="n">
        <v>1</v>
      </c>
      <c r="L54" t="n">
        <v>0</v>
      </c>
      <c r="M54" t="n">
        <v>0</v>
      </c>
      <c r="N54" t="n">
        <v>0</v>
      </c>
      <c r="O54" t="n">
        <v>1</v>
      </c>
      <c r="P54" t="n">
        <v>1</v>
      </c>
      <c r="Q54" t="n">
        <v>2</v>
      </c>
      <c r="R54" s="2" t="inlineStr">
        <is>
          <t>Bullspindling
Olivspindling</t>
        </is>
      </c>
      <c r="S54">
        <f>HYPERLINK("https://klasma.github.io/Logging_0382/artfynd/A 13287-2022 artfynd.xlsx", "A 13287-2022")</f>
        <v/>
      </c>
      <c r="T54">
        <f>HYPERLINK("https://klasma.github.io/Logging_0382/kartor/A 13287-2022 karta.png", "A 13287-2022")</f>
        <v/>
      </c>
      <c r="V54">
        <f>HYPERLINK("https://klasma.github.io/Logging_0382/klagomål/A 13287-2022 FSC-klagomål.docx", "A 13287-2022")</f>
        <v/>
      </c>
      <c r="W54">
        <f>HYPERLINK("https://klasma.github.io/Logging_0382/klagomålsmail/A 13287-2022 FSC-klagomål mail.docx", "A 13287-2022")</f>
        <v/>
      </c>
      <c r="X54">
        <f>HYPERLINK("https://klasma.github.io/Logging_0382/tillsyn/A 13287-2022 tillsynsbegäran.docx", "A 13287-2022")</f>
        <v/>
      </c>
      <c r="Y54">
        <f>HYPERLINK("https://klasma.github.io/Logging_0382/tillsynsmail/A 13287-2022 tillsynsbegäran mail.docx", "A 13287-2022")</f>
        <v/>
      </c>
    </row>
    <row r="55" ht="15" customHeight="1">
      <c r="A55" t="inlineStr">
        <is>
          <t>A 42520-2020</t>
        </is>
      </c>
      <c r="B55" s="1" t="n">
        <v>44077</v>
      </c>
      <c r="C55" s="1" t="n">
        <v>45888</v>
      </c>
      <c r="D55" t="inlineStr">
        <is>
          <t>UPPSALA LÄN</t>
        </is>
      </c>
      <c r="E55" t="inlineStr">
        <is>
          <t>ÖSTHAMMAR</t>
        </is>
      </c>
      <c r="G55" t="n">
        <v>2.8</v>
      </c>
      <c r="H55" t="n">
        <v>1</v>
      </c>
      <c r="I55" t="n">
        <v>2</v>
      </c>
      <c r="J55" t="n">
        <v>0</v>
      </c>
      <c r="K55" t="n">
        <v>0</v>
      </c>
      <c r="L55" t="n">
        <v>0</v>
      </c>
      <c r="M55" t="n">
        <v>0</v>
      </c>
      <c r="N55" t="n">
        <v>0</v>
      </c>
      <c r="O55" t="n">
        <v>0</v>
      </c>
      <c r="P55" t="n">
        <v>0</v>
      </c>
      <c r="Q55" t="n">
        <v>2</v>
      </c>
      <c r="R55" s="2" t="inlineStr">
        <is>
          <t>Hasselticka
Skogsknipprot</t>
        </is>
      </c>
      <c r="S55">
        <f>HYPERLINK("https://klasma.github.io/Logging_0382/artfynd/A 42520-2020 artfynd.xlsx", "A 42520-2020")</f>
        <v/>
      </c>
      <c r="T55">
        <f>HYPERLINK("https://klasma.github.io/Logging_0382/kartor/A 42520-2020 karta.png", "A 42520-2020")</f>
        <v/>
      </c>
      <c r="V55">
        <f>HYPERLINK("https://klasma.github.io/Logging_0382/klagomål/A 42520-2020 FSC-klagomål.docx", "A 42520-2020")</f>
        <v/>
      </c>
      <c r="W55">
        <f>HYPERLINK("https://klasma.github.io/Logging_0382/klagomålsmail/A 42520-2020 FSC-klagomål mail.docx", "A 42520-2020")</f>
        <v/>
      </c>
      <c r="X55">
        <f>HYPERLINK("https://klasma.github.io/Logging_0382/tillsyn/A 42520-2020 tillsynsbegäran.docx", "A 42520-2020")</f>
        <v/>
      </c>
      <c r="Y55">
        <f>HYPERLINK("https://klasma.github.io/Logging_0382/tillsynsmail/A 42520-2020 tillsynsbegäran mail.docx", "A 42520-2020")</f>
        <v/>
      </c>
    </row>
    <row r="56" ht="15" customHeight="1">
      <c r="A56" t="inlineStr">
        <is>
          <t>A 30943-2024</t>
        </is>
      </c>
      <c r="B56" s="1" t="n">
        <v>45499</v>
      </c>
      <c r="C56" s="1" t="n">
        <v>45888</v>
      </c>
      <c r="D56" t="inlineStr">
        <is>
          <t>UPPSALA LÄN</t>
        </is>
      </c>
      <c r="E56" t="inlineStr">
        <is>
          <t>ÖSTHAMMAR</t>
        </is>
      </c>
      <c r="G56" t="n">
        <v>4.5</v>
      </c>
      <c r="H56" t="n">
        <v>0</v>
      </c>
      <c r="I56" t="n">
        <v>2</v>
      </c>
      <c r="J56" t="n">
        <v>0</v>
      </c>
      <c r="K56" t="n">
        <v>0</v>
      </c>
      <c r="L56" t="n">
        <v>0</v>
      </c>
      <c r="M56" t="n">
        <v>0</v>
      </c>
      <c r="N56" t="n">
        <v>0</v>
      </c>
      <c r="O56" t="n">
        <v>0</v>
      </c>
      <c r="P56" t="n">
        <v>0</v>
      </c>
      <c r="Q56" t="n">
        <v>2</v>
      </c>
      <c r="R56" s="2" t="inlineStr">
        <is>
          <t>Tibast
Underviol</t>
        </is>
      </c>
      <c r="S56">
        <f>HYPERLINK("https://klasma.github.io/Logging_0382/artfynd/A 30943-2024 artfynd.xlsx", "A 30943-2024")</f>
        <v/>
      </c>
      <c r="T56">
        <f>HYPERLINK("https://klasma.github.io/Logging_0382/kartor/A 30943-2024 karta.png", "A 30943-2024")</f>
        <v/>
      </c>
      <c r="V56">
        <f>HYPERLINK("https://klasma.github.io/Logging_0382/klagomål/A 30943-2024 FSC-klagomål.docx", "A 30943-2024")</f>
        <v/>
      </c>
      <c r="W56">
        <f>HYPERLINK("https://klasma.github.io/Logging_0382/klagomålsmail/A 30943-2024 FSC-klagomål mail.docx", "A 30943-2024")</f>
        <v/>
      </c>
      <c r="X56">
        <f>HYPERLINK("https://klasma.github.io/Logging_0382/tillsyn/A 30943-2024 tillsynsbegäran.docx", "A 30943-2024")</f>
        <v/>
      </c>
      <c r="Y56">
        <f>HYPERLINK("https://klasma.github.io/Logging_0382/tillsynsmail/A 30943-2024 tillsynsbegäran mail.docx", "A 30943-2024")</f>
        <v/>
      </c>
    </row>
    <row r="57" ht="15" customHeight="1">
      <c r="A57" t="inlineStr">
        <is>
          <t>A 9646-2024</t>
        </is>
      </c>
      <c r="B57" s="1" t="n">
        <v>45362.37055555556</v>
      </c>
      <c r="C57" s="1" t="n">
        <v>45888</v>
      </c>
      <c r="D57" t="inlineStr">
        <is>
          <t>UPPSALA LÄN</t>
        </is>
      </c>
      <c r="E57" t="inlineStr">
        <is>
          <t>ÖSTHAMMAR</t>
        </is>
      </c>
      <c r="G57" t="n">
        <v>1.6</v>
      </c>
      <c r="H57" t="n">
        <v>0</v>
      </c>
      <c r="I57" t="n">
        <v>0</v>
      </c>
      <c r="J57" t="n">
        <v>1</v>
      </c>
      <c r="K57" t="n">
        <v>1</v>
      </c>
      <c r="L57" t="n">
        <v>0</v>
      </c>
      <c r="M57" t="n">
        <v>0</v>
      </c>
      <c r="N57" t="n">
        <v>0</v>
      </c>
      <c r="O57" t="n">
        <v>2</v>
      </c>
      <c r="P57" t="n">
        <v>1</v>
      </c>
      <c r="Q57" t="n">
        <v>2</v>
      </c>
      <c r="R57" s="2" t="inlineStr">
        <is>
          <t>Violgubbe
Gultoppig fingersvamp</t>
        </is>
      </c>
      <c r="S57">
        <f>HYPERLINK("https://klasma.github.io/Logging_0382/artfynd/A 9646-2024 artfynd.xlsx", "A 9646-2024")</f>
        <v/>
      </c>
      <c r="T57">
        <f>HYPERLINK("https://klasma.github.io/Logging_0382/kartor/A 9646-2024 karta.png", "A 9646-2024")</f>
        <v/>
      </c>
      <c r="V57">
        <f>HYPERLINK("https://klasma.github.io/Logging_0382/klagomål/A 9646-2024 FSC-klagomål.docx", "A 9646-2024")</f>
        <v/>
      </c>
      <c r="W57">
        <f>HYPERLINK("https://klasma.github.io/Logging_0382/klagomålsmail/A 9646-2024 FSC-klagomål mail.docx", "A 9646-2024")</f>
        <v/>
      </c>
      <c r="X57">
        <f>HYPERLINK("https://klasma.github.io/Logging_0382/tillsyn/A 9646-2024 tillsynsbegäran.docx", "A 9646-2024")</f>
        <v/>
      </c>
      <c r="Y57">
        <f>HYPERLINK("https://klasma.github.io/Logging_0382/tillsynsmail/A 9646-2024 tillsynsbegäran mail.docx", "A 9646-2024")</f>
        <v/>
      </c>
    </row>
    <row r="58" ht="15" customHeight="1">
      <c r="A58" t="inlineStr">
        <is>
          <t>A 6223-2021</t>
        </is>
      </c>
      <c r="B58" s="1" t="n">
        <v>44235</v>
      </c>
      <c r="C58" s="1" t="n">
        <v>45888</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18539-2024</t>
        </is>
      </c>
      <c r="B59" s="1" t="n">
        <v>45425.63697916667</v>
      </c>
      <c r="C59" s="1" t="n">
        <v>45888</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20553-2025</t>
        </is>
      </c>
      <c r="B60" s="1" t="n">
        <v>45775.63983796296</v>
      </c>
      <c r="C60" s="1" t="n">
        <v>45888</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2916-2025</t>
        </is>
      </c>
      <c r="B61" s="1" t="n">
        <v>45677</v>
      </c>
      <c r="C61" s="1" t="n">
        <v>45888</v>
      </c>
      <c r="D61" t="inlineStr">
        <is>
          <t>UPPSALA LÄN</t>
        </is>
      </c>
      <c r="E61" t="inlineStr">
        <is>
          <t>ÖSTHAMMAR</t>
        </is>
      </c>
      <c r="F61" t="inlineStr">
        <is>
          <t>Allmännings- och besparingsskogar</t>
        </is>
      </c>
      <c r="G61" t="n">
        <v>10.5</v>
      </c>
      <c r="H61" t="n">
        <v>2</v>
      </c>
      <c r="I61" t="n">
        <v>0</v>
      </c>
      <c r="J61" t="n">
        <v>0</v>
      </c>
      <c r="K61" t="n">
        <v>0</v>
      </c>
      <c r="L61" t="n">
        <v>0</v>
      </c>
      <c r="M61" t="n">
        <v>0</v>
      </c>
      <c r="N61" t="n">
        <v>0</v>
      </c>
      <c r="O61" t="n">
        <v>0</v>
      </c>
      <c r="P61" t="n">
        <v>0</v>
      </c>
      <c r="Q61" t="n">
        <v>2</v>
      </c>
      <c r="R61" s="2" t="inlineStr">
        <is>
          <t>Grönvit nattviol
Ängsnycklar × fläcknycklar</t>
        </is>
      </c>
      <c r="S61">
        <f>HYPERLINK("https://klasma.github.io/Logging_0382/artfynd/A 2916-2025 artfynd.xlsx", "A 2916-2025")</f>
        <v/>
      </c>
      <c r="T61">
        <f>HYPERLINK("https://klasma.github.io/Logging_0382/kartor/A 2916-2025 karta.png", "A 2916-2025")</f>
        <v/>
      </c>
      <c r="V61">
        <f>HYPERLINK("https://klasma.github.io/Logging_0382/klagomål/A 2916-2025 FSC-klagomål.docx", "A 2916-2025")</f>
        <v/>
      </c>
      <c r="W61">
        <f>HYPERLINK("https://klasma.github.io/Logging_0382/klagomålsmail/A 2916-2025 FSC-klagomål mail.docx", "A 2916-2025")</f>
        <v/>
      </c>
      <c r="X61">
        <f>HYPERLINK("https://klasma.github.io/Logging_0382/tillsyn/A 2916-2025 tillsynsbegäran.docx", "A 2916-2025")</f>
        <v/>
      </c>
      <c r="Y61">
        <f>HYPERLINK("https://klasma.github.io/Logging_0382/tillsynsmail/A 2916-2025 tillsynsbegäran mail.docx", "A 2916-2025")</f>
        <v/>
      </c>
    </row>
    <row r="62" ht="15" customHeight="1">
      <c r="A62" t="inlineStr">
        <is>
          <t>A 26277-2024</t>
        </is>
      </c>
      <c r="B62" s="1" t="n">
        <v>45468</v>
      </c>
      <c r="C62" s="1" t="n">
        <v>45888</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67855-2021</t>
        </is>
      </c>
      <c r="B63" s="1" t="n">
        <v>44525</v>
      </c>
      <c r="C63" s="1" t="n">
        <v>45888</v>
      </c>
      <c r="D63" t="inlineStr">
        <is>
          <t>UPPSALA LÄN</t>
        </is>
      </c>
      <c r="E63" t="inlineStr">
        <is>
          <t>ÖSTHAMMAR</t>
        </is>
      </c>
      <c r="G63" t="n">
        <v>7.5</v>
      </c>
      <c r="H63" t="n">
        <v>0</v>
      </c>
      <c r="I63" t="n">
        <v>2</v>
      </c>
      <c r="J63" t="n">
        <v>0</v>
      </c>
      <c r="K63" t="n">
        <v>0</v>
      </c>
      <c r="L63" t="n">
        <v>0</v>
      </c>
      <c r="M63" t="n">
        <v>0</v>
      </c>
      <c r="N63" t="n">
        <v>0</v>
      </c>
      <c r="O63" t="n">
        <v>0</v>
      </c>
      <c r="P63" t="n">
        <v>0</v>
      </c>
      <c r="Q63" t="n">
        <v>2</v>
      </c>
      <c r="R63" s="2" t="inlineStr">
        <is>
          <t>Guldkremla
Kamjordstjärna</t>
        </is>
      </c>
      <c r="S63">
        <f>HYPERLINK("https://klasma.github.io/Logging_0382/artfynd/A 67855-2021 artfynd.xlsx", "A 67855-2021")</f>
        <v/>
      </c>
      <c r="T63">
        <f>HYPERLINK("https://klasma.github.io/Logging_0382/kartor/A 67855-2021 karta.png", "A 67855-2021")</f>
        <v/>
      </c>
      <c r="V63">
        <f>HYPERLINK("https://klasma.github.io/Logging_0382/klagomål/A 67855-2021 FSC-klagomål.docx", "A 67855-2021")</f>
        <v/>
      </c>
      <c r="W63">
        <f>HYPERLINK("https://klasma.github.io/Logging_0382/klagomålsmail/A 67855-2021 FSC-klagomål mail.docx", "A 67855-2021")</f>
        <v/>
      </c>
      <c r="X63">
        <f>HYPERLINK("https://klasma.github.io/Logging_0382/tillsyn/A 67855-2021 tillsynsbegäran.docx", "A 67855-2021")</f>
        <v/>
      </c>
      <c r="Y63">
        <f>HYPERLINK("https://klasma.github.io/Logging_0382/tillsynsmail/A 67855-2021 tillsynsbegäran mail.docx", "A 67855-2021")</f>
        <v/>
      </c>
    </row>
    <row r="64" ht="15" customHeight="1">
      <c r="A64" t="inlineStr">
        <is>
          <t>A 21453-2023</t>
        </is>
      </c>
      <c r="B64" s="1" t="n">
        <v>45063</v>
      </c>
      <c r="C64" s="1" t="n">
        <v>45888</v>
      </c>
      <c r="D64" t="inlineStr">
        <is>
          <t>UPPSALA LÄN</t>
        </is>
      </c>
      <c r="E64" t="inlineStr">
        <is>
          <t>ÖSTHAMMAR</t>
        </is>
      </c>
      <c r="F64" t="inlineStr">
        <is>
          <t>Bergvik skog väst AB</t>
        </is>
      </c>
      <c r="G64" t="n">
        <v>6.1</v>
      </c>
      <c r="H64" t="n">
        <v>1</v>
      </c>
      <c r="I64" t="n">
        <v>1</v>
      </c>
      <c r="J64" t="n">
        <v>0</v>
      </c>
      <c r="K64" t="n">
        <v>0</v>
      </c>
      <c r="L64" t="n">
        <v>0</v>
      </c>
      <c r="M64" t="n">
        <v>0</v>
      </c>
      <c r="N64" t="n">
        <v>0</v>
      </c>
      <c r="O64" t="n">
        <v>0</v>
      </c>
      <c r="P64" t="n">
        <v>0</v>
      </c>
      <c r="Q64" t="n">
        <v>2</v>
      </c>
      <c r="R64" s="2" t="inlineStr">
        <is>
          <t>Fransig jordstjärna
Blåsippa</t>
        </is>
      </c>
      <c r="S64">
        <f>HYPERLINK("https://klasma.github.io/Logging_0382/artfynd/A 21453-2023 artfynd.xlsx", "A 21453-2023")</f>
        <v/>
      </c>
      <c r="T64">
        <f>HYPERLINK("https://klasma.github.io/Logging_0382/kartor/A 21453-2023 karta.png", "A 21453-2023")</f>
        <v/>
      </c>
      <c r="V64">
        <f>HYPERLINK("https://klasma.github.io/Logging_0382/klagomål/A 21453-2023 FSC-klagomål.docx", "A 21453-2023")</f>
        <v/>
      </c>
      <c r="W64">
        <f>HYPERLINK("https://klasma.github.io/Logging_0382/klagomålsmail/A 21453-2023 FSC-klagomål mail.docx", "A 21453-2023")</f>
        <v/>
      </c>
      <c r="X64">
        <f>HYPERLINK("https://klasma.github.io/Logging_0382/tillsyn/A 21453-2023 tillsynsbegäran.docx", "A 21453-2023")</f>
        <v/>
      </c>
      <c r="Y64">
        <f>HYPERLINK("https://klasma.github.io/Logging_0382/tillsynsmail/A 21453-2023 tillsynsbegäran mail.docx", "A 21453-2023")</f>
        <v/>
      </c>
    </row>
    <row r="65" ht="15" customHeight="1">
      <c r="A65" t="inlineStr">
        <is>
          <t>A 73981-2021</t>
        </is>
      </c>
      <c r="B65" s="1" t="n">
        <v>44555</v>
      </c>
      <c r="C65" s="1" t="n">
        <v>45888</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21422-2023</t>
        </is>
      </c>
      <c r="B66" s="1" t="n">
        <v>45063</v>
      </c>
      <c r="C66" s="1" t="n">
        <v>45888</v>
      </c>
      <c r="D66" t="inlineStr">
        <is>
          <t>UPPSALA LÄN</t>
        </is>
      </c>
      <c r="E66" t="inlineStr">
        <is>
          <t>ÖSTHAMMAR</t>
        </is>
      </c>
      <c r="F66" t="inlineStr">
        <is>
          <t>Sveaskog</t>
        </is>
      </c>
      <c r="G66" t="n">
        <v>2.8</v>
      </c>
      <c r="H66" t="n">
        <v>2</v>
      </c>
      <c r="I66" t="n">
        <v>0</v>
      </c>
      <c r="J66" t="n">
        <v>1</v>
      </c>
      <c r="K66" t="n">
        <v>0</v>
      </c>
      <c r="L66" t="n">
        <v>0</v>
      </c>
      <c r="M66" t="n">
        <v>0</v>
      </c>
      <c r="N66" t="n">
        <v>0</v>
      </c>
      <c r="O66" t="n">
        <v>1</v>
      </c>
      <c r="P66" t="n">
        <v>0</v>
      </c>
      <c r="Q66" t="n">
        <v>2</v>
      </c>
      <c r="R66" s="2" t="inlineStr">
        <is>
          <t>Nordfladdermus
Dvärgpipistrell</t>
        </is>
      </c>
      <c r="S66">
        <f>HYPERLINK("https://klasma.github.io/Logging_0382/artfynd/A 21422-2023 artfynd.xlsx", "A 21422-2023")</f>
        <v/>
      </c>
      <c r="T66">
        <f>HYPERLINK("https://klasma.github.io/Logging_0382/kartor/A 21422-2023 karta.png", "A 21422-2023")</f>
        <v/>
      </c>
      <c r="V66">
        <f>HYPERLINK("https://klasma.github.io/Logging_0382/klagomål/A 21422-2023 FSC-klagomål.docx", "A 21422-2023")</f>
        <v/>
      </c>
      <c r="W66">
        <f>HYPERLINK("https://klasma.github.io/Logging_0382/klagomålsmail/A 21422-2023 FSC-klagomål mail.docx", "A 21422-2023")</f>
        <v/>
      </c>
      <c r="X66">
        <f>HYPERLINK("https://klasma.github.io/Logging_0382/tillsyn/A 21422-2023 tillsynsbegäran.docx", "A 21422-2023")</f>
        <v/>
      </c>
      <c r="Y66">
        <f>HYPERLINK("https://klasma.github.io/Logging_0382/tillsynsmail/A 21422-2023 tillsynsbegäran mail.docx", "A 21422-2023")</f>
        <v/>
      </c>
    </row>
    <row r="67" ht="15" customHeight="1">
      <c r="A67" t="inlineStr">
        <is>
          <t>A 37768-2025</t>
        </is>
      </c>
      <c r="B67" s="1" t="n">
        <v>45880.74625</v>
      </c>
      <c r="C67" s="1" t="n">
        <v>45888</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33269-2025</t>
        </is>
      </c>
      <c r="B68" s="1" t="n">
        <v>45840.68208333333</v>
      </c>
      <c r="C68" s="1" t="n">
        <v>45888</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25098-2022</t>
        </is>
      </c>
      <c r="B69" s="1" t="n">
        <v>44729.44149305556</v>
      </c>
      <c r="C69" s="1" t="n">
        <v>45888</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38442-2022</t>
        </is>
      </c>
      <c r="B70" s="1" t="n">
        <v>44813</v>
      </c>
      <c r="C70" s="1" t="n">
        <v>45888</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45888</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45888</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45888</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12753-2024</t>
        </is>
      </c>
      <c r="B74" s="1" t="n">
        <v>45384</v>
      </c>
      <c r="C74" s="1" t="n">
        <v>45888</v>
      </c>
      <c r="D74" t="inlineStr">
        <is>
          <t>UPPSALA LÄN</t>
        </is>
      </c>
      <c r="E74" t="inlineStr">
        <is>
          <t>ÖSTHAMMAR</t>
        </is>
      </c>
      <c r="G74" t="n">
        <v>1.7</v>
      </c>
      <c r="H74" t="n">
        <v>0</v>
      </c>
      <c r="I74" t="n">
        <v>0</v>
      </c>
      <c r="J74" t="n">
        <v>1</v>
      </c>
      <c r="K74" t="n">
        <v>0</v>
      </c>
      <c r="L74" t="n">
        <v>0</v>
      </c>
      <c r="M74" t="n">
        <v>0</v>
      </c>
      <c r="N74" t="n">
        <v>0</v>
      </c>
      <c r="O74" t="n">
        <v>1</v>
      </c>
      <c r="P74" t="n">
        <v>0</v>
      </c>
      <c r="Q74" t="n">
        <v>1</v>
      </c>
      <c r="R74" s="2" t="inlineStr">
        <is>
          <t>Flattoppad klubbsvamp</t>
        </is>
      </c>
      <c r="S74">
        <f>HYPERLINK("https://klasma.github.io/Logging_0382/artfynd/A 12753-2024 artfynd.xlsx", "A 12753-2024")</f>
        <v/>
      </c>
      <c r="T74">
        <f>HYPERLINK("https://klasma.github.io/Logging_0382/kartor/A 12753-2024 karta.png", "A 12753-2024")</f>
        <v/>
      </c>
      <c r="V74">
        <f>HYPERLINK("https://klasma.github.io/Logging_0382/klagomål/A 12753-2024 FSC-klagomål.docx", "A 12753-2024")</f>
        <v/>
      </c>
      <c r="W74">
        <f>HYPERLINK("https://klasma.github.io/Logging_0382/klagomålsmail/A 12753-2024 FSC-klagomål mail.docx", "A 12753-2024")</f>
        <v/>
      </c>
      <c r="X74">
        <f>HYPERLINK("https://klasma.github.io/Logging_0382/tillsyn/A 12753-2024 tillsynsbegäran.docx", "A 12753-2024")</f>
        <v/>
      </c>
      <c r="Y74">
        <f>HYPERLINK("https://klasma.github.io/Logging_0382/tillsynsmail/A 12753-2024 tillsynsbegäran mail.docx", "A 12753-2024")</f>
        <v/>
      </c>
    </row>
    <row r="75" ht="15" customHeight="1">
      <c r="A75" t="inlineStr">
        <is>
          <t>A 24797-2022</t>
        </is>
      </c>
      <c r="B75" s="1" t="n">
        <v>44728</v>
      </c>
      <c r="C75" s="1" t="n">
        <v>45888</v>
      </c>
      <c r="D75" t="inlineStr">
        <is>
          <t>UPPSALA LÄN</t>
        </is>
      </c>
      <c r="E75" t="inlineStr">
        <is>
          <t>ÖSTHAMMAR</t>
        </is>
      </c>
      <c r="F75" t="inlineStr">
        <is>
          <t>Sveaskog</t>
        </is>
      </c>
      <c r="G75" t="n">
        <v>1.7</v>
      </c>
      <c r="H75" t="n">
        <v>1</v>
      </c>
      <c r="I75" t="n">
        <v>0</v>
      </c>
      <c r="J75" t="n">
        <v>1</v>
      </c>
      <c r="K75" t="n">
        <v>0</v>
      </c>
      <c r="L75" t="n">
        <v>0</v>
      </c>
      <c r="M75" t="n">
        <v>0</v>
      </c>
      <c r="N75" t="n">
        <v>0</v>
      </c>
      <c r="O75" t="n">
        <v>1</v>
      </c>
      <c r="P75" t="n">
        <v>0</v>
      </c>
      <c r="Q75" t="n">
        <v>1</v>
      </c>
      <c r="R75" s="2" t="inlineStr">
        <is>
          <t>Gulsparv</t>
        </is>
      </c>
      <c r="S75">
        <f>HYPERLINK("https://klasma.github.io/Logging_0382/artfynd/A 24797-2022 artfynd.xlsx", "A 24797-2022")</f>
        <v/>
      </c>
      <c r="T75">
        <f>HYPERLINK("https://klasma.github.io/Logging_0382/kartor/A 24797-2022 karta.png", "A 24797-2022")</f>
        <v/>
      </c>
      <c r="V75">
        <f>HYPERLINK("https://klasma.github.io/Logging_0382/klagomål/A 24797-2022 FSC-klagomål.docx", "A 24797-2022")</f>
        <v/>
      </c>
      <c r="W75">
        <f>HYPERLINK("https://klasma.github.io/Logging_0382/klagomålsmail/A 24797-2022 FSC-klagomål mail.docx", "A 24797-2022")</f>
        <v/>
      </c>
      <c r="X75">
        <f>HYPERLINK("https://klasma.github.io/Logging_0382/tillsyn/A 24797-2022 tillsynsbegäran.docx", "A 24797-2022")</f>
        <v/>
      </c>
      <c r="Y75">
        <f>HYPERLINK("https://klasma.github.io/Logging_0382/tillsynsmail/A 24797-2022 tillsynsbegäran mail.docx", "A 24797-2022")</f>
        <v/>
      </c>
      <c r="Z75">
        <f>HYPERLINK("https://klasma.github.io/Logging_0382/fåglar/A 24797-2022 prioriterade fågelarter.docx", "A 24797-2022")</f>
        <v/>
      </c>
    </row>
    <row r="76" ht="15" customHeight="1">
      <c r="A76" t="inlineStr">
        <is>
          <t>A 49839-2021</t>
        </is>
      </c>
      <c r="B76" s="1" t="n">
        <v>44455</v>
      </c>
      <c r="C76" s="1" t="n">
        <v>45888</v>
      </c>
      <c r="D76" t="inlineStr">
        <is>
          <t>UPPSALA LÄN</t>
        </is>
      </c>
      <c r="E76" t="inlineStr">
        <is>
          <t>ÖSTHAMMAR</t>
        </is>
      </c>
      <c r="G76" t="n">
        <v>3.6</v>
      </c>
      <c r="H76" t="n">
        <v>0</v>
      </c>
      <c r="I76" t="n">
        <v>0</v>
      </c>
      <c r="J76" t="n">
        <v>0</v>
      </c>
      <c r="K76" t="n">
        <v>1</v>
      </c>
      <c r="L76" t="n">
        <v>0</v>
      </c>
      <c r="M76" t="n">
        <v>0</v>
      </c>
      <c r="N76" t="n">
        <v>0</v>
      </c>
      <c r="O76" t="n">
        <v>1</v>
      </c>
      <c r="P76" t="n">
        <v>1</v>
      </c>
      <c r="Q76" t="n">
        <v>1</v>
      </c>
      <c r="R76" s="2" t="inlineStr">
        <is>
          <t>Violgubbe</t>
        </is>
      </c>
      <c r="S76">
        <f>HYPERLINK("https://klasma.github.io/Logging_0382/artfynd/A 49839-2021 artfynd.xlsx", "A 49839-2021")</f>
        <v/>
      </c>
      <c r="T76">
        <f>HYPERLINK("https://klasma.github.io/Logging_0382/kartor/A 49839-2021 karta.png", "A 49839-2021")</f>
        <v/>
      </c>
      <c r="V76">
        <f>HYPERLINK("https://klasma.github.io/Logging_0382/klagomål/A 49839-2021 FSC-klagomål.docx", "A 49839-2021")</f>
        <v/>
      </c>
      <c r="W76">
        <f>HYPERLINK("https://klasma.github.io/Logging_0382/klagomålsmail/A 49839-2021 FSC-klagomål mail.docx", "A 49839-2021")</f>
        <v/>
      </c>
      <c r="X76">
        <f>HYPERLINK("https://klasma.github.io/Logging_0382/tillsyn/A 49839-2021 tillsynsbegäran.docx", "A 49839-2021")</f>
        <v/>
      </c>
      <c r="Y76">
        <f>HYPERLINK("https://klasma.github.io/Logging_0382/tillsynsmail/A 49839-2021 tillsynsbegäran mail.docx", "A 49839-2021")</f>
        <v/>
      </c>
    </row>
    <row r="77" ht="15" customHeight="1">
      <c r="A77" t="inlineStr">
        <is>
          <t>A 61479-2020</t>
        </is>
      </c>
      <c r="B77" s="1" t="n">
        <v>44154</v>
      </c>
      <c r="C77" s="1" t="n">
        <v>45888</v>
      </c>
      <c r="D77" t="inlineStr">
        <is>
          <t>UPPSALA LÄN</t>
        </is>
      </c>
      <c r="E77" t="inlineStr">
        <is>
          <t>ÖSTHAMMAR</t>
        </is>
      </c>
      <c r="G77" t="n">
        <v>2.5</v>
      </c>
      <c r="H77" t="n">
        <v>0</v>
      </c>
      <c r="I77" t="n">
        <v>1</v>
      </c>
      <c r="J77" t="n">
        <v>0</v>
      </c>
      <c r="K77" t="n">
        <v>0</v>
      </c>
      <c r="L77" t="n">
        <v>0</v>
      </c>
      <c r="M77" t="n">
        <v>0</v>
      </c>
      <c r="N77" t="n">
        <v>0</v>
      </c>
      <c r="O77" t="n">
        <v>0</v>
      </c>
      <c r="P77" t="n">
        <v>0</v>
      </c>
      <c r="Q77" t="n">
        <v>1</v>
      </c>
      <c r="R77" s="2" t="inlineStr">
        <is>
          <t>Olivspindling</t>
        </is>
      </c>
      <c r="S77">
        <f>HYPERLINK("https://klasma.github.io/Logging_0382/artfynd/A 61479-2020 artfynd.xlsx", "A 61479-2020")</f>
        <v/>
      </c>
      <c r="T77">
        <f>HYPERLINK("https://klasma.github.io/Logging_0382/kartor/A 61479-2020 karta.png", "A 61479-2020")</f>
        <v/>
      </c>
      <c r="V77">
        <f>HYPERLINK("https://klasma.github.io/Logging_0382/klagomål/A 61479-2020 FSC-klagomål.docx", "A 61479-2020")</f>
        <v/>
      </c>
      <c r="W77">
        <f>HYPERLINK("https://klasma.github.io/Logging_0382/klagomålsmail/A 61479-2020 FSC-klagomål mail.docx", "A 61479-2020")</f>
        <v/>
      </c>
      <c r="X77">
        <f>HYPERLINK("https://klasma.github.io/Logging_0382/tillsyn/A 61479-2020 tillsynsbegäran.docx", "A 61479-2020")</f>
        <v/>
      </c>
      <c r="Y77">
        <f>HYPERLINK("https://klasma.github.io/Logging_0382/tillsynsmail/A 61479-2020 tillsynsbegäran mail.docx", "A 61479-2020")</f>
        <v/>
      </c>
    </row>
    <row r="78" ht="15" customHeight="1">
      <c r="A78" t="inlineStr">
        <is>
          <t>A 29679-2023</t>
        </is>
      </c>
      <c r="B78" s="1" t="n">
        <v>45107</v>
      </c>
      <c r="C78" s="1" t="n">
        <v>45888</v>
      </c>
      <c r="D78" t="inlineStr">
        <is>
          <t>UPPSALA LÄN</t>
        </is>
      </c>
      <c r="E78" t="inlineStr">
        <is>
          <t>ÖSTHAMMAR</t>
        </is>
      </c>
      <c r="F78" t="inlineStr">
        <is>
          <t>Övriga Aktiebolag</t>
        </is>
      </c>
      <c r="G78" t="n">
        <v>7.3</v>
      </c>
      <c r="H78" t="n">
        <v>0</v>
      </c>
      <c r="I78" t="n">
        <v>0</v>
      </c>
      <c r="J78" t="n">
        <v>1</v>
      </c>
      <c r="K78" t="n">
        <v>0</v>
      </c>
      <c r="L78" t="n">
        <v>0</v>
      </c>
      <c r="M78" t="n">
        <v>0</v>
      </c>
      <c r="N78" t="n">
        <v>0</v>
      </c>
      <c r="O78" t="n">
        <v>1</v>
      </c>
      <c r="P78" t="n">
        <v>0</v>
      </c>
      <c r="Q78" t="n">
        <v>1</v>
      </c>
      <c r="R78" s="2" t="inlineStr">
        <is>
          <t>Vintertagging</t>
        </is>
      </c>
      <c r="S78">
        <f>HYPERLINK("https://klasma.github.io/Logging_0382/artfynd/A 29679-2023 artfynd.xlsx", "A 29679-2023")</f>
        <v/>
      </c>
      <c r="T78">
        <f>HYPERLINK("https://klasma.github.io/Logging_0382/kartor/A 29679-2023 karta.png", "A 29679-2023")</f>
        <v/>
      </c>
      <c r="V78">
        <f>HYPERLINK("https://klasma.github.io/Logging_0382/klagomål/A 29679-2023 FSC-klagomål.docx", "A 29679-2023")</f>
        <v/>
      </c>
      <c r="W78">
        <f>HYPERLINK("https://klasma.github.io/Logging_0382/klagomålsmail/A 29679-2023 FSC-klagomål mail.docx", "A 29679-2023")</f>
        <v/>
      </c>
      <c r="X78">
        <f>HYPERLINK("https://klasma.github.io/Logging_0382/tillsyn/A 29679-2023 tillsynsbegäran.docx", "A 29679-2023")</f>
        <v/>
      </c>
      <c r="Y78">
        <f>HYPERLINK("https://klasma.github.io/Logging_0382/tillsynsmail/A 29679-2023 tillsynsbegäran mail.docx", "A 29679-2023")</f>
        <v/>
      </c>
    </row>
    <row r="79" ht="15" customHeight="1">
      <c r="A79" t="inlineStr">
        <is>
          <t>A 7446-2022</t>
        </is>
      </c>
      <c r="B79" s="1" t="n">
        <v>44606</v>
      </c>
      <c r="C79" s="1" t="n">
        <v>45888</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25179-2023</t>
        </is>
      </c>
      <c r="B80" s="1" t="n">
        <v>45078</v>
      </c>
      <c r="C80" s="1" t="n">
        <v>45888</v>
      </c>
      <c r="D80" t="inlineStr">
        <is>
          <t>UPPSALA LÄN</t>
        </is>
      </c>
      <c r="E80" t="inlineStr">
        <is>
          <t>ÖSTHAMMAR</t>
        </is>
      </c>
      <c r="G80" t="n">
        <v>3.2</v>
      </c>
      <c r="H80" t="n">
        <v>0</v>
      </c>
      <c r="I80" t="n">
        <v>0</v>
      </c>
      <c r="J80" t="n">
        <v>1</v>
      </c>
      <c r="K80" t="n">
        <v>0</v>
      </c>
      <c r="L80" t="n">
        <v>0</v>
      </c>
      <c r="M80" t="n">
        <v>0</v>
      </c>
      <c r="N80" t="n">
        <v>0</v>
      </c>
      <c r="O80" t="n">
        <v>1</v>
      </c>
      <c r="P80" t="n">
        <v>0</v>
      </c>
      <c r="Q80" t="n">
        <v>1</v>
      </c>
      <c r="R80" s="2" t="inlineStr">
        <is>
          <t>Grantaggsvamp</t>
        </is>
      </c>
      <c r="S80">
        <f>HYPERLINK("https://klasma.github.io/Logging_0382/artfynd/A 25179-2023 artfynd.xlsx", "A 25179-2023")</f>
        <v/>
      </c>
      <c r="T80">
        <f>HYPERLINK("https://klasma.github.io/Logging_0382/kartor/A 25179-2023 karta.png", "A 25179-2023")</f>
        <v/>
      </c>
      <c r="V80">
        <f>HYPERLINK("https://klasma.github.io/Logging_0382/klagomål/A 25179-2023 FSC-klagomål.docx", "A 25179-2023")</f>
        <v/>
      </c>
      <c r="W80">
        <f>HYPERLINK("https://klasma.github.io/Logging_0382/klagomålsmail/A 25179-2023 FSC-klagomål mail.docx", "A 25179-2023")</f>
        <v/>
      </c>
      <c r="X80">
        <f>HYPERLINK("https://klasma.github.io/Logging_0382/tillsyn/A 25179-2023 tillsynsbegäran.docx", "A 25179-2023")</f>
        <v/>
      </c>
      <c r="Y80">
        <f>HYPERLINK("https://klasma.github.io/Logging_0382/tillsynsmail/A 25179-2023 tillsynsbegäran mail.docx", "A 25179-2023")</f>
        <v/>
      </c>
    </row>
    <row r="81" ht="15" customHeight="1">
      <c r="A81" t="inlineStr">
        <is>
          <t>A 22287-2023</t>
        </is>
      </c>
      <c r="B81" s="1" t="n">
        <v>45070</v>
      </c>
      <c r="C81" s="1" t="n">
        <v>45888</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6143-2025</t>
        </is>
      </c>
      <c r="B82" s="1" t="n">
        <v>45698.38697916667</v>
      </c>
      <c r="C82" s="1" t="n">
        <v>45888</v>
      </c>
      <c r="D82" t="inlineStr">
        <is>
          <t>UPPSALA LÄN</t>
        </is>
      </c>
      <c r="E82" t="inlineStr">
        <is>
          <t>ÖSTHAMMAR</t>
        </is>
      </c>
      <c r="F82" t="inlineStr">
        <is>
          <t>Bergvik skog öst AB</t>
        </is>
      </c>
      <c r="G82" t="n">
        <v>3.6</v>
      </c>
      <c r="H82" t="n">
        <v>0</v>
      </c>
      <c r="I82" t="n">
        <v>1</v>
      </c>
      <c r="J82" t="n">
        <v>0</v>
      </c>
      <c r="K82" t="n">
        <v>0</v>
      </c>
      <c r="L82" t="n">
        <v>0</v>
      </c>
      <c r="M82" t="n">
        <v>0</v>
      </c>
      <c r="N82" t="n">
        <v>0</v>
      </c>
      <c r="O82" t="n">
        <v>0</v>
      </c>
      <c r="P82" t="n">
        <v>0</v>
      </c>
      <c r="Q82" t="n">
        <v>1</v>
      </c>
      <c r="R82" s="2" t="inlineStr">
        <is>
          <t>Svavelriska</t>
        </is>
      </c>
      <c r="S82">
        <f>HYPERLINK("https://klasma.github.io/Logging_0382/artfynd/A 6143-2025 artfynd.xlsx", "A 6143-2025")</f>
        <v/>
      </c>
      <c r="T82">
        <f>HYPERLINK("https://klasma.github.io/Logging_0382/kartor/A 6143-2025 karta.png", "A 6143-2025")</f>
        <v/>
      </c>
      <c r="V82">
        <f>HYPERLINK("https://klasma.github.io/Logging_0382/klagomål/A 6143-2025 FSC-klagomål.docx", "A 6143-2025")</f>
        <v/>
      </c>
      <c r="W82">
        <f>HYPERLINK("https://klasma.github.io/Logging_0382/klagomålsmail/A 6143-2025 FSC-klagomål mail.docx", "A 6143-2025")</f>
        <v/>
      </c>
      <c r="X82">
        <f>HYPERLINK("https://klasma.github.io/Logging_0382/tillsyn/A 6143-2025 tillsynsbegäran.docx", "A 6143-2025")</f>
        <v/>
      </c>
      <c r="Y82">
        <f>HYPERLINK("https://klasma.github.io/Logging_0382/tillsynsmail/A 6143-2025 tillsynsbegäran mail.docx", "A 6143-2025")</f>
        <v/>
      </c>
    </row>
    <row r="83" ht="15" customHeight="1">
      <c r="A83" t="inlineStr">
        <is>
          <t>A 63615-2021</t>
        </is>
      </c>
      <c r="B83" s="1" t="n">
        <v>44509</v>
      </c>
      <c r="C83" s="1" t="n">
        <v>45888</v>
      </c>
      <c r="D83" t="inlineStr">
        <is>
          <t>UPPSALA LÄN</t>
        </is>
      </c>
      <c r="E83" t="inlineStr">
        <is>
          <t>ÖSTHAMMAR</t>
        </is>
      </c>
      <c r="G83" t="n">
        <v>1.9</v>
      </c>
      <c r="H83" t="n">
        <v>0</v>
      </c>
      <c r="I83" t="n">
        <v>0</v>
      </c>
      <c r="J83" t="n">
        <v>1</v>
      </c>
      <c r="K83" t="n">
        <v>0</v>
      </c>
      <c r="L83" t="n">
        <v>0</v>
      </c>
      <c r="M83" t="n">
        <v>0</v>
      </c>
      <c r="N83" t="n">
        <v>0</v>
      </c>
      <c r="O83" t="n">
        <v>1</v>
      </c>
      <c r="P83" t="n">
        <v>0</v>
      </c>
      <c r="Q83" t="n">
        <v>1</v>
      </c>
      <c r="R83" s="2" t="inlineStr">
        <is>
          <t>Gul taggsvamp</t>
        </is>
      </c>
      <c r="S83">
        <f>HYPERLINK("https://klasma.github.io/Logging_0382/artfynd/A 63615-2021 artfynd.xlsx", "A 63615-2021")</f>
        <v/>
      </c>
      <c r="T83">
        <f>HYPERLINK("https://klasma.github.io/Logging_0382/kartor/A 63615-2021 karta.png", "A 63615-2021")</f>
        <v/>
      </c>
      <c r="V83">
        <f>HYPERLINK("https://klasma.github.io/Logging_0382/klagomål/A 63615-2021 FSC-klagomål.docx", "A 63615-2021")</f>
        <v/>
      </c>
      <c r="W83">
        <f>HYPERLINK("https://klasma.github.io/Logging_0382/klagomålsmail/A 63615-2021 FSC-klagomål mail.docx", "A 63615-2021")</f>
        <v/>
      </c>
      <c r="X83">
        <f>HYPERLINK("https://klasma.github.io/Logging_0382/tillsyn/A 63615-2021 tillsynsbegäran.docx", "A 63615-2021")</f>
        <v/>
      </c>
      <c r="Y83">
        <f>HYPERLINK("https://klasma.github.io/Logging_0382/tillsynsmail/A 63615-2021 tillsynsbegäran mail.docx", "A 63615-2021")</f>
        <v/>
      </c>
    </row>
    <row r="84" ht="15" customHeight="1">
      <c r="A84" t="inlineStr">
        <is>
          <t>A 33800-2024</t>
        </is>
      </c>
      <c r="B84" s="1" t="n">
        <v>45520</v>
      </c>
      <c r="C84" s="1" t="n">
        <v>45888</v>
      </c>
      <c r="D84" t="inlineStr">
        <is>
          <t>UPPSALA LÄN</t>
        </is>
      </c>
      <c r="E84" t="inlineStr">
        <is>
          <t>ÖSTHAMMAR</t>
        </is>
      </c>
      <c r="F84" t="inlineStr">
        <is>
          <t>Naturvårdsverket</t>
        </is>
      </c>
      <c r="G84" t="n">
        <v>1.5</v>
      </c>
      <c r="H84" t="n">
        <v>1</v>
      </c>
      <c r="I84" t="n">
        <v>0</v>
      </c>
      <c r="J84" t="n">
        <v>0</v>
      </c>
      <c r="K84" t="n">
        <v>0</v>
      </c>
      <c r="L84" t="n">
        <v>0</v>
      </c>
      <c r="M84" t="n">
        <v>0</v>
      </c>
      <c r="N84" t="n">
        <v>0</v>
      </c>
      <c r="O84" t="n">
        <v>0</v>
      </c>
      <c r="P84" t="n">
        <v>0</v>
      </c>
      <c r="Q84" t="n">
        <v>1</v>
      </c>
      <c r="R84" s="2" t="inlineStr">
        <is>
          <t>Fläcknycklar</t>
        </is>
      </c>
      <c r="S84">
        <f>HYPERLINK("https://klasma.github.io/Logging_0382/artfynd/A 33800-2024 artfynd.xlsx", "A 33800-2024")</f>
        <v/>
      </c>
      <c r="T84">
        <f>HYPERLINK("https://klasma.github.io/Logging_0382/kartor/A 33800-2024 karta.png", "A 33800-2024")</f>
        <v/>
      </c>
      <c r="V84">
        <f>HYPERLINK("https://klasma.github.io/Logging_0382/klagomål/A 33800-2024 FSC-klagomål.docx", "A 33800-2024")</f>
        <v/>
      </c>
      <c r="W84">
        <f>HYPERLINK("https://klasma.github.io/Logging_0382/klagomålsmail/A 33800-2024 FSC-klagomål mail.docx", "A 33800-2024")</f>
        <v/>
      </c>
      <c r="X84">
        <f>HYPERLINK("https://klasma.github.io/Logging_0382/tillsyn/A 33800-2024 tillsynsbegäran.docx", "A 33800-2024")</f>
        <v/>
      </c>
      <c r="Y84">
        <f>HYPERLINK("https://klasma.github.io/Logging_0382/tillsynsmail/A 33800-2024 tillsynsbegäran mail.docx", "A 33800-2024")</f>
        <v/>
      </c>
    </row>
    <row r="85" ht="15" customHeight="1">
      <c r="A85" t="inlineStr">
        <is>
          <t>A 14203-2024</t>
        </is>
      </c>
      <c r="B85" s="1" t="n">
        <v>45393</v>
      </c>
      <c r="C85" s="1" t="n">
        <v>45888</v>
      </c>
      <c r="D85" t="inlineStr">
        <is>
          <t>UPPSALA LÄN</t>
        </is>
      </c>
      <c r="E85" t="inlineStr">
        <is>
          <t>ÖSTHAMMAR</t>
        </is>
      </c>
      <c r="G85" t="n">
        <v>1.4</v>
      </c>
      <c r="H85" t="n">
        <v>0</v>
      </c>
      <c r="I85" t="n">
        <v>0</v>
      </c>
      <c r="J85" t="n">
        <v>1</v>
      </c>
      <c r="K85" t="n">
        <v>0</v>
      </c>
      <c r="L85" t="n">
        <v>0</v>
      </c>
      <c r="M85" t="n">
        <v>0</v>
      </c>
      <c r="N85" t="n">
        <v>0</v>
      </c>
      <c r="O85" t="n">
        <v>1</v>
      </c>
      <c r="P85" t="n">
        <v>0</v>
      </c>
      <c r="Q85" t="n">
        <v>1</v>
      </c>
      <c r="R85" s="2" t="inlineStr">
        <is>
          <t>Scharlakansvaxing</t>
        </is>
      </c>
      <c r="S85">
        <f>HYPERLINK("https://klasma.github.io/Logging_0382/artfynd/A 14203-2024 artfynd.xlsx", "A 14203-2024")</f>
        <v/>
      </c>
      <c r="T85">
        <f>HYPERLINK("https://klasma.github.io/Logging_0382/kartor/A 14203-2024 karta.png", "A 14203-2024")</f>
        <v/>
      </c>
      <c r="V85">
        <f>HYPERLINK("https://klasma.github.io/Logging_0382/klagomål/A 14203-2024 FSC-klagomål.docx", "A 14203-2024")</f>
        <v/>
      </c>
      <c r="W85">
        <f>HYPERLINK("https://klasma.github.io/Logging_0382/klagomålsmail/A 14203-2024 FSC-klagomål mail.docx", "A 14203-2024")</f>
        <v/>
      </c>
      <c r="X85">
        <f>HYPERLINK("https://klasma.github.io/Logging_0382/tillsyn/A 14203-2024 tillsynsbegäran.docx", "A 14203-2024")</f>
        <v/>
      </c>
      <c r="Y85">
        <f>HYPERLINK("https://klasma.github.io/Logging_0382/tillsynsmail/A 14203-2024 tillsynsbegäran mail.docx", "A 14203-2024")</f>
        <v/>
      </c>
    </row>
    <row r="86" ht="15" customHeight="1">
      <c r="A86" t="inlineStr">
        <is>
          <t>A 14706-2023</t>
        </is>
      </c>
      <c r="B86" s="1" t="n">
        <v>45013</v>
      </c>
      <c r="C86" s="1" t="n">
        <v>45888</v>
      </c>
      <c r="D86" t="inlineStr">
        <is>
          <t>UPPSALA LÄN</t>
        </is>
      </c>
      <c r="E86" t="inlineStr">
        <is>
          <t>ÖSTHAMMAR</t>
        </is>
      </c>
      <c r="G86" t="n">
        <v>0.9</v>
      </c>
      <c r="H86" t="n">
        <v>0</v>
      </c>
      <c r="I86" t="n">
        <v>1</v>
      </c>
      <c r="J86" t="n">
        <v>0</v>
      </c>
      <c r="K86" t="n">
        <v>0</v>
      </c>
      <c r="L86" t="n">
        <v>0</v>
      </c>
      <c r="M86" t="n">
        <v>0</v>
      </c>
      <c r="N86" t="n">
        <v>0</v>
      </c>
      <c r="O86" t="n">
        <v>0</v>
      </c>
      <c r="P86" t="n">
        <v>0</v>
      </c>
      <c r="Q86" t="n">
        <v>1</v>
      </c>
      <c r="R86" s="2" t="inlineStr">
        <is>
          <t>Olivspindling</t>
        </is>
      </c>
      <c r="S86">
        <f>HYPERLINK("https://klasma.github.io/Logging_0382/artfynd/A 14706-2023 artfynd.xlsx", "A 14706-2023")</f>
        <v/>
      </c>
      <c r="T86">
        <f>HYPERLINK("https://klasma.github.io/Logging_0382/kartor/A 14706-2023 karta.png", "A 14706-2023")</f>
        <v/>
      </c>
      <c r="V86">
        <f>HYPERLINK("https://klasma.github.io/Logging_0382/klagomål/A 14706-2023 FSC-klagomål.docx", "A 14706-2023")</f>
        <v/>
      </c>
      <c r="W86">
        <f>HYPERLINK("https://klasma.github.io/Logging_0382/klagomålsmail/A 14706-2023 FSC-klagomål mail.docx", "A 14706-2023")</f>
        <v/>
      </c>
      <c r="X86">
        <f>HYPERLINK("https://klasma.github.io/Logging_0382/tillsyn/A 14706-2023 tillsynsbegäran.docx", "A 14706-2023")</f>
        <v/>
      </c>
      <c r="Y86">
        <f>HYPERLINK("https://klasma.github.io/Logging_0382/tillsynsmail/A 14706-2023 tillsynsbegäran mail.docx", "A 14706-2023")</f>
        <v/>
      </c>
    </row>
    <row r="87" ht="15" customHeight="1">
      <c r="A87" t="inlineStr">
        <is>
          <t>A 1227-2022</t>
        </is>
      </c>
      <c r="B87" s="1" t="n">
        <v>44572.57641203704</v>
      </c>
      <c r="C87" s="1" t="n">
        <v>45888</v>
      </c>
      <c r="D87" t="inlineStr">
        <is>
          <t>UPPSALA LÄN</t>
        </is>
      </c>
      <c r="E87" t="inlineStr">
        <is>
          <t>ÖSTHAMMAR</t>
        </is>
      </c>
      <c r="G87" t="n">
        <v>1.7</v>
      </c>
      <c r="H87" t="n">
        <v>0</v>
      </c>
      <c r="I87" t="n">
        <v>1</v>
      </c>
      <c r="J87" t="n">
        <v>0</v>
      </c>
      <c r="K87" t="n">
        <v>0</v>
      </c>
      <c r="L87" t="n">
        <v>0</v>
      </c>
      <c r="M87" t="n">
        <v>0</v>
      </c>
      <c r="N87" t="n">
        <v>0</v>
      </c>
      <c r="O87" t="n">
        <v>0</v>
      </c>
      <c r="P87" t="n">
        <v>0</v>
      </c>
      <c r="Q87" t="n">
        <v>1</v>
      </c>
      <c r="R87" s="2" t="inlineStr">
        <is>
          <t>Guldkremla</t>
        </is>
      </c>
      <c r="S87">
        <f>HYPERLINK("https://klasma.github.io/Logging_0382/artfynd/A 1227-2022 artfynd.xlsx", "A 1227-2022")</f>
        <v/>
      </c>
      <c r="T87">
        <f>HYPERLINK("https://klasma.github.io/Logging_0382/kartor/A 1227-2022 karta.png", "A 1227-2022")</f>
        <v/>
      </c>
      <c r="V87">
        <f>HYPERLINK("https://klasma.github.io/Logging_0382/klagomål/A 1227-2022 FSC-klagomål.docx", "A 1227-2022")</f>
        <v/>
      </c>
      <c r="W87">
        <f>HYPERLINK("https://klasma.github.io/Logging_0382/klagomålsmail/A 1227-2022 FSC-klagomål mail.docx", "A 1227-2022")</f>
        <v/>
      </c>
      <c r="X87">
        <f>HYPERLINK("https://klasma.github.io/Logging_0382/tillsyn/A 1227-2022 tillsynsbegäran.docx", "A 1227-2022")</f>
        <v/>
      </c>
      <c r="Y87">
        <f>HYPERLINK("https://klasma.github.io/Logging_0382/tillsynsmail/A 1227-2022 tillsynsbegäran mail.docx", "A 1227-2022")</f>
        <v/>
      </c>
    </row>
    <row r="88" ht="15" customHeight="1">
      <c r="A88" t="inlineStr">
        <is>
          <t>A 34090-2023</t>
        </is>
      </c>
      <c r="B88" s="1" t="n">
        <v>45135</v>
      </c>
      <c r="C88" s="1" t="n">
        <v>45888</v>
      </c>
      <c r="D88" t="inlineStr">
        <is>
          <t>UPPSALA LÄN</t>
        </is>
      </c>
      <c r="E88" t="inlineStr">
        <is>
          <t>ÖSTHAMMAR</t>
        </is>
      </c>
      <c r="F88" t="inlineStr">
        <is>
          <t>Bergvik skog öst AB</t>
        </is>
      </c>
      <c r="G88" t="n">
        <v>5.7</v>
      </c>
      <c r="H88" t="n">
        <v>1</v>
      </c>
      <c r="I88" t="n">
        <v>0</v>
      </c>
      <c r="J88" t="n">
        <v>1</v>
      </c>
      <c r="K88" t="n">
        <v>0</v>
      </c>
      <c r="L88" t="n">
        <v>0</v>
      </c>
      <c r="M88" t="n">
        <v>0</v>
      </c>
      <c r="N88" t="n">
        <v>0</v>
      </c>
      <c r="O88" t="n">
        <v>1</v>
      </c>
      <c r="P88" t="n">
        <v>0</v>
      </c>
      <c r="Q88" t="n">
        <v>1</v>
      </c>
      <c r="R88" s="2" t="inlineStr">
        <is>
          <t>Spillkråka</t>
        </is>
      </c>
      <c r="S88">
        <f>HYPERLINK("https://klasma.github.io/Logging_0382/artfynd/A 34090-2023 artfynd.xlsx", "A 34090-2023")</f>
        <v/>
      </c>
      <c r="T88">
        <f>HYPERLINK("https://klasma.github.io/Logging_0382/kartor/A 34090-2023 karta.png", "A 34090-2023")</f>
        <v/>
      </c>
      <c r="V88">
        <f>HYPERLINK("https://klasma.github.io/Logging_0382/klagomål/A 34090-2023 FSC-klagomål.docx", "A 34090-2023")</f>
        <v/>
      </c>
      <c r="W88">
        <f>HYPERLINK("https://klasma.github.io/Logging_0382/klagomålsmail/A 34090-2023 FSC-klagomål mail.docx", "A 34090-2023")</f>
        <v/>
      </c>
      <c r="X88">
        <f>HYPERLINK("https://klasma.github.io/Logging_0382/tillsyn/A 34090-2023 tillsynsbegäran.docx", "A 34090-2023")</f>
        <v/>
      </c>
      <c r="Y88">
        <f>HYPERLINK("https://klasma.github.io/Logging_0382/tillsynsmail/A 34090-2023 tillsynsbegäran mail.docx", "A 34090-2023")</f>
        <v/>
      </c>
      <c r="Z88">
        <f>HYPERLINK("https://klasma.github.io/Logging_0382/fåglar/A 34090-2023 prioriterade fågelarter.docx", "A 34090-2023")</f>
        <v/>
      </c>
    </row>
    <row r="89" ht="15" customHeight="1">
      <c r="A89" t="inlineStr">
        <is>
          <t>A 11017-2023</t>
        </is>
      </c>
      <c r="B89" s="1" t="n">
        <v>44991</v>
      </c>
      <c r="C89" s="1" t="n">
        <v>45888</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52818-2022</t>
        </is>
      </c>
      <c r="B90" s="1" t="n">
        <v>44875</v>
      </c>
      <c r="C90" s="1" t="n">
        <v>45888</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29564-2023</t>
        </is>
      </c>
      <c r="B91" s="1" t="n">
        <v>45106</v>
      </c>
      <c r="C91" s="1" t="n">
        <v>45888</v>
      </c>
      <c r="D91" t="inlineStr">
        <is>
          <t>UPPSALA LÄN</t>
        </is>
      </c>
      <c r="E91" t="inlineStr">
        <is>
          <t>ÖSTHAMMAR</t>
        </is>
      </c>
      <c r="F91" t="inlineStr">
        <is>
          <t>Naturvårdsverket</t>
        </is>
      </c>
      <c r="G91" t="n">
        <v>1.2</v>
      </c>
      <c r="H91" t="n">
        <v>1</v>
      </c>
      <c r="I91" t="n">
        <v>0</v>
      </c>
      <c r="J91" t="n">
        <v>0</v>
      </c>
      <c r="K91" t="n">
        <v>0</v>
      </c>
      <c r="L91" t="n">
        <v>0</v>
      </c>
      <c r="M91" t="n">
        <v>0</v>
      </c>
      <c r="N91" t="n">
        <v>0</v>
      </c>
      <c r="O91" t="n">
        <v>0</v>
      </c>
      <c r="P91" t="n">
        <v>0</v>
      </c>
      <c r="Q91" t="n">
        <v>1</v>
      </c>
      <c r="R91" s="2" t="inlineStr">
        <is>
          <t>Blåsippa</t>
        </is>
      </c>
      <c r="S91">
        <f>HYPERLINK("https://klasma.github.io/Logging_0382/artfynd/A 29564-2023 artfynd.xlsx", "A 29564-2023")</f>
        <v/>
      </c>
      <c r="T91">
        <f>HYPERLINK("https://klasma.github.io/Logging_0382/kartor/A 29564-2023 karta.png", "A 29564-2023")</f>
        <v/>
      </c>
      <c r="V91">
        <f>HYPERLINK("https://klasma.github.io/Logging_0382/klagomål/A 29564-2023 FSC-klagomål.docx", "A 29564-2023")</f>
        <v/>
      </c>
      <c r="W91">
        <f>HYPERLINK("https://klasma.github.io/Logging_0382/klagomålsmail/A 29564-2023 FSC-klagomål mail.docx", "A 29564-2023")</f>
        <v/>
      </c>
      <c r="X91">
        <f>HYPERLINK("https://klasma.github.io/Logging_0382/tillsyn/A 29564-2023 tillsynsbegäran.docx", "A 29564-2023")</f>
        <v/>
      </c>
      <c r="Y91">
        <f>HYPERLINK("https://klasma.github.io/Logging_0382/tillsynsmail/A 29564-2023 tillsynsbegäran mail.docx", "A 29564-2023")</f>
        <v/>
      </c>
    </row>
    <row r="92" ht="15" customHeight="1">
      <c r="A92" t="inlineStr">
        <is>
          <t>A 37296-2023</t>
        </is>
      </c>
      <c r="B92" s="1" t="n">
        <v>45156</v>
      </c>
      <c r="C92" s="1" t="n">
        <v>45888</v>
      </c>
      <c r="D92" t="inlineStr">
        <is>
          <t>UPPSALA LÄN</t>
        </is>
      </c>
      <c r="E92" t="inlineStr">
        <is>
          <t>ÖSTHAMMAR</t>
        </is>
      </c>
      <c r="G92" t="n">
        <v>4.7</v>
      </c>
      <c r="H92" t="n">
        <v>1</v>
      </c>
      <c r="I92" t="n">
        <v>0</v>
      </c>
      <c r="J92" t="n">
        <v>0</v>
      </c>
      <c r="K92" t="n">
        <v>1</v>
      </c>
      <c r="L92" t="n">
        <v>0</v>
      </c>
      <c r="M92" t="n">
        <v>0</v>
      </c>
      <c r="N92" t="n">
        <v>0</v>
      </c>
      <c r="O92" t="n">
        <v>1</v>
      </c>
      <c r="P92" t="n">
        <v>1</v>
      </c>
      <c r="Q92" t="n">
        <v>1</v>
      </c>
      <c r="R92" s="2" t="inlineStr">
        <is>
          <t>Backsippa</t>
        </is>
      </c>
      <c r="S92">
        <f>HYPERLINK("https://klasma.github.io/Logging_0382/artfynd/A 37296-2023 artfynd.xlsx", "A 37296-2023")</f>
        <v/>
      </c>
      <c r="T92">
        <f>HYPERLINK("https://klasma.github.io/Logging_0382/kartor/A 37296-2023 karta.png", "A 37296-2023")</f>
        <v/>
      </c>
      <c r="V92">
        <f>HYPERLINK("https://klasma.github.io/Logging_0382/klagomål/A 37296-2023 FSC-klagomål.docx", "A 37296-2023")</f>
        <v/>
      </c>
      <c r="W92">
        <f>HYPERLINK("https://klasma.github.io/Logging_0382/klagomålsmail/A 37296-2023 FSC-klagomål mail.docx", "A 37296-2023")</f>
        <v/>
      </c>
      <c r="X92">
        <f>HYPERLINK("https://klasma.github.io/Logging_0382/tillsyn/A 37296-2023 tillsynsbegäran.docx", "A 37296-2023")</f>
        <v/>
      </c>
      <c r="Y92">
        <f>HYPERLINK("https://klasma.github.io/Logging_0382/tillsynsmail/A 37296-2023 tillsynsbegäran mail.docx", "A 37296-2023")</f>
        <v/>
      </c>
    </row>
    <row r="93" ht="15" customHeight="1">
      <c r="A93" t="inlineStr">
        <is>
          <t>A 46629-2024</t>
        </is>
      </c>
      <c r="B93" s="1" t="n">
        <v>45583.33221064815</v>
      </c>
      <c r="C93" s="1" t="n">
        <v>45888</v>
      </c>
      <c r="D93" t="inlineStr">
        <is>
          <t>UPPSALA LÄN</t>
        </is>
      </c>
      <c r="E93" t="inlineStr">
        <is>
          <t>ÖSTHAMMAR</t>
        </is>
      </c>
      <c r="F93" t="inlineStr">
        <is>
          <t>Bergvik skog öst AB</t>
        </is>
      </c>
      <c r="G93" t="n">
        <v>0.7</v>
      </c>
      <c r="H93" t="n">
        <v>0</v>
      </c>
      <c r="I93" t="n">
        <v>0</v>
      </c>
      <c r="J93" t="n">
        <v>1</v>
      </c>
      <c r="K93" t="n">
        <v>0</v>
      </c>
      <c r="L93" t="n">
        <v>0</v>
      </c>
      <c r="M93" t="n">
        <v>0</v>
      </c>
      <c r="N93" t="n">
        <v>0</v>
      </c>
      <c r="O93" t="n">
        <v>1</v>
      </c>
      <c r="P93" t="n">
        <v>0</v>
      </c>
      <c r="Q93" t="n">
        <v>1</v>
      </c>
      <c r="R93" s="2" t="inlineStr">
        <is>
          <t>Slåtterfibbla</t>
        </is>
      </c>
      <c r="S93">
        <f>HYPERLINK("https://klasma.github.io/Logging_0382/artfynd/A 46629-2024 artfynd.xlsx", "A 46629-2024")</f>
        <v/>
      </c>
      <c r="T93">
        <f>HYPERLINK("https://klasma.github.io/Logging_0382/kartor/A 46629-2024 karta.png", "A 46629-2024")</f>
        <v/>
      </c>
      <c r="V93">
        <f>HYPERLINK("https://klasma.github.io/Logging_0382/klagomål/A 46629-2024 FSC-klagomål.docx", "A 46629-2024")</f>
        <v/>
      </c>
      <c r="W93">
        <f>HYPERLINK("https://klasma.github.io/Logging_0382/klagomålsmail/A 46629-2024 FSC-klagomål mail.docx", "A 46629-2024")</f>
        <v/>
      </c>
      <c r="X93">
        <f>HYPERLINK("https://klasma.github.io/Logging_0382/tillsyn/A 46629-2024 tillsynsbegäran.docx", "A 46629-2024")</f>
        <v/>
      </c>
      <c r="Y93">
        <f>HYPERLINK("https://klasma.github.io/Logging_0382/tillsynsmail/A 46629-2024 tillsynsbegäran mail.docx", "A 46629-2024")</f>
        <v/>
      </c>
    </row>
    <row r="94" ht="15" customHeight="1">
      <c r="A94" t="inlineStr">
        <is>
          <t>A 10034-2023</t>
        </is>
      </c>
      <c r="B94" s="1" t="n">
        <v>44985</v>
      </c>
      <c r="C94" s="1" t="n">
        <v>45888</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30605-2025</t>
        </is>
      </c>
      <c r="B95" s="1" t="n">
        <v>45831.45510416666</v>
      </c>
      <c r="C95" s="1" t="n">
        <v>45888</v>
      </c>
      <c r="D95" t="inlineStr">
        <is>
          <t>UPPSALA LÄN</t>
        </is>
      </c>
      <c r="E95" t="inlineStr">
        <is>
          <t>ÖSTHAMMAR</t>
        </is>
      </c>
      <c r="G95" t="n">
        <v>1.7</v>
      </c>
      <c r="H95" t="n">
        <v>0</v>
      </c>
      <c r="I95" t="n">
        <v>0</v>
      </c>
      <c r="J95" t="n">
        <v>0</v>
      </c>
      <c r="K95" t="n">
        <v>1</v>
      </c>
      <c r="L95" t="n">
        <v>0</v>
      </c>
      <c r="M95" t="n">
        <v>0</v>
      </c>
      <c r="N95" t="n">
        <v>0</v>
      </c>
      <c r="O95" t="n">
        <v>1</v>
      </c>
      <c r="P95" t="n">
        <v>1</v>
      </c>
      <c r="Q95" t="n">
        <v>1</v>
      </c>
      <c r="R95" s="2" t="inlineStr">
        <is>
          <t>Plattsäv</t>
        </is>
      </c>
      <c r="S95">
        <f>HYPERLINK("https://klasma.github.io/Logging_0382/artfynd/A 30605-2025 artfynd.xlsx", "A 30605-2025")</f>
        <v/>
      </c>
      <c r="T95">
        <f>HYPERLINK("https://klasma.github.io/Logging_0382/kartor/A 30605-2025 karta.png", "A 30605-2025")</f>
        <v/>
      </c>
      <c r="V95">
        <f>HYPERLINK("https://klasma.github.io/Logging_0382/klagomål/A 30605-2025 FSC-klagomål.docx", "A 30605-2025")</f>
        <v/>
      </c>
      <c r="W95">
        <f>HYPERLINK("https://klasma.github.io/Logging_0382/klagomålsmail/A 30605-2025 FSC-klagomål mail.docx", "A 30605-2025")</f>
        <v/>
      </c>
      <c r="X95">
        <f>HYPERLINK("https://klasma.github.io/Logging_0382/tillsyn/A 30605-2025 tillsynsbegäran.docx", "A 30605-2025")</f>
        <v/>
      </c>
      <c r="Y95">
        <f>HYPERLINK("https://klasma.github.io/Logging_0382/tillsynsmail/A 30605-2025 tillsynsbegäran mail.docx", "A 30605-2025")</f>
        <v/>
      </c>
    </row>
    <row r="96" ht="15" customHeight="1">
      <c r="A96" t="inlineStr">
        <is>
          <t>A 65989-2021</t>
        </is>
      </c>
      <c r="B96" s="1" t="n">
        <v>44517</v>
      </c>
      <c r="C96" s="1" t="n">
        <v>45888</v>
      </c>
      <c r="D96" t="inlineStr">
        <is>
          <t>UPPSALA LÄN</t>
        </is>
      </c>
      <c r="E96" t="inlineStr">
        <is>
          <t>ÖSTHAMMAR</t>
        </is>
      </c>
      <c r="G96" t="n">
        <v>6.9</v>
      </c>
      <c r="H96" t="n">
        <v>1</v>
      </c>
      <c r="I96" t="n">
        <v>1</v>
      </c>
      <c r="J96" t="n">
        <v>0</v>
      </c>
      <c r="K96" t="n">
        <v>0</v>
      </c>
      <c r="L96" t="n">
        <v>0</v>
      </c>
      <c r="M96" t="n">
        <v>0</v>
      </c>
      <c r="N96" t="n">
        <v>0</v>
      </c>
      <c r="O96" t="n">
        <v>0</v>
      </c>
      <c r="P96" t="n">
        <v>0</v>
      </c>
      <c r="Q96" t="n">
        <v>1</v>
      </c>
      <c r="R96" s="2" t="inlineStr">
        <is>
          <t>Skogsknipprot</t>
        </is>
      </c>
      <c r="S96">
        <f>HYPERLINK("https://klasma.github.io/Logging_0382/artfynd/A 65989-2021 artfynd.xlsx", "A 65989-2021")</f>
        <v/>
      </c>
      <c r="T96">
        <f>HYPERLINK("https://klasma.github.io/Logging_0382/kartor/A 65989-2021 karta.png", "A 65989-2021")</f>
        <v/>
      </c>
      <c r="V96">
        <f>HYPERLINK("https://klasma.github.io/Logging_0382/klagomål/A 65989-2021 FSC-klagomål.docx", "A 65989-2021")</f>
        <v/>
      </c>
      <c r="W96">
        <f>HYPERLINK("https://klasma.github.io/Logging_0382/klagomålsmail/A 65989-2021 FSC-klagomål mail.docx", "A 65989-2021")</f>
        <v/>
      </c>
      <c r="X96">
        <f>HYPERLINK("https://klasma.github.io/Logging_0382/tillsyn/A 65989-2021 tillsynsbegäran.docx", "A 65989-2021")</f>
        <v/>
      </c>
      <c r="Y96">
        <f>HYPERLINK("https://klasma.github.io/Logging_0382/tillsynsmail/A 65989-2021 tillsynsbegäran mail.docx", "A 65989-2021")</f>
        <v/>
      </c>
    </row>
    <row r="97" ht="15" customHeight="1">
      <c r="A97" t="inlineStr">
        <is>
          <t>A 7470-2022</t>
        </is>
      </c>
      <c r="B97" s="1" t="n">
        <v>44607</v>
      </c>
      <c r="C97" s="1" t="n">
        <v>45888</v>
      </c>
      <c r="D97" t="inlineStr">
        <is>
          <t>UPPSALA LÄN</t>
        </is>
      </c>
      <c r="E97" t="inlineStr">
        <is>
          <t>ÖSTHAMMAR</t>
        </is>
      </c>
      <c r="G97" t="n">
        <v>2.6</v>
      </c>
      <c r="H97" t="n">
        <v>1</v>
      </c>
      <c r="I97" t="n">
        <v>1</v>
      </c>
      <c r="J97" t="n">
        <v>0</v>
      </c>
      <c r="K97" t="n">
        <v>0</v>
      </c>
      <c r="L97" t="n">
        <v>0</v>
      </c>
      <c r="M97" t="n">
        <v>0</v>
      </c>
      <c r="N97" t="n">
        <v>0</v>
      </c>
      <c r="O97" t="n">
        <v>0</v>
      </c>
      <c r="P97" t="n">
        <v>0</v>
      </c>
      <c r="Q97" t="n">
        <v>1</v>
      </c>
      <c r="R97" s="2" t="inlineStr">
        <is>
          <t>Grön sköldmossa</t>
        </is>
      </c>
      <c r="S97">
        <f>HYPERLINK("https://klasma.github.io/Logging_0382/artfynd/A 7470-2022 artfynd.xlsx", "A 7470-2022")</f>
        <v/>
      </c>
      <c r="T97">
        <f>HYPERLINK("https://klasma.github.io/Logging_0382/kartor/A 7470-2022 karta.png", "A 7470-2022")</f>
        <v/>
      </c>
      <c r="V97">
        <f>HYPERLINK("https://klasma.github.io/Logging_0382/klagomål/A 7470-2022 FSC-klagomål.docx", "A 7470-2022")</f>
        <v/>
      </c>
      <c r="W97">
        <f>HYPERLINK("https://klasma.github.io/Logging_0382/klagomålsmail/A 7470-2022 FSC-klagomål mail.docx", "A 7470-2022")</f>
        <v/>
      </c>
      <c r="X97">
        <f>HYPERLINK("https://klasma.github.io/Logging_0382/tillsyn/A 7470-2022 tillsynsbegäran.docx", "A 7470-2022")</f>
        <v/>
      </c>
      <c r="Y97">
        <f>HYPERLINK("https://klasma.github.io/Logging_0382/tillsynsmail/A 7470-2022 tillsynsbegäran mail.docx", "A 7470-2022")</f>
        <v/>
      </c>
    </row>
    <row r="98" ht="15" customHeight="1">
      <c r="A98" t="inlineStr">
        <is>
          <t>A 22209-2022</t>
        </is>
      </c>
      <c r="B98" s="1" t="n">
        <v>44712</v>
      </c>
      <c r="C98" s="1" t="n">
        <v>45888</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22375-2024</t>
        </is>
      </c>
      <c r="B99" s="1" t="n">
        <v>45446</v>
      </c>
      <c r="C99" s="1" t="n">
        <v>45888</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70495-2021</t>
        </is>
      </c>
      <c r="B100" s="1" t="n">
        <v>44536</v>
      </c>
      <c r="C100" s="1" t="n">
        <v>45888</v>
      </c>
      <c r="D100" t="inlineStr">
        <is>
          <t>UPPSALA LÄN</t>
        </is>
      </c>
      <c r="E100" t="inlineStr">
        <is>
          <t>ÖSTHAMMAR</t>
        </is>
      </c>
      <c r="G100" t="n">
        <v>1</v>
      </c>
      <c r="H100" t="n">
        <v>1</v>
      </c>
      <c r="I100" t="n">
        <v>0</v>
      </c>
      <c r="J100" t="n">
        <v>1</v>
      </c>
      <c r="K100" t="n">
        <v>0</v>
      </c>
      <c r="L100" t="n">
        <v>0</v>
      </c>
      <c r="M100" t="n">
        <v>0</v>
      </c>
      <c r="N100" t="n">
        <v>0</v>
      </c>
      <c r="O100" t="n">
        <v>1</v>
      </c>
      <c r="P100" t="n">
        <v>0</v>
      </c>
      <c r="Q100" t="n">
        <v>1</v>
      </c>
      <c r="R100" s="2" t="inlineStr">
        <is>
          <t>Slaguggla</t>
        </is>
      </c>
      <c r="S100">
        <f>HYPERLINK("https://klasma.github.io/Logging_0382/artfynd/A 70495-2021 artfynd.xlsx", "A 70495-2021")</f>
        <v/>
      </c>
      <c r="T100">
        <f>HYPERLINK("https://klasma.github.io/Logging_0382/kartor/A 70495-2021 karta.png", "A 70495-2021")</f>
        <v/>
      </c>
      <c r="V100">
        <f>HYPERLINK("https://klasma.github.io/Logging_0382/klagomål/A 70495-2021 FSC-klagomål.docx", "A 70495-2021")</f>
        <v/>
      </c>
      <c r="W100">
        <f>HYPERLINK("https://klasma.github.io/Logging_0382/klagomålsmail/A 70495-2021 FSC-klagomål mail.docx", "A 70495-2021")</f>
        <v/>
      </c>
      <c r="X100">
        <f>HYPERLINK("https://klasma.github.io/Logging_0382/tillsyn/A 70495-2021 tillsynsbegäran.docx", "A 70495-2021")</f>
        <v/>
      </c>
      <c r="Y100">
        <f>HYPERLINK("https://klasma.github.io/Logging_0382/tillsynsmail/A 70495-2021 tillsynsbegäran mail.docx", "A 70495-2021")</f>
        <v/>
      </c>
      <c r="Z100">
        <f>HYPERLINK("https://klasma.github.io/Logging_0382/fåglar/A 70495-2021 prioriterade fågelarter.docx", "A 70495-2021")</f>
        <v/>
      </c>
    </row>
    <row r="101" ht="15" customHeight="1">
      <c r="A101" t="inlineStr">
        <is>
          <t>A 3693-2021</t>
        </is>
      </c>
      <c r="B101" s="1" t="n">
        <v>44221</v>
      </c>
      <c r="C101" s="1" t="n">
        <v>45888</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45888</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45888</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25434-2022</t>
        </is>
      </c>
      <c r="B104" s="1" t="n">
        <v>44732.48165509259</v>
      </c>
      <c r="C104" s="1" t="n">
        <v>45888</v>
      </c>
      <c r="D104" t="inlineStr">
        <is>
          <t>UPPSALA LÄN</t>
        </is>
      </c>
      <c r="E104" t="inlineStr">
        <is>
          <t>ÖSTHAMMAR</t>
        </is>
      </c>
      <c r="G104" t="n">
        <v>0.8</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45888</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45888</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45888</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45888</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45888</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45888</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45888</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45888</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45888</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45888</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45888</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45888</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45888</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45888</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45888</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45888</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45888</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2108-2022</t>
        </is>
      </c>
      <c r="B122" s="1" t="n">
        <v>44577.83829861111</v>
      </c>
      <c r="C122" s="1" t="n">
        <v>45888</v>
      </c>
      <c r="D122" t="inlineStr">
        <is>
          <t>UPPSALA LÄN</t>
        </is>
      </c>
      <c r="E122" t="inlineStr">
        <is>
          <t>ÖSTHAMMAR</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45888</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51412-2021</t>
        </is>
      </c>
      <c r="B124" s="1" t="n">
        <v>44461</v>
      </c>
      <c r="C124" s="1" t="n">
        <v>45888</v>
      </c>
      <c r="D124" t="inlineStr">
        <is>
          <t>UPPSALA LÄN</t>
        </is>
      </c>
      <c r="E124" t="inlineStr">
        <is>
          <t>ÖSTHAMMAR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45888</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45888</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45888</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45888</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45888</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45888</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45888</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45888</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45888</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45888</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45888</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45888</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45888</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45888</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45888</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45888</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45888</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45888</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45888</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45888</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45888</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45888</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45888</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45888</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45888</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45888</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45888</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45888</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18734-2022</t>
        </is>
      </c>
      <c r="B153" s="1" t="n">
        <v>44687.86751157408</v>
      </c>
      <c r="C153" s="1" t="n">
        <v>45888</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45888</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45888</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37813-2022</t>
        </is>
      </c>
      <c r="B156" s="1" t="n">
        <v>44810</v>
      </c>
      <c r="C156" s="1" t="n">
        <v>45888</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51906-2022</t>
        </is>
      </c>
      <c r="B157" s="1" t="n">
        <v>44872.62109953703</v>
      </c>
      <c r="C157" s="1" t="n">
        <v>45888</v>
      </c>
      <c r="D157" t="inlineStr">
        <is>
          <t>UPPSALA LÄN</t>
        </is>
      </c>
      <c r="E157" t="inlineStr">
        <is>
          <t>ÖSTHAMMAR</t>
        </is>
      </c>
      <c r="G157" t="n">
        <v>0.4</v>
      </c>
      <c r="H157" t="n">
        <v>0</v>
      </c>
      <c r="I157" t="n">
        <v>0</v>
      </c>
      <c r="J157" t="n">
        <v>0</v>
      </c>
      <c r="K157" t="n">
        <v>0</v>
      </c>
      <c r="L157" t="n">
        <v>0</v>
      </c>
      <c r="M157" t="n">
        <v>0</v>
      </c>
      <c r="N157" t="n">
        <v>0</v>
      </c>
      <c r="O157" t="n">
        <v>0</v>
      </c>
      <c r="P157" t="n">
        <v>0</v>
      </c>
      <c r="Q157" t="n">
        <v>0</v>
      </c>
      <c r="R157" s="2" t="inlineStr"/>
    </row>
    <row r="158" ht="15" customHeight="1">
      <c r="A158" t="inlineStr">
        <is>
          <t>A 19214-2021</t>
        </is>
      </c>
      <c r="B158" s="1" t="n">
        <v>44309.28576388889</v>
      </c>
      <c r="C158" s="1" t="n">
        <v>45888</v>
      </c>
      <c r="D158" t="inlineStr">
        <is>
          <t>UPPSALA LÄN</t>
        </is>
      </c>
      <c r="E158" t="inlineStr">
        <is>
          <t>ÖSTHAMMAR</t>
        </is>
      </c>
      <c r="F158" t="inlineStr">
        <is>
          <t>Bergvik skog öst AB</t>
        </is>
      </c>
      <c r="G158" t="n">
        <v>6</v>
      </c>
      <c r="H158" t="n">
        <v>0</v>
      </c>
      <c r="I158" t="n">
        <v>0</v>
      </c>
      <c r="J158" t="n">
        <v>0</v>
      </c>
      <c r="K158" t="n">
        <v>0</v>
      </c>
      <c r="L158" t="n">
        <v>0</v>
      </c>
      <c r="M158" t="n">
        <v>0</v>
      </c>
      <c r="N158" t="n">
        <v>0</v>
      </c>
      <c r="O158" t="n">
        <v>0</v>
      </c>
      <c r="P158" t="n">
        <v>0</v>
      </c>
      <c r="Q158" t="n">
        <v>0</v>
      </c>
      <c r="R158" s="2" t="inlineStr"/>
    </row>
    <row r="159" ht="15" customHeight="1">
      <c r="A159" t="inlineStr">
        <is>
          <t>A 17013-2022</t>
        </is>
      </c>
      <c r="B159" s="1" t="n">
        <v>44676</v>
      </c>
      <c r="C159" s="1" t="n">
        <v>45888</v>
      </c>
      <c r="D159" t="inlineStr">
        <is>
          <t>UPPSALA LÄN</t>
        </is>
      </c>
      <c r="E159" t="inlineStr">
        <is>
          <t>ÖSTHAMMAR</t>
        </is>
      </c>
      <c r="F159" t="inlineStr">
        <is>
          <t>Bergvik skog öst AB</t>
        </is>
      </c>
      <c r="G159" t="n">
        <v>0.2</v>
      </c>
      <c r="H159" t="n">
        <v>0</v>
      </c>
      <c r="I159" t="n">
        <v>0</v>
      </c>
      <c r="J159" t="n">
        <v>0</v>
      </c>
      <c r="K159" t="n">
        <v>0</v>
      </c>
      <c r="L159" t="n">
        <v>0</v>
      </c>
      <c r="M159" t="n">
        <v>0</v>
      </c>
      <c r="N159" t="n">
        <v>0</v>
      </c>
      <c r="O159" t="n">
        <v>0</v>
      </c>
      <c r="P159" t="n">
        <v>0</v>
      </c>
      <c r="Q159" t="n">
        <v>0</v>
      </c>
      <c r="R159" s="2" t="inlineStr"/>
    </row>
    <row r="160" ht="15" customHeight="1">
      <c r="A160" t="inlineStr">
        <is>
          <t>A 6221-2021</t>
        </is>
      </c>
      <c r="B160" s="1" t="n">
        <v>44235</v>
      </c>
      <c r="C160" s="1" t="n">
        <v>45888</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11987-2022</t>
        </is>
      </c>
      <c r="B161" s="1" t="n">
        <v>44635.68695601852</v>
      </c>
      <c r="C161" s="1" t="n">
        <v>45888</v>
      </c>
      <c r="D161" t="inlineStr">
        <is>
          <t>UPPSALA LÄN</t>
        </is>
      </c>
      <c r="E161" t="inlineStr">
        <is>
          <t>ÖSTHAMMAR</t>
        </is>
      </c>
      <c r="F161" t="inlineStr">
        <is>
          <t>Bergvik skog öst AB</t>
        </is>
      </c>
      <c r="G161" t="n">
        <v>0.3</v>
      </c>
      <c r="H161" t="n">
        <v>0</v>
      </c>
      <c r="I161" t="n">
        <v>0</v>
      </c>
      <c r="J161" t="n">
        <v>0</v>
      </c>
      <c r="K161" t="n">
        <v>0</v>
      </c>
      <c r="L161" t="n">
        <v>0</v>
      </c>
      <c r="M161" t="n">
        <v>0</v>
      </c>
      <c r="N161" t="n">
        <v>0</v>
      </c>
      <c r="O161" t="n">
        <v>0</v>
      </c>
      <c r="P161" t="n">
        <v>0</v>
      </c>
      <c r="Q161" t="n">
        <v>0</v>
      </c>
      <c r="R161" s="2" t="inlineStr"/>
    </row>
    <row r="162" ht="15" customHeight="1">
      <c r="A162" t="inlineStr">
        <is>
          <t>A 31182-2022</t>
        </is>
      </c>
      <c r="B162" s="1" t="n">
        <v>44770</v>
      </c>
      <c r="C162" s="1" t="n">
        <v>45888</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26534-2022</t>
        </is>
      </c>
      <c r="B163" s="1" t="n">
        <v>44739</v>
      </c>
      <c r="C163" s="1" t="n">
        <v>45888</v>
      </c>
      <c r="D163" t="inlineStr">
        <is>
          <t>UPPSALA LÄN</t>
        </is>
      </c>
      <c r="E163" t="inlineStr">
        <is>
          <t>ÖSTHAMMAR</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22207-2022</t>
        </is>
      </c>
      <c r="B164" s="1" t="n">
        <v>44712.51509259259</v>
      </c>
      <c r="C164" s="1" t="n">
        <v>45888</v>
      </c>
      <c r="D164" t="inlineStr">
        <is>
          <t>UPPSALA LÄN</t>
        </is>
      </c>
      <c r="E164" t="inlineStr">
        <is>
          <t>ÖSTHAMMAR</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45888</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45888</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45888</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12999-2022</t>
        </is>
      </c>
      <c r="B168" s="1" t="n">
        <v>44643.4372337963</v>
      </c>
      <c r="C168" s="1" t="n">
        <v>45888</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30209-2022</t>
        </is>
      </c>
      <c r="B169" s="1" t="n">
        <v>44757.75236111111</v>
      </c>
      <c r="C169" s="1" t="n">
        <v>45888</v>
      </c>
      <c r="D169" t="inlineStr">
        <is>
          <t>UPPSALA LÄN</t>
        </is>
      </c>
      <c r="E169" t="inlineStr">
        <is>
          <t>ÖSTHAMMAR</t>
        </is>
      </c>
      <c r="F169" t="inlineStr">
        <is>
          <t>Bergvik skog öst AB</t>
        </is>
      </c>
      <c r="G169" t="n">
        <v>0.4</v>
      </c>
      <c r="H169" t="n">
        <v>0</v>
      </c>
      <c r="I169" t="n">
        <v>0</v>
      </c>
      <c r="J169" t="n">
        <v>0</v>
      </c>
      <c r="K169" t="n">
        <v>0</v>
      </c>
      <c r="L169" t="n">
        <v>0</v>
      </c>
      <c r="M169" t="n">
        <v>0</v>
      </c>
      <c r="N169" t="n">
        <v>0</v>
      </c>
      <c r="O169" t="n">
        <v>0</v>
      </c>
      <c r="P169" t="n">
        <v>0</v>
      </c>
      <c r="Q169" t="n">
        <v>0</v>
      </c>
      <c r="R169" s="2" t="inlineStr"/>
    </row>
    <row r="170" ht="15" customHeight="1">
      <c r="A170" t="inlineStr">
        <is>
          <t>A 49334-2022</t>
        </is>
      </c>
      <c r="B170" s="1" t="n">
        <v>44861</v>
      </c>
      <c r="C170" s="1" t="n">
        <v>45888</v>
      </c>
      <c r="D170" t="inlineStr">
        <is>
          <t>UPPSALA LÄN</t>
        </is>
      </c>
      <c r="E170" t="inlineStr">
        <is>
          <t>ÖSTHAMMAR</t>
        </is>
      </c>
      <c r="G170" t="n">
        <v>3.5</v>
      </c>
      <c r="H170" t="n">
        <v>0</v>
      </c>
      <c r="I170" t="n">
        <v>0</v>
      </c>
      <c r="J170" t="n">
        <v>0</v>
      </c>
      <c r="K170" t="n">
        <v>0</v>
      </c>
      <c r="L170" t="n">
        <v>0</v>
      </c>
      <c r="M170" t="n">
        <v>0</v>
      </c>
      <c r="N170" t="n">
        <v>0</v>
      </c>
      <c r="O170" t="n">
        <v>0</v>
      </c>
      <c r="P170" t="n">
        <v>0</v>
      </c>
      <c r="Q170" t="n">
        <v>0</v>
      </c>
      <c r="R170" s="2" t="inlineStr"/>
    </row>
    <row r="171" ht="15" customHeight="1">
      <c r="A171" t="inlineStr">
        <is>
          <t>A 59432-2020</t>
        </is>
      </c>
      <c r="B171" s="1" t="n">
        <v>44148</v>
      </c>
      <c r="C171" s="1" t="n">
        <v>45888</v>
      </c>
      <c r="D171" t="inlineStr">
        <is>
          <t>UPPSALA LÄN</t>
        </is>
      </c>
      <c r="E171" t="inlineStr">
        <is>
          <t>ÖSTHAMMAR</t>
        </is>
      </c>
      <c r="F171" t="inlineStr">
        <is>
          <t>Sveaskog</t>
        </is>
      </c>
      <c r="G171" t="n">
        <v>3.4</v>
      </c>
      <c r="H171" t="n">
        <v>0</v>
      </c>
      <c r="I171" t="n">
        <v>0</v>
      </c>
      <c r="J171" t="n">
        <v>0</v>
      </c>
      <c r="K171" t="n">
        <v>0</v>
      </c>
      <c r="L171" t="n">
        <v>0</v>
      </c>
      <c r="M171" t="n">
        <v>0</v>
      </c>
      <c r="N171" t="n">
        <v>0</v>
      </c>
      <c r="O171" t="n">
        <v>0</v>
      </c>
      <c r="P171" t="n">
        <v>0</v>
      </c>
      <c r="Q171" t="n">
        <v>0</v>
      </c>
      <c r="R171" s="2" t="inlineStr"/>
    </row>
    <row r="172" ht="15" customHeight="1">
      <c r="A172" t="inlineStr">
        <is>
          <t>A 52898-2021</t>
        </is>
      </c>
      <c r="B172" s="1" t="n">
        <v>44467</v>
      </c>
      <c r="C172" s="1" t="n">
        <v>45888</v>
      </c>
      <c r="D172" t="inlineStr">
        <is>
          <t>UPPSALA LÄN</t>
        </is>
      </c>
      <c r="E172" t="inlineStr">
        <is>
          <t>ÖSTHAMMAR</t>
        </is>
      </c>
      <c r="G172" t="n">
        <v>2.3</v>
      </c>
      <c r="H172" t="n">
        <v>0</v>
      </c>
      <c r="I172" t="n">
        <v>0</v>
      </c>
      <c r="J172" t="n">
        <v>0</v>
      </c>
      <c r="K172" t="n">
        <v>0</v>
      </c>
      <c r="L172" t="n">
        <v>0</v>
      </c>
      <c r="M172" t="n">
        <v>0</v>
      </c>
      <c r="N172" t="n">
        <v>0</v>
      </c>
      <c r="O172" t="n">
        <v>0</v>
      </c>
      <c r="P172" t="n">
        <v>0</v>
      </c>
      <c r="Q172" t="n">
        <v>0</v>
      </c>
      <c r="R172" s="2" t="inlineStr"/>
    </row>
    <row r="173" ht="15" customHeight="1">
      <c r="A173" t="inlineStr">
        <is>
          <t>A 52432-2020</t>
        </is>
      </c>
      <c r="B173" s="1" t="n">
        <v>44118</v>
      </c>
      <c r="C173" s="1" t="n">
        <v>45888</v>
      </c>
      <c r="D173" t="inlineStr">
        <is>
          <t>UPPSALA LÄN</t>
        </is>
      </c>
      <c r="E173" t="inlineStr">
        <is>
          <t>ÖSTHAMMAR</t>
        </is>
      </c>
      <c r="G173" t="n">
        <v>2.7</v>
      </c>
      <c r="H173" t="n">
        <v>0</v>
      </c>
      <c r="I173" t="n">
        <v>0</v>
      </c>
      <c r="J173" t="n">
        <v>0</v>
      </c>
      <c r="K173" t="n">
        <v>0</v>
      </c>
      <c r="L173" t="n">
        <v>0</v>
      </c>
      <c r="M173" t="n">
        <v>0</v>
      </c>
      <c r="N173" t="n">
        <v>0</v>
      </c>
      <c r="O173" t="n">
        <v>0</v>
      </c>
      <c r="P173" t="n">
        <v>0</v>
      </c>
      <c r="Q173" t="n">
        <v>0</v>
      </c>
      <c r="R173" s="2" t="inlineStr"/>
    </row>
    <row r="174" ht="15" customHeight="1">
      <c r="A174" t="inlineStr">
        <is>
          <t>A 52434-2020</t>
        </is>
      </c>
      <c r="B174" s="1" t="n">
        <v>44118</v>
      </c>
      <c r="C174" s="1" t="n">
        <v>45888</v>
      </c>
      <c r="D174" t="inlineStr">
        <is>
          <t>UPPSALA LÄN</t>
        </is>
      </c>
      <c r="E174" t="inlineStr">
        <is>
          <t>ÖSTHAMMAR</t>
        </is>
      </c>
      <c r="G174" t="n">
        <v>2.8</v>
      </c>
      <c r="H174" t="n">
        <v>0</v>
      </c>
      <c r="I174" t="n">
        <v>0</v>
      </c>
      <c r="J174" t="n">
        <v>0</v>
      </c>
      <c r="K174" t="n">
        <v>0</v>
      </c>
      <c r="L174" t="n">
        <v>0</v>
      </c>
      <c r="M174" t="n">
        <v>0</v>
      </c>
      <c r="N174" t="n">
        <v>0</v>
      </c>
      <c r="O174" t="n">
        <v>0</v>
      </c>
      <c r="P174" t="n">
        <v>0</v>
      </c>
      <c r="Q174" t="n">
        <v>0</v>
      </c>
      <c r="R174" s="2" t="inlineStr"/>
    </row>
    <row r="175" ht="15" customHeight="1">
      <c r="A175" t="inlineStr">
        <is>
          <t>A 61193-2020</t>
        </is>
      </c>
      <c r="B175" s="1" t="n">
        <v>44155</v>
      </c>
      <c r="C175" s="1" t="n">
        <v>45888</v>
      </c>
      <c r="D175" t="inlineStr">
        <is>
          <t>UPPSALA LÄN</t>
        </is>
      </c>
      <c r="E175" t="inlineStr">
        <is>
          <t>ÖSTHAMMAR</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9789-2022</t>
        </is>
      </c>
      <c r="B176" s="1" t="n">
        <v>44620.35590277778</v>
      </c>
      <c r="C176" s="1" t="n">
        <v>45888</v>
      </c>
      <c r="D176" t="inlineStr">
        <is>
          <t>UPPSALA LÄN</t>
        </is>
      </c>
      <c r="E176" t="inlineStr">
        <is>
          <t>ÖSTHAMMAR</t>
        </is>
      </c>
      <c r="G176" t="n">
        <v>1.2</v>
      </c>
      <c r="H176" t="n">
        <v>0</v>
      </c>
      <c r="I176" t="n">
        <v>0</v>
      </c>
      <c r="J176" t="n">
        <v>0</v>
      </c>
      <c r="K176" t="n">
        <v>0</v>
      </c>
      <c r="L176" t="n">
        <v>0</v>
      </c>
      <c r="M176" t="n">
        <v>0</v>
      </c>
      <c r="N176" t="n">
        <v>0</v>
      </c>
      <c r="O176" t="n">
        <v>0</v>
      </c>
      <c r="P176" t="n">
        <v>0</v>
      </c>
      <c r="Q176" t="n">
        <v>0</v>
      </c>
      <c r="R176" s="2" t="inlineStr"/>
    </row>
    <row r="177" ht="15" customHeight="1">
      <c r="A177" t="inlineStr">
        <is>
          <t>A 16184-2022</t>
        </is>
      </c>
      <c r="B177" s="1" t="n">
        <v>44669.36354166667</v>
      </c>
      <c r="C177" s="1" t="n">
        <v>45888</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2168-2022</t>
        </is>
      </c>
      <c r="B178" s="1" t="n">
        <v>44578</v>
      </c>
      <c r="C178" s="1" t="n">
        <v>45888</v>
      </c>
      <c r="D178" t="inlineStr">
        <is>
          <t>UPPSALA LÄN</t>
        </is>
      </c>
      <c r="E178" t="inlineStr">
        <is>
          <t>ÖSTHAMMAR</t>
        </is>
      </c>
      <c r="G178" t="n">
        <v>2.9</v>
      </c>
      <c r="H178" t="n">
        <v>0</v>
      </c>
      <c r="I178" t="n">
        <v>0</v>
      </c>
      <c r="J178" t="n">
        <v>0</v>
      </c>
      <c r="K178" t="n">
        <v>0</v>
      </c>
      <c r="L178" t="n">
        <v>0</v>
      </c>
      <c r="M178" t="n">
        <v>0</v>
      </c>
      <c r="N178" t="n">
        <v>0</v>
      </c>
      <c r="O178" t="n">
        <v>0</v>
      </c>
      <c r="P178" t="n">
        <v>0</v>
      </c>
      <c r="Q178" t="n">
        <v>0</v>
      </c>
      <c r="R178" s="2" t="inlineStr"/>
    </row>
    <row r="179" ht="15" customHeight="1">
      <c r="A179" t="inlineStr">
        <is>
          <t>A 4491-2022</t>
        </is>
      </c>
      <c r="B179" s="1" t="n">
        <v>44589.66446759259</v>
      </c>
      <c r="C179" s="1" t="n">
        <v>45888</v>
      </c>
      <c r="D179" t="inlineStr">
        <is>
          <t>UPPSALA LÄN</t>
        </is>
      </c>
      <c r="E179" t="inlineStr">
        <is>
          <t>ÖSTHAMMAR</t>
        </is>
      </c>
      <c r="G179" t="n">
        <v>1.4</v>
      </c>
      <c r="H179" t="n">
        <v>0</v>
      </c>
      <c r="I179" t="n">
        <v>0</v>
      </c>
      <c r="J179" t="n">
        <v>0</v>
      </c>
      <c r="K179" t="n">
        <v>0</v>
      </c>
      <c r="L179" t="n">
        <v>0</v>
      </c>
      <c r="M179" t="n">
        <v>0</v>
      </c>
      <c r="N179" t="n">
        <v>0</v>
      </c>
      <c r="O179" t="n">
        <v>0</v>
      </c>
      <c r="P179" t="n">
        <v>0</v>
      </c>
      <c r="Q179" t="n">
        <v>0</v>
      </c>
      <c r="R179" s="2" t="inlineStr"/>
    </row>
    <row r="180" ht="15" customHeight="1">
      <c r="A180" t="inlineStr">
        <is>
          <t>A 11884-2022</t>
        </is>
      </c>
      <c r="B180" s="1" t="n">
        <v>44635.39946759259</v>
      </c>
      <c r="C180" s="1" t="n">
        <v>45888</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52295-2022</t>
        </is>
      </c>
      <c r="B181" s="1" t="n">
        <v>44873.67842592593</v>
      </c>
      <c r="C181" s="1" t="n">
        <v>45888</v>
      </c>
      <c r="D181" t="inlineStr">
        <is>
          <t>UPPSALA LÄN</t>
        </is>
      </c>
      <c r="E181" t="inlineStr">
        <is>
          <t>ÖSTHAMMAR</t>
        </is>
      </c>
      <c r="G181" t="n">
        <v>0.4</v>
      </c>
      <c r="H181" t="n">
        <v>0</v>
      </c>
      <c r="I181" t="n">
        <v>0</v>
      </c>
      <c r="J181" t="n">
        <v>0</v>
      </c>
      <c r="K181" t="n">
        <v>0</v>
      </c>
      <c r="L181" t="n">
        <v>0</v>
      </c>
      <c r="M181" t="n">
        <v>0</v>
      </c>
      <c r="N181" t="n">
        <v>0</v>
      </c>
      <c r="O181" t="n">
        <v>0</v>
      </c>
      <c r="P181" t="n">
        <v>0</v>
      </c>
      <c r="Q181" t="n">
        <v>0</v>
      </c>
      <c r="R181" s="2" t="inlineStr"/>
    </row>
    <row r="182" ht="15" customHeight="1">
      <c r="A182" t="inlineStr">
        <is>
          <t>A 57003-2021</t>
        </is>
      </c>
      <c r="B182" s="1" t="n">
        <v>44482.47577546296</v>
      </c>
      <c r="C182" s="1" t="n">
        <v>45888</v>
      </c>
      <c r="D182" t="inlineStr">
        <is>
          <t>UPPSALA LÄN</t>
        </is>
      </c>
      <c r="E182" t="inlineStr">
        <is>
          <t>ÖSTHAMMAR</t>
        </is>
      </c>
      <c r="G182" t="n">
        <v>1.9</v>
      </c>
      <c r="H182" t="n">
        <v>0</v>
      </c>
      <c r="I182" t="n">
        <v>0</v>
      </c>
      <c r="J182" t="n">
        <v>0</v>
      </c>
      <c r="K182" t="n">
        <v>0</v>
      </c>
      <c r="L182" t="n">
        <v>0</v>
      </c>
      <c r="M182" t="n">
        <v>0</v>
      </c>
      <c r="N182" t="n">
        <v>0</v>
      </c>
      <c r="O182" t="n">
        <v>0</v>
      </c>
      <c r="P182" t="n">
        <v>0</v>
      </c>
      <c r="Q182" t="n">
        <v>0</v>
      </c>
      <c r="R182" s="2" t="inlineStr"/>
    </row>
    <row r="183" ht="15" customHeight="1">
      <c r="A183" t="inlineStr">
        <is>
          <t>A 41558-2021</t>
        </is>
      </c>
      <c r="B183" s="1" t="n">
        <v>44425.37835648148</v>
      </c>
      <c r="C183" s="1" t="n">
        <v>45888</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37568-2022</t>
        </is>
      </c>
      <c r="B184" s="1" t="n">
        <v>44809</v>
      </c>
      <c r="C184" s="1" t="n">
        <v>45888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15457-2022</t>
        </is>
      </c>
      <c r="B185" s="1" t="n">
        <v>44661.74027777778</v>
      </c>
      <c r="C185" s="1" t="n">
        <v>45888</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25987-2022</t>
        </is>
      </c>
      <c r="B186" s="1" t="n">
        <v>44734.49601851852</v>
      </c>
      <c r="C186" s="1" t="n">
        <v>45888</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16185-2022</t>
        </is>
      </c>
      <c r="B187" s="1" t="n">
        <v>44669</v>
      </c>
      <c r="C187" s="1" t="n">
        <v>45888</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24316-2021</t>
        </is>
      </c>
      <c r="B188" s="1" t="n">
        <v>44337</v>
      </c>
      <c r="C188" s="1" t="n">
        <v>45888</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61560-2021</t>
        </is>
      </c>
      <c r="B189" s="1" t="n">
        <v>44501.42905092592</v>
      </c>
      <c r="C189" s="1" t="n">
        <v>45888</v>
      </c>
      <c r="D189" t="inlineStr">
        <is>
          <t>UPPSALA LÄN</t>
        </is>
      </c>
      <c r="E189" t="inlineStr">
        <is>
          <t>ÖSTHAMMAR</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37570-2022</t>
        </is>
      </c>
      <c r="B190" s="1" t="n">
        <v>44809</v>
      </c>
      <c r="C190" s="1" t="n">
        <v>45888</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2085-2022</t>
        </is>
      </c>
      <c r="B191" s="1" t="n">
        <v>44576.78626157407</v>
      </c>
      <c r="C191" s="1" t="n">
        <v>45888</v>
      </c>
      <c r="D191" t="inlineStr">
        <is>
          <t>UPPSALA LÄN</t>
        </is>
      </c>
      <c r="E191" t="inlineStr">
        <is>
          <t>ÖSTHAMMAR</t>
        </is>
      </c>
      <c r="F191" t="inlineStr">
        <is>
          <t>Bergvik skog öst AB</t>
        </is>
      </c>
      <c r="G191" t="n">
        <v>1.6</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45888</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45888</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31479-2023</t>
        </is>
      </c>
      <c r="B194" s="1" t="n">
        <v>45114.79793981482</v>
      </c>
      <c r="C194" s="1" t="n">
        <v>45888</v>
      </c>
      <c r="D194" t="inlineStr">
        <is>
          <t>UPPSALA LÄN</t>
        </is>
      </c>
      <c r="E194" t="inlineStr">
        <is>
          <t>ÖSTHAMMAR</t>
        </is>
      </c>
      <c r="F194" t="inlineStr">
        <is>
          <t>Bergvik skog öst AB</t>
        </is>
      </c>
      <c r="G194" t="n">
        <v>1.9</v>
      </c>
      <c r="H194" t="n">
        <v>0</v>
      </c>
      <c r="I194" t="n">
        <v>0</v>
      </c>
      <c r="J194" t="n">
        <v>0</v>
      </c>
      <c r="K194" t="n">
        <v>0</v>
      </c>
      <c r="L194" t="n">
        <v>0</v>
      </c>
      <c r="M194" t="n">
        <v>0</v>
      </c>
      <c r="N194" t="n">
        <v>0</v>
      </c>
      <c r="O194" t="n">
        <v>0</v>
      </c>
      <c r="P194" t="n">
        <v>0</v>
      </c>
      <c r="Q194" t="n">
        <v>0</v>
      </c>
      <c r="R194" s="2" t="inlineStr"/>
    </row>
    <row r="195" ht="15" customHeight="1">
      <c r="A195" t="inlineStr">
        <is>
          <t>A 18736-2022</t>
        </is>
      </c>
      <c r="B195" s="1" t="n">
        <v>44687.87017361111</v>
      </c>
      <c r="C195" s="1" t="n">
        <v>45888</v>
      </c>
      <c r="D195" t="inlineStr">
        <is>
          <t>UPPSALA LÄN</t>
        </is>
      </c>
      <c r="E195" t="inlineStr">
        <is>
          <t>ÖSTHAMMAR</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74436-2021</t>
        </is>
      </c>
      <c r="B196" s="1" t="n">
        <v>44560.4502199074</v>
      </c>
      <c r="C196" s="1" t="n">
        <v>45888</v>
      </c>
      <c r="D196" t="inlineStr">
        <is>
          <t>UPPSALA LÄN</t>
        </is>
      </c>
      <c r="E196" t="inlineStr">
        <is>
          <t>ÖSTHAMMAR</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37545-2022</t>
        </is>
      </c>
      <c r="B197" s="1" t="n">
        <v>44809.63373842592</v>
      </c>
      <c r="C197" s="1" t="n">
        <v>45888</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17651-2025</t>
        </is>
      </c>
      <c r="B198" s="1" t="n">
        <v>45758.33304398148</v>
      </c>
      <c r="C198" s="1" t="n">
        <v>45888</v>
      </c>
      <c r="D198" t="inlineStr">
        <is>
          <t>UPPSALA LÄN</t>
        </is>
      </c>
      <c r="E198" t="inlineStr">
        <is>
          <t>ÖSTHAMMAR</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48719-2023</t>
        </is>
      </c>
      <c r="B199" s="1" t="n">
        <v>45208.70452546296</v>
      </c>
      <c r="C199" s="1" t="n">
        <v>45888</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31574-2022</t>
        </is>
      </c>
      <c r="B200" s="1" t="n">
        <v>44775</v>
      </c>
      <c r="C200" s="1" t="n">
        <v>45888</v>
      </c>
      <c r="D200" t="inlineStr">
        <is>
          <t>UPPSALA LÄN</t>
        </is>
      </c>
      <c r="E200" t="inlineStr">
        <is>
          <t>ÖSTHAMMAR</t>
        </is>
      </c>
      <c r="G200" t="n">
        <v>29.7</v>
      </c>
      <c r="H200" t="n">
        <v>0</v>
      </c>
      <c r="I200" t="n">
        <v>0</v>
      </c>
      <c r="J200" t="n">
        <v>0</v>
      </c>
      <c r="K200" t="n">
        <v>0</v>
      </c>
      <c r="L200" t="n">
        <v>0</v>
      </c>
      <c r="M200" t="n">
        <v>0</v>
      </c>
      <c r="N200" t="n">
        <v>0</v>
      </c>
      <c r="O200" t="n">
        <v>0</v>
      </c>
      <c r="P200" t="n">
        <v>0</v>
      </c>
      <c r="Q200" t="n">
        <v>0</v>
      </c>
      <c r="R200" s="2" t="inlineStr"/>
    </row>
    <row r="201" ht="15" customHeight="1">
      <c r="A201" t="inlineStr">
        <is>
          <t>A 39640-2020</t>
        </is>
      </c>
      <c r="B201" s="1" t="n">
        <v>44064</v>
      </c>
      <c r="C201" s="1" t="n">
        <v>45888</v>
      </c>
      <c r="D201" t="inlineStr">
        <is>
          <t>UPPSALA LÄN</t>
        </is>
      </c>
      <c r="E201" t="inlineStr">
        <is>
          <t>ÖSTHAMMAR</t>
        </is>
      </c>
      <c r="F201" t="inlineStr">
        <is>
          <t>Bergvik skog öst AB</t>
        </is>
      </c>
      <c r="G201" t="n">
        <v>1.2</v>
      </c>
      <c r="H201" t="n">
        <v>0</v>
      </c>
      <c r="I201" t="n">
        <v>0</v>
      </c>
      <c r="J201" t="n">
        <v>0</v>
      </c>
      <c r="K201" t="n">
        <v>0</v>
      </c>
      <c r="L201" t="n">
        <v>0</v>
      </c>
      <c r="M201" t="n">
        <v>0</v>
      </c>
      <c r="N201" t="n">
        <v>0</v>
      </c>
      <c r="O201" t="n">
        <v>0</v>
      </c>
      <c r="P201" t="n">
        <v>0</v>
      </c>
      <c r="Q201" t="n">
        <v>0</v>
      </c>
      <c r="R201" s="2" t="inlineStr"/>
    </row>
    <row r="202" ht="15" customHeight="1">
      <c r="A202" t="inlineStr">
        <is>
          <t>A 21862-2023</t>
        </is>
      </c>
      <c r="B202" s="1" t="n">
        <v>45068</v>
      </c>
      <c r="C202" s="1" t="n">
        <v>45888</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55086-2024</t>
        </is>
      </c>
      <c r="B203" s="1" t="n">
        <v>45621.43098379629</v>
      </c>
      <c r="C203" s="1" t="n">
        <v>45888</v>
      </c>
      <c r="D203" t="inlineStr">
        <is>
          <t>UPPSALA LÄN</t>
        </is>
      </c>
      <c r="E203" t="inlineStr">
        <is>
          <t>ÖSTHAMMAR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34418-2022</t>
        </is>
      </c>
      <c r="B204" s="1" t="n">
        <v>44792</v>
      </c>
      <c r="C204" s="1" t="n">
        <v>45888</v>
      </c>
      <c r="D204" t="inlineStr">
        <is>
          <t>UPPSALA LÄN</t>
        </is>
      </c>
      <c r="E204" t="inlineStr">
        <is>
          <t>ÖSTHAMMAR</t>
        </is>
      </c>
      <c r="G204" t="n">
        <v>0.3</v>
      </c>
      <c r="H204" t="n">
        <v>0</v>
      </c>
      <c r="I204" t="n">
        <v>0</v>
      </c>
      <c r="J204" t="n">
        <v>0</v>
      </c>
      <c r="K204" t="n">
        <v>0</v>
      </c>
      <c r="L204" t="n">
        <v>0</v>
      </c>
      <c r="M204" t="n">
        <v>0</v>
      </c>
      <c r="N204" t="n">
        <v>0</v>
      </c>
      <c r="O204" t="n">
        <v>0</v>
      </c>
      <c r="P204" t="n">
        <v>0</v>
      </c>
      <c r="Q204" t="n">
        <v>0</v>
      </c>
      <c r="R204" s="2" t="inlineStr"/>
    </row>
    <row r="205" ht="15" customHeight="1">
      <c r="A205" t="inlineStr">
        <is>
          <t>A 62695-2023</t>
        </is>
      </c>
      <c r="B205" s="1" t="n">
        <v>45271</v>
      </c>
      <c r="C205" s="1" t="n">
        <v>45888</v>
      </c>
      <c r="D205" t="inlineStr">
        <is>
          <t>UPPSALA LÄN</t>
        </is>
      </c>
      <c r="E205" t="inlineStr">
        <is>
          <t>ÖSTHAMMAR</t>
        </is>
      </c>
      <c r="G205" t="n">
        <v>5.3</v>
      </c>
      <c r="H205" t="n">
        <v>0</v>
      </c>
      <c r="I205" t="n">
        <v>0</v>
      </c>
      <c r="J205" t="n">
        <v>0</v>
      </c>
      <c r="K205" t="n">
        <v>0</v>
      </c>
      <c r="L205" t="n">
        <v>0</v>
      </c>
      <c r="M205" t="n">
        <v>0</v>
      </c>
      <c r="N205" t="n">
        <v>0</v>
      </c>
      <c r="O205" t="n">
        <v>0</v>
      </c>
      <c r="P205" t="n">
        <v>0</v>
      </c>
      <c r="Q205" t="n">
        <v>0</v>
      </c>
      <c r="R205" s="2" t="inlineStr"/>
    </row>
    <row r="206" ht="15" customHeight="1">
      <c r="A206" t="inlineStr">
        <is>
          <t>A 4559-2022</t>
        </is>
      </c>
      <c r="B206" s="1" t="n">
        <v>44591.51854166666</v>
      </c>
      <c r="C206" s="1" t="n">
        <v>45888</v>
      </c>
      <c r="D206" t="inlineStr">
        <is>
          <t>UPPSALA LÄN</t>
        </is>
      </c>
      <c r="E206" t="inlineStr">
        <is>
          <t>ÖSTHAMMAR</t>
        </is>
      </c>
      <c r="F206" t="inlineStr">
        <is>
          <t>Bergvik skog öst AB</t>
        </is>
      </c>
      <c r="G206" t="n">
        <v>1.1</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45888</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60555-2023</t>
        </is>
      </c>
      <c r="B208" s="1" t="n">
        <v>45259</v>
      </c>
      <c r="C208" s="1" t="n">
        <v>45888</v>
      </c>
      <c r="D208" t="inlineStr">
        <is>
          <t>UPPSALA LÄN</t>
        </is>
      </c>
      <c r="E208" t="inlineStr">
        <is>
          <t>ÖSTHAMMAR</t>
        </is>
      </c>
      <c r="G208" t="n">
        <v>2</v>
      </c>
      <c r="H208" t="n">
        <v>0</v>
      </c>
      <c r="I208" t="n">
        <v>0</v>
      </c>
      <c r="J208" t="n">
        <v>0</v>
      </c>
      <c r="K208" t="n">
        <v>0</v>
      </c>
      <c r="L208" t="n">
        <v>0</v>
      </c>
      <c r="M208" t="n">
        <v>0</v>
      </c>
      <c r="N208" t="n">
        <v>0</v>
      </c>
      <c r="O208" t="n">
        <v>0</v>
      </c>
      <c r="P208" t="n">
        <v>0</v>
      </c>
      <c r="Q208" t="n">
        <v>0</v>
      </c>
      <c r="R208" s="2" t="inlineStr"/>
    </row>
    <row r="209" ht="15" customHeight="1">
      <c r="A209" t="inlineStr">
        <is>
          <t>A 9264-2024</t>
        </is>
      </c>
      <c r="B209" s="1" t="n">
        <v>45358</v>
      </c>
      <c r="C209" s="1" t="n">
        <v>45888</v>
      </c>
      <c r="D209" t="inlineStr">
        <is>
          <t>UPPSALA LÄN</t>
        </is>
      </c>
      <c r="E209" t="inlineStr">
        <is>
          <t>ÖSTHAMMAR</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33784-2024</t>
        </is>
      </c>
      <c r="B210" s="1" t="n">
        <v>45520</v>
      </c>
      <c r="C210" s="1" t="n">
        <v>45888</v>
      </c>
      <c r="D210" t="inlineStr">
        <is>
          <t>UPPSALA LÄN</t>
        </is>
      </c>
      <c r="E210" t="inlineStr">
        <is>
          <t>ÖSTHAMMAR</t>
        </is>
      </c>
      <c r="F210" t="inlineStr">
        <is>
          <t>Naturvårdsverket</t>
        </is>
      </c>
      <c r="G210" t="n">
        <v>0.6</v>
      </c>
      <c r="H210" t="n">
        <v>0</v>
      </c>
      <c r="I210" t="n">
        <v>0</v>
      </c>
      <c r="J210" t="n">
        <v>0</v>
      </c>
      <c r="K210" t="n">
        <v>0</v>
      </c>
      <c r="L210" t="n">
        <v>0</v>
      </c>
      <c r="M210" t="n">
        <v>0</v>
      </c>
      <c r="N210" t="n">
        <v>0</v>
      </c>
      <c r="O210" t="n">
        <v>0</v>
      </c>
      <c r="P210" t="n">
        <v>0</v>
      </c>
      <c r="Q210" t="n">
        <v>0</v>
      </c>
      <c r="R210" s="2" t="inlineStr"/>
    </row>
    <row r="211" ht="15" customHeight="1">
      <c r="A211" t="inlineStr">
        <is>
          <t>A 11643-2022</t>
        </is>
      </c>
      <c r="B211" s="1" t="n">
        <v>44631.92662037037</v>
      </c>
      <c r="C211" s="1" t="n">
        <v>45888</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45888</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37865-2023</t>
        </is>
      </c>
      <c r="B213" s="1" t="n">
        <v>45160</v>
      </c>
      <c r="C213" s="1" t="n">
        <v>45888</v>
      </c>
      <c r="D213" t="inlineStr">
        <is>
          <t>UPPSALA LÄN</t>
        </is>
      </c>
      <c r="E213" t="inlineStr">
        <is>
          <t>ÖSTHAMMAR</t>
        </is>
      </c>
      <c r="G213" t="n">
        <v>1.4</v>
      </c>
      <c r="H213" t="n">
        <v>0</v>
      </c>
      <c r="I213" t="n">
        <v>0</v>
      </c>
      <c r="J213" t="n">
        <v>0</v>
      </c>
      <c r="K213" t="n">
        <v>0</v>
      </c>
      <c r="L213" t="n">
        <v>0</v>
      </c>
      <c r="M213" t="n">
        <v>0</v>
      </c>
      <c r="N213" t="n">
        <v>0</v>
      </c>
      <c r="O213" t="n">
        <v>0</v>
      </c>
      <c r="P213" t="n">
        <v>0</v>
      </c>
      <c r="Q213" t="n">
        <v>0</v>
      </c>
      <c r="R213" s="2" t="inlineStr"/>
    </row>
    <row r="214" ht="15" customHeight="1">
      <c r="A214" t="inlineStr">
        <is>
          <t>A 34607-2023</t>
        </is>
      </c>
      <c r="B214" s="1" t="n">
        <v>45138</v>
      </c>
      <c r="C214" s="1" t="n">
        <v>45888</v>
      </c>
      <c r="D214" t="inlineStr">
        <is>
          <t>UPPSALA LÄN</t>
        </is>
      </c>
      <c r="E214" t="inlineStr">
        <is>
          <t>ÖSTHAMMAR</t>
        </is>
      </c>
      <c r="G214" t="n">
        <v>4.7</v>
      </c>
      <c r="H214" t="n">
        <v>0</v>
      </c>
      <c r="I214" t="n">
        <v>0</v>
      </c>
      <c r="J214" t="n">
        <v>0</v>
      </c>
      <c r="K214" t="n">
        <v>0</v>
      </c>
      <c r="L214" t="n">
        <v>0</v>
      </c>
      <c r="M214" t="n">
        <v>0</v>
      </c>
      <c r="N214" t="n">
        <v>0</v>
      </c>
      <c r="O214" t="n">
        <v>0</v>
      </c>
      <c r="P214" t="n">
        <v>0</v>
      </c>
      <c r="Q214" t="n">
        <v>0</v>
      </c>
      <c r="R214" s="2" t="inlineStr"/>
    </row>
    <row r="215" ht="15" customHeight="1">
      <c r="A215" t="inlineStr">
        <is>
          <t>A 7871-2022</t>
        </is>
      </c>
      <c r="B215" s="1" t="n">
        <v>44608</v>
      </c>
      <c r="C215" s="1" t="n">
        <v>45888</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24817-2022</t>
        </is>
      </c>
      <c r="B216" s="1" t="n">
        <v>44728</v>
      </c>
      <c r="C216" s="1" t="n">
        <v>45888</v>
      </c>
      <c r="D216" t="inlineStr">
        <is>
          <t>UPPSALA LÄN</t>
        </is>
      </c>
      <c r="E216" t="inlineStr">
        <is>
          <t>ÖSTHAMMAR</t>
        </is>
      </c>
      <c r="F216" t="inlineStr">
        <is>
          <t>Sveaskog</t>
        </is>
      </c>
      <c r="G216" t="n">
        <v>0.2</v>
      </c>
      <c r="H216" t="n">
        <v>0</v>
      </c>
      <c r="I216" t="n">
        <v>0</v>
      </c>
      <c r="J216" t="n">
        <v>0</v>
      </c>
      <c r="K216" t="n">
        <v>0</v>
      </c>
      <c r="L216" t="n">
        <v>0</v>
      </c>
      <c r="M216" t="n">
        <v>0</v>
      </c>
      <c r="N216" t="n">
        <v>0</v>
      </c>
      <c r="O216" t="n">
        <v>0</v>
      </c>
      <c r="P216" t="n">
        <v>0</v>
      </c>
      <c r="Q216" t="n">
        <v>0</v>
      </c>
      <c r="R216" s="2" t="inlineStr"/>
    </row>
    <row r="217" ht="15" customHeight="1">
      <c r="A217" t="inlineStr">
        <is>
          <t>A 5215-2025</t>
        </is>
      </c>
      <c r="B217" s="1" t="n">
        <v>45691</v>
      </c>
      <c r="C217" s="1" t="n">
        <v>45888</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20046-2023</t>
        </is>
      </c>
      <c r="B218" s="1" t="n">
        <v>45054</v>
      </c>
      <c r="C218" s="1" t="n">
        <v>45888</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2733-2023</t>
        </is>
      </c>
      <c r="B219" s="1" t="n">
        <v>44943</v>
      </c>
      <c r="C219" s="1" t="n">
        <v>45888</v>
      </c>
      <c r="D219" t="inlineStr">
        <is>
          <t>UPPSALA LÄN</t>
        </is>
      </c>
      <c r="E219" t="inlineStr">
        <is>
          <t>ÖSTHAMMAR</t>
        </is>
      </c>
      <c r="G219" t="n">
        <v>2.6</v>
      </c>
      <c r="H219" t="n">
        <v>0</v>
      </c>
      <c r="I219" t="n">
        <v>0</v>
      </c>
      <c r="J219" t="n">
        <v>0</v>
      </c>
      <c r="K219" t="n">
        <v>0</v>
      </c>
      <c r="L219" t="n">
        <v>0</v>
      </c>
      <c r="M219" t="n">
        <v>0</v>
      </c>
      <c r="N219" t="n">
        <v>0</v>
      </c>
      <c r="O219" t="n">
        <v>0</v>
      </c>
      <c r="P219" t="n">
        <v>0</v>
      </c>
      <c r="Q219" t="n">
        <v>0</v>
      </c>
      <c r="R219" s="2" t="inlineStr"/>
    </row>
    <row r="220" ht="15" customHeight="1">
      <c r="A220" t="inlineStr">
        <is>
          <t>A 42549-2020</t>
        </is>
      </c>
      <c r="B220" s="1" t="n">
        <v>44077</v>
      </c>
      <c r="C220" s="1" t="n">
        <v>45888</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8769-2025</t>
        </is>
      </c>
      <c r="B221" s="1" t="n">
        <v>45712.59412037037</v>
      </c>
      <c r="C221" s="1" t="n">
        <v>45888</v>
      </c>
      <c r="D221" t="inlineStr">
        <is>
          <t>UPPSALA LÄN</t>
        </is>
      </c>
      <c r="E221" t="inlineStr">
        <is>
          <t>ÖSTHAMMAR</t>
        </is>
      </c>
      <c r="G221" t="n">
        <v>1.9</v>
      </c>
      <c r="H221" t="n">
        <v>0</v>
      </c>
      <c r="I221" t="n">
        <v>0</v>
      </c>
      <c r="J221" t="n">
        <v>0</v>
      </c>
      <c r="K221" t="n">
        <v>0</v>
      </c>
      <c r="L221" t="n">
        <v>0</v>
      </c>
      <c r="M221" t="n">
        <v>0</v>
      </c>
      <c r="N221" t="n">
        <v>0</v>
      </c>
      <c r="O221" t="n">
        <v>0</v>
      </c>
      <c r="P221" t="n">
        <v>0</v>
      </c>
      <c r="Q221" t="n">
        <v>0</v>
      </c>
      <c r="R221" s="2" t="inlineStr"/>
    </row>
    <row r="222" ht="15" customHeight="1">
      <c r="A222" t="inlineStr">
        <is>
          <t>A 30086-2023</t>
        </is>
      </c>
      <c r="B222" s="1" t="n">
        <v>45110.43907407407</v>
      </c>
      <c r="C222" s="1" t="n">
        <v>45888</v>
      </c>
      <c r="D222" t="inlineStr">
        <is>
          <t>UPPSALA LÄN</t>
        </is>
      </c>
      <c r="E222" t="inlineStr">
        <is>
          <t>ÖSTHAMMAR</t>
        </is>
      </c>
      <c r="G222" t="n">
        <v>3.5</v>
      </c>
      <c r="H222" t="n">
        <v>0</v>
      </c>
      <c r="I222" t="n">
        <v>0</v>
      </c>
      <c r="J222" t="n">
        <v>0</v>
      </c>
      <c r="K222" t="n">
        <v>0</v>
      </c>
      <c r="L222" t="n">
        <v>0</v>
      </c>
      <c r="M222" t="n">
        <v>0</v>
      </c>
      <c r="N222" t="n">
        <v>0</v>
      </c>
      <c r="O222" t="n">
        <v>0</v>
      </c>
      <c r="P222" t="n">
        <v>0</v>
      </c>
      <c r="Q222" t="n">
        <v>0</v>
      </c>
      <c r="R222" s="2" t="inlineStr"/>
    </row>
    <row r="223" ht="15" customHeight="1">
      <c r="A223" t="inlineStr">
        <is>
          <t>A 34971-2022</t>
        </is>
      </c>
      <c r="B223" s="1" t="n">
        <v>44796.66613425926</v>
      </c>
      <c r="C223" s="1" t="n">
        <v>45888</v>
      </c>
      <c r="D223" t="inlineStr">
        <is>
          <t>UPPSALA LÄN</t>
        </is>
      </c>
      <c r="E223" t="inlineStr">
        <is>
          <t>ÖSTHAMMAR</t>
        </is>
      </c>
      <c r="F223" t="inlineStr">
        <is>
          <t>Bergvik skog öst AB</t>
        </is>
      </c>
      <c r="G223" t="n">
        <v>2.3</v>
      </c>
      <c r="H223" t="n">
        <v>0</v>
      </c>
      <c r="I223" t="n">
        <v>0</v>
      </c>
      <c r="J223" t="n">
        <v>0</v>
      </c>
      <c r="K223" t="n">
        <v>0</v>
      </c>
      <c r="L223" t="n">
        <v>0</v>
      </c>
      <c r="M223" t="n">
        <v>0</v>
      </c>
      <c r="N223" t="n">
        <v>0</v>
      </c>
      <c r="O223" t="n">
        <v>0</v>
      </c>
      <c r="P223" t="n">
        <v>0</v>
      </c>
      <c r="Q223" t="n">
        <v>0</v>
      </c>
      <c r="R223" s="2" t="inlineStr"/>
    </row>
    <row r="224" ht="15" customHeight="1">
      <c r="A224" t="inlineStr">
        <is>
          <t>A 3725-2022</t>
        </is>
      </c>
      <c r="B224" s="1" t="n">
        <v>44586</v>
      </c>
      <c r="C224" s="1" t="n">
        <v>45888</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12812-2024</t>
        </is>
      </c>
      <c r="B225" s="1" t="n">
        <v>45384.65465277778</v>
      </c>
      <c r="C225" s="1" t="n">
        <v>45888</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44815-2022</t>
        </is>
      </c>
      <c r="B226" s="1" t="n">
        <v>44841.40452546296</v>
      </c>
      <c r="C226" s="1" t="n">
        <v>45888</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22884-2024</t>
        </is>
      </c>
      <c r="B227" s="1" t="n">
        <v>45448</v>
      </c>
      <c r="C227" s="1" t="n">
        <v>45888</v>
      </c>
      <c r="D227" t="inlineStr">
        <is>
          <t>UPPSALA LÄN</t>
        </is>
      </c>
      <c r="E227" t="inlineStr">
        <is>
          <t>ÖSTHAMMAR</t>
        </is>
      </c>
      <c r="G227" t="n">
        <v>3.3</v>
      </c>
      <c r="H227" t="n">
        <v>0</v>
      </c>
      <c r="I227" t="n">
        <v>0</v>
      </c>
      <c r="J227" t="n">
        <v>0</v>
      </c>
      <c r="K227" t="n">
        <v>0</v>
      </c>
      <c r="L227" t="n">
        <v>0</v>
      </c>
      <c r="M227" t="n">
        <v>0</v>
      </c>
      <c r="N227" t="n">
        <v>0</v>
      </c>
      <c r="O227" t="n">
        <v>0</v>
      </c>
      <c r="P227" t="n">
        <v>0</v>
      </c>
      <c r="Q227" t="n">
        <v>0</v>
      </c>
      <c r="R227" s="2" t="inlineStr"/>
    </row>
    <row r="228" ht="15" customHeight="1">
      <c r="A228" t="inlineStr">
        <is>
          <t>A 20385-2025</t>
        </is>
      </c>
      <c r="B228" s="1" t="n">
        <v>45775.44483796296</v>
      </c>
      <c r="C228" s="1" t="n">
        <v>45888</v>
      </c>
      <c r="D228" t="inlineStr">
        <is>
          <t>UPPSALA LÄN</t>
        </is>
      </c>
      <c r="E228" t="inlineStr">
        <is>
          <t>ÖSTHAMMAR</t>
        </is>
      </c>
      <c r="G228" t="n">
        <v>1.9</v>
      </c>
      <c r="H228" t="n">
        <v>0</v>
      </c>
      <c r="I228" t="n">
        <v>0</v>
      </c>
      <c r="J228" t="n">
        <v>0</v>
      </c>
      <c r="K228" t="n">
        <v>0</v>
      </c>
      <c r="L228" t="n">
        <v>0</v>
      </c>
      <c r="M228" t="n">
        <v>0</v>
      </c>
      <c r="N228" t="n">
        <v>0</v>
      </c>
      <c r="O228" t="n">
        <v>0</v>
      </c>
      <c r="P228" t="n">
        <v>0</v>
      </c>
      <c r="Q228" t="n">
        <v>0</v>
      </c>
      <c r="R228" s="2" t="inlineStr"/>
    </row>
    <row r="229" ht="15" customHeight="1">
      <c r="A229" t="inlineStr">
        <is>
          <t>A 26552-2022</t>
        </is>
      </c>
      <c r="B229" s="1" t="n">
        <v>44739</v>
      </c>
      <c r="C229" s="1" t="n">
        <v>45888</v>
      </c>
      <c r="D229" t="inlineStr">
        <is>
          <t>UPPSALA LÄN</t>
        </is>
      </c>
      <c r="E229" t="inlineStr">
        <is>
          <t>ÖSTHAMMAR</t>
        </is>
      </c>
      <c r="G229" t="n">
        <v>2.2</v>
      </c>
      <c r="H229" t="n">
        <v>0</v>
      </c>
      <c r="I229" t="n">
        <v>0</v>
      </c>
      <c r="J229" t="n">
        <v>0</v>
      </c>
      <c r="K229" t="n">
        <v>0</v>
      </c>
      <c r="L229" t="n">
        <v>0</v>
      </c>
      <c r="M229" t="n">
        <v>0</v>
      </c>
      <c r="N229" t="n">
        <v>0</v>
      </c>
      <c r="O229" t="n">
        <v>0</v>
      </c>
      <c r="P229" t="n">
        <v>0</v>
      </c>
      <c r="Q229" t="n">
        <v>0</v>
      </c>
      <c r="R229" s="2" t="inlineStr"/>
    </row>
    <row r="230" ht="15" customHeight="1">
      <c r="A230" t="inlineStr">
        <is>
          <t>A 68828-2020</t>
        </is>
      </c>
      <c r="B230" s="1" t="n">
        <v>44186</v>
      </c>
      <c r="C230" s="1" t="n">
        <v>45888</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29753-2022</t>
        </is>
      </c>
      <c r="B231" s="1" t="n">
        <v>44755</v>
      </c>
      <c r="C231" s="1" t="n">
        <v>45888</v>
      </c>
      <c r="D231" t="inlineStr">
        <is>
          <t>UPPSALA LÄN</t>
        </is>
      </c>
      <c r="E231" t="inlineStr">
        <is>
          <t>ÖSTHAMMAR</t>
        </is>
      </c>
      <c r="G231" t="n">
        <v>9.4</v>
      </c>
      <c r="H231" t="n">
        <v>0</v>
      </c>
      <c r="I231" t="n">
        <v>0</v>
      </c>
      <c r="J231" t="n">
        <v>0</v>
      </c>
      <c r="K231" t="n">
        <v>0</v>
      </c>
      <c r="L231" t="n">
        <v>0</v>
      </c>
      <c r="M231" t="n">
        <v>0</v>
      </c>
      <c r="N231" t="n">
        <v>0</v>
      </c>
      <c r="O231" t="n">
        <v>0</v>
      </c>
      <c r="P231" t="n">
        <v>0</v>
      </c>
      <c r="Q231" t="n">
        <v>0</v>
      </c>
      <c r="R231" s="2" t="inlineStr"/>
    </row>
    <row r="232" ht="15" customHeight="1">
      <c r="A232" t="inlineStr">
        <is>
          <t>A 73483-2021</t>
        </is>
      </c>
      <c r="B232" s="1" t="n">
        <v>44550</v>
      </c>
      <c r="C232" s="1" t="n">
        <v>45888</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28170-2023</t>
        </is>
      </c>
      <c r="B233" s="1" t="n">
        <v>45093</v>
      </c>
      <c r="C233" s="1" t="n">
        <v>45888</v>
      </c>
      <c r="D233" t="inlineStr">
        <is>
          <t>UPPSALA LÄN</t>
        </is>
      </c>
      <c r="E233" t="inlineStr">
        <is>
          <t>ÖSTHAMMAR</t>
        </is>
      </c>
      <c r="G233" t="n">
        <v>7.2</v>
      </c>
      <c r="H233" t="n">
        <v>0</v>
      </c>
      <c r="I233" t="n">
        <v>0</v>
      </c>
      <c r="J233" t="n">
        <v>0</v>
      </c>
      <c r="K233" t="n">
        <v>0</v>
      </c>
      <c r="L233" t="n">
        <v>0</v>
      </c>
      <c r="M233" t="n">
        <v>0</v>
      </c>
      <c r="N233" t="n">
        <v>0</v>
      </c>
      <c r="O233" t="n">
        <v>0</v>
      </c>
      <c r="P233" t="n">
        <v>0</v>
      </c>
      <c r="Q233" t="n">
        <v>0</v>
      </c>
      <c r="R233" s="2" t="inlineStr"/>
    </row>
    <row r="234" ht="15" customHeight="1">
      <c r="A234" t="inlineStr">
        <is>
          <t>A 7876-2023</t>
        </is>
      </c>
      <c r="B234" s="1" t="n">
        <v>44973.57263888889</v>
      </c>
      <c r="C234" s="1" t="n">
        <v>45888</v>
      </c>
      <c r="D234" t="inlineStr">
        <is>
          <t>UPPSALA LÄN</t>
        </is>
      </c>
      <c r="E234" t="inlineStr">
        <is>
          <t>ÖSTHAMMAR</t>
        </is>
      </c>
      <c r="G234" t="n">
        <v>0.9</v>
      </c>
      <c r="H234" t="n">
        <v>0</v>
      </c>
      <c r="I234" t="n">
        <v>0</v>
      </c>
      <c r="J234" t="n">
        <v>0</v>
      </c>
      <c r="K234" t="n">
        <v>0</v>
      </c>
      <c r="L234" t="n">
        <v>0</v>
      </c>
      <c r="M234" t="n">
        <v>0</v>
      </c>
      <c r="N234" t="n">
        <v>0</v>
      </c>
      <c r="O234" t="n">
        <v>0</v>
      </c>
      <c r="P234" t="n">
        <v>0</v>
      </c>
      <c r="Q234" t="n">
        <v>0</v>
      </c>
      <c r="R234" s="2" t="inlineStr"/>
    </row>
    <row r="235" ht="15" customHeight="1">
      <c r="A235" t="inlineStr">
        <is>
          <t>A 32742-2022</t>
        </is>
      </c>
      <c r="B235" s="1" t="n">
        <v>44783.69886574074</v>
      </c>
      <c r="C235" s="1" t="n">
        <v>45888</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49833-2023</t>
        </is>
      </c>
      <c r="B236" s="1" t="n">
        <v>45212.71481481481</v>
      </c>
      <c r="C236" s="1" t="n">
        <v>45888</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45307-2023</t>
        </is>
      </c>
      <c r="B237" s="1" t="n">
        <v>45191</v>
      </c>
      <c r="C237" s="1" t="n">
        <v>45888</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14433-2024</t>
        </is>
      </c>
      <c r="B238" s="1" t="n">
        <v>45394.46115740741</v>
      </c>
      <c r="C238" s="1" t="n">
        <v>45888</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61261-2022</t>
        </is>
      </c>
      <c r="B239" s="1" t="n">
        <v>44915.59645833333</v>
      </c>
      <c r="C239" s="1" t="n">
        <v>45888</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43197-2024</t>
        </is>
      </c>
      <c r="B240" s="1" t="n">
        <v>45567.68208333333</v>
      </c>
      <c r="C240" s="1" t="n">
        <v>45888</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4151-2021</t>
        </is>
      </c>
      <c r="B241" s="1" t="n">
        <v>44221</v>
      </c>
      <c r="C241" s="1" t="n">
        <v>45888</v>
      </c>
      <c r="D241" t="inlineStr">
        <is>
          <t>UPPSALA LÄN</t>
        </is>
      </c>
      <c r="E241" t="inlineStr">
        <is>
          <t>ÖSTHAMMAR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20038-2023</t>
        </is>
      </c>
      <c r="B242" s="1" t="n">
        <v>45054.65834490741</v>
      </c>
      <c r="C242" s="1" t="n">
        <v>45888</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14187-2022</t>
        </is>
      </c>
      <c r="B243" s="1" t="n">
        <v>44651.5625</v>
      </c>
      <c r="C243" s="1" t="n">
        <v>45888</v>
      </c>
      <c r="D243" t="inlineStr">
        <is>
          <t>UPPSALA LÄN</t>
        </is>
      </c>
      <c r="E243" t="inlineStr">
        <is>
          <t>ÖSTHAMMAR</t>
        </is>
      </c>
      <c r="F243" t="inlineStr">
        <is>
          <t>Övriga Aktiebolag</t>
        </is>
      </c>
      <c r="G243" t="n">
        <v>14.1</v>
      </c>
      <c r="H243" t="n">
        <v>0</v>
      </c>
      <c r="I243" t="n">
        <v>0</v>
      </c>
      <c r="J243" t="n">
        <v>0</v>
      </c>
      <c r="K243" t="n">
        <v>0</v>
      </c>
      <c r="L243" t="n">
        <v>0</v>
      </c>
      <c r="M243" t="n">
        <v>0</v>
      </c>
      <c r="N243" t="n">
        <v>0</v>
      </c>
      <c r="O243" t="n">
        <v>0</v>
      </c>
      <c r="P243" t="n">
        <v>0</v>
      </c>
      <c r="Q243" t="n">
        <v>0</v>
      </c>
      <c r="R243" s="2" t="inlineStr"/>
    </row>
    <row r="244" ht="15" customHeight="1">
      <c r="A244" t="inlineStr">
        <is>
          <t>A 15031-2025</t>
        </is>
      </c>
      <c r="B244" s="1" t="n">
        <v>45743.67333333333</v>
      </c>
      <c r="C244" s="1" t="n">
        <v>45888</v>
      </c>
      <c r="D244" t="inlineStr">
        <is>
          <t>UPPSALA LÄN</t>
        </is>
      </c>
      <c r="E244" t="inlineStr">
        <is>
          <t>ÖSTHAMMAR</t>
        </is>
      </c>
      <c r="G244" t="n">
        <v>9.6</v>
      </c>
      <c r="H244" t="n">
        <v>0</v>
      </c>
      <c r="I244" t="n">
        <v>0</v>
      </c>
      <c r="J244" t="n">
        <v>0</v>
      </c>
      <c r="K244" t="n">
        <v>0</v>
      </c>
      <c r="L244" t="n">
        <v>0</v>
      </c>
      <c r="M244" t="n">
        <v>0</v>
      </c>
      <c r="N244" t="n">
        <v>0</v>
      </c>
      <c r="O244" t="n">
        <v>0</v>
      </c>
      <c r="P244" t="n">
        <v>0</v>
      </c>
      <c r="Q244" t="n">
        <v>0</v>
      </c>
      <c r="R244" s="2" t="inlineStr"/>
    </row>
    <row r="245" ht="15" customHeight="1">
      <c r="A245" t="inlineStr">
        <is>
          <t>A 13738-2023</t>
        </is>
      </c>
      <c r="B245" s="1" t="n">
        <v>45007.37081018519</v>
      </c>
      <c r="C245" s="1" t="n">
        <v>45888</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13093-2022</t>
        </is>
      </c>
      <c r="B246" s="1" t="n">
        <v>44643.93269675926</v>
      </c>
      <c r="C246" s="1" t="n">
        <v>45888</v>
      </c>
      <c r="D246" t="inlineStr">
        <is>
          <t>UPPSALA LÄN</t>
        </is>
      </c>
      <c r="E246" t="inlineStr">
        <is>
          <t>ÖSTHAMMAR</t>
        </is>
      </c>
      <c r="F246" t="inlineStr">
        <is>
          <t>Bergvik skog öst AB</t>
        </is>
      </c>
      <c r="G246" t="n">
        <v>3.2</v>
      </c>
      <c r="H246" t="n">
        <v>0</v>
      </c>
      <c r="I246" t="n">
        <v>0</v>
      </c>
      <c r="J246" t="n">
        <v>0</v>
      </c>
      <c r="K246" t="n">
        <v>0</v>
      </c>
      <c r="L246" t="n">
        <v>0</v>
      </c>
      <c r="M246" t="n">
        <v>0</v>
      </c>
      <c r="N246" t="n">
        <v>0</v>
      </c>
      <c r="O246" t="n">
        <v>0</v>
      </c>
      <c r="P246" t="n">
        <v>0</v>
      </c>
      <c r="Q246" t="n">
        <v>0</v>
      </c>
      <c r="R246" s="2" t="inlineStr"/>
    </row>
    <row r="247" ht="15" customHeight="1">
      <c r="A247" t="inlineStr">
        <is>
          <t>A 6121-2024</t>
        </is>
      </c>
      <c r="B247" s="1" t="n">
        <v>45337.4219212963</v>
      </c>
      <c r="C247" s="1" t="n">
        <v>45888</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8624-2025</t>
        </is>
      </c>
      <c r="B248" s="1" t="n">
        <v>45711.52333333333</v>
      </c>
      <c r="C248" s="1" t="n">
        <v>45888</v>
      </c>
      <c r="D248" t="inlineStr">
        <is>
          <t>UPPSALA LÄN</t>
        </is>
      </c>
      <c r="E248" t="inlineStr">
        <is>
          <t>ÖSTHAMMAR</t>
        </is>
      </c>
      <c r="F248" t="inlineStr">
        <is>
          <t>Bergvik skog väst AB</t>
        </is>
      </c>
      <c r="G248" t="n">
        <v>2.8</v>
      </c>
      <c r="H248" t="n">
        <v>0</v>
      </c>
      <c r="I248" t="n">
        <v>0</v>
      </c>
      <c r="J248" t="n">
        <v>0</v>
      </c>
      <c r="K248" t="n">
        <v>0</v>
      </c>
      <c r="L248" t="n">
        <v>0</v>
      </c>
      <c r="M248" t="n">
        <v>0</v>
      </c>
      <c r="N248" t="n">
        <v>0</v>
      </c>
      <c r="O248" t="n">
        <v>0</v>
      </c>
      <c r="P248" t="n">
        <v>0</v>
      </c>
      <c r="Q248" t="n">
        <v>0</v>
      </c>
      <c r="R248" s="2" t="inlineStr"/>
    </row>
    <row r="249" ht="15" customHeight="1">
      <c r="A249" t="inlineStr">
        <is>
          <t>A 43439-2024</t>
        </is>
      </c>
      <c r="B249" s="1" t="n">
        <v>45568</v>
      </c>
      <c r="C249" s="1" t="n">
        <v>45888</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62391-2022</t>
        </is>
      </c>
      <c r="B250" s="1" t="n">
        <v>44923.7849537037</v>
      </c>
      <c r="C250" s="1" t="n">
        <v>45888</v>
      </c>
      <c r="D250" t="inlineStr">
        <is>
          <t>UPPSALA LÄN</t>
        </is>
      </c>
      <c r="E250" t="inlineStr">
        <is>
          <t>ÖSTHAMMAR</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19009-2023</t>
        </is>
      </c>
      <c r="B251" s="1" t="n">
        <v>45045</v>
      </c>
      <c r="C251" s="1" t="n">
        <v>45888</v>
      </c>
      <c r="D251" t="inlineStr">
        <is>
          <t>UPPSALA LÄN</t>
        </is>
      </c>
      <c r="E251" t="inlineStr">
        <is>
          <t>ÖSTHAMMAR</t>
        </is>
      </c>
      <c r="F251" t="inlineStr">
        <is>
          <t>Bergvik skog öst AB</t>
        </is>
      </c>
      <c r="G251" t="n">
        <v>0.2</v>
      </c>
      <c r="H251" t="n">
        <v>0</v>
      </c>
      <c r="I251" t="n">
        <v>0</v>
      </c>
      <c r="J251" t="n">
        <v>0</v>
      </c>
      <c r="K251" t="n">
        <v>0</v>
      </c>
      <c r="L251" t="n">
        <v>0</v>
      </c>
      <c r="M251" t="n">
        <v>0</v>
      </c>
      <c r="N251" t="n">
        <v>0</v>
      </c>
      <c r="O251" t="n">
        <v>0</v>
      </c>
      <c r="P251" t="n">
        <v>0</v>
      </c>
      <c r="Q251" t="n">
        <v>0</v>
      </c>
      <c r="R251" s="2" t="inlineStr"/>
    </row>
    <row r="252" ht="15" customHeight="1">
      <c r="A252" t="inlineStr">
        <is>
          <t>A 54314-2023</t>
        </is>
      </c>
      <c r="B252" s="1" t="n">
        <v>45225</v>
      </c>
      <c r="C252" s="1" t="n">
        <v>45888</v>
      </c>
      <c r="D252" t="inlineStr">
        <is>
          <t>UPPSALA LÄN</t>
        </is>
      </c>
      <c r="E252" t="inlineStr">
        <is>
          <t>ÖSTHAMMAR</t>
        </is>
      </c>
      <c r="G252" t="n">
        <v>5.1</v>
      </c>
      <c r="H252" t="n">
        <v>0</v>
      </c>
      <c r="I252" t="n">
        <v>0</v>
      </c>
      <c r="J252" t="n">
        <v>0</v>
      </c>
      <c r="K252" t="n">
        <v>0</v>
      </c>
      <c r="L252" t="n">
        <v>0</v>
      </c>
      <c r="M252" t="n">
        <v>0</v>
      </c>
      <c r="N252" t="n">
        <v>0</v>
      </c>
      <c r="O252" t="n">
        <v>0</v>
      </c>
      <c r="P252" t="n">
        <v>0</v>
      </c>
      <c r="Q252" t="n">
        <v>0</v>
      </c>
      <c r="R252" s="2" t="inlineStr"/>
    </row>
    <row r="253" ht="15" customHeight="1">
      <c r="A253" t="inlineStr">
        <is>
          <t>A 23363-2023</t>
        </is>
      </c>
      <c r="B253" s="1" t="n">
        <v>45076</v>
      </c>
      <c r="C253" s="1" t="n">
        <v>45888</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6143-2022</t>
        </is>
      </c>
      <c r="B254" s="1" t="n">
        <v>44599.72306712963</v>
      </c>
      <c r="C254" s="1" t="n">
        <v>45888</v>
      </c>
      <c r="D254" t="inlineStr">
        <is>
          <t>UPPSALA LÄN</t>
        </is>
      </c>
      <c r="E254" t="inlineStr">
        <is>
          <t>ÖSTHAMMAR</t>
        </is>
      </c>
      <c r="G254" t="n">
        <v>3.4</v>
      </c>
      <c r="H254" t="n">
        <v>0</v>
      </c>
      <c r="I254" t="n">
        <v>0</v>
      </c>
      <c r="J254" t="n">
        <v>0</v>
      </c>
      <c r="K254" t="n">
        <v>0</v>
      </c>
      <c r="L254" t="n">
        <v>0</v>
      </c>
      <c r="M254" t="n">
        <v>0</v>
      </c>
      <c r="N254" t="n">
        <v>0</v>
      </c>
      <c r="O254" t="n">
        <v>0</v>
      </c>
      <c r="P254" t="n">
        <v>0</v>
      </c>
      <c r="Q254" t="n">
        <v>0</v>
      </c>
      <c r="R254" s="2" t="inlineStr"/>
    </row>
    <row r="255" ht="15" customHeight="1">
      <c r="A255" t="inlineStr">
        <is>
          <t>A 4233-2023</t>
        </is>
      </c>
      <c r="B255" s="1" t="n">
        <v>44953.48619212963</v>
      </c>
      <c r="C255" s="1" t="n">
        <v>45888</v>
      </c>
      <c r="D255" t="inlineStr">
        <is>
          <t>UPPSALA LÄN</t>
        </is>
      </c>
      <c r="E255" t="inlineStr">
        <is>
          <t>ÖSTHAMMAR</t>
        </is>
      </c>
      <c r="G255" t="n">
        <v>0.9</v>
      </c>
      <c r="H255" t="n">
        <v>0</v>
      </c>
      <c r="I255" t="n">
        <v>0</v>
      </c>
      <c r="J255" t="n">
        <v>0</v>
      </c>
      <c r="K255" t="n">
        <v>0</v>
      </c>
      <c r="L255" t="n">
        <v>0</v>
      </c>
      <c r="M255" t="n">
        <v>0</v>
      </c>
      <c r="N255" t="n">
        <v>0</v>
      </c>
      <c r="O255" t="n">
        <v>0</v>
      </c>
      <c r="P255" t="n">
        <v>0</v>
      </c>
      <c r="Q255" t="n">
        <v>0</v>
      </c>
      <c r="R255" s="2" t="inlineStr"/>
    </row>
    <row r="256" ht="15" customHeight="1">
      <c r="A256" t="inlineStr">
        <is>
          <t>A 6153-2022</t>
        </is>
      </c>
      <c r="B256" s="1" t="n">
        <v>44599</v>
      </c>
      <c r="C256" s="1" t="n">
        <v>45888</v>
      </c>
      <c r="D256" t="inlineStr">
        <is>
          <t>UPPSALA LÄN</t>
        </is>
      </c>
      <c r="E256" t="inlineStr">
        <is>
          <t>ÖSTHAMMAR</t>
        </is>
      </c>
      <c r="G256" t="n">
        <v>1.2</v>
      </c>
      <c r="H256" t="n">
        <v>0</v>
      </c>
      <c r="I256" t="n">
        <v>0</v>
      </c>
      <c r="J256" t="n">
        <v>0</v>
      </c>
      <c r="K256" t="n">
        <v>0</v>
      </c>
      <c r="L256" t="n">
        <v>0</v>
      </c>
      <c r="M256" t="n">
        <v>0</v>
      </c>
      <c r="N256" t="n">
        <v>0</v>
      </c>
      <c r="O256" t="n">
        <v>0</v>
      </c>
      <c r="P256" t="n">
        <v>0</v>
      </c>
      <c r="Q256" t="n">
        <v>0</v>
      </c>
      <c r="R256" s="2" t="inlineStr"/>
    </row>
    <row r="257" ht="15" customHeight="1">
      <c r="A257" t="inlineStr">
        <is>
          <t>A 58270-2023</t>
        </is>
      </c>
      <c r="B257" s="1" t="n">
        <v>45250.49961805555</v>
      </c>
      <c r="C257" s="1" t="n">
        <v>45888</v>
      </c>
      <c r="D257" t="inlineStr">
        <is>
          <t>UPPSALA LÄN</t>
        </is>
      </c>
      <c r="E257" t="inlineStr">
        <is>
          <t>ÖSTHAMMAR</t>
        </is>
      </c>
      <c r="G257" t="n">
        <v>1.3</v>
      </c>
      <c r="H257" t="n">
        <v>0</v>
      </c>
      <c r="I257" t="n">
        <v>0</v>
      </c>
      <c r="J257" t="n">
        <v>0</v>
      </c>
      <c r="K257" t="n">
        <v>0</v>
      </c>
      <c r="L257" t="n">
        <v>0</v>
      </c>
      <c r="M257" t="n">
        <v>0</v>
      </c>
      <c r="N257" t="n">
        <v>0</v>
      </c>
      <c r="O257" t="n">
        <v>0</v>
      </c>
      <c r="P257" t="n">
        <v>0</v>
      </c>
      <c r="Q257" t="n">
        <v>0</v>
      </c>
      <c r="R257" s="2" t="inlineStr"/>
    </row>
    <row r="258" ht="15" customHeight="1">
      <c r="A258" t="inlineStr">
        <is>
          <t>A 44823-2024</t>
        </is>
      </c>
      <c r="B258" s="1" t="n">
        <v>45574.66471064815</v>
      </c>
      <c r="C258" s="1" t="n">
        <v>45888</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17924-2025</t>
        </is>
      </c>
      <c r="B259" s="1" t="n">
        <v>45759.35670138889</v>
      </c>
      <c r="C259" s="1" t="n">
        <v>45888</v>
      </c>
      <c r="D259" t="inlineStr">
        <is>
          <t>UPPSALA LÄN</t>
        </is>
      </c>
      <c r="E259" t="inlineStr">
        <is>
          <t>ÖSTHAMMAR</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17929-2025</t>
        </is>
      </c>
      <c r="B260" s="1" t="n">
        <v>45759.56462962963</v>
      </c>
      <c r="C260" s="1" t="n">
        <v>45888</v>
      </c>
      <c r="D260" t="inlineStr">
        <is>
          <t>UPPSALA LÄN</t>
        </is>
      </c>
      <c r="E260" t="inlineStr">
        <is>
          <t>ÖSTHAMMAR</t>
        </is>
      </c>
      <c r="G260" t="n">
        <v>3.4</v>
      </c>
      <c r="H260" t="n">
        <v>0</v>
      </c>
      <c r="I260" t="n">
        <v>0</v>
      </c>
      <c r="J260" t="n">
        <v>0</v>
      </c>
      <c r="K260" t="n">
        <v>0</v>
      </c>
      <c r="L260" t="n">
        <v>0</v>
      </c>
      <c r="M260" t="n">
        <v>0</v>
      </c>
      <c r="N260" t="n">
        <v>0</v>
      </c>
      <c r="O260" t="n">
        <v>0</v>
      </c>
      <c r="P260" t="n">
        <v>0</v>
      </c>
      <c r="Q260" t="n">
        <v>0</v>
      </c>
      <c r="R260" s="2" t="inlineStr"/>
    </row>
    <row r="261" ht="15" customHeight="1">
      <c r="A261" t="inlineStr">
        <is>
          <t>A 10290-2025</t>
        </is>
      </c>
      <c r="B261" s="1" t="n">
        <v>45720.41847222222</v>
      </c>
      <c r="C261" s="1" t="n">
        <v>45888</v>
      </c>
      <c r="D261" t="inlineStr">
        <is>
          <t>UPPSALA LÄN</t>
        </is>
      </c>
      <c r="E261" t="inlineStr">
        <is>
          <t>ÖSTHAMMAR</t>
        </is>
      </c>
      <c r="G261" t="n">
        <v>8.6</v>
      </c>
      <c r="H261" t="n">
        <v>0</v>
      </c>
      <c r="I261" t="n">
        <v>0</v>
      </c>
      <c r="J261" t="n">
        <v>0</v>
      </c>
      <c r="K261" t="n">
        <v>0</v>
      </c>
      <c r="L261" t="n">
        <v>0</v>
      </c>
      <c r="M261" t="n">
        <v>0</v>
      </c>
      <c r="N261" t="n">
        <v>0</v>
      </c>
      <c r="O261" t="n">
        <v>0</v>
      </c>
      <c r="P261" t="n">
        <v>0</v>
      </c>
      <c r="Q261" t="n">
        <v>0</v>
      </c>
      <c r="R261" s="2" t="inlineStr"/>
    </row>
    <row r="262" ht="15" customHeight="1">
      <c r="A262" t="inlineStr">
        <is>
          <t>A 17022-2021</t>
        </is>
      </c>
      <c r="B262" s="1" t="n">
        <v>44295.65875</v>
      </c>
      <c r="C262" s="1" t="n">
        <v>45888</v>
      </c>
      <c r="D262" t="inlineStr">
        <is>
          <t>UPPSALA LÄN</t>
        </is>
      </c>
      <c r="E262" t="inlineStr">
        <is>
          <t>ÖSTHAMMAR</t>
        </is>
      </c>
      <c r="F262" t="inlineStr">
        <is>
          <t>Bergvik skog öst AB</t>
        </is>
      </c>
      <c r="G262" t="n">
        <v>0.3</v>
      </c>
      <c r="H262" t="n">
        <v>0</v>
      </c>
      <c r="I262" t="n">
        <v>0</v>
      </c>
      <c r="J262" t="n">
        <v>0</v>
      </c>
      <c r="K262" t="n">
        <v>0</v>
      </c>
      <c r="L262" t="n">
        <v>0</v>
      </c>
      <c r="M262" t="n">
        <v>0</v>
      </c>
      <c r="N262" t="n">
        <v>0</v>
      </c>
      <c r="O262" t="n">
        <v>0</v>
      </c>
      <c r="P262" t="n">
        <v>0</v>
      </c>
      <c r="Q262" t="n">
        <v>0</v>
      </c>
      <c r="R262" s="2" t="inlineStr"/>
    </row>
    <row r="263" ht="15" customHeight="1">
      <c r="A263" t="inlineStr">
        <is>
          <t>A 73592-2021</t>
        </is>
      </c>
      <c r="B263" s="1" t="n">
        <v>44552.36974537037</v>
      </c>
      <c r="C263" s="1" t="n">
        <v>45888</v>
      </c>
      <c r="D263" t="inlineStr">
        <is>
          <t>UPPSALA LÄN</t>
        </is>
      </c>
      <c r="E263" t="inlineStr">
        <is>
          <t>ÖSTHAMMAR</t>
        </is>
      </c>
      <c r="G263" t="n">
        <v>1.7</v>
      </c>
      <c r="H263" t="n">
        <v>0</v>
      </c>
      <c r="I263" t="n">
        <v>0</v>
      </c>
      <c r="J263" t="n">
        <v>0</v>
      </c>
      <c r="K263" t="n">
        <v>0</v>
      </c>
      <c r="L263" t="n">
        <v>0</v>
      </c>
      <c r="M263" t="n">
        <v>0</v>
      </c>
      <c r="N263" t="n">
        <v>0</v>
      </c>
      <c r="O263" t="n">
        <v>0</v>
      </c>
      <c r="P263" t="n">
        <v>0</v>
      </c>
      <c r="Q263" t="n">
        <v>0</v>
      </c>
      <c r="R263" s="2" t="inlineStr"/>
    </row>
    <row r="264" ht="15" customHeight="1">
      <c r="A264" t="inlineStr">
        <is>
          <t>A 11469-2023</t>
        </is>
      </c>
      <c r="B264" s="1" t="n">
        <v>44993.60099537037</v>
      </c>
      <c r="C264" s="1" t="n">
        <v>45888</v>
      </c>
      <c r="D264" t="inlineStr">
        <is>
          <t>UPPSALA LÄN</t>
        </is>
      </c>
      <c r="E264" t="inlineStr">
        <is>
          <t>ÖSTHAMMAR</t>
        </is>
      </c>
      <c r="F264" t="inlineStr">
        <is>
          <t>Bergvik skog öst AB</t>
        </is>
      </c>
      <c r="G264" t="n">
        <v>0.5</v>
      </c>
      <c r="H264" t="n">
        <v>0</v>
      </c>
      <c r="I264" t="n">
        <v>0</v>
      </c>
      <c r="J264" t="n">
        <v>0</v>
      </c>
      <c r="K264" t="n">
        <v>0</v>
      </c>
      <c r="L264" t="n">
        <v>0</v>
      </c>
      <c r="M264" t="n">
        <v>0</v>
      </c>
      <c r="N264" t="n">
        <v>0</v>
      </c>
      <c r="O264" t="n">
        <v>0</v>
      </c>
      <c r="P264" t="n">
        <v>0</v>
      </c>
      <c r="Q264" t="n">
        <v>0</v>
      </c>
      <c r="R264" s="2" t="inlineStr"/>
    </row>
    <row r="265" ht="15" customHeight="1">
      <c r="A265" t="inlineStr">
        <is>
          <t>A 25938-2024</t>
        </is>
      </c>
      <c r="B265" s="1" t="n">
        <v>45467.63127314814</v>
      </c>
      <c r="C265" s="1" t="n">
        <v>45888</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35539-2023</t>
        </is>
      </c>
      <c r="B266" s="1" t="n">
        <v>45147.37006944444</v>
      </c>
      <c r="C266" s="1" t="n">
        <v>45888</v>
      </c>
      <c r="D266" t="inlineStr">
        <is>
          <t>UPPSALA LÄN</t>
        </is>
      </c>
      <c r="E266" t="inlineStr">
        <is>
          <t>ÖSTHAMMAR</t>
        </is>
      </c>
      <c r="G266" t="n">
        <v>1.4</v>
      </c>
      <c r="H266" t="n">
        <v>0</v>
      </c>
      <c r="I266" t="n">
        <v>0</v>
      </c>
      <c r="J266" t="n">
        <v>0</v>
      </c>
      <c r="K266" t="n">
        <v>0</v>
      </c>
      <c r="L266" t="n">
        <v>0</v>
      </c>
      <c r="M266" t="n">
        <v>0</v>
      </c>
      <c r="N266" t="n">
        <v>0</v>
      </c>
      <c r="O266" t="n">
        <v>0</v>
      </c>
      <c r="P266" t="n">
        <v>0</v>
      </c>
      <c r="Q266" t="n">
        <v>0</v>
      </c>
      <c r="R266" s="2" t="inlineStr"/>
    </row>
    <row r="267" ht="15" customHeight="1">
      <c r="A267" t="inlineStr">
        <is>
          <t>A 32744-2022</t>
        </is>
      </c>
      <c r="B267" s="1" t="n">
        <v>44783.70378472222</v>
      </c>
      <c r="C267" s="1" t="n">
        <v>45888</v>
      </c>
      <c r="D267" t="inlineStr">
        <is>
          <t>UPPSALA LÄN</t>
        </is>
      </c>
      <c r="E267" t="inlineStr">
        <is>
          <t>ÖSTHAMMAR</t>
        </is>
      </c>
      <c r="F267" t="inlineStr">
        <is>
          <t>Bergvik skog öst AB</t>
        </is>
      </c>
      <c r="G267" t="n">
        <v>3</v>
      </c>
      <c r="H267" t="n">
        <v>0</v>
      </c>
      <c r="I267" t="n">
        <v>0</v>
      </c>
      <c r="J267" t="n">
        <v>0</v>
      </c>
      <c r="K267" t="n">
        <v>0</v>
      </c>
      <c r="L267" t="n">
        <v>0</v>
      </c>
      <c r="M267" t="n">
        <v>0</v>
      </c>
      <c r="N267" t="n">
        <v>0</v>
      </c>
      <c r="O267" t="n">
        <v>0</v>
      </c>
      <c r="P267" t="n">
        <v>0</v>
      </c>
      <c r="Q267" t="n">
        <v>0</v>
      </c>
      <c r="R267" s="2" t="inlineStr"/>
    </row>
    <row r="268" ht="15" customHeight="1">
      <c r="A268" t="inlineStr">
        <is>
          <t>A 18230-2025</t>
        </is>
      </c>
      <c r="B268" s="1" t="n">
        <v>45761.87114583333</v>
      </c>
      <c r="C268" s="1" t="n">
        <v>45888</v>
      </c>
      <c r="D268" t="inlineStr">
        <is>
          <t>UPPSALA LÄN</t>
        </is>
      </c>
      <c r="E268" t="inlineStr">
        <is>
          <t>ÖSTHAMMAR</t>
        </is>
      </c>
      <c r="F268" t="inlineStr">
        <is>
          <t>Bergvik skog öst AB</t>
        </is>
      </c>
      <c r="G268" t="n">
        <v>4.2</v>
      </c>
      <c r="H268" t="n">
        <v>0</v>
      </c>
      <c r="I268" t="n">
        <v>0</v>
      </c>
      <c r="J268" t="n">
        <v>0</v>
      </c>
      <c r="K268" t="n">
        <v>0</v>
      </c>
      <c r="L268" t="n">
        <v>0</v>
      </c>
      <c r="M268" t="n">
        <v>0</v>
      </c>
      <c r="N268" t="n">
        <v>0</v>
      </c>
      <c r="O268" t="n">
        <v>0</v>
      </c>
      <c r="P268" t="n">
        <v>0</v>
      </c>
      <c r="Q268" t="n">
        <v>0</v>
      </c>
      <c r="R268" s="2" t="inlineStr"/>
    </row>
    <row r="269" ht="15" customHeight="1">
      <c r="A269" t="inlineStr">
        <is>
          <t>A 8908-2025</t>
        </is>
      </c>
      <c r="B269" s="1" t="n">
        <v>45713.4196875</v>
      </c>
      <c r="C269" s="1" t="n">
        <v>45888</v>
      </c>
      <c r="D269" t="inlineStr">
        <is>
          <t>UPPSALA LÄN</t>
        </is>
      </c>
      <c r="E269" t="inlineStr">
        <is>
          <t>ÖSTHAMMAR</t>
        </is>
      </c>
      <c r="F269" t="inlineStr">
        <is>
          <t>Bergvik skog öst AB</t>
        </is>
      </c>
      <c r="G269" t="n">
        <v>3.3</v>
      </c>
      <c r="H269" t="n">
        <v>0</v>
      </c>
      <c r="I269" t="n">
        <v>0</v>
      </c>
      <c r="J269" t="n">
        <v>0</v>
      </c>
      <c r="K269" t="n">
        <v>0</v>
      </c>
      <c r="L269" t="n">
        <v>0</v>
      </c>
      <c r="M269" t="n">
        <v>0</v>
      </c>
      <c r="N269" t="n">
        <v>0</v>
      </c>
      <c r="O269" t="n">
        <v>0</v>
      </c>
      <c r="P269" t="n">
        <v>0</v>
      </c>
      <c r="Q269" t="n">
        <v>0</v>
      </c>
      <c r="R269" s="2" t="inlineStr"/>
    </row>
    <row r="270" ht="15" customHeight="1">
      <c r="A270" t="inlineStr">
        <is>
          <t>A 57408-2020</t>
        </is>
      </c>
      <c r="B270" s="1" t="n">
        <v>44140</v>
      </c>
      <c r="C270" s="1" t="n">
        <v>45888</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25418-2022</t>
        </is>
      </c>
      <c r="B271" s="1" t="n">
        <v>44732.464375</v>
      </c>
      <c r="C271" s="1" t="n">
        <v>45888</v>
      </c>
      <c r="D271" t="inlineStr">
        <is>
          <t>UPPSALA LÄN</t>
        </is>
      </c>
      <c r="E271" t="inlineStr">
        <is>
          <t>ÖSTHAMMAR</t>
        </is>
      </c>
      <c r="G271" t="n">
        <v>2.8</v>
      </c>
      <c r="H271" t="n">
        <v>0</v>
      </c>
      <c r="I271" t="n">
        <v>0</v>
      </c>
      <c r="J271" t="n">
        <v>0</v>
      </c>
      <c r="K271" t="n">
        <v>0</v>
      </c>
      <c r="L271" t="n">
        <v>0</v>
      </c>
      <c r="M271" t="n">
        <v>0</v>
      </c>
      <c r="N271" t="n">
        <v>0</v>
      </c>
      <c r="O271" t="n">
        <v>0</v>
      </c>
      <c r="P271" t="n">
        <v>0</v>
      </c>
      <c r="Q271" t="n">
        <v>0</v>
      </c>
      <c r="R271" s="2" t="inlineStr"/>
    </row>
    <row r="272" ht="15" customHeight="1">
      <c r="A272" t="inlineStr">
        <is>
          <t>A 8006-2023</t>
        </is>
      </c>
      <c r="B272" s="1" t="n">
        <v>44973</v>
      </c>
      <c r="C272" s="1" t="n">
        <v>45888</v>
      </c>
      <c r="D272" t="inlineStr">
        <is>
          <t>UPPSALA LÄN</t>
        </is>
      </c>
      <c r="E272" t="inlineStr">
        <is>
          <t>ÖSTHAMMAR</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21522-2022</t>
        </is>
      </c>
      <c r="B273" s="1" t="n">
        <v>44706</v>
      </c>
      <c r="C273" s="1" t="n">
        <v>45888</v>
      </c>
      <c r="D273" t="inlineStr">
        <is>
          <t>UPPSALA LÄN</t>
        </is>
      </c>
      <c r="E273" t="inlineStr">
        <is>
          <t>ÖSTHAMMAR</t>
        </is>
      </c>
      <c r="G273" t="n">
        <v>1.8</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45888</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1567-2025</t>
        </is>
      </c>
      <c r="B275" s="1" t="n">
        <v>45670</v>
      </c>
      <c r="C275" s="1" t="n">
        <v>45888</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14859-2025</t>
        </is>
      </c>
      <c r="B276" s="1" t="n">
        <v>45743.42427083333</v>
      </c>
      <c r="C276" s="1" t="n">
        <v>45888</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19650-2025</t>
        </is>
      </c>
      <c r="B277" s="1" t="n">
        <v>45770.66733796296</v>
      </c>
      <c r="C277" s="1" t="n">
        <v>45888</v>
      </c>
      <c r="D277" t="inlineStr">
        <is>
          <t>UPPSALA LÄN</t>
        </is>
      </c>
      <c r="E277" t="inlineStr">
        <is>
          <t>ÖSTHAMMAR</t>
        </is>
      </c>
      <c r="F277" t="inlineStr">
        <is>
          <t>Övriga Aktiebolag</t>
        </is>
      </c>
      <c r="G277" t="n">
        <v>2.1</v>
      </c>
      <c r="H277" t="n">
        <v>0</v>
      </c>
      <c r="I277" t="n">
        <v>0</v>
      </c>
      <c r="J277" t="n">
        <v>0</v>
      </c>
      <c r="K277" t="n">
        <v>0</v>
      </c>
      <c r="L277" t="n">
        <v>0</v>
      </c>
      <c r="M277" t="n">
        <v>0</v>
      </c>
      <c r="N277" t="n">
        <v>0</v>
      </c>
      <c r="O277" t="n">
        <v>0</v>
      </c>
      <c r="P277" t="n">
        <v>0</v>
      </c>
      <c r="Q277" t="n">
        <v>0</v>
      </c>
      <c r="R277" s="2" t="inlineStr"/>
    </row>
    <row r="278" ht="15" customHeight="1">
      <c r="A278" t="inlineStr">
        <is>
          <t>A 13755-2023</t>
        </is>
      </c>
      <c r="B278" s="1" t="n">
        <v>45007</v>
      </c>
      <c r="C278" s="1" t="n">
        <v>45888</v>
      </c>
      <c r="D278" t="inlineStr">
        <is>
          <t>UPPSALA LÄN</t>
        </is>
      </c>
      <c r="E278" t="inlineStr">
        <is>
          <t>ÖSTHAMMAR</t>
        </is>
      </c>
      <c r="G278" t="n">
        <v>2.4</v>
      </c>
      <c r="H278" t="n">
        <v>0</v>
      </c>
      <c r="I278" t="n">
        <v>0</v>
      </c>
      <c r="J278" t="n">
        <v>0</v>
      </c>
      <c r="K278" t="n">
        <v>0</v>
      </c>
      <c r="L278" t="n">
        <v>0</v>
      </c>
      <c r="M278" t="n">
        <v>0</v>
      </c>
      <c r="N278" t="n">
        <v>0</v>
      </c>
      <c r="O278" t="n">
        <v>0</v>
      </c>
      <c r="P278" t="n">
        <v>0</v>
      </c>
      <c r="Q278" t="n">
        <v>0</v>
      </c>
      <c r="R278" s="2" t="inlineStr"/>
    </row>
    <row r="279" ht="15" customHeight="1">
      <c r="A279" t="inlineStr">
        <is>
          <t>A 13771-2023</t>
        </is>
      </c>
      <c r="B279" s="1" t="n">
        <v>45007</v>
      </c>
      <c r="C279" s="1" t="n">
        <v>45888</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35474-2023</t>
        </is>
      </c>
      <c r="B280" s="1" t="n">
        <v>45146.68921296296</v>
      </c>
      <c r="C280" s="1" t="n">
        <v>45888</v>
      </c>
      <c r="D280" t="inlineStr">
        <is>
          <t>UPPSALA LÄN</t>
        </is>
      </c>
      <c r="E280" t="inlineStr">
        <is>
          <t>ÖSTHAMMAR</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14671-2022</t>
        </is>
      </c>
      <c r="B281" s="1" t="n">
        <v>44655.80475694445</v>
      </c>
      <c r="C281" s="1" t="n">
        <v>45888</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31035-2022</t>
        </is>
      </c>
      <c r="B282" s="1" t="n">
        <v>44768.88685185185</v>
      </c>
      <c r="C282" s="1" t="n">
        <v>45888</v>
      </c>
      <c r="D282" t="inlineStr">
        <is>
          <t>UPPSALA LÄN</t>
        </is>
      </c>
      <c r="E282" t="inlineStr">
        <is>
          <t>ÖSTHAMMAR</t>
        </is>
      </c>
      <c r="F282" t="inlineStr">
        <is>
          <t>Bergvik skog öst AB</t>
        </is>
      </c>
      <c r="G282" t="n">
        <v>1.5</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44651.40924768519</v>
      </c>
      <c r="C283" s="1" t="n">
        <v>45888</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45888</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46399-2023</t>
        </is>
      </c>
      <c r="B285" s="1" t="n">
        <v>45197.49262731482</v>
      </c>
      <c r="C285" s="1" t="n">
        <v>45888</v>
      </c>
      <c r="D285" t="inlineStr">
        <is>
          <t>UPPSALA LÄN</t>
        </is>
      </c>
      <c r="E285" t="inlineStr">
        <is>
          <t>ÖSTHAMMAR</t>
        </is>
      </c>
      <c r="G285" t="n">
        <v>5.8</v>
      </c>
      <c r="H285" t="n">
        <v>0</v>
      </c>
      <c r="I285" t="n">
        <v>0</v>
      </c>
      <c r="J285" t="n">
        <v>0</v>
      </c>
      <c r="K285" t="n">
        <v>0</v>
      </c>
      <c r="L285" t="n">
        <v>0</v>
      </c>
      <c r="M285" t="n">
        <v>0</v>
      </c>
      <c r="N285" t="n">
        <v>0</v>
      </c>
      <c r="O285" t="n">
        <v>0</v>
      </c>
      <c r="P285" t="n">
        <v>0</v>
      </c>
      <c r="Q285" t="n">
        <v>0</v>
      </c>
      <c r="R285" s="2" t="inlineStr"/>
    </row>
    <row r="286" ht="15" customHeight="1">
      <c r="A286" t="inlineStr">
        <is>
          <t>A 4099-2025</t>
        </is>
      </c>
      <c r="B286" s="1" t="n">
        <v>45684</v>
      </c>
      <c r="C286" s="1" t="n">
        <v>45888</v>
      </c>
      <c r="D286" t="inlineStr">
        <is>
          <t>UPPSALA LÄN</t>
        </is>
      </c>
      <c r="E286" t="inlineStr">
        <is>
          <t>ÖSTHAMMAR</t>
        </is>
      </c>
      <c r="G286" t="n">
        <v>0.7</v>
      </c>
      <c r="H286" t="n">
        <v>0</v>
      </c>
      <c r="I286" t="n">
        <v>0</v>
      </c>
      <c r="J286" t="n">
        <v>0</v>
      </c>
      <c r="K286" t="n">
        <v>0</v>
      </c>
      <c r="L286" t="n">
        <v>0</v>
      </c>
      <c r="M286" t="n">
        <v>0</v>
      </c>
      <c r="N286" t="n">
        <v>0</v>
      </c>
      <c r="O286" t="n">
        <v>0</v>
      </c>
      <c r="P286" t="n">
        <v>0</v>
      </c>
      <c r="Q286" t="n">
        <v>0</v>
      </c>
      <c r="R286" s="2" t="inlineStr"/>
    </row>
    <row r="287" ht="15" customHeight="1">
      <c r="A287" t="inlineStr">
        <is>
          <t>A 7543-2023</t>
        </is>
      </c>
      <c r="B287" s="1" t="n">
        <v>44972</v>
      </c>
      <c r="C287" s="1" t="n">
        <v>45888</v>
      </c>
      <c r="D287" t="inlineStr">
        <is>
          <t>UPPSALA LÄN</t>
        </is>
      </c>
      <c r="E287" t="inlineStr">
        <is>
          <t>ÖSTHAMMAR</t>
        </is>
      </c>
      <c r="F287" t="inlineStr">
        <is>
          <t>Bergvik skog öst AB</t>
        </is>
      </c>
      <c r="G287" t="n">
        <v>13.3</v>
      </c>
      <c r="H287" t="n">
        <v>0</v>
      </c>
      <c r="I287" t="n">
        <v>0</v>
      </c>
      <c r="J287" t="n">
        <v>0</v>
      </c>
      <c r="K287" t="n">
        <v>0</v>
      </c>
      <c r="L287" t="n">
        <v>0</v>
      </c>
      <c r="M287" t="n">
        <v>0</v>
      </c>
      <c r="N287" t="n">
        <v>0</v>
      </c>
      <c r="O287" t="n">
        <v>0</v>
      </c>
      <c r="P287" t="n">
        <v>0</v>
      </c>
      <c r="Q287" t="n">
        <v>0</v>
      </c>
      <c r="R287" s="2" t="inlineStr"/>
    </row>
    <row r="288" ht="15" customHeight="1">
      <c r="A288" t="inlineStr">
        <is>
          <t>A 41341-2024</t>
        </is>
      </c>
      <c r="B288" s="1" t="n">
        <v>45559</v>
      </c>
      <c r="C288" s="1" t="n">
        <v>45888</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49899-2023</t>
        </is>
      </c>
      <c r="B289" s="1" t="n">
        <v>45213</v>
      </c>
      <c r="C289" s="1" t="n">
        <v>45888</v>
      </c>
      <c r="D289" t="inlineStr">
        <is>
          <t>UPPSALA LÄN</t>
        </is>
      </c>
      <c r="E289" t="inlineStr">
        <is>
          <t>ÖSTHAMMAR</t>
        </is>
      </c>
      <c r="G289" t="n">
        <v>6.2</v>
      </c>
      <c r="H289" t="n">
        <v>0</v>
      </c>
      <c r="I289" t="n">
        <v>0</v>
      </c>
      <c r="J289" t="n">
        <v>0</v>
      </c>
      <c r="K289" t="n">
        <v>0</v>
      </c>
      <c r="L289" t="n">
        <v>0</v>
      </c>
      <c r="M289" t="n">
        <v>0</v>
      </c>
      <c r="N289" t="n">
        <v>0</v>
      </c>
      <c r="O289" t="n">
        <v>0</v>
      </c>
      <c r="P289" t="n">
        <v>0</v>
      </c>
      <c r="Q289" t="n">
        <v>0</v>
      </c>
      <c r="R289" s="2" t="inlineStr"/>
    </row>
    <row r="290" ht="15" customHeight="1">
      <c r="A290" t="inlineStr">
        <is>
          <t>A 4676-2025</t>
        </is>
      </c>
      <c r="B290" s="1" t="n">
        <v>45687.8313425926</v>
      </c>
      <c r="C290" s="1" t="n">
        <v>45888</v>
      </c>
      <c r="D290" t="inlineStr">
        <is>
          <t>UPPSALA LÄN</t>
        </is>
      </c>
      <c r="E290" t="inlineStr">
        <is>
          <t>ÖSTHAMMAR</t>
        </is>
      </c>
      <c r="G290" t="n">
        <v>3.7</v>
      </c>
      <c r="H290" t="n">
        <v>0</v>
      </c>
      <c r="I290" t="n">
        <v>0</v>
      </c>
      <c r="J290" t="n">
        <v>0</v>
      </c>
      <c r="K290" t="n">
        <v>0</v>
      </c>
      <c r="L290" t="n">
        <v>0</v>
      </c>
      <c r="M290" t="n">
        <v>0</v>
      </c>
      <c r="N290" t="n">
        <v>0</v>
      </c>
      <c r="O290" t="n">
        <v>0</v>
      </c>
      <c r="P290" t="n">
        <v>0</v>
      </c>
      <c r="Q290" t="n">
        <v>0</v>
      </c>
      <c r="R290" s="2" t="inlineStr"/>
    </row>
    <row r="291" ht="15" customHeight="1">
      <c r="A291" t="inlineStr">
        <is>
          <t>A 45550-2023</t>
        </is>
      </c>
      <c r="B291" s="1" t="n">
        <v>45194.57125</v>
      </c>
      <c r="C291" s="1" t="n">
        <v>45888</v>
      </c>
      <c r="D291" t="inlineStr">
        <is>
          <t>UPPSALA LÄN</t>
        </is>
      </c>
      <c r="E291" t="inlineStr">
        <is>
          <t>ÖSTHAMMAR</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15445-2022</t>
        </is>
      </c>
      <c r="B292" s="1" t="n">
        <v>44660.4987962963</v>
      </c>
      <c r="C292" s="1" t="n">
        <v>45888</v>
      </c>
      <c r="D292" t="inlineStr">
        <is>
          <t>UPPSALA LÄN</t>
        </is>
      </c>
      <c r="E292" t="inlineStr">
        <is>
          <t>ÖSTHAMMAR</t>
        </is>
      </c>
      <c r="F292" t="inlineStr">
        <is>
          <t>Bergvik skog öst AB</t>
        </is>
      </c>
      <c r="G292" t="n">
        <v>0.5</v>
      </c>
      <c r="H292" t="n">
        <v>0</v>
      </c>
      <c r="I292" t="n">
        <v>0</v>
      </c>
      <c r="J292" t="n">
        <v>0</v>
      </c>
      <c r="K292" t="n">
        <v>0</v>
      </c>
      <c r="L292" t="n">
        <v>0</v>
      </c>
      <c r="M292" t="n">
        <v>0</v>
      </c>
      <c r="N292" t="n">
        <v>0</v>
      </c>
      <c r="O292" t="n">
        <v>0</v>
      </c>
      <c r="P292" t="n">
        <v>0</v>
      </c>
      <c r="Q292" t="n">
        <v>0</v>
      </c>
      <c r="R292" s="2" t="inlineStr"/>
    </row>
    <row r="293" ht="15" customHeight="1">
      <c r="A293" t="inlineStr">
        <is>
          <t>A 17930-2025</t>
        </is>
      </c>
      <c r="B293" s="1" t="n">
        <v>45759.56738425926</v>
      </c>
      <c r="C293" s="1" t="n">
        <v>45888</v>
      </c>
      <c r="D293" t="inlineStr">
        <is>
          <t>UPPSALA LÄN</t>
        </is>
      </c>
      <c r="E293" t="inlineStr">
        <is>
          <t>ÖSTHAMMAR</t>
        </is>
      </c>
      <c r="G293" t="n">
        <v>2.1</v>
      </c>
      <c r="H293" t="n">
        <v>0</v>
      </c>
      <c r="I293" t="n">
        <v>0</v>
      </c>
      <c r="J293" t="n">
        <v>0</v>
      </c>
      <c r="K293" t="n">
        <v>0</v>
      </c>
      <c r="L293" t="n">
        <v>0</v>
      </c>
      <c r="M293" t="n">
        <v>0</v>
      </c>
      <c r="N293" t="n">
        <v>0</v>
      </c>
      <c r="O293" t="n">
        <v>0</v>
      </c>
      <c r="P293" t="n">
        <v>0</v>
      </c>
      <c r="Q293" t="n">
        <v>0</v>
      </c>
      <c r="R293" s="2" t="inlineStr"/>
    </row>
    <row r="294" ht="15" customHeight="1">
      <c r="A294" t="inlineStr">
        <is>
          <t>A 17925-2025</t>
        </is>
      </c>
      <c r="B294" s="1" t="n">
        <v>45759.36135416666</v>
      </c>
      <c r="C294" s="1" t="n">
        <v>45888</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49097-2022</t>
        </is>
      </c>
      <c r="B295" s="1" t="n">
        <v>44860</v>
      </c>
      <c r="C295" s="1" t="n">
        <v>45888</v>
      </c>
      <c r="D295" t="inlineStr">
        <is>
          <t>UPPSALA LÄN</t>
        </is>
      </c>
      <c r="E295" t="inlineStr">
        <is>
          <t>ÖSTHAMMAR</t>
        </is>
      </c>
      <c r="G295" t="n">
        <v>6.9</v>
      </c>
      <c r="H295" t="n">
        <v>0</v>
      </c>
      <c r="I295" t="n">
        <v>0</v>
      </c>
      <c r="J295" t="n">
        <v>0</v>
      </c>
      <c r="K295" t="n">
        <v>0</v>
      </c>
      <c r="L295" t="n">
        <v>0</v>
      </c>
      <c r="M295" t="n">
        <v>0</v>
      </c>
      <c r="N295" t="n">
        <v>0</v>
      </c>
      <c r="O295" t="n">
        <v>0</v>
      </c>
      <c r="P295" t="n">
        <v>0</v>
      </c>
      <c r="Q295" t="n">
        <v>0</v>
      </c>
      <c r="R295" s="2" t="inlineStr"/>
    </row>
    <row r="296" ht="15" customHeight="1">
      <c r="A296" t="inlineStr">
        <is>
          <t>A 17009-2021</t>
        </is>
      </c>
      <c r="B296" s="1" t="n">
        <v>44295.63969907408</v>
      </c>
      <c r="C296" s="1" t="n">
        <v>45888</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33758-2024</t>
        </is>
      </c>
      <c r="B297" s="1" t="n">
        <v>45520.56896990741</v>
      </c>
      <c r="C297" s="1" t="n">
        <v>45888</v>
      </c>
      <c r="D297" t="inlineStr">
        <is>
          <t>UPPSALA LÄN</t>
        </is>
      </c>
      <c r="E297" t="inlineStr">
        <is>
          <t>ÖSTHAMMAR</t>
        </is>
      </c>
      <c r="G297" t="n">
        <v>6.5</v>
      </c>
      <c r="H297" t="n">
        <v>0</v>
      </c>
      <c r="I297" t="n">
        <v>0</v>
      </c>
      <c r="J297" t="n">
        <v>0</v>
      </c>
      <c r="K297" t="n">
        <v>0</v>
      </c>
      <c r="L297" t="n">
        <v>0</v>
      </c>
      <c r="M297" t="n">
        <v>0</v>
      </c>
      <c r="N297" t="n">
        <v>0</v>
      </c>
      <c r="O297" t="n">
        <v>0</v>
      </c>
      <c r="P297" t="n">
        <v>0</v>
      </c>
      <c r="Q297" t="n">
        <v>0</v>
      </c>
      <c r="R297" s="2" t="inlineStr"/>
    </row>
    <row r="298" ht="15" customHeight="1">
      <c r="A298" t="inlineStr">
        <is>
          <t>A 10449-2023</t>
        </is>
      </c>
      <c r="B298" s="1" t="n">
        <v>44987</v>
      </c>
      <c r="C298" s="1" t="n">
        <v>45888</v>
      </c>
      <c r="D298" t="inlineStr">
        <is>
          <t>UPPSALA LÄN</t>
        </is>
      </c>
      <c r="E298" t="inlineStr">
        <is>
          <t>ÖSTHAMMAR</t>
        </is>
      </c>
      <c r="G298" t="n">
        <v>3.1</v>
      </c>
      <c r="H298" t="n">
        <v>0</v>
      </c>
      <c r="I298" t="n">
        <v>0</v>
      </c>
      <c r="J298" t="n">
        <v>0</v>
      </c>
      <c r="K298" t="n">
        <v>0</v>
      </c>
      <c r="L298" t="n">
        <v>0</v>
      </c>
      <c r="M298" t="n">
        <v>0</v>
      </c>
      <c r="N298" t="n">
        <v>0</v>
      </c>
      <c r="O298" t="n">
        <v>0</v>
      </c>
      <c r="P298" t="n">
        <v>0</v>
      </c>
      <c r="Q298" t="n">
        <v>0</v>
      </c>
      <c r="R298" s="2" t="inlineStr"/>
    </row>
    <row r="299" ht="15" customHeight="1">
      <c r="A299" t="inlineStr">
        <is>
          <t>A 24259-2022</t>
        </is>
      </c>
      <c r="B299" s="1" t="n">
        <v>44725</v>
      </c>
      <c r="C299" s="1" t="n">
        <v>45888</v>
      </c>
      <c r="D299" t="inlineStr">
        <is>
          <t>UPPSALA LÄN</t>
        </is>
      </c>
      <c r="E299" t="inlineStr">
        <is>
          <t>ÖSTHAMMAR</t>
        </is>
      </c>
      <c r="G299" t="n">
        <v>2.4</v>
      </c>
      <c r="H299" t="n">
        <v>0</v>
      </c>
      <c r="I299" t="n">
        <v>0</v>
      </c>
      <c r="J299" t="n">
        <v>0</v>
      </c>
      <c r="K299" t="n">
        <v>0</v>
      </c>
      <c r="L299" t="n">
        <v>0</v>
      </c>
      <c r="M299" t="n">
        <v>0</v>
      </c>
      <c r="N299" t="n">
        <v>0</v>
      </c>
      <c r="O299" t="n">
        <v>0</v>
      </c>
      <c r="P299" t="n">
        <v>0</v>
      </c>
      <c r="Q299" t="n">
        <v>0</v>
      </c>
      <c r="R299" s="2" t="inlineStr"/>
    </row>
    <row r="300" ht="15" customHeight="1">
      <c r="A300" t="inlineStr">
        <is>
          <t>A 18113-2023</t>
        </is>
      </c>
      <c r="B300" s="1" t="n">
        <v>45040</v>
      </c>
      <c r="C300" s="1" t="n">
        <v>45888</v>
      </c>
      <c r="D300" t="inlineStr">
        <is>
          <t>UPPSALA LÄN</t>
        </is>
      </c>
      <c r="E300" t="inlineStr">
        <is>
          <t>ÖSTHAMMAR</t>
        </is>
      </c>
      <c r="G300" t="n">
        <v>2.1</v>
      </c>
      <c r="H300" t="n">
        <v>0</v>
      </c>
      <c r="I300" t="n">
        <v>0</v>
      </c>
      <c r="J300" t="n">
        <v>0</v>
      </c>
      <c r="K300" t="n">
        <v>0</v>
      </c>
      <c r="L300" t="n">
        <v>0</v>
      </c>
      <c r="M300" t="n">
        <v>0</v>
      </c>
      <c r="N300" t="n">
        <v>0</v>
      </c>
      <c r="O300" t="n">
        <v>0</v>
      </c>
      <c r="P300" t="n">
        <v>0</v>
      </c>
      <c r="Q300" t="n">
        <v>0</v>
      </c>
      <c r="R300" s="2" t="inlineStr"/>
    </row>
    <row r="301" ht="15" customHeight="1">
      <c r="A301" t="inlineStr">
        <is>
          <t>A 61216-2022</t>
        </is>
      </c>
      <c r="B301" s="1" t="n">
        <v>44915.55423611111</v>
      </c>
      <c r="C301" s="1" t="n">
        <v>45888</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20634-2024</t>
        </is>
      </c>
      <c r="B302" s="1" t="n">
        <v>45436</v>
      </c>
      <c r="C302" s="1" t="n">
        <v>45888</v>
      </c>
      <c r="D302" t="inlineStr">
        <is>
          <t>UPPSALA LÄN</t>
        </is>
      </c>
      <c r="E302" t="inlineStr">
        <is>
          <t>ÖSTHAMMAR</t>
        </is>
      </c>
      <c r="G302" t="n">
        <v>6.5</v>
      </c>
      <c r="H302" t="n">
        <v>0</v>
      </c>
      <c r="I302" t="n">
        <v>0</v>
      </c>
      <c r="J302" t="n">
        <v>0</v>
      </c>
      <c r="K302" t="n">
        <v>0</v>
      </c>
      <c r="L302" t="n">
        <v>0</v>
      </c>
      <c r="M302" t="n">
        <v>0</v>
      </c>
      <c r="N302" t="n">
        <v>0</v>
      </c>
      <c r="O302" t="n">
        <v>0</v>
      </c>
      <c r="P302" t="n">
        <v>0</v>
      </c>
      <c r="Q302" t="n">
        <v>0</v>
      </c>
      <c r="R302" s="2" t="inlineStr"/>
    </row>
    <row r="303" ht="15" customHeight="1">
      <c r="A303" t="inlineStr">
        <is>
          <t>A 835-2025</t>
        </is>
      </c>
      <c r="B303" s="1" t="n">
        <v>45665.58465277778</v>
      </c>
      <c r="C303" s="1" t="n">
        <v>45888</v>
      </c>
      <c r="D303" t="inlineStr">
        <is>
          <t>UPPSALA LÄN</t>
        </is>
      </c>
      <c r="E303" t="inlineStr">
        <is>
          <t>ÖSTHAMMAR</t>
        </is>
      </c>
      <c r="F303" t="inlineStr">
        <is>
          <t>Övriga Aktiebolag</t>
        </is>
      </c>
      <c r="G303" t="n">
        <v>4.8</v>
      </c>
      <c r="H303" t="n">
        <v>0</v>
      </c>
      <c r="I303" t="n">
        <v>0</v>
      </c>
      <c r="J303" t="n">
        <v>0</v>
      </c>
      <c r="K303" t="n">
        <v>0</v>
      </c>
      <c r="L303" t="n">
        <v>0</v>
      </c>
      <c r="M303" t="n">
        <v>0</v>
      </c>
      <c r="N303" t="n">
        <v>0</v>
      </c>
      <c r="O303" t="n">
        <v>0</v>
      </c>
      <c r="P303" t="n">
        <v>0</v>
      </c>
      <c r="Q303" t="n">
        <v>0</v>
      </c>
      <c r="R303" s="2" t="inlineStr"/>
    </row>
    <row r="304" ht="15" customHeight="1">
      <c r="A304" t="inlineStr">
        <is>
          <t>A 27660-2023</t>
        </is>
      </c>
      <c r="B304" s="1" t="n">
        <v>45097</v>
      </c>
      <c r="C304" s="1" t="n">
        <v>45888</v>
      </c>
      <c r="D304" t="inlineStr">
        <is>
          <t>UPPSALA LÄN</t>
        </is>
      </c>
      <c r="E304" t="inlineStr">
        <is>
          <t>ÖSTHAMMAR</t>
        </is>
      </c>
      <c r="G304" t="n">
        <v>2.8</v>
      </c>
      <c r="H304" t="n">
        <v>0</v>
      </c>
      <c r="I304" t="n">
        <v>0</v>
      </c>
      <c r="J304" t="n">
        <v>0</v>
      </c>
      <c r="K304" t="n">
        <v>0</v>
      </c>
      <c r="L304" t="n">
        <v>0</v>
      </c>
      <c r="M304" t="n">
        <v>0</v>
      </c>
      <c r="N304" t="n">
        <v>0</v>
      </c>
      <c r="O304" t="n">
        <v>0</v>
      </c>
      <c r="P304" t="n">
        <v>0</v>
      </c>
      <c r="Q304" t="n">
        <v>0</v>
      </c>
      <c r="R304" s="2" t="inlineStr"/>
    </row>
    <row r="305" ht="15" customHeight="1">
      <c r="A305" t="inlineStr">
        <is>
          <t>A 69411-2021</t>
        </is>
      </c>
      <c r="B305" s="1" t="n">
        <v>44531.61038194445</v>
      </c>
      <c r="C305" s="1" t="n">
        <v>45888</v>
      </c>
      <c r="D305" t="inlineStr">
        <is>
          <t>UPPSALA LÄN</t>
        </is>
      </c>
      <c r="E305" t="inlineStr">
        <is>
          <t>ÖSTHAMMAR</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18088-2025</t>
        </is>
      </c>
      <c r="B306" s="1" t="n">
        <v>45761.53104166667</v>
      </c>
      <c r="C306" s="1" t="n">
        <v>45888</v>
      </c>
      <c r="D306" t="inlineStr">
        <is>
          <t>UPPSALA LÄN</t>
        </is>
      </c>
      <c r="E306" t="inlineStr">
        <is>
          <t>ÖSTHAMMAR</t>
        </is>
      </c>
      <c r="F306" t="inlineStr">
        <is>
          <t>Bergvik skog öst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18095-2025</t>
        </is>
      </c>
      <c r="B307" s="1" t="n">
        <v>45761.54925925926</v>
      </c>
      <c r="C307" s="1" t="n">
        <v>45888</v>
      </c>
      <c r="D307" t="inlineStr">
        <is>
          <t>UPPSALA LÄN</t>
        </is>
      </c>
      <c r="E307" t="inlineStr">
        <is>
          <t>ÖSTHAMMAR</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36904-2023</t>
        </is>
      </c>
      <c r="B308" s="1" t="n">
        <v>45154</v>
      </c>
      <c r="C308" s="1" t="n">
        <v>45888</v>
      </c>
      <c r="D308" t="inlineStr">
        <is>
          <t>UPPSALA LÄN</t>
        </is>
      </c>
      <c r="E308" t="inlineStr">
        <is>
          <t>ÖSTHAMMAR</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13248-2025</t>
        </is>
      </c>
      <c r="B309" s="1" t="n">
        <v>45735</v>
      </c>
      <c r="C309" s="1" t="n">
        <v>45888</v>
      </c>
      <c r="D309" t="inlineStr">
        <is>
          <t>UPPSALA LÄN</t>
        </is>
      </c>
      <c r="E309" t="inlineStr">
        <is>
          <t>ÖSTHAMMAR</t>
        </is>
      </c>
      <c r="F309" t="inlineStr">
        <is>
          <t>Kyrkan</t>
        </is>
      </c>
      <c r="G309" t="n">
        <v>12.2</v>
      </c>
      <c r="H309" t="n">
        <v>0</v>
      </c>
      <c r="I309" t="n">
        <v>0</v>
      </c>
      <c r="J309" t="n">
        <v>0</v>
      </c>
      <c r="K309" t="n">
        <v>0</v>
      </c>
      <c r="L309" t="n">
        <v>0</v>
      </c>
      <c r="M309" t="n">
        <v>0</v>
      </c>
      <c r="N309" t="n">
        <v>0</v>
      </c>
      <c r="O309" t="n">
        <v>0</v>
      </c>
      <c r="P309" t="n">
        <v>0</v>
      </c>
      <c r="Q309" t="n">
        <v>0</v>
      </c>
      <c r="R309" s="2" t="inlineStr"/>
    </row>
    <row r="310" ht="15" customHeight="1">
      <c r="A310" t="inlineStr">
        <is>
          <t>A 1527-2025</t>
        </is>
      </c>
      <c r="B310" s="1" t="n">
        <v>45670</v>
      </c>
      <c r="C310" s="1" t="n">
        <v>45888</v>
      </c>
      <c r="D310" t="inlineStr">
        <is>
          <t>UPPSALA LÄN</t>
        </is>
      </c>
      <c r="E310" t="inlineStr">
        <is>
          <t>ÖSTHAMMAR</t>
        </is>
      </c>
      <c r="F310" t="inlineStr">
        <is>
          <t>Bergvik skog öst AB</t>
        </is>
      </c>
      <c r="G310" t="n">
        <v>7.7</v>
      </c>
      <c r="H310" t="n">
        <v>0</v>
      </c>
      <c r="I310" t="n">
        <v>0</v>
      </c>
      <c r="J310" t="n">
        <v>0</v>
      </c>
      <c r="K310" t="n">
        <v>0</v>
      </c>
      <c r="L310" t="n">
        <v>0</v>
      </c>
      <c r="M310" t="n">
        <v>0</v>
      </c>
      <c r="N310" t="n">
        <v>0</v>
      </c>
      <c r="O310" t="n">
        <v>0</v>
      </c>
      <c r="P310" t="n">
        <v>0</v>
      </c>
      <c r="Q310" t="n">
        <v>0</v>
      </c>
      <c r="R310" s="2" t="inlineStr"/>
    </row>
    <row r="311" ht="15" customHeight="1">
      <c r="A311" t="inlineStr">
        <is>
          <t>A 4304-2025</t>
        </is>
      </c>
      <c r="B311" s="1" t="n">
        <v>45685.68193287037</v>
      </c>
      <c r="C311" s="1" t="n">
        <v>45888</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26303-2024</t>
        </is>
      </c>
      <c r="B312" s="1" t="n">
        <v>45468</v>
      </c>
      <c r="C312" s="1" t="n">
        <v>45888</v>
      </c>
      <c r="D312" t="inlineStr">
        <is>
          <t>UPPSALA LÄN</t>
        </is>
      </c>
      <c r="E312" t="inlineStr">
        <is>
          <t>ÖSTHAMMAR</t>
        </is>
      </c>
      <c r="G312" t="n">
        <v>1.2</v>
      </c>
      <c r="H312" t="n">
        <v>0</v>
      </c>
      <c r="I312" t="n">
        <v>0</v>
      </c>
      <c r="J312" t="n">
        <v>0</v>
      </c>
      <c r="K312" t="n">
        <v>0</v>
      </c>
      <c r="L312" t="n">
        <v>0</v>
      </c>
      <c r="M312" t="n">
        <v>0</v>
      </c>
      <c r="N312" t="n">
        <v>0</v>
      </c>
      <c r="O312" t="n">
        <v>0</v>
      </c>
      <c r="P312" t="n">
        <v>0</v>
      </c>
      <c r="Q312" t="n">
        <v>0</v>
      </c>
      <c r="R312" s="2" t="inlineStr"/>
    </row>
    <row r="313" ht="15" customHeight="1">
      <c r="A313" t="inlineStr">
        <is>
          <t>A 46785-2023</t>
        </is>
      </c>
      <c r="B313" s="1" t="n">
        <v>45198</v>
      </c>
      <c r="C313" s="1" t="n">
        <v>45888</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7100-2025</t>
        </is>
      </c>
      <c r="B314" s="1" t="n">
        <v>45701.83930555556</v>
      </c>
      <c r="C314" s="1" t="n">
        <v>45888</v>
      </c>
      <c r="D314" t="inlineStr">
        <is>
          <t>UPPSALA LÄN</t>
        </is>
      </c>
      <c r="E314" t="inlineStr">
        <is>
          <t>ÖSTHAMMAR</t>
        </is>
      </c>
      <c r="G314" t="n">
        <v>4.3</v>
      </c>
      <c r="H314" t="n">
        <v>0</v>
      </c>
      <c r="I314" t="n">
        <v>0</v>
      </c>
      <c r="J314" t="n">
        <v>0</v>
      </c>
      <c r="K314" t="n">
        <v>0</v>
      </c>
      <c r="L314" t="n">
        <v>0</v>
      </c>
      <c r="M314" t="n">
        <v>0</v>
      </c>
      <c r="N314" t="n">
        <v>0</v>
      </c>
      <c r="O314" t="n">
        <v>0</v>
      </c>
      <c r="P314" t="n">
        <v>0</v>
      </c>
      <c r="Q314" t="n">
        <v>0</v>
      </c>
      <c r="R314" s="2" t="inlineStr"/>
    </row>
    <row r="315" ht="15" customHeight="1">
      <c r="A315" t="inlineStr">
        <is>
          <t>A 61257-2022</t>
        </is>
      </c>
      <c r="B315" s="1" t="n">
        <v>44915.59418981482</v>
      </c>
      <c r="C315" s="1" t="n">
        <v>45888</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7118-2023</t>
        </is>
      </c>
      <c r="B316" s="1" t="n">
        <v>44970.39591435185</v>
      </c>
      <c r="C316" s="1" t="n">
        <v>45888</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53735-2023</t>
        </is>
      </c>
      <c r="B317" s="1" t="n">
        <v>45230.77258101852</v>
      </c>
      <c r="C317" s="1" t="n">
        <v>45888</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60577-2021</t>
        </is>
      </c>
      <c r="B318" s="1" t="n">
        <v>44496.57019675926</v>
      </c>
      <c r="C318" s="1" t="n">
        <v>45888</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38702-2022</t>
        </is>
      </c>
      <c r="B319" s="1" t="n">
        <v>44814.5991087963</v>
      </c>
      <c r="C319" s="1" t="n">
        <v>45888</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10495-2025</t>
        </is>
      </c>
      <c r="B320" s="1" t="n">
        <v>45721</v>
      </c>
      <c r="C320" s="1" t="n">
        <v>45888</v>
      </c>
      <c r="D320" t="inlineStr">
        <is>
          <t>UPPSALA LÄN</t>
        </is>
      </c>
      <c r="E320" t="inlineStr">
        <is>
          <t>ÖSTHAMMAR</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1439-2025</t>
        </is>
      </c>
      <c r="B321" s="1" t="n">
        <v>45669.69075231482</v>
      </c>
      <c r="C321" s="1" t="n">
        <v>45888</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1575-2025</t>
        </is>
      </c>
      <c r="B322" s="1" t="n">
        <v>45670</v>
      </c>
      <c r="C322" s="1" t="n">
        <v>45888</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1791-2023</t>
        </is>
      </c>
      <c r="B323" s="1" t="n">
        <v>44938</v>
      </c>
      <c r="C323" s="1" t="n">
        <v>45888</v>
      </c>
      <c r="D323" t="inlineStr">
        <is>
          <t>UPPSALA LÄN</t>
        </is>
      </c>
      <c r="E323" t="inlineStr">
        <is>
          <t>ÖSTHAMMAR</t>
        </is>
      </c>
      <c r="G323" t="n">
        <v>2</v>
      </c>
      <c r="H323" t="n">
        <v>0</v>
      </c>
      <c r="I323" t="n">
        <v>0</v>
      </c>
      <c r="J323" t="n">
        <v>0</v>
      </c>
      <c r="K323" t="n">
        <v>0</v>
      </c>
      <c r="L323" t="n">
        <v>0</v>
      </c>
      <c r="M323" t="n">
        <v>0</v>
      </c>
      <c r="N323" t="n">
        <v>0</v>
      </c>
      <c r="O323" t="n">
        <v>0</v>
      </c>
      <c r="P323" t="n">
        <v>0</v>
      </c>
      <c r="Q323" t="n">
        <v>0</v>
      </c>
      <c r="R323" s="2" t="inlineStr"/>
    </row>
    <row r="324" ht="15" customHeight="1">
      <c r="A324" t="inlineStr">
        <is>
          <t>A 65361-2020</t>
        </is>
      </c>
      <c r="B324" s="1" t="n">
        <v>44173</v>
      </c>
      <c r="C324" s="1" t="n">
        <v>45888</v>
      </c>
      <c r="D324" t="inlineStr">
        <is>
          <t>UPPSALA LÄN</t>
        </is>
      </c>
      <c r="E324" t="inlineStr">
        <is>
          <t>ÖSTHAMMAR</t>
        </is>
      </c>
      <c r="G324" t="n">
        <v>3.6</v>
      </c>
      <c r="H324" t="n">
        <v>0</v>
      </c>
      <c r="I324" t="n">
        <v>0</v>
      </c>
      <c r="J324" t="n">
        <v>0</v>
      </c>
      <c r="K324" t="n">
        <v>0</v>
      </c>
      <c r="L324" t="n">
        <v>0</v>
      </c>
      <c r="M324" t="n">
        <v>0</v>
      </c>
      <c r="N324" t="n">
        <v>0</v>
      </c>
      <c r="O324" t="n">
        <v>0</v>
      </c>
      <c r="P324" t="n">
        <v>0</v>
      </c>
      <c r="Q324" t="n">
        <v>0</v>
      </c>
      <c r="R324" s="2" t="inlineStr"/>
    </row>
    <row r="325" ht="15" customHeight="1">
      <c r="A325" t="inlineStr">
        <is>
          <t>A 49796-2024</t>
        </is>
      </c>
      <c r="B325" s="1" t="n">
        <v>45597</v>
      </c>
      <c r="C325" s="1" t="n">
        <v>45888</v>
      </c>
      <c r="D325" t="inlineStr">
        <is>
          <t>UPPSALA LÄN</t>
        </is>
      </c>
      <c r="E325" t="inlineStr">
        <is>
          <t>ÖSTHAMMAR</t>
        </is>
      </c>
      <c r="G325" t="n">
        <v>1.3</v>
      </c>
      <c r="H325" t="n">
        <v>0</v>
      </c>
      <c r="I325" t="n">
        <v>0</v>
      </c>
      <c r="J325" t="n">
        <v>0</v>
      </c>
      <c r="K325" t="n">
        <v>0</v>
      </c>
      <c r="L325" t="n">
        <v>0</v>
      </c>
      <c r="M325" t="n">
        <v>0</v>
      </c>
      <c r="N325" t="n">
        <v>0</v>
      </c>
      <c r="O325" t="n">
        <v>0</v>
      </c>
      <c r="P325" t="n">
        <v>0</v>
      </c>
      <c r="Q325" t="n">
        <v>0</v>
      </c>
      <c r="R325" s="2" t="inlineStr"/>
    </row>
    <row r="326" ht="15" customHeight="1">
      <c r="A326" t="inlineStr">
        <is>
          <t>A 21133-2025</t>
        </is>
      </c>
      <c r="B326" s="1" t="n">
        <v>45778.415625</v>
      </c>
      <c r="C326" s="1" t="n">
        <v>45888</v>
      </c>
      <c r="D326" t="inlineStr">
        <is>
          <t>UPPSALA LÄN</t>
        </is>
      </c>
      <c r="E326" t="inlineStr">
        <is>
          <t>ÖSTHAMMAR</t>
        </is>
      </c>
      <c r="G326" t="n">
        <v>1.5</v>
      </c>
      <c r="H326" t="n">
        <v>0</v>
      </c>
      <c r="I326" t="n">
        <v>0</v>
      </c>
      <c r="J326" t="n">
        <v>0</v>
      </c>
      <c r="K326" t="n">
        <v>0</v>
      </c>
      <c r="L326" t="n">
        <v>0</v>
      </c>
      <c r="M326" t="n">
        <v>0</v>
      </c>
      <c r="N326" t="n">
        <v>0</v>
      </c>
      <c r="O326" t="n">
        <v>0</v>
      </c>
      <c r="P326" t="n">
        <v>0</v>
      </c>
      <c r="Q326" t="n">
        <v>0</v>
      </c>
      <c r="R326" s="2" t="inlineStr"/>
    </row>
    <row r="327" ht="15" customHeight="1">
      <c r="A327" t="inlineStr">
        <is>
          <t>A 21132-2025</t>
        </is>
      </c>
      <c r="B327" s="1" t="n">
        <v>45778.4108912037</v>
      </c>
      <c r="C327" s="1" t="n">
        <v>45888</v>
      </c>
      <c r="D327" t="inlineStr">
        <is>
          <t>UPPSALA LÄN</t>
        </is>
      </c>
      <c r="E327" t="inlineStr">
        <is>
          <t>ÖSTHAMMAR</t>
        </is>
      </c>
      <c r="G327" t="n">
        <v>10.1</v>
      </c>
      <c r="H327" t="n">
        <v>0</v>
      </c>
      <c r="I327" t="n">
        <v>0</v>
      </c>
      <c r="J327" t="n">
        <v>0</v>
      </c>
      <c r="K327" t="n">
        <v>0</v>
      </c>
      <c r="L327" t="n">
        <v>0</v>
      </c>
      <c r="M327" t="n">
        <v>0</v>
      </c>
      <c r="N327" t="n">
        <v>0</v>
      </c>
      <c r="O327" t="n">
        <v>0</v>
      </c>
      <c r="P327" t="n">
        <v>0</v>
      </c>
      <c r="Q327" t="n">
        <v>0</v>
      </c>
      <c r="R327" s="2" t="inlineStr"/>
    </row>
    <row r="328" ht="15" customHeight="1">
      <c r="A328" t="inlineStr">
        <is>
          <t>A 38571-2023</t>
        </is>
      </c>
      <c r="B328" s="1" t="n">
        <v>45162.6177662037</v>
      </c>
      <c r="C328" s="1" t="n">
        <v>45888</v>
      </c>
      <c r="D328" t="inlineStr">
        <is>
          <t>UPPSALA LÄN</t>
        </is>
      </c>
      <c r="E328" t="inlineStr">
        <is>
          <t>ÖSTHAMMAR</t>
        </is>
      </c>
      <c r="F328" t="inlineStr">
        <is>
          <t>Bergvik skog öst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5884-2023</t>
        </is>
      </c>
      <c r="B329" s="1" t="n">
        <v>44963</v>
      </c>
      <c r="C329" s="1" t="n">
        <v>45888</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12654-2025</t>
        </is>
      </c>
      <c r="B330" s="1" t="n">
        <v>45733.41601851852</v>
      </c>
      <c r="C330" s="1" t="n">
        <v>45888</v>
      </c>
      <c r="D330" t="inlineStr">
        <is>
          <t>UPPSALA LÄN</t>
        </is>
      </c>
      <c r="E330" t="inlineStr">
        <is>
          <t>ÖSTHAMMAR</t>
        </is>
      </c>
      <c r="G330" t="n">
        <v>9.9</v>
      </c>
      <c r="H330" t="n">
        <v>0</v>
      </c>
      <c r="I330" t="n">
        <v>0</v>
      </c>
      <c r="J330" t="n">
        <v>0</v>
      </c>
      <c r="K330" t="n">
        <v>0</v>
      </c>
      <c r="L330" t="n">
        <v>0</v>
      </c>
      <c r="M330" t="n">
        <v>0</v>
      </c>
      <c r="N330" t="n">
        <v>0</v>
      </c>
      <c r="O330" t="n">
        <v>0</v>
      </c>
      <c r="P330" t="n">
        <v>0</v>
      </c>
      <c r="Q330" t="n">
        <v>0</v>
      </c>
      <c r="R330" s="2" t="inlineStr"/>
    </row>
    <row r="331" ht="15" customHeight="1">
      <c r="A331" t="inlineStr">
        <is>
          <t>A 42262-2024</t>
        </is>
      </c>
      <c r="B331" s="1" t="n">
        <v>45562</v>
      </c>
      <c r="C331" s="1" t="n">
        <v>45888</v>
      </c>
      <c r="D331" t="inlineStr">
        <is>
          <t>UPPSALA LÄN</t>
        </is>
      </c>
      <c r="E331" t="inlineStr">
        <is>
          <t>ÖSTHAMMAR</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52650-2022</t>
        </is>
      </c>
      <c r="B332" s="1" t="n">
        <v>44874</v>
      </c>
      <c r="C332" s="1" t="n">
        <v>45888</v>
      </c>
      <c r="D332" t="inlineStr">
        <is>
          <t>UPPSALA LÄN</t>
        </is>
      </c>
      <c r="E332" t="inlineStr">
        <is>
          <t>ÖSTHAMMAR</t>
        </is>
      </c>
      <c r="F332" t="inlineStr">
        <is>
          <t>Bergvik skog öst AB</t>
        </is>
      </c>
      <c r="G332" t="n">
        <v>0.4</v>
      </c>
      <c r="H332" t="n">
        <v>0</v>
      </c>
      <c r="I332" t="n">
        <v>0</v>
      </c>
      <c r="J332" t="n">
        <v>0</v>
      </c>
      <c r="K332" t="n">
        <v>0</v>
      </c>
      <c r="L332" t="n">
        <v>0</v>
      </c>
      <c r="M332" t="n">
        <v>0</v>
      </c>
      <c r="N332" t="n">
        <v>0</v>
      </c>
      <c r="O332" t="n">
        <v>0</v>
      </c>
      <c r="P332" t="n">
        <v>0</v>
      </c>
      <c r="Q332" t="n">
        <v>0</v>
      </c>
      <c r="R332" s="2" t="inlineStr"/>
    </row>
    <row r="333" ht="15" customHeight="1">
      <c r="A333" t="inlineStr">
        <is>
          <t>A 32778-2023</t>
        </is>
      </c>
      <c r="B333" s="1" t="n">
        <v>45123.88789351852</v>
      </c>
      <c r="C333" s="1" t="n">
        <v>45888</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44807-2024</t>
        </is>
      </c>
      <c r="B334" s="1" t="n">
        <v>45574.65427083334</v>
      </c>
      <c r="C334" s="1" t="n">
        <v>45888</v>
      </c>
      <c r="D334" t="inlineStr">
        <is>
          <t>UPPSALA LÄN</t>
        </is>
      </c>
      <c r="E334" t="inlineStr">
        <is>
          <t>ÖSTHAMMAR</t>
        </is>
      </c>
      <c r="G334" t="n">
        <v>2.9</v>
      </c>
      <c r="H334" t="n">
        <v>0</v>
      </c>
      <c r="I334" t="n">
        <v>0</v>
      </c>
      <c r="J334" t="n">
        <v>0</v>
      </c>
      <c r="K334" t="n">
        <v>0</v>
      </c>
      <c r="L334" t="n">
        <v>0</v>
      </c>
      <c r="M334" t="n">
        <v>0</v>
      </c>
      <c r="N334" t="n">
        <v>0</v>
      </c>
      <c r="O334" t="n">
        <v>0</v>
      </c>
      <c r="P334" t="n">
        <v>0</v>
      </c>
      <c r="Q334" t="n">
        <v>0</v>
      </c>
      <c r="R334" s="2" t="inlineStr"/>
    </row>
    <row r="335" ht="15" customHeight="1">
      <c r="A335" t="inlineStr">
        <is>
          <t>A 44832-2024</t>
        </is>
      </c>
      <c r="B335" s="1" t="n">
        <v>45574.68994212963</v>
      </c>
      <c r="C335" s="1" t="n">
        <v>45888</v>
      </c>
      <c r="D335" t="inlineStr">
        <is>
          <t>UPPSALA LÄN</t>
        </is>
      </c>
      <c r="E335" t="inlineStr">
        <is>
          <t>ÖSTHAMMAR</t>
        </is>
      </c>
      <c r="G335" t="n">
        <v>6.6</v>
      </c>
      <c r="H335" t="n">
        <v>0</v>
      </c>
      <c r="I335" t="n">
        <v>0</v>
      </c>
      <c r="J335" t="n">
        <v>0</v>
      </c>
      <c r="K335" t="n">
        <v>0</v>
      </c>
      <c r="L335" t="n">
        <v>0</v>
      </c>
      <c r="M335" t="n">
        <v>0</v>
      </c>
      <c r="N335" t="n">
        <v>0</v>
      </c>
      <c r="O335" t="n">
        <v>0</v>
      </c>
      <c r="P335" t="n">
        <v>0</v>
      </c>
      <c r="Q335" t="n">
        <v>0</v>
      </c>
      <c r="R335" s="2" t="inlineStr"/>
    </row>
    <row r="336" ht="15" customHeight="1">
      <c r="A336" t="inlineStr">
        <is>
          <t>A 59731-2023</t>
        </is>
      </c>
      <c r="B336" s="1" t="n">
        <v>45257</v>
      </c>
      <c r="C336" s="1" t="n">
        <v>45888</v>
      </c>
      <c r="D336" t="inlineStr">
        <is>
          <t>UPPSALA LÄN</t>
        </is>
      </c>
      <c r="E336" t="inlineStr">
        <is>
          <t>ÖSTHAMMAR</t>
        </is>
      </c>
      <c r="G336" t="n">
        <v>0.7</v>
      </c>
      <c r="H336" t="n">
        <v>0</v>
      </c>
      <c r="I336" t="n">
        <v>0</v>
      </c>
      <c r="J336" t="n">
        <v>0</v>
      </c>
      <c r="K336" t="n">
        <v>0</v>
      </c>
      <c r="L336" t="n">
        <v>0</v>
      </c>
      <c r="M336" t="n">
        <v>0</v>
      </c>
      <c r="N336" t="n">
        <v>0</v>
      </c>
      <c r="O336" t="n">
        <v>0</v>
      </c>
      <c r="P336" t="n">
        <v>0</v>
      </c>
      <c r="Q336" t="n">
        <v>0</v>
      </c>
      <c r="R336" s="2" t="inlineStr"/>
    </row>
    <row r="337" ht="15" customHeight="1">
      <c r="A337" t="inlineStr">
        <is>
          <t>A 1436-2025</t>
        </is>
      </c>
      <c r="B337" s="1" t="n">
        <v>45669.67625</v>
      </c>
      <c r="C337" s="1" t="n">
        <v>45888</v>
      </c>
      <c r="D337" t="inlineStr">
        <is>
          <t>UPPSALA LÄN</t>
        </is>
      </c>
      <c r="E337" t="inlineStr">
        <is>
          <t>ÖSTHAMMAR</t>
        </is>
      </c>
      <c r="G337" t="n">
        <v>0.6</v>
      </c>
      <c r="H337" t="n">
        <v>0</v>
      </c>
      <c r="I337" t="n">
        <v>0</v>
      </c>
      <c r="J337" t="n">
        <v>0</v>
      </c>
      <c r="K337" t="n">
        <v>0</v>
      </c>
      <c r="L337" t="n">
        <v>0</v>
      </c>
      <c r="M337" t="n">
        <v>0</v>
      </c>
      <c r="N337" t="n">
        <v>0</v>
      </c>
      <c r="O337" t="n">
        <v>0</v>
      </c>
      <c r="P337" t="n">
        <v>0</v>
      </c>
      <c r="Q337" t="n">
        <v>0</v>
      </c>
      <c r="R337" s="2" t="inlineStr"/>
    </row>
    <row r="338" ht="15" customHeight="1">
      <c r="A338" t="inlineStr">
        <is>
          <t>A 1525-2025</t>
        </is>
      </c>
      <c r="B338" s="1" t="n">
        <v>45670.47300925926</v>
      </c>
      <c r="C338" s="1" t="n">
        <v>45888</v>
      </c>
      <c r="D338" t="inlineStr">
        <is>
          <t>UPPSALA LÄN</t>
        </is>
      </c>
      <c r="E338" t="inlineStr">
        <is>
          <t>ÖSTHAMMAR</t>
        </is>
      </c>
      <c r="F338" t="inlineStr">
        <is>
          <t>Bergvik skog öst AB</t>
        </is>
      </c>
      <c r="G338" t="n">
        <v>2</v>
      </c>
      <c r="H338" t="n">
        <v>0</v>
      </c>
      <c r="I338" t="n">
        <v>0</v>
      </c>
      <c r="J338" t="n">
        <v>0</v>
      </c>
      <c r="K338" t="n">
        <v>0</v>
      </c>
      <c r="L338" t="n">
        <v>0</v>
      </c>
      <c r="M338" t="n">
        <v>0</v>
      </c>
      <c r="N338" t="n">
        <v>0</v>
      </c>
      <c r="O338" t="n">
        <v>0</v>
      </c>
      <c r="P338" t="n">
        <v>0</v>
      </c>
      <c r="Q338" t="n">
        <v>0</v>
      </c>
      <c r="R338" s="2" t="inlineStr"/>
    </row>
    <row r="339" ht="15" customHeight="1">
      <c r="A339" t="inlineStr">
        <is>
          <t>A 8904-2025</t>
        </is>
      </c>
      <c r="B339" s="1" t="n">
        <v>45713.41577546296</v>
      </c>
      <c r="C339" s="1" t="n">
        <v>45888</v>
      </c>
      <c r="D339" t="inlineStr">
        <is>
          <t>UPPSALA LÄN</t>
        </is>
      </c>
      <c r="E339" t="inlineStr">
        <is>
          <t>ÖSTHAMMAR</t>
        </is>
      </c>
      <c r="F339" t="inlineStr">
        <is>
          <t>Bergvik skog öst AB</t>
        </is>
      </c>
      <c r="G339" t="n">
        <v>3.1</v>
      </c>
      <c r="H339" t="n">
        <v>0</v>
      </c>
      <c r="I339" t="n">
        <v>0</v>
      </c>
      <c r="J339" t="n">
        <v>0</v>
      </c>
      <c r="K339" t="n">
        <v>0</v>
      </c>
      <c r="L339" t="n">
        <v>0</v>
      </c>
      <c r="M339" t="n">
        <v>0</v>
      </c>
      <c r="N339" t="n">
        <v>0</v>
      </c>
      <c r="O339" t="n">
        <v>0</v>
      </c>
      <c r="P339" t="n">
        <v>0</v>
      </c>
      <c r="Q339" t="n">
        <v>0</v>
      </c>
      <c r="R339" s="2" t="inlineStr"/>
    </row>
    <row r="340" ht="15" customHeight="1">
      <c r="A340" t="inlineStr">
        <is>
          <t>A 46423-2020</t>
        </is>
      </c>
      <c r="B340" s="1" t="n">
        <v>44095</v>
      </c>
      <c r="C340" s="1" t="n">
        <v>45888</v>
      </c>
      <c r="D340" t="inlineStr">
        <is>
          <t>UPPSALA LÄN</t>
        </is>
      </c>
      <c r="E340" t="inlineStr">
        <is>
          <t>ÖSTHAMMAR</t>
        </is>
      </c>
      <c r="G340" t="n">
        <v>3</v>
      </c>
      <c r="H340" t="n">
        <v>0</v>
      </c>
      <c r="I340" t="n">
        <v>0</v>
      </c>
      <c r="J340" t="n">
        <v>0</v>
      </c>
      <c r="K340" t="n">
        <v>0</v>
      </c>
      <c r="L340" t="n">
        <v>0</v>
      </c>
      <c r="M340" t="n">
        <v>0</v>
      </c>
      <c r="N340" t="n">
        <v>0</v>
      </c>
      <c r="O340" t="n">
        <v>0</v>
      </c>
      <c r="P340" t="n">
        <v>0</v>
      </c>
      <c r="Q340" t="n">
        <v>0</v>
      </c>
      <c r="R340" s="2" t="inlineStr"/>
    </row>
    <row r="341" ht="15" customHeight="1">
      <c r="A341" t="inlineStr">
        <is>
          <t>A 28228-2022</t>
        </is>
      </c>
      <c r="B341" s="1" t="n">
        <v>44746.65873842593</v>
      </c>
      <c r="C341" s="1" t="n">
        <v>45888</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24367-2022</t>
        </is>
      </c>
      <c r="B342" s="1" t="n">
        <v>44726.42716435185</v>
      </c>
      <c r="C342" s="1" t="n">
        <v>45888</v>
      </c>
      <c r="D342" t="inlineStr">
        <is>
          <t>UPPSALA LÄN</t>
        </is>
      </c>
      <c r="E342" t="inlineStr">
        <is>
          <t>ÖSTHAMMAR</t>
        </is>
      </c>
      <c r="G342" t="n">
        <v>2.7</v>
      </c>
      <c r="H342" t="n">
        <v>0</v>
      </c>
      <c r="I342" t="n">
        <v>0</v>
      </c>
      <c r="J342" t="n">
        <v>0</v>
      </c>
      <c r="K342" t="n">
        <v>0</v>
      </c>
      <c r="L342" t="n">
        <v>0</v>
      </c>
      <c r="M342" t="n">
        <v>0</v>
      </c>
      <c r="N342" t="n">
        <v>0</v>
      </c>
      <c r="O342" t="n">
        <v>0</v>
      </c>
      <c r="P342" t="n">
        <v>0</v>
      </c>
      <c r="Q342" t="n">
        <v>0</v>
      </c>
      <c r="R342" s="2" t="inlineStr"/>
    </row>
    <row r="343" ht="15" customHeight="1">
      <c r="A343" t="inlineStr">
        <is>
          <t>A 5933-2022</t>
        </is>
      </c>
      <c r="B343" s="1" t="n">
        <v>44598.82957175926</v>
      </c>
      <c r="C343" s="1" t="n">
        <v>45888</v>
      </c>
      <c r="D343" t="inlineStr">
        <is>
          <t>UPPSALA LÄN</t>
        </is>
      </c>
      <c r="E343" t="inlineStr">
        <is>
          <t>ÖSTHAMMAR</t>
        </is>
      </c>
      <c r="F343" t="inlineStr">
        <is>
          <t>Bergvik skog öst AB</t>
        </is>
      </c>
      <c r="G343" t="n">
        <v>1.4</v>
      </c>
      <c r="H343" t="n">
        <v>0</v>
      </c>
      <c r="I343" t="n">
        <v>0</v>
      </c>
      <c r="J343" t="n">
        <v>0</v>
      </c>
      <c r="K343" t="n">
        <v>0</v>
      </c>
      <c r="L343" t="n">
        <v>0</v>
      </c>
      <c r="M343" t="n">
        <v>0</v>
      </c>
      <c r="N343" t="n">
        <v>0</v>
      </c>
      <c r="O343" t="n">
        <v>0</v>
      </c>
      <c r="P343" t="n">
        <v>0</v>
      </c>
      <c r="Q343" t="n">
        <v>0</v>
      </c>
      <c r="R343" s="2" t="inlineStr"/>
    </row>
    <row r="344" ht="15" customHeight="1">
      <c r="A344" t="inlineStr">
        <is>
          <t>A 49831-2023</t>
        </is>
      </c>
      <c r="B344" s="1" t="n">
        <v>45212.71241898148</v>
      </c>
      <c r="C344" s="1" t="n">
        <v>45888</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35316-2024</t>
        </is>
      </c>
      <c r="B345" s="1" t="n">
        <v>45530.68873842592</v>
      </c>
      <c r="C345" s="1" t="n">
        <v>45888</v>
      </c>
      <c r="D345" t="inlineStr">
        <is>
          <t>UPPSALA LÄN</t>
        </is>
      </c>
      <c r="E345" t="inlineStr">
        <is>
          <t>ÖSTHAMMAR</t>
        </is>
      </c>
      <c r="F345" t="inlineStr">
        <is>
          <t>Bergvik skog öst AB</t>
        </is>
      </c>
      <c r="G345" t="n">
        <v>2.1</v>
      </c>
      <c r="H345" t="n">
        <v>0</v>
      </c>
      <c r="I345" t="n">
        <v>0</v>
      </c>
      <c r="J345" t="n">
        <v>0</v>
      </c>
      <c r="K345" t="n">
        <v>0</v>
      </c>
      <c r="L345" t="n">
        <v>0</v>
      </c>
      <c r="M345" t="n">
        <v>0</v>
      </c>
      <c r="N345" t="n">
        <v>0</v>
      </c>
      <c r="O345" t="n">
        <v>0</v>
      </c>
      <c r="P345" t="n">
        <v>0</v>
      </c>
      <c r="Q345" t="n">
        <v>0</v>
      </c>
      <c r="R345" s="2" t="inlineStr"/>
    </row>
    <row r="346" ht="15" customHeight="1">
      <c r="A346" t="inlineStr">
        <is>
          <t>A 20072-2025</t>
        </is>
      </c>
      <c r="B346" s="1" t="n">
        <v>45772</v>
      </c>
      <c r="C346" s="1" t="n">
        <v>45888</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64774-2023</t>
        </is>
      </c>
      <c r="B347" s="1" t="n">
        <v>45282</v>
      </c>
      <c r="C347" s="1" t="n">
        <v>45888</v>
      </c>
      <c r="D347" t="inlineStr">
        <is>
          <t>UPPSALA LÄN</t>
        </is>
      </c>
      <c r="E347" t="inlineStr">
        <is>
          <t>ÖSTHAMMAR</t>
        </is>
      </c>
      <c r="F347" t="inlineStr">
        <is>
          <t>Övriga Aktiebolag</t>
        </is>
      </c>
      <c r="G347" t="n">
        <v>3.7</v>
      </c>
      <c r="H347" t="n">
        <v>0</v>
      </c>
      <c r="I347" t="n">
        <v>0</v>
      </c>
      <c r="J347" t="n">
        <v>0</v>
      </c>
      <c r="K347" t="n">
        <v>0</v>
      </c>
      <c r="L347" t="n">
        <v>0</v>
      </c>
      <c r="M347" t="n">
        <v>0</v>
      </c>
      <c r="N347" t="n">
        <v>0</v>
      </c>
      <c r="O347" t="n">
        <v>0</v>
      </c>
      <c r="P347" t="n">
        <v>0</v>
      </c>
      <c r="Q347" t="n">
        <v>0</v>
      </c>
      <c r="R347" s="2" t="inlineStr"/>
    </row>
    <row r="348" ht="15" customHeight="1">
      <c r="A348" t="inlineStr">
        <is>
          <t>A 45561-2023</t>
        </is>
      </c>
      <c r="B348" s="1" t="n">
        <v>45194.59335648148</v>
      </c>
      <c r="C348" s="1" t="n">
        <v>45888</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16212-2021</t>
        </is>
      </c>
      <c r="B349" s="1" t="n">
        <v>44287</v>
      </c>
      <c r="C349" s="1" t="n">
        <v>45888</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27308-2023</t>
        </is>
      </c>
      <c r="B350" s="1" t="n">
        <v>45096.65381944444</v>
      </c>
      <c r="C350" s="1" t="n">
        <v>45888</v>
      </c>
      <c r="D350" t="inlineStr">
        <is>
          <t>UPPSALA LÄN</t>
        </is>
      </c>
      <c r="E350" t="inlineStr">
        <is>
          <t>ÖSTHAMMAR</t>
        </is>
      </c>
      <c r="F350" t="inlineStr">
        <is>
          <t>Bergvik skog öst AB</t>
        </is>
      </c>
      <c r="G350" t="n">
        <v>2.4</v>
      </c>
      <c r="H350" t="n">
        <v>0</v>
      </c>
      <c r="I350" t="n">
        <v>0</v>
      </c>
      <c r="J350" t="n">
        <v>0</v>
      </c>
      <c r="K350" t="n">
        <v>0</v>
      </c>
      <c r="L350" t="n">
        <v>0</v>
      </c>
      <c r="M350" t="n">
        <v>0</v>
      </c>
      <c r="N350" t="n">
        <v>0</v>
      </c>
      <c r="O350" t="n">
        <v>0</v>
      </c>
      <c r="P350" t="n">
        <v>0</v>
      </c>
      <c r="Q350" t="n">
        <v>0</v>
      </c>
      <c r="R350" s="2" t="inlineStr"/>
    </row>
    <row r="351" ht="15" customHeight="1">
      <c r="A351" t="inlineStr">
        <is>
          <t>A 5254-2025</t>
        </is>
      </c>
      <c r="B351" s="1" t="n">
        <v>45692</v>
      </c>
      <c r="C351" s="1" t="n">
        <v>45888</v>
      </c>
      <c r="D351" t="inlineStr">
        <is>
          <t>UPPSALA LÄN</t>
        </is>
      </c>
      <c r="E351" t="inlineStr">
        <is>
          <t>ÖSTHAMMAR</t>
        </is>
      </c>
      <c r="G351" t="n">
        <v>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45888</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11036-2023</t>
        </is>
      </c>
      <c r="B353" s="1" t="n">
        <v>44991.9321412037</v>
      </c>
      <c r="C353" s="1" t="n">
        <v>45888</v>
      </c>
      <c r="D353" t="inlineStr">
        <is>
          <t>UPPSALA LÄN</t>
        </is>
      </c>
      <c r="E353" t="inlineStr">
        <is>
          <t>ÖSTHAMMAR</t>
        </is>
      </c>
      <c r="F353" t="inlineStr">
        <is>
          <t>Bergvik skog öst AB</t>
        </is>
      </c>
      <c r="G353" t="n">
        <v>3</v>
      </c>
      <c r="H353" t="n">
        <v>0</v>
      </c>
      <c r="I353" t="n">
        <v>0</v>
      </c>
      <c r="J353" t="n">
        <v>0</v>
      </c>
      <c r="K353" t="n">
        <v>0</v>
      </c>
      <c r="L353" t="n">
        <v>0</v>
      </c>
      <c r="M353" t="n">
        <v>0</v>
      </c>
      <c r="N353" t="n">
        <v>0</v>
      </c>
      <c r="O353" t="n">
        <v>0</v>
      </c>
      <c r="P353" t="n">
        <v>0</v>
      </c>
      <c r="Q353" t="n">
        <v>0</v>
      </c>
      <c r="R353" s="2" t="inlineStr"/>
    </row>
    <row r="354" ht="15" customHeight="1">
      <c r="A354" t="inlineStr">
        <is>
          <t>A 25859-2024</t>
        </is>
      </c>
      <c r="B354" s="1" t="n">
        <v>45467</v>
      </c>
      <c r="C354" s="1" t="n">
        <v>45888</v>
      </c>
      <c r="D354" t="inlineStr">
        <is>
          <t>UPPSALA LÄN</t>
        </is>
      </c>
      <c r="E354" t="inlineStr">
        <is>
          <t>ÖSTHAMMAR</t>
        </is>
      </c>
      <c r="G354" t="n">
        <v>7.9</v>
      </c>
      <c r="H354" t="n">
        <v>0</v>
      </c>
      <c r="I354" t="n">
        <v>0</v>
      </c>
      <c r="J354" t="n">
        <v>0</v>
      </c>
      <c r="K354" t="n">
        <v>0</v>
      </c>
      <c r="L354" t="n">
        <v>0</v>
      </c>
      <c r="M354" t="n">
        <v>0</v>
      </c>
      <c r="N354" t="n">
        <v>0</v>
      </c>
      <c r="O354" t="n">
        <v>0</v>
      </c>
      <c r="P354" t="n">
        <v>0</v>
      </c>
      <c r="Q354" t="n">
        <v>0</v>
      </c>
      <c r="R354" s="2" t="inlineStr"/>
    </row>
    <row r="355" ht="15" customHeight="1">
      <c r="A355" t="inlineStr">
        <is>
          <t>A 29873-2023</t>
        </is>
      </c>
      <c r="B355" s="1" t="n">
        <v>45107</v>
      </c>
      <c r="C355" s="1" t="n">
        <v>45888</v>
      </c>
      <c r="D355" t="inlineStr">
        <is>
          <t>UPPSALA LÄN</t>
        </is>
      </c>
      <c r="E355" t="inlineStr">
        <is>
          <t>ÖSTHAMMAR</t>
        </is>
      </c>
      <c r="F355" t="inlineStr">
        <is>
          <t>Naturvårdsverket</t>
        </is>
      </c>
      <c r="G355" t="n">
        <v>7.8</v>
      </c>
      <c r="H355" t="n">
        <v>0</v>
      </c>
      <c r="I355" t="n">
        <v>0</v>
      </c>
      <c r="J355" t="n">
        <v>0</v>
      </c>
      <c r="K355" t="n">
        <v>0</v>
      </c>
      <c r="L355" t="n">
        <v>0</v>
      </c>
      <c r="M355" t="n">
        <v>0</v>
      </c>
      <c r="N355" t="n">
        <v>0</v>
      </c>
      <c r="O355" t="n">
        <v>0</v>
      </c>
      <c r="P355" t="n">
        <v>0</v>
      </c>
      <c r="Q355" t="n">
        <v>0</v>
      </c>
      <c r="R355" s="2" t="inlineStr"/>
    </row>
    <row r="356" ht="15" customHeight="1">
      <c r="A356" t="inlineStr">
        <is>
          <t>A 36954-2024</t>
        </is>
      </c>
      <c r="B356" s="1" t="n">
        <v>45538.71109953704</v>
      </c>
      <c r="C356" s="1" t="n">
        <v>45888</v>
      </c>
      <c r="D356" t="inlineStr">
        <is>
          <t>UPPSALA LÄN</t>
        </is>
      </c>
      <c r="E356" t="inlineStr">
        <is>
          <t>ÖSTHAMMAR</t>
        </is>
      </c>
      <c r="F356" t="inlineStr">
        <is>
          <t>Bergvik skog öst AB</t>
        </is>
      </c>
      <c r="G356" t="n">
        <v>5.1</v>
      </c>
      <c r="H356" t="n">
        <v>0</v>
      </c>
      <c r="I356" t="n">
        <v>0</v>
      </c>
      <c r="J356" t="n">
        <v>0</v>
      </c>
      <c r="K356" t="n">
        <v>0</v>
      </c>
      <c r="L356" t="n">
        <v>0</v>
      </c>
      <c r="M356" t="n">
        <v>0</v>
      </c>
      <c r="N356" t="n">
        <v>0</v>
      </c>
      <c r="O356" t="n">
        <v>0</v>
      </c>
      <c r="P356" t="n">
        <v>0</v>
      </c>
      <c r="Q356" t="n">
        <v>0</v>
      </c>
      <c r="R356" s="2" t="inlineStr"/>
    </row>
    <row r="357" ht="15" customHeight="1">
      <c r="A357" t="inlineStr">
        <is>
          <t>A 33685-2024</t>
        </is>
      </c>
      <c r="B357" s="1" t="n">
        <v>45520.51063657407</v>
      </c>
      <c r="C357" s="1" t="n">
        <v>45888</v>
      </c>
      <c r="D357" t="inlineStr">
        <is>
          <t>UPPSALA LÄN</t>
        </is>
      </c>
      <c r="E357" t="inlineStr">
        <is>
          <t>ÖSTHAMMAR</t>
        </is>
      </c>
      <c r="F357" t="inlineStr">
        <is>
          <t>Bergvik skog öst AB</t>
        </is>
      </c>
      <c r="G357" t="n">
        <v>3.8</v>
      </c>
      <c r="H357" t="n">
        <v>0</v>
      </c>
      <c r="I357" t="n">
        <v>0</v>
      </c>
      <c r="J357" t="n">
        <v>0</v>
      </c>
      <c r="K357" t="n">
        <v>0</v>
      </c>
      <c r="L357" t="n">
        <v>0</v>
      </c>
      <c r="M357" t="n">
        <v>0</v>
      </c>
      <c r="N357" t="n">
        <v>0</v>
      </c>
      <c r="O357" t="n">
        <v>0</v>
      </c>
      <c r="P357" t="n">
        <v>0</v>
      </c>
      <c r="Q357" t="n">
        <v>0</v>
      </c>
      <c r="R357" s="2" t="inlineStr"/>
    </row>
    <row r="358" ht="15" customHeight="1">
      <c r="A358" t="inlineStr">
        <is>
          <t>A 43655-2024</t>
        </is>
      </c>
      <c r="B358" s="1" t="n">
        <v>45569</v>
      </c>
      <c r="C358" s="1" t="n">
        <v>45888</v>
      </c>
      <c r="D358" t="inlineStr">
        <is>
          <t>UPPSALA LÄN</t>
        </is>
      </c>
      <c r="E358" t="inlineStr">
        <is>
          <t>ÖSTHAMMAR</t>
        </is>
      </c>
      <c r="G358" t="n">
        <v>2.1</v>
      </c>
      <c r="H358" t="n">
        <v>0</v>
      </c>
      <c r="I358" t="n">
        <v>0</v>
      </c>
      <c r="J358" t="n">
        <v>0</v>
      </c>
      <c r="K358" t="n">
        <v>0</v>
      </c>
      <c r="L358" t="n">
        <v>0</v>
      </c>
      <c r="M358" t="n">
        <v>0</v>
      </c>
      <c r="N358" t="n">
        <v>0</v>
      </c>
      <c r="O358" t="n">
        <v>0</v>
      </c>
      <c r="P358" t="n">
        <v>0</v>
      </c>
      <c r="Q358" t="n">
        <v>0</v>
      </c>
      <c r="R358" s="2" t="inlineStr"/>
    </row>
    <row r="359" ht="15" customHeight="1">
      <c r="A359" t="inlineStr">
        <is>
          <t>A 61062-2023</t>
        </is>
      </c>
      <c r="B359" s="1" t="n">
        <v>45259</v>
      </c>
      <c r="C359" s="1" t="n">
        <v>45888</v>
      </c>
      <c r="D359" t="inlineStr">
        <is>
          <t>UPPSALA LÄN</t>
        </is>
      </c>
      <c r="E359" t="inlineStr">
        <is>
          <t>ÖSTHAMMAR</t>
        </is>
      </c>
      <c r="G359" t="n">
        <v>5.3</v>
      </c>
      <c r="H359" t="n">
        <v>0</v>
      </c>
      <c r="I359" t="n">
        <v>0</v>
      </c>
      <c r="J359" t="n">
        <v>0</v>
      </c>
      <c r="K359" t="n">
        <v>0</v>
      </c>
      <c r="L359" t="n">
        <v>0</v>
      </c>
      <c r="M359" t="n">
        <v>0</v>
      </c>
      <c r="N359" t="n">
        <v>0</v>
      </c>
      <c r="O359" t="n">
        <v>0</v>
      </c>
      <c r="P359" t="n">
        <v>0</v>
      </c>
      <c r="Q359" t="n">
        <v>0</v>
      </c>
      <c r="R359" s="2" t="inlineStr"/>
    </row>
    <row r="360" ht="15" customHeight="1">
      <c r="A360" t="inlineStr">
        <is>
          <t>A 55100-2024</t>
        </is>
      </c>
      <c r="B360" s="1" t="n">
        <v>45621.4405787037</v>
      </c>
      <c r="C360" s="1" t="n">
        <v>45888</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22488-2025</t>
        </is>
      </c>
      <c r="B361" s="1" t="n">
        <v>45786.64865740741</v>
      </c>
      <c r="C361" s="1" t="n">
        <v>45888</v>
      </c>
      <c r="D361" t="inlineStr">
        <is>
          <t>UPPSALA LÄN</t>
        </is>
      </c>
      <c r="E361" t="inlineStr">
        <is>
          <t>ÖSTHAMMAR</t>
        </is>
      </c>
      <c r="F361" t="inlineStr">
        <is>
          <t>Bergvik skog öst AB</t>
        </is>
      </c>
      <c r="G361" t="n">
        <v>14.9</v>
      </c>
      <c r="H361" t="n">
        <v>0</v>
      </c>
      <c r="I361" t="n">
        <v>0</v>
      </c>
      <c r="J361" t="n">
        <v>0</v>
      </c>
      <c r="K361" t="n">
        <v>0</v>
      </c>
      <c r="L361" t="n">
        <v>0</v>
      </c>
      <c r="M361" t="n">
        <v>0</v>
      </c>
      <c r="N361" t="n">
        <v>0</v>
      </c>
      <c r="O361" t="n">
        <v>0</v>
      </c>
      <c r="P361" t="n">
        <v>0</v>
      </c>
      <c r="Q361" t="n">
        <v>0</v>
      </c>
      <c r="R361" s="2" t="inlineStr"/>
    </row>
    <row r="362" ht="15" customHeight="1">
      <c r="A362" t="inlineStr">
        <is>
          <t>A 14595-2023</t>
        </is>
      </c>
      <c r="B362" s="1" t="n">
        <v>45013.57858796296</v>
      </c>
      <c r="C362" s="1" t="n">
        <v>45888</v>
      </c>
      <c r="D362" t="inlineStr">
        <is>
          <t>UPPSALA LÄN</t>
        </is>
      </c>
      <c r="E362" t="inlineStr">
        <is>
          <t>ÖSTHAMMAR</t>
        </is>
      </c>
      <c r="G362" t="n">
        <v>5</v>
      </c>
      <c r="H362" t="n">
        <v>0</v>
      </c>
      <c r="I362" t="n">
        <v>0</v>
      </c>
      <c r="J362" t="n">
        <v>0</v>
      </c>
      <c r="K362" t="n">
        <v>0</v>
      </c>
      <c r="L362" t="n">
        <v>0</v>
      </c>
      <c r="M362" t="n">
        <v>0</v>
      </c>
      <c r="N362" t="n">
        <v>0</v>
      </c>
      <c r="O362" t="n">
        <v>0</v>
      </c>
      <c r="P362" t="n">
        <v>0</v>
      </c>
      <c r="Q362" t="n">
        <v>0</v>
      </c>
      <c r="R362" s="2" t="inlineStr"/>
    </row>
    <row r="363" ht="15" customHeight="1">
      <c r="A363" t="inlineStr">
        <is>
          <t>A 32884-2024</t>
        </is>
      </c>
      <c r="B363" s="1" t="n">
        <v>45516.72097222223</v>
      </c>
      <c r="C363" s="1" t="n">
        <v>45888</v>
      </c>
      <c r="D363" t="inlineStr">
        <is>
          <t>UPPSALA LÄN</t>
        </is>
      </c>
      <c r="E363" t="inlineStr">
        <is>
          <t>ÖSTHAMMAR</t>
        </is>
      </c>
      <c r="G363" t="n">
        <v>0.6</v>
      </c>
      <c r="H363" t="n">
        <v>0</v>
      </c>
      <c r="I363" t="n">
        <v>0</v>
      </c>
      <c r="J363" t="n">
        <v>0</v>
      </c>
      <c r="K363" t="n">
        <v>0</v>
      </c>
      <c r="L363" t="n">
        <v>0</v>
      </c>
      <c r="M363" t="n">
        <v>0</v>
      </c>
      <c r="N363" t="n">
        <v>0</v>
      </c>
      <c r="O363" t="n">
        <v>0</v>
      </c>
      <c r="P363" t="n">
        <v>0</v>
      </c>
      <c r="Q363" t="n">
        <v>0</v>
      </c>
      <c r="R363" s="2" t="inlineStr"/>
    </row>
    <row r="364" ht="15" customHeight="1">
      <c r="A364" t="inlineStr">
        <is>
          <t>A 32483-2024</t>
        </is>
      </c>
      <c r="B364" s="1" t="n">
        <v>45513.36644675926</v>
      </c>
      <c r="C364" s="1" t="n">
        <v>45888</v>
      </c>
      <c r="D364" t="inlineStr">
        <is>
          <t>UPPSALA LÄN</t>
        </is>
      </c>
      <c r="E364" t="inlineStr">
        <is>
          <t>ÖSTHAMMAR</t>
        </is>
      </c>
      <c r="F364" t="inlineStr">
        <is>
          <t>Kyrkan</t>
        </is>
      </c>
      <c r="G364" t="n">
        <v>4.7</v>
      </c>
      <c r="H364" t="n">
        <v>0</v>
      </c>
      <c r="I364" t="n">
        <v>0</v>
      </c>
      <c r="J364" t="n">
        <v>0</v>
      </c>
      <c r="K364" t="n">
        <v>0</v>
      </c>
      <c r="L364" t="n">
        <v>0</v>
      </c>
      <c r="M364" t="n">
        <v>0</v>
      </c>
      <c r="N364" t="n">
        <v>0</v>
      </c>
      <c r="O364" t="n">
        <v>0</v>
      </c>
      <c r="P364" t="n">
        <v>0</v>
      </c>
      <c r="Q364" t="n">
        <v>0</v>
      </c>
      <c r="R364" s="2" t="inlineStr"/>
    </row>
    <row r="365" ht="15" customHeight="1">
      <c r="A365" t="inlineStr">
        <is>
          <t>A 64586-2021</t>
        </is>
      </c>
      <c r="B365" s="1" t="n">
        <v>44511</v>
      </c>
      <c r="C365" s="1" t="n">
        <v>45888</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38575-2024</t>
        </is>
      </c>
      <c r="B366" s="1" t="n">
        <v>45546.64221064815</v>
      </c>
      <c r="C366" s="1" t="n">
        <v>45888</v>
      </c>
      <c r="D366" t="inlineStr">
        <is>
          <t>UPPSALA LÄN</t>
        </is>
      </c>
      <c r="E366" t="inlineStr">
        <is>
          <t>ÖSTHAMMAR</t>
        </is>
      </c>
      <c r="F366" t="inlineStr">
        <is>
          <t>Bergvik skog öst AB</t>
        </is>
      </c>
      <c r="G366" t="n">
        <v>5.1</v>
      </c>
      <c r="H366" t="n">
        <v>0</v>
      </c>
      <c r="I366" t="n">
        <v>0</v>
      </c>
      <c r="J366" t="n">
        <v>0</v>
      </c>
      <c r="K366" t="n">
        <v>0</v>
      </c>
      <c r="L366" t="n">
        <v>0</v>
      </c>
      <c r="M366" t="n">
        <v>0</v>
      </c>
      <c r="N366" t="n">
        <v>0</v>
      </c>
      <c r="O366" t="n">
        <v>0</v>
      </c>
      <c r="P366" t="n">
        <v>0</v>
      </c>
      <c r="Q366" t="n">
        <v>0</v>
      </c>
      <c r="R366" s="2" t="inlineStr"/>
    </row>
    <row r="367" ht="15" customHeight="1">
      <c r="A367" t="inlineStr">
        <is>
          <t>A 43685-2024</t>
        </is>
      </c>
      <c r="B367" s="1" t="n">
        <v>45569</v>
      </c>
      <c r="C367" s="1" t="n">
        <v>45888</v>
      </c>
      <c r="D367" t="inlineStr">
        <is>
          <t>UPPSALA LÄN</t>
        </is>
      </c>
      <c r="E367" t="inlineStr">
        <is>
          <t>ÖSTHAMMAR</t>
        </is>
      </c>
      <c r="G367" t="n">
        <v>1.1</v>
      </c>
      <c r="H367" t="n">
        <v>0</v>
      </c>
      <c r="I367" t="n">
        <v>0</v>
      </c>
      <c r="J367" t="n">
        <v>0</v>
      </c>
      <c r="K367" t="n">
        <v>0</v>
      </c>
      <c r="L367" t="n">
        <v>0</v>
      </c>
      <c r="M367" t="n">
        <v>0</v>
      </c>
      <c r="N367" t="n">
        <v>0</v>
      </c>
      <c r="O367" t="n">
        <v>0</v>
      </c>
      <c r="P367" t="n">
        <v>0</v>
      </c>
      <c r="Q367" t="n">
        <v>0</v>
      </c>
      <c r="R367" s="2" t="inlineStr"/>
    </row>
    <row r="368" ht="15" customHeight="1">
      <c r="A368" t="inlineStr">
        <is>
          <t>A 44796-2024</t>
        </is>
      </c>
      <c r="B368" s="1" t="n">
        <v>45574</v>
      </c>
      <c r="C368" s="1" t="n">
        <v>45888</v>
      </c>
      <c r="D368" t="inlineStr">
        <is>
          <t>UPPSALA LÄN</t>
        </is>
      </c>
      <c r="E368" t="inlineStr">
        <is>
          <t>ÖSTHAMMAR</t>
        </is>
      </c>
      <c r="G368" t="n">
        <v>4.7</v>
      </c>
      <c r="H368" t="n">
        <v>0</v>
      </c>
      <c r="I368" t="n">
        <v>0</v>
      </c>
      <c r="J368" t="n">
        <v>0</v>
      </c>
      <c r="K368" t="n">
        <v>0</v>
      </c>
      <c r="L368" t="n">
        <v>0</v>
      </c>
      <c r="M368" t="n">
        <v>0</v>
      </c>
      <c r="N368" t="n">
        <v>0</v>
      </c>
      <c r="O368" t="n">
        <v>0</v>
      </c>
      <c r="P368" t="n">
        <v>0</v>
      </c>
      <c r="Q368" t="n">
        <v>0</v>
      </c>
      <c r="R368" s="2" t="inlineStr"/>
    </row>
    <row r="369" ht="15" customHeight="1">
      <c r="A369" t="inlineStr">
        <is>
          <t>A 6206-2022</t>
        </is>
      </c>
      <c r="B369" s="1" t="n">
        <v>44600.35755787037</v>
      </c>
      <c r="C369" s="1" t="n">
        <v>45888</v>
      </c>
      <c r="D369" t="inlineStr">
        <is>
          <t>UPPSALA LÄN</t>
        </is>
      </c>
      <c r="E369" t="inlineStr">
        <is>
          <t>ÖSTHAMMAR</t>
        </is>
      </c>
      <c r="G369" t="n">
        <v>7.4</v>
      </c>
      <c r="H369" t="n">
        <v>0</v>
      </c>
      <c r="I369" t="n">
        <v>0</v>
      </c>
      <c r="J369" t="n">
        <v>0</v>
      </c>
      <c r="K369" t="n">
        <v>0</v>
      </c>
      <c r="L369" t="n">
        <v>0</v>
      </c>
      <c r="M369" t="n">
        <v>0</v>
      </c>
      <c r="N369" t="n">
        <v>0</v>
      </c>
      <c r="O369" t="n">
        <v>0</v>
      </c>
      <c r="P369" t="n">
        <v>0</v>
      </c>
      <c r="Q369" t="n">
        <v>0</v>
      </c>
      <c r="R369" s="2" t="inlineStr"/>
    </row>
    <row r="370" ht="15" customHeight="1">
      <c r="A370" t="inlineStr">
        <is>
          <t>A 31669-2022</t>
        </is>
      </c>
      <c r="B370" s="1" t="n">
        <v>44775</v>
      </c>
      <c r="C370" s="1" t="n">
        <v>45888</v>
      </c>
      <c r="D370" t="inlineStr">
        <is>
          <t>UPPSALA LÄN</t>
        </is>
      </c>
      <c r="E370" t="inlineStr">
        <is>
          <t>ÖSTHAMMAR</t>
        </is>
      </c>
      <c r="G370" t="n">
        <v>6</v>
      </c>
      <c r="H370" t="n">
        <v>0</v>
      </c>
      <c r="I370" t="n">
        <v>0</v>
      </c>
      <c r="J370" t="n">
        <v>0</v>
      </c>
      <c r="K370" t="n">
        <v>0</v>
      </c>
      <c r="L370" t="n">
        <v>0</v>
      </c>
      <c r="M370" t="n">
        <v>0</v>
      </c>
      <c r="N370" t="n">
        <v>0</v>
      </c>
      <c r="O370" t="n">
        <v>0</v>
      </c>
      <c r="P370" t="n">
        <v>0</v>
      </c>
      <c r="Q370" t="n">
        <v>0</v>
      </c>
      <c r="R370" s="2" t="inlineStr"/>
    </row>
    <row r="371" ht="15" customHeight="1">
      <c r="A371" t="inlineStr">
        <is>
          <t>A 44027-2024</t>
        </is>
      </c>
      <c r="B371" s="1" t="n">
        <v>45572</v>
      </c>
      <c r="C371" s="1" t="n">
        <v>45888</v>
      </c>
      <c r="D371" t="inlineStr">
        <is>
          <t>UPPSALA LÄN</t>
        </is>
      </c>
      <c r="E371" t="inlineStr">
        <is>
          <t>ÖSTHAMMAR</t>
        </is>
      </c>
      <c r="G371" t="n">
        <v>6</v>
      </c>
      <c r="H371" t="n">
        <v>0</v>
      </c>
      <c r="I371" t="n">
        <v>0</v>
      </c>
      <c r="J371" t="n">
        <v>0</v>
      </c>
      <c r="K371" t="n">
        <v>0</v>
      </c>
      <c r="L371" t="n">
        <v>0</v>
      </c>
      <c r="M371" t="n">
        <v>0</v>
      </c>
      <c r="N371" t="n">
        <v>0</v>
      </c>
      <c r="O371" t="n">
        <v>0</v>
      </c>
      <c r="P371" t="n">
        <v>0</v>
      </c>
      <c r="Q371" t="n">
        <v>0</v>
      </c>
      <c r="R371" s="2" t="inlineStr"/>
    </row>
    <row r="372" ht="15" customHeight="1">
      <c r="A372" t="inlineStr">
        <is>
          <t>A 18094-2025</t>
        </is>
      </c>
      <c r="B372" s="1" t="n">
        <v>45761.54710648148</v>
      </c>
      <c r="C372" s="1" t="n">
        <v>45888</v>
      </c>
      <c r="D372" t="inlineStr">
        <is>
          <t>UPPSALA LÄN</t>
        </is>
      </c>
      <c r="E372" t="inlineStr">
        <is>
          <t>ÖSTHAMMAR</t>
        </is>
      </c>
      <c r="F372" t="inlineStr">
        <is>
          <t>Bergvik skog öst AB</t>
        </is>
      </c>
      <c r="G372" t="n">
        <v>6.5</v>
      </c>
      <c r="H372" t="n">
        <v>0</v>
      </c>
      <c r="I372" t="n">
        <v>0</v>
      </c>
      <c r="J372" t="n">
        <v>0</v>
      </c>
      <c r="K372" t="n">
        <v>0</v>
      </c>
      <c r="L372" t="n">
        <v>0</v>
      </c>
      <c r="M372" t="n">
        <v>0</v>
      </c>
      <c r="N372" t="n">
        <v>0</v>
      </c>
      <c r="O372" t="n">
        <v>0</v>
      </c>
      <c r="P372" t="n">
        <v>0</v>
      </c>
      <c r="Q372" t="n">
        <v>0</v>
      </c>
      <c r="R372" s="2" t="inlineStr"/>
    </row>
    <row r="373" ht="15" customHeight="1">
      <c r="A373" t="inlineStr">
        <is>
          <t>A 5931-2022</t>
        </is>
      </c>
      <c r="B373" s="1" t="n">
        <v>44598.82700231481</v>
      </c>
      <c r="C373" s="1" t="n">
        <v>45888</v>
      </c>
      <c r="D373" t="inlineStr">
        <is>
          <t>UPPSALA LÄN</t>
        </is>
      </c>
      <c r="E373" t="inlineStr">
        <is>
          <t>ÖSTHAMMAR</t>
        </is>
      </c>
      <c r="F373" t="inlineStr">
        <is>
          <t>Bergvik skog öst AB</t>
        </is>
      </c>
      <c r="G373" t="n">
        <v>0.7</v>
      </c>
      <c r="H373" t="n">
        <v>0</v>
      </c>
      <c r="I373" t="n">
        <v>0</v>
      </c>
      <c r="J373" t="n">
        <v>0</v>
      </c>
      <c r="K373" t="n">
        <v>0</v>
      </c>
      <c r="L373" t="n">
        <v>0</v>
      </c>
      <c r="M373" t="n">
        <v>0</v>
      </c>
      <c r="N373" t="n">
        <v>0</v>
      </c>
      <c r="O373" t="n">
        <v>0</v>
      </c>
      <c r="P373" t="n">
        <v>0</v>
      </c>
      <c r="Q373" t="n">
        <v>0</v>
      </c>
      <c r="R373" s="2" t="inlineStr"/>
    </row>
    <row r="374" ht="15" customHeight="1">
      <c r="A374" t="inlineStr">
        <is>
          <t>A 70008-2021</t>
        </is>
      </c>
      <c r="B374" s="1" t="n">
        <v>44533.44887731481</v>
      </c>
      <c r="C374" s="1" t="n">
        <v>45888</v>
      </c>
      <c r="D374" t="inlineStr">
        <is>
          <t>UPPSALA LÄN</t>
        </is>
      </c>
      <c r="E374" t="inlineStr">
        <is>
          <t>ÖSTHAMMAR</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73982-2021</t>
        </is>
      </c>
      <c r="B375" s="1" t="n">
        <v>44555.80339120371</v>
      </c>
      <c r="C375" s="1" t="n">
        <v>45888</v>
      </c>
      <c r="D375" t="inlineStr">
        <is>
          <t>UPPSALA LÄN</t>
        </is>
      </c>
      <c r="E375" t="inlineStr">
        <is>
          <t>ÖSTHAMMAR</t>
        </is>
      </c>
      <c r="G375" t="n">
        <v>0.9</v>
      </c>
      <c r="H375" t="n">
        <v>0</v>
      </c>
      <c r="I375" t="n">
        <v>0</v>
      </c>
      <c r="J375" t="n">
        <v>0</v>
      </c>
      <c r="K375" t="n">
        <v>0</v>
      </c>
      <c r="L375" t="n">
        <v>0</v>
      </c>
      <c r="M375" t="n">
        <v>0</v>
      </c>
      <c r="N375" t="n">
        <v>0</v>
      </c>
      <c r="O375" t="n">
        <v>0</v>
      </c>
      <c r="P375" t="n">
        <v>0</v>
      </c>
      <c r="Q375" t="n">
        <v>0</v>
      </c>
      <c r="R375" s="2" t="inlineStr"/>
    </row>
    <row r="376" ht="15" customHeight="1">
      <c r="A376" t="inlineStr">
        <is>
          <t>A 67151-2021</t>
        </is>
      </c>
      <c r="B376" s="1" t="n">
        <v>44523</v>
      </c>
      <c r="C376" s="1" t="n">
        <v>45888</v>
      </c>
      <c r="D376" t="inlineStr">
        <is>
          <t>UPPSALA LÄN</t>
        </is>
      </c>
      <c r="E376" t="inlineStr">
        <is>
          <t>ÖSTHAMMAR</t>
        </is>
      </c>
      <c r="G376" t="n">
        <v>2.4</v>
      </c>
      <c r="H376" t="n">
        <v>0</v>
      </c>
      <c r="I376" t="n">
        <v>0</v>
      </c>
      <c r="J376" t="n">
        <v>0</v>
      </c>
      <c r="K376" t="n">
        <v>0</v>
      </c>
      <c r="L376" t="n">
        <v>0</v>
      </c>
      <c r="M376" t="n">
        <v>0</v>
      </c>
      <c r="N376" t="n">
        <v>0</v>
      </c>
      <c r="O376" t="n">
        <v>0</v>
      </c>
      <c r="P376" t="n">
        <v>0</v>
      </c>
      <c r="Q376" t="n">
        <v>0</v>
      </c>
      <c r="R376" s="2" t="inlineStr"/>
    </row>
    <row r="377" ht="15" customHeight="1">
      <c r="A377" t="inlineStr">
        <is>
          <t>A 19640-2025</t>
        </is>
      </c>
      <c r="B377" s="1" t="n">
        <v>45770.65739583333</v>
      </c>
      <c r="C377" s="1" t="n">
        <v>45888</v>
      </c>
      <c r="D377" t="inlineStr">
        <is>
          <t>UPPSALA LÄN</t>
        </is>
      </c>
      <c r="E377" t="inlineStr">
        <is>
          <t>ÖSTHAMMAR</t>
        </is>
      </c>
      <c r="F377" t="inlineStr">
        <is>
          <t>Övriga Aktiebolag</t>
        </is>
      </c>
      <c r="G377" t="n">
        <v>1.7</v>
      </c>
      <c r="H377" t="n">
        <v>0</v>
      </c>
      <c r="I377" t="n">
        <v>0</v>
      </c>
      <c r="J377" t="n">
        <v>0</v>
      </c>
      <c r="K377" t="n">
        <v>0</v>
      </c>
      <c r="L377" t="n">
        <v>0</v>
      </c>
      <c r="M377" t="n">
        <v>0</v>
      </c>
      <c r="N377" t="n">
        <v>0</v>
      </c>
      <c r="O377" t="n">
        <v>0</v>
      </c>
      <c r="P377" t="n">
        <v>0</v>
      </c>
      <c r="Q377" t="n">
        <v>0</v>
      </c>
      <c r="R377" s="2" t="inlineStr"/>
    </row>
    <row r="378" ht="15" customHeight="1">
      <c r="A378" t="inlineStr">
        <is>
          <t>A 4984-2024</t>
        </is>
      </c>
      <c r="B378" s="1" t="n">
        <v>45329</v>
      </c>
      <c r="C378" s="1" t="n">
        <v>45888</v>
      </c>
      <c r="D378" t="inlineStr">
        <is>
          <t>UPPSALA LÄN</t>
        </is>
      </c>
      <c r="E378" t="inlineStr">
        <is>
          <t>ÖSTHAMMAR</t>
        </is>
      </c>
      <c r="G378" t="n">
        <v>2.2</v>
      </c>
      <c r="H378" t="n">
        <v>0</v>
      </c>
      <c r="I378" t="n">
        <v>0</v>
      </c>
      <c r="J378" t="n">
        <v>0</v>
      </c>
      <c r="K378" t="n">
        <v>0</v>
      </c>
      <c r="L378" t="n">
        <v>0</v>
      </c>
      <c r="M378" t="n">
        <v>0</v>
      </c>
      <c r="N378" t="n">
        <v>0</v>
      </c>
      <c r="O378" t="n">
        <v>0</v>
      </c>
      <c r="P378" t="n">
        <v>0</v>
      </c>
      <c r="Q378" t="n">
        <v>0</v>
      </c>
      <c r="R378" s="2" t="inlineStr"/>
    </row>
    <row r="379" ht="15" customHeight="1">
      <c r="A379" t="inlineStr">
        <is>
          <t>A 21624-2023</t>
        </is>
      </c>
      <c r="B379" s="1" t="n">
        <v>45063.65543981481</v>
      </c>
      <c r="C379" s="1" t="n">
        <v>45888</v>
      </c>
      <c r="D379" t="inlineStr">
        <is>
          <t>UPPSALA LÄN</t>
        </is>
      </c>
      <c r="E379" t="inlineStr">
        <is>
          <t>ÖSTHAMMAR</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41996-2024</t>
        </is>
      </c>
      <c r="B380" s="1" t="n">
        <v>45561</v>
      </c>
      <c r="C380" s="1" t="n">
        <v>45888</v>
      </c>
      <c r="D380" t="inlineStr">
        <is>
          <t>UPPSALA LÄN</t>
        </is>
      </c>
      <c r="E380" t="inlineStr">
        <is>
          <t>ÖSTHAMMAR</t>
        </is>
      </c>
      <c r="F380" t="inlineStr">
        <is>
          <t>Bergvik skog öst AB</t>
        </is>
      </c>
      <c r="G380" t="n">
        <v>0.9</v>
      </c>
      <c r="H380" t="n">
        <v>0</v>
      </c>
      <c r="I380" t="n">
        <v>0</v>
      </c>
      <c r="J380" t="n">
        <v>0</v>
      </c>
      <c r="K380" t="n">
        <v>0</v>
      </c>
      <c r="L380" t="n">
        <v>0</v>
      </c>
      <c r="M380" t="n">
        <v>0</v>
      </c>
      <c r="N380" t="n">
        <v>0</v>
      </c>
      <c r="O380" t="n">
        <v>0</v>
      </c>
      <c r="P380" t="n">
        <v>0</v>
      </c>
      <c r="Q380" t="n">
        <v>0</v>
      </c>
      <c r="R380" s="2" t="inlineStr"/>
    </row>
    <row r="381" ht="15" customHeight="1">
      <c r="A381" t="inlineStr">
        <is>
          <t>A 20326-2021</t>
        </is>
      </c>
      <c r="B381" s="1" t="n">
        <v>44308</v>
      </c>
      <c r="C381" s="1" t="n">
        <v>45888</v>
      </c>
      <c r="D381" t="inlineStr">
        <is>
          <t>UPPSALA LÄN</t>
        </is>
      </c>
      <c r="E381" t="inlineStr">
        <is>
          <t>ÖSTHAMMAR</t>
        </is>
      </c>
      <c r="G381" t="n">
        <v>7</v>
      </c>
      <c r="H381" t="n">
        <v>0</v>
      </c>
      <c r="I381" t="n">
        <v>0</v>
      </c>
      <c r="J381" t="n">
        <v>0</v>
      </c>
      <c r="K381" t="n">
        <v>0</v>
      </c>
      <c r="L381" t="n">
        <v>0</v>
      </c>
      <c r="M381" t="n">
        <v>0</v>
      </c>
      <c r="N381" t="n">
        <v>0</v>
      </c>
      <c r="O381" t="n">
        <v>0</v>
      </c>
      <c r="P381" t="n">
        <v>0</v>
      </c>
      <c r="Q381" t="n">
        <v>0</v>
      </c>
      <c r="R381" s="2" t="inlineStr"/>
    </row>
    <row r="382" ht="15" customHeight="1">
      <c r="A382" t="inlineStr">
        <is>
          <t>A 23742-2024</t>
        </is>
      </c>
      <c r="B382" s="1" t="n">
        <v>45455</v>
      </c>
      <c r="C382" s="1" t="n">
        <v>45888</v>
      </c>
      <c r="D382" t="inlineStr">
        <is>
          <t>UPPSALA LÄN</t>
        </is>
      </c>
      <c r="E382" t="inlineStr">
        <is>
          <t>ÖSTHAMMAR</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9542-2023</t>
        </is>
      </c>
      <c r="B383" s="1" t="n">
        <v>44981</v>
      </c>
      <c r="C383" s="1" t="n">
        <v>45888</v>
      </c>
      <c r="D383" t="inlineStr">
        <is>
          <t>UPPSALA LÄN</t>
        </is>
      </c>
      <c r="E383" t="inlineStr">
        <is>
          <t>ÖSTHAMMAR</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36343-2022</t>
        </is>
      </c>
      <c r="B384" s="1" t="n">
        <v>44803.78524305556</v>
      </c>
      <c r="C384" s="1" t="n">
        <v>45888</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16933-2022</t>
        </is>
      </c>
      <c r="B385" s="1" t="n">
        <v>44676</v>
      </c>
      <c r="C385" s="1" t="n">
        <v>45888</v>
      </c>
      <c r="D385" t="inlineStr">
        <is>
          <t>UPPSALA LÄN</t>
        </is>
      </c>
      <c r="E385" t="inlineStr">
        <is>
          <t>ÖSTHAMMAR</t>
        </is>
      </c>
      <c r="G385" t="n">
        <v>1.3</v>
      </c>
      <c r="H385" t="n">
        <v>0</v>
      </c>
      <c r="I385" t="n">
        <v>0</v>
      </c>
      <c r="J385" t="n">
        <v>0</v>
      </c>
      <c r="K385" t="n">
        <v>0</v>
      </c>
      <c r="L385" t="n">
        <v>0</v>
      </c>
      <c r="M385" t="n">
        <v>0</v>
      </c>
      <c r="N385" t="n">
        <v>0</v>
      </c>
      <c r="O385" t="n">
        <v>0</v>
      </c>
      <c r="P385" t="n">
        <v>0</v>
      </c>
      <c r="Q385" t="n">
        <v>0</v>
      </c>
      <c r="R385" s="2" t="inlineStr"/>
    </row>
    <row r="386" ht="15" customHeight="1">
      <c r="A386" t="inlineStr">
        <is>
          <t>A 48083-2024</t>
        </is>
      </c>
      <c r="B386" s="1" t="n">
        <v>45589.58766203704</v>
      </c>
      <c r="C386" s="1" t="n">
        <v>45888</v>
      </c>
      <c r="D386" t="inlineStr">
        <is>
          <t>UPPSALA LÄN</t>
        </is>
      </c>
      <c r="E386" t="inlineStr">
        <is>
          <t>ÖSTHAMMAR</t>
        </is>
      </c>
      <c r="G386" t="n">
        <v>3</v>
      </c>
      <c r="H386" t="n">
        <v>0</v>
      </c>
      <c r="I386" t="n">
        <v>0</v>
      </c>
      <c r="J386" t="n">
        <v>0</v>
      </c>
      <c r="K386" t="n">
        <v>0</v>
      </c>
      <c r="L386" t="n">
        <v>0</v>
      </c>
      <c r="M386" t="n">
        <v>0</v>
      </c>
      <c r="N386" t="n">
        <v>0</v>
      </c>
      <c r="O386" t="n">
        <v>0</v>
      </c>
      <c r="P386" t="n">
        <v>0</v>
      </c>
      <c r="Q386" t="n">
        <v>0</v>
      </c>
      <c r="R386" s="2" t="inlineStr"/>
    </row>
    <row r="387" ht="15" customHeight="1">
      <c r="A387" t="inlineStr">
        <is>
          <t>A 14269-2025</t>
        </is>
      </c>
      <c r="B387" s="1" t="n">
        <v>45740.64078703704</v>
      </c>
      <c r="C387" s="1" t="n">
        <v>45888</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43683-2024</t>
        </is>
      </c>
      <c r="B388" s="1" t="n">
        <v>45569.57518518518</v>
      </c>
      <c r="C388" s="1" t="n">
        <v>45888</v>
      </c>
      <c r="D388" t="inlineStr">
        <is>
          <t>UPPSALA LÄN</t>
        </is>
      </c>
      <c r="E388" t="inlineStr">
        <is>
          <t>ÖSTHAMMAR</t>
        </is>
      </c>
      <c r="G388" t="n">
        <v>4.7</v>
      </c>
      <c r="H388" t="n">
        <v>0</v>
      </c>
      <c r="I388" t="n">
        <v>0</v>
      </c>
      <c r="J388" t="n">
        <v>0</v>
      </c>
      <c r="K388" t="n">
        <v>0</v>
      </c>
      <c r="L388" t="n">
        <v>0</v>
      </c>
      <c r="M388" t="n">
        <v>0</v>
      </c>
      <c r="N388" t="n">
        <v>0</v>
      </c>
      <c r="O388" t="n">
        <v>0</v>
      </c>
      <c r="P388" t="n">
        <v>0</v>
      </c>
      <c r="Q388" t="n">
        <v>0</v>
      </c>
      <c r="R388" s="2" t="inlineStr"/>
    </row>
    <row r="389" ht="15" customHeight="1">
      <c r="A389" t="inlineStr">
        <is>
          <t>A 6106-2024</t>
        </is>
      </c>
      <c r="B389" s="1" t="n">
        <v>45337.36831018519</v>
      </c>
      <c r="C389" s="1" t="n">
        <v>45888</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43993-2024</t>
        </is>
      </c>
      <c r="B390" s="1" t="n">
        <v>45572.52690972222</v>
      </c>
      <c r="C390" s="1" t="n">
        <v>45888</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5855-2022</t>
        </is>
      </c>
      <c r="B391" s="1" t="n">
        <v>44596.63290509259</v>
      </c>
      <c r="C391" s="1" t="n">
        <v>45888</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13622-2025</t>
        </is>
      </c>
      <c r="B392" s="1" t="n">
        <v>45736</v>
      </c>
      <c r="C392" s="1" t="n">
        <v>45888</v>
      </c>
      <c r="D392" t="inlineStr">
        <is>
          <t>UPPSALA LÄN</t>
        </is>
      </c>
      <c r="E392" t="inlineStr">
        <is>
          <t>ÖSTHAMMAR</t>
        </is>
      </c>
      <c r="G392" t="n">
        <v>2.6</v>
      </c>
      <c r="H392" t="n">
        <v>0</v>
      </c>
      <c r="I392" t="n">
        <v>0</v>
      </c>
      <c r="J392" t="n">
        <v>0</v>
      </c>
      <c r="K392" t="n">
        <v>0</v>
      </c>
      <c r="L392" t="n">
        <v>0</v>
      </c>
      <c r="M392" t="n">
        <v>0</v>
      </c>
      <c r="N392" t="n">
        <v>0</v>
      </c>
      <c r="O392" t="n">
        <v>0</v>
      </c>
      <c r="P392" t="n">
        <v>0</v>
      </c>
      <c r="Q392" t="n">
        <v>0</v>
      </c>
      <c r="R392" s="2" t="inlineStr"/>
    </row>
    <row r="393" ht="15" customHeight="1">
      <c r="A393" t="inlineStr">
        <is>
          <t>A 65020-2021</t>
        </is>
      </c>
      <c r="B393" s="1" t="n">
        <v>44515</v>
      </c>
      <c r="C393" s="1" t="n">
        <v>45888</v>
      </c>
      <c r="D393" t="inlineStr">
        <is>
          <t>UPPSALA LÄN</t>
        </is>
      </c>
      <c r="E393" t="inlineStr">
        <is>
          <t>ÖSTHAMMAR</t>
        </is>
      </c>
      <c r="F393" t="inlineStr">
        <is>
          <t>Sveaskog</t>
        </is>
      </c>
      <c r="G393" t="n">
        <v>4.7</v>
      </c>
      <c r="H393" t="n">
        <v>0</v>
      </c>
      <c r="I393" t="n">
        <v>0</v>
      </c>
      <c r="J393" t="n">
        <v>0</v>
      </c>
      <c r="K393" t="n">
        <v>0</v>
      </c>
      <c r="L393" t="n">
        <v>0</v>
      </c>
      <c r="M393" t="n">
        <v>0</v>
      </c>
      <c r="N393" t="n">
        <v>0</v>
      </c>
      <c r="O393" t="n">
        <v>0</v>
      </c>
      <c r="P393" t="n">
        <v>0</v>
      </c>
      <c r="Q393" t="n">
        <v>0</v>
      </c>
      <c r="R393" s="2" t="inlineStr"/>
    </row>
    <row r="394" ht="15" customHeight="1">
      <c r="A394" t="inlineStr">
        <is>
          <t>A 22492-2025</t>
        </is>
      </c>
      <c r="B394" s="1" t="n">
        <v>45786.65072916666</v>
      </c>
      <c r="C394" s="1" t="n">
        <v>45888</v>
      </c>
      <c r="D394" t="inlineStr">
        <is>
          <t>UPPSALA LÄN</t>
        </is>
      </c>
      <c r="E394" t="inlineStr">
        <is>
          <t>ÖSTHAMMAR</t>
        </is>
      </c>
      <c r="F394" t="inlineStr">
        <is>
          <t>Bergvik skog öst AB</t>
        </is>
      </c>
      <c r="G394" t="n">
        <v>16.6</v>
      </c>
      <c r="H394" t="n">
        <v>0</v>
      </c>
      <c r="I394" t="n">
        <v>0</v>
      </c>
      <c r="J394" t="n">
        <v>0</v>
      </c>
      <c r="K394" t="n">
        <v>0</v>
      </c>
      <c r="L394" t="n">
        <v>0</v>
      </c>
      <c r="M394" t="n">
        <v>0</v>
      </c>
      <c r="N394" t="n">
        <v>0</v>
      </c>
      <c r="O394" t="n">
        <v>0</v>
      </c>
      <c r="P394" t="n">
        <v>0</v>
      </c>
      <c r="Q394" t="n">
        <v>0</v>
      </c>
      <c r="R394" s="2" t="inlineStr"/>
    </row>
    <row r="395" ht="15" customHeight="1">
      <c r="A395" t="inlineStr">
        <is>
          <t>A 22483-2025</t>
        </is>
      </c>
      <c r="B395" s="1" t="n">
        <v>45786.64141203704</v>
      </c>
      <c r="C395" s="1" t="n">
        <v>45888</v>
      </c>
      <c r="D395" t="inlineStr">
        <is>
          <t>UPPSALA LÄN</t>
        </is>
      </c>
      <c r="E395" t="inlineStr">
        <is>
          <t>ÖSTHAMMAR</t>
        </is>
      </c>
      <c r="F395" t="inlineStr">
        <is>
          <t>Bergvik skog öst AB</t>
        </is>
      </c>
      <c r="G395" t="n">
        <v>0.6</v>
      </c>
      <c r="H395" t="n">
        <v>0</v>
      </c>
      <c r="I395" t="n">
        <v>0</v>
      </c>
      <c r="J395" t="n">
        <v>0</v>
      </c>
      <c r="K395" t="n">
        <v>0</v>
      </c>
      <c r="L395" t="n">
        <v>0</v>
      </c>
      <c r="M395" t="n">
        <v>0</v>
      </c>
      <c r="N395" t="n">
        <v>0</v>
      </c>
      <c r="O395" t="n">
        <v>0</v>
      </c>
      <c r="P395" t="n">
        <v>0</v>
      </c>
      <c r="Q395" t="n">
        <v>0</v>
      </c>
      <c r="R395" s="2" t="inlineStr"/>
    </row>
    <row r="396" ht="15" customHeight="1">
      <c r="A396" t="inlineStr">
        <is>
          <t>A 53137-2020</t>
        </is>
      </c>
      <c r="B396" s="1" t="n">
        <v>44120</v>
      </c>
      <c r="C396" s="1" t="n">
        <v>45888</v>
      </c>
      <c r="D396" t="inlineStr">
        <is>
          <t>UPPSALA LÄN</t>
        </is>
      </c>
      <c r="E396" t="inlineStr">
        <is>
          <t>ÖSTHAMMAR</t>
        </is>
      </c>
      <c r="G396" t="n">
        <v>1.9</v>
      </c>
      <c r="H396" t="n">
        <v>0</v>
      </c>
      <c r="I396" t="n">
        <v>0</v>
      </c>
      <c r="J396" t="n">
        <v>0</v>
      </c>
      <c r="K396" t="n">
        <v>0</v>
      </c>
      <c r="L396" t="n">
        <v>0</v>
      </c>
      <c r="M396" t="n">
        <v>0</v>
      </c>
      <c r="N396" t="n">
        <v>0</v>
      </c>
      <c r="O396" t="n">
        <v>0</v>
      </c>
      <c r="P396" t="n">
        <v>0</v>
      </c>
      <c r="Q396" t="n">
        <v>0</v>
      </c>
      <c r="R396" s="2" t="inlineStr"/>
    </row>
    <row r="397" ht="15" customHeight="1">
      <c r="A397" t="inlineStr">
        <is>
          <t>A 59291-2023</t>
        </is>
      </c>
      <c r="B397" s="1" t="n">
        <v>45253.57559027777</v>
      </c>
      <c r="C397" s="1" t="n">
        <v>45888</v>
      </c>
      <c r="D397" t="inlineStr">
        <is>
          <t>UPPSALA LÄN</t>
        </is>
      </c>
      <c r="E397" t="inlineStr">
        <is>
          <t>ÖSTHAMMAR</t>
        </is>
      </c>
      <c r="G397" t="n">
        <v>1.7</v>
      </c>
      <c r="H397" t="n">
        <v>0</v>
      </c>
      <c r="I397" t="n">
        <v>0</v>
      </c>
      <c r="J397" t="n">
        <v>0</v>
      </c>
      <c r="K397" t="n">
        <v>0</v>
      </c>
      <c r="L397" t="n">
        <v>0</v>
      </c>
      <c r="M397" t="n">
        <v>0</v>
      </c>
      <c r="N397" t="n">
        <v>0</v>
      </c>
      <c r="O397" t="n">
        <v>0</v>
      </c>
      <c r="P397" t="n">
        <v>0</v>
      </c>
      <c r="Q397" t="n">
        <v>0</v>
      </c>
      <c r="R397" s="2" t="inlineStr"/>
    </row>
    <row r="398" ht="15" customHeight="1">
      <c r="A398" t="inlineStr">
        <is>
          <t>A 56759-2024</t>
        </is>
      </c>
      <c r="B398" s="1" t="n">
        <v>45628.39877314815</v>
      </c>
      <c r="C398" s="1" t="n">
        <v>45888</v>
      </c>
      <c r="D398" t="inlineStr">
        <is>
          <t>UPPSALA LÄN</t>
        </is>
      </c>
      <c r="E398" t="inlineStr">
        <is>
          <t>ÖSTHAMMAR</t>
        </is>
      </c>
      <c r="G398" t="n">
        <v>4.7</v>
      </c>
      <c r="H398" t="n">
        <v>0</v>
      </c>
      <c r="I398" t="n">
        <v>0</v>
      </c>
      <c r="J398" t="n">
        <v>0</v>
      </c>
      <c r="K398" t="n">
        <v>0</v>
      </c>
      <c r="L398" t="n">
        <v>0</v>
      </c>
      <c r="M398" t="n">
        <v>0</v>
      </c>
      <c r="N398" t="n">
        <v>0</v>
      </c>
      <c r="O398" t="n">
        <v>0</v>
      </c>
      <c r="P398" t="n">
        <v>0</v>
      </c>
      <c r="Q398" t="n">
        <v>0</v>
      </c>
      <c r="R398" s="2" t="inlineStr"/>
    </row>
    <row r="399" ht="15" customHeight="1">
      <c r="A399" t="inlineStr">
        <is>
          <t>A 5188-2025</t>
        </is>
      </c>
      <c r="B399" s="1" t="n">
        <v>45691</v>
      </c>
      <c r="C399" s="1" t="n">
        <v>45888</v>
      </c>
      <c r="D399" t="inlineStr">
        <is>
          <t>UPPSALA LÄN</t>
        </is>
      </c>
      <c r="E399" t="inlineStr">
        <is>
          <t>ÖSTHAMMAR</t>
        </is>
      </c>
      <c r="F399" t="inlineStr">
        <is>
          <t>Bergvik skog öst AB</t>
        </is>
      </c>
      <c r="G399" t="n">
        <v>1.6</v>
      </c>
      <c r="H399" t="n">
        <v>0</v>
      </c>
      <c r="I399" t="n">
        <v>0</v>
      </c>
      <c r="J399" t="n">
        <v>0</v>
      </c>
      <c r="K399" t="n">
        <v>0</v>
      </c>
      <c r="L399" t="n">
        <v>0</v>
      </c>
      <c r="M399" t="n">
        <v>0</v>
      </c>
      <c r="N399" t="n">
        <v>0</v>
      </c>
      <c r="O399" t="n">
        <v>0</v>
      </c>
      <c r="P399" t="n">
        <v>0</v>
      </c>
      <c r="Q399" t="n">
        <v>0</v>
      </c>
      <c r="R399" s="2" t="inlineStr"/>
    </row>
    <row r="400" ht="15" customHeight="1">
      <c r="A400" t="inlineStr">
        <is>
          <t>A 10275-2025</t>
        </is>
      </c>
      <c r="B400" s="1" t="n">
        <v>45720.39715277778</v>
      </c>
      <c r="C400" s="1" t="n">
        <v>45888</v>
      </c>
      <c r="D400" t="inlineStr">
        <is>
          <t>UPPSALA LÄN</t>
        </is>
      </c>
      <c r="E400" t="inlineStr">
        <is>
          <t>ÖSTHAMMAR</t>
        </is>
      </c>
      <c r="G400" t="n">
        <v>6.2</v>
      </c>
      <c r="H400" t="n">
        <v>0</v>
      </c>
      <c r="I400" t="n">
        <v>0</v>
      </c>
      <c r="J400" t="n">
        <v>0</v>
      </c>
      <c r="K400" t="n">
        <v>0</v>
      </c>
      <c r="L400" t="n">
        <v>0</v>
      </c>
      <c r="M400" t="n">
        <v>0</v>
      </c>
      <c r="N400" t="n">
        <v>0</v>
      </c>
      <c r="O400" t="n">
        <v>0</v>
      </c>
      <c r="P400" t="n">
        <v>0</v>
      </c>
      <c r="Q400" t="n">
        <v>0</v>
      </c>
      <c r="R400" s="2" t="inlineStr"/>
    </row>
    <row r="401" ht="15" customHeight="1">
      <c r="A401" t="inlineStr">
        <is>
          <t>A 1238-2022</t>
        </is>
      </c>
      <c r="B401" s="1" t="n">
        <v>44572.5827662037</v>
      </c>
      <c r="C401" s="1" t="n">
        <v>45888</v>
      </c>
      <c r="D401" t="inlineStr">
        <is>
          <t>UPPSALA LÄN</t>
        </is>
      </c>
      <c r="E401" t="inlineStr">
        <is>
          <t>ÖSTHAMMAR</t>
        </is>
      </c>
      <c r="G401" t="n">
        <v>1.1</v>
      </c>
      <c r="H401" t="n">
        <v>0</v>
      </c>
      <c r="I401" t="n">
        <v>0</v>
      </c>
      <c r="J401" t="n">
        <v>0</v>
      </c>
      <c r="K401" t="n">
        <v>0</v>
      </c>
      <c r="L401" t="n">
        <v>0</v>
      </c>
      <c r="M401" t="n">
        <v>0</v>
      </c>
      <c r="N401" t="n">
        <v>0</v>
      </c>
      <c r="O401" t="n">
        <v>0</v>
      </c>
      <c r="P401" t="n">
        <v>0</v>
      </c>
      <c r="Q401" t="n">
        <v>0</v>
      </c>
      <c r="R401" s="2" t="inlineStr"/>
    </row>
    <row r="402" ht="15" customHeight="1">
      <c r="A402" t="inlineStr">
        <is>
          <t>A 24493-2023</t>
        </is>
      </c>
      <c r="B402" s="1" t="n">
        <v>45082.62603009259</v>
      </c>
      <c r="C402" s="1" t="n">
        <v>45888</v>
      </c>
      <c r="D402" t="inlineStr">
        <is>
          <t>UPPSALA LÄN</t>
        </is>
      </c>
      <c r="E402" t="inlineStr">
        <is>
          <t>ÖSTHAMMAR</t>
        </is>
      </c>
      <c r="G402" t="n">
        <v>1.9</v>
      </c>
      <c r="H402" t="n">
        <v>0</v>
      </c>
      <c r="I402" t="n">
        <v>0</v>
      </c>
      <c r="J402" t="n">
        <v>0</v>
      </c>
      <c r="K402" t="n">
        <v>0</v>
      </c>
      <c r="L402" t="n">
        <v>0</v>
      </c>
      <c r="M402" t="n">
        <v>0</v>
      </c>
      <c r="N402" t="n">
        <v>0</v>
      </c>
      <c r="O402" t="n">
        <v>0</v>
      </c>
      <c r="P402" t="n">
        <v>0</v>
      </c>
      <c r="Q402" t="n">
        <v>0</v>
      </c>
      <c r="R402" s="2" t="inlineStr"/>
    </row>
    <row r="403" ht="15" customHeight="1">
      <c r="A403" t="inlineStr">
        <is>
          <t>A 38003-2024</t>
        </is>
      </c>
      <c r="B403" s="1" t="n">
        <v>45544</v>
      </c>
      <c r="C403" s="1" t="n">
        <v>45888</v>
      </c>
      <c r="D403" t="inlineStr">
        <is>
          <t>UPPSALA LÄN</t>
        </is>
      </c>
      <c r="E403" t="inlineStr">
        <is>
          <t>ÖSTHAMMAR</t>
        </is>
      </c>
      <c r="F403" t="inlineStr">
        <is>
          <t>Naturvårdsverket</t>
        </is>
      </c>
      <c r="G403" t="n">
        <v>4.2</v>
      </c>
      <c r="H403" t="n">
        <v>0</v>
      </c>
      <c r="I403" t="n">
        <v>0</v>
      </c>
      <c r="J403" t="n">
        <v>0</v>
      </c>
      <c r="K403" t="n">
        <v>0</v>
      </c>
      <c r="L403" t="n">
        <v>0</v>
      </c>
      <c r="M403" t="n">
        <v>0</v>
      </c>
      <c r="N403" t="n">
        <v>0</v>
      </c>
      <c r="O403" t="n">
        <v>0</v>
      </c>
      <c r="P403" t="n">
        <v>0</v>
      </c>
      <c r="Q403" t="n">
        <v>0</v>
      </c>
      <c r="R403" s="2" t="inlineStr"/>
    </row>
    <row r="404" ht="15" customHeight="1">
      <c r="A404" t="inlineStr">
        <is>
          <t>A 25252-2024</t>
        </is>
      </c>
      <c r="B404" s="1" t="n">
        <v>45462</v>
      </c>
      <c r="C404" s="1" t="n">
        <v>45888</v>
      </c>
      <c r="D404" t="inlineStr">
        <is>
          <t>UPPSALA LÄN</t>
        </is>
      </c>
      <c r="E404" t="inlineStr">
        <is>
          <t>ÖSTHAMMAR</t>
        </is>
      </c>
      <c r="G404" t="n">
        <v>4.3</v>
      </c>
      <c r="H404" t="n">
        <v>0</v>
      </c>
      <c r="I404" t="n">
        <v>0</v>
      </c>
      <c r="J404" t="n">
        <v>0</v>
      </c>
      <c r="K404" t="n">
        <v>0</v>
      </c>
      <c r="L404" t="n">
        <v>0</v>
      </c>
      <c r="M404" t="n">
        <v>0</v>
      </c>
      <c r="N404" t="n">
        <v>0</v>
      </c>
      <c r="O404" t="n">
        <v>0</v>
      </c>
      <c r="P404" t="n">
        <v>0</v>
      </c>
      <c r="Q404" t="n">
        <v>0</v>
      </c>
      <c r="R404" s="2" t="inlineStr"/>
    </row>
    <row r="405" ht="15" customHeight="1">
      <c r="A405" t="inlineStr">
        <is>
          <t>A 16531-2025</t>
        </is>
      </c>
      <c r="B405" s="1" t="n">
        <v>45751</v>
      </c>
      <c r="C405" s="1" t="n">
        <v>45888</v>
      </c>
      <c r="D405" t="inlineStr">
        <is>
          <t>UPPSALA LÄN</t>
        </is>
      </c>
      <c r="E405" t="inlineStr">
        <is>
          <t>ÖSTHAMMAR</t>
        </is>
      </c>
      <c r="G405" t="n">
        <v>3.3</v>
      </c>
      <c r="H405" t="n">
        <v>0</v>
      </c>
      <c r="I405" t="n">
        <v>0</v>
      </c>
      <c r="J405" t="n">
        <v>0</v>
      </c>
      <c r="K405" t="n">
        <v>0</v>
      </c>
      <c r="L405" t="n">
        <v>0</v>
      </c>
      <c r="M405" t="n">
        <v>0</v>
      </c>
      <c r="N405" t="n">
        <v>0</v>
      </c>
      <c r="O405" t="n">
        <v>0</v>
      </c>
      <c r="P405" t="n">
        <v>0</v>
      </c>
      <c r="Q405" t="n">
        <v>0</v>
      </c>
      <c r="R405" s="2" t="inlineStr"/>
    </row>
    <row r="406" ht="15" customHeight="1">
      <c r="A406" t="inlineStr">
        <is>
          <t>A 7560-2023</t>
        </is>
      </c>
      <c r="B406" s="1" t="n">
        <v>44972.34811342593</v>
      </c>
      <c r="C406" s="1" t="n">
        <v>45888</v>
      </c>
      <c r="D406" t="inlineStr">
        <is>
          <t>UPPSALA LÄN</t>
        </is>
      </c>
      <c r="E406" t="inlineStr">
        <is>
          <t>ÖSTHAMMAR</t>
        </is>
      </c>
      <c r="F406" t="inlineStr">
        <is>
          <t>Bergvik skog öst AB</t>
        </is>
      </c>
      <c r="G406" t="n">
        <v>1.3</v>
      </c>
      <c r="H406" t="n">
        <v>0</v>
      </c>
      <c r="I406" t="n">
        <v>0</v>
      </c>
      <c r="J406" t="n">
        <v>0</v>
      </c>
      <c r="K406" t="n">
        <v>0</v>
      </c>
      <c r="L406" t="n">
        <v>0</v>
      </c>
      <c r="M406" t="n">
        <v>0</v>
      </c>
      <c r="N406" t="n">
        <v>0</v>
      </c>
      <c r="O406" t="n">
        <v>0</v>
      </c>
      <c r="P406" t="n">
        <v>0</v>
      </c>
      <c r="Q406" t="n">
        <v>0</v>
      </c>
      <c r="R406" s="2" t="inlineStr"/>
    </row>
    <row r="407" ht="15" customHeight="1">
      <c r="A407" t="inlineStr">
        <is>
          <t>A 19040-2023</t>
        </is>
      </c>
      <c r="B407" s="1" t="n">
        <v>45047</v>
      </c>
      <c r="C407" s="1" t="n">
        <v>45888</v>
      </c>
      <c r="D407" t="inlineStr">
        <is>
          <t>UPPSALA LÄN</t>
        </is>
      </c>
      <c r="E407" t="inlineStr">
        <is>
          <t>ÖSTHAMMAR</t>
        </is>
      </c>
      <c r="F407" t="inlineStr">
        <is>
          <t>Bergvik skog öst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4004-2023</t>
        </is>
      </c>
      <c r="B408" s="1" t="n">
        <v>44952</v>
      </c>
      <c r="C408" s="1" t="n">
        <v>45888</v>
      </c>
      <c r="D408" t="inlineStr">
        <is>
          <t>UPPSALA LÄN</t>
        </is>
      </c>
      <c r="E408" t="inlineStr">
        <is>
          <t>ÖSTHAMMAR</t>
        </is>
      </c>
      <c r="G408" t="n">
        <v>4.1</v>
      </c>
      <c r="H408" t="n">
        <v>0</v>
      </c>
      <c r="I408" t="n">
        <v>0</v>
      </c>
      <c r="J408" t="n">
        <v>0</v>
      </c>
      <c r="K408" t="n">
        <v>0</v>
      </c>
      <c r="L408" t="n">
        <v>0</v>
      </c>
      <c r="M408" t="n">
        <v>0</v>
      </c>
      <c r="N408" t="n">
        <v>0</v>
      </c>
      <c r="O408" t="n">
        <v>0</v>
      </c>
      <c r="P408" t="n">
        <v>0</v>
      </c>
      <c r="Q408" t="n">
        <v>0</v>
      </c>
      <c r="R408" s="2" t="inlineStr"/>
    </row>
    <row r="409" ht="15" customHeight="1">
      <c r="A409" t="inlineStr">
        <is>
          <t>A 5189-2025</t>
        </is>
      </c>
      <c r="B409" s="1" t="n">
        <v>45691</v>
      </c>
      <c r="C409" s="1" t="n">
        <v>45888</v>
      </c>
      <c r="D409" t="inlineStr">
        <is>
          <t>UPPSALA LÄN</t>
        </is>
      </c>
      <c r="E409" t="inlineStr">
        <is>
          <t>ÖSTHAMMAR</t>
        </is>
      </c>
      <c r="F409" t="inlineStr">
        <is>
          <t>Bergvik skog öst AB</t>
        </is>
      </c>
      <c r="G409" t="n">
        <v>24.4</v>
      </c>
      <c r="H409" t="n">
        <v>0</v>
      </c>
      <c r="I409" t="n">
        <v>0</v>
      </c>
      <c r="J409" t="n">
        <v>0</v>
      </c>
      <c r="K409" t="n">
        <v>0</v>
      </c>
      <c r="L409" t="n">
        <v>0</v>
      </c>
      <c r="M409" t="n">
        <v>0</v>
      </c>
      <c r="N409" t="n">
        <v>0</v>
      </c>
      <c r="O409" t="n">
        <v>0</v>
      </c>
      <c r="P409" t="n">
        <v>0</v>
      </c>
      <c r="Q409" t="n">
        <v>0</v>
      </c>
      <c r="R409" s="2" t="inlineStr"/>
    </row>
    <row r="410" ht="15" customHeight="1">
      <c r="A410" t="inlineStr">
        <is>
          <t>A 23305-2025</t>
        </is>
      </c>
      <c r="B410" s="1" t="n">
        <v>45791.60127314815</v>
      </c>
      <c r="C410" s="1" t="n">
        <v>45888</v>
      </c>
      <c r="D410" t="inlineStr">
        <is>
          <t>UPPSALA LÄN</t>
        </is>
      </c>
      <c r="E410" t="inlineStr">
        <is>
          <t>ÖSTHAMMAR</t>
        </is>
      </c>
      <c r="G410" t="n">
        <v>1.9</v>
      </c>
      <c r="H410" t="n">
        <v>0</v>
      </c>
      <c r="I410" t="n">
        <v>0</v>
      </c>
      <c r="J410" t="n">
        <v>0</v>
      </c>
      <c r="K410" t="n">
        <v>0</v>
      </c>
      <c r="L410" t="n">
        <v>0</v>
      </c>
      <c r="M410" t="n">
        <v>0</v>
      </c>
      <c r="N410" t="n">
        <v>0</v>
      </c>
      <c r="O410" t="n">
        <v>0</v>
      </c>
      <c r="P410" t="n">
        <v>0</v>
      </c>
      <c r="Q410" t="n">
        <v>0</v>
      </c>
      <c r="R410" s="2" t="inlineStr"/>
    </row>
    <row r="411" ht="15" customHeight="1">
      <c r="A411" t="inlineStr">
        <is>
          <t>A 31549-2022</t>
        </is>
      </c>
      <c r="B411" s="1" t="n">
        <v>44775.400625</v>
      </c>
      <c r="C411" s="1" t="n">
        <v>45888</v>
      </c>
      <c r="D411" t="inlineStr">
        <is>
          <t>UPPSALA LÄN</t>
        </is>
      </c>
      <c r="E411" t="inlineStr">
        <is>
          <t>ÖSTHAMMAR</t>
        </is>
      </c>
      <c r="G411" t="n">
        <v>1.5</v>
      </c>
      <c r="H411" t="n">
        <v>0</v>
      </c>
      <c r="I411" t="n">
        <v>0</v>
      </c>
      <c r="J411" t="n">
        <v>0</v>
      </c>
      <c r="K411" t="n">
        <v>0</v>
      </c>
      <c r="L411" t="n">
        <v>0</v>
      </c>
      <c r="M411" t="n">
        <v>0</v>
      </c>
      <c r="N411" t="n">
        <v>0</v>
      </c>
      <c r="O411" t="n">
        <v>0</v>
      </c>
      <c r="P411" t="n">
        <v>0</v>
      </c>
      <c r="Q411" t="n">
        <v>0</v>
      </c>
      <c r="R411" s="2" t="inlineStr"/>
    </row>
    <row r="412" ht="15" customHeight="1">
      <c r="A412" t="inlineStr">
        <is>
          <t>A 31137-2022</t>
        </is>
      </c>
      <c r="B412" s="1" t="n">
        <v>44770.42166666667</v>
      </c>
      <c r="C412" s="1" t="n">
        <v>45888</v>
      </c>
      <c r="D412" t="inlineStr">
        <is>
          <t>UPPSALA LÄN</t>
        </is>
      </c>
      <c r="E412" t="inlineStr">
        <is>
          <t>ÖSTHAMMAR</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1584-2025</t>
        </is>
      </c>
      <c r="B413" s="1" t="n">
        <v>45670</v>
      </c>
      <c r="C413" s="1" t="n">
        <v>45888</v>
      </c>
      <c r="D413" t="inlineStr">
        <is>
          <t>UPPSALA LÄN</t>
        </is>
      </c>
      <c r="E413" t="inlineStr">
        <is>
          <t>ÖSTHAMMAR</t>
        </is>
      </c>
      <c r="G413" t="n">
        <v>0.7</v>
      </c>
      <c r="H413" t="n">
        <v>0</v>
      </c>
      <c r="I413" t="n">
        <v>0</v>
      </c>
      <c r="J413" t="n">
        <v>0</v>
      </c>
      <c r="K413" t="n">
        <v>0</v>
      </c>
      <c r="L413" t="n">
        <v>0</v>
      </c>
      <c r="M413" t="n">
        <v>0</v>
      </c>
      <c r="N413" t="n">
        <v>0</v>
      </c>
      <c r="O413" t="n">
        <v>0</v>
      </c>
      <c r="P413" t="n">
        <v>0</v>
      </c>
      <c r="Q413" t="n">
        <v>0</v>
      </c>
      <c r="R413" s="2" t="inlineStr"/>
    </row>
    <row r="414" ht="15" customHeight="1">
      <c r="A414" t="inlineStr">
        <is>
          <t>A 30972-2024</t>
        </is>
      </c>
      <c r="B414" s="1" t="n">
        <v>45499.47106481482</v>
      </c>
      <c r="C414" s="1" t="n">
        <v>45888</v>
      </c>
      <c r="D414" t="inlineStr">
        <is>
          <t>UPPSALA LÄN</t>
        </is>
      </c>
      <c r="E414" t="inlineStr">
        <is>
          <t>ÖSTHAMMAR</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24160-2024</t>
        </is>
      </c>
      <c r="B415" s="1" t="n">
        <v>45456</v>
      </c>
      <c r="C415" s="1" t="n">
        <v>45888</v>
      </c>
      <c r="D415" t="inlineStr">
        <is>
          <t>UPPSALA LÄN</t>
        </is>
      </c>
      <c r="E415" t="inlineStr">
        <is>
          <t>ÖSTHAMMAR</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74429-2021</t>
        </is>
      </c>
      <c r="B416" s="1" t="n">
        <v>44560.43136574074</v>
      </c>
      <c r="C416" s="1" t="n">
        <v>45888</v>
      </c>
      <c r="D416" t="inlineStr">
        <is>
          <t>UPPSALA LÄN</t>
        </is>
      </c>
      <c r="E416" t="inlineStr">
        <is>
          <t>ÖSTHAMMAR</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24415-2025</t>
        </is>
      </c>
      <c r="B417" s="1" t="n">
        <v>45797.67381944445</v>
      </c>
      <c r="C417" s="1" t="n">
        <v>45888</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30931-2021</t>
        </is>
      </c>
      <c r="B418" s="1" t="n">
        <v>44365</v>
      </c>
      <c r="C418" s="1" t="n">
        <v>45888</v>
      </c>
      <c r="D418" t="inlineStr">
        <is>
          <t>UPPSALA LÄN</t>
        </is>
      </c>
      <c r="E418" t="inlineStr">
        <is>
          <t>ÖSTHAMMAR</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36857-2023</t>
        </is>
      </c>
      <c r="B419" s="1" t="n">
        <v>45154.55175925926</v>
      </c>
      <c r="C419" s="1" t="n">
        <v>45888</v>
      </c>
      <c r="D419" t="inlineStr">
        <is>
          <t>UPPSALA LÄN</t>
        </is>
      </c>
      <c r="E419" t="inlineStr">
        <is>
          <t>ÖSTHAMMAR</t>
        </is>
      </c>
      <c r="G419" t="n">
        <v>0.5</v>
      </c>
      <c r="H419" t="n">
        <v>0</v>
      </c>
      <c r="I419" t="n">
        <v>0</v>
      </c>
      <c r="J419" t="n">
        <v>0</v>
      </c>
      <c r="K419" t="n">
        <v>0</v>
      </c>
      <c r="L419" t="n">
        <v>0</v>
      </c>
      <c r="M419" t="n">
        <v>0</v>
      </c>
      <c r="N419" t="n">
        <v>0</v>
      </c>
      <c r="O419" t="n">
        <v>0</v>
      </c>
      <c r="P419" t="n">
        <v>0</v>
      </c>
      <c r="Q419" t="n">
        <v>0</v>
      </c>
      <c r="R419" s="2" t="inlineStr"/>
    </row>
    <row r="420" ht="15" customHeight="1">
      <c r="A420" t="inlineStr">
        <is>
          <t>A 17867-2024</t>
        </is>
      </c>
      <c r="B420" s="1" t="n">
        <v>45419.44106481481</v>
      </c>
      <c r="C420" s="1" t="n">
        <v>45888</v>
      </c>
      <c r="D420" t="inlineStr">
        <is>
          <t>UPPSALA LÄN</t>
        </is>
      </c>
      <c r="E420" t="inlineStr">
        <is>
          <t>ÖSTHAMMAR</t>
        </is>
      </c>
      <c r="G420" t="n">
        <v>7.2</v>
      </c>
      <c r="H420" t="n">
        <v>0</v>
      </c>
      <c r="I420" t="n">
        <v>0</v>
      </c>
      <c r="J420" t="n">
        <v>0</v>
      </c>
      <c r="K420" t="n">
        <v>0</v>
      </c>
      <c r="L420" t="n">
        <v>0</v>
      </c>
      <c r="M420" t="n">
        <v>0</v>
      </c>
      <c r="N420" t="n">
        <v>0</v>
      </c>
      <c r="O420" t="n">
        <v>0</v>
      </c>
      <c r="P420" t="n">
        <v>0</v>
      </c>
      <c r="Q420" t="n">
        <v>0</v>
      </c>
      <c r="R420" s="2" t="inlineStr"/>
    </row>
    <row r="421" ht="15" customHeight="1">
      <c r="A421" t="inlineStr">
        <is>
          <t>A 4228-2023</t>
        </is>
      </c>
      <c r="B421" s="1" t="n">
        <v>44953.48179398148</v>
      </c>
      <c r="C421" s="1" t="n">
        <v>45888</v>
      </c>
      <c r="D421" t="inlineStr">
        <is>
          <t>UPPSALA LÄN</t>
        </is>
      </c>
      <c r="E421" t="inlineStr">
        <is>
          <t>ÖSTHAMMAR</t>
        </is>
      </c>
      <c r="G421" t="n">
        <v>1</v>
      </c>
      <c r="H421" t="n">
        <v>0</v>
      </c>
      <c r="I421" t="n">
        <v>0</v>
      </c>
      <c r="J421" t="n">
        <v>0</v>
      </c>
      <c r="K421" t="n">
        <v>0</v>
      </c>
      <c r="L421" t="n">
        <v>0</v>
      </c>
      <c r="M421" t="n">
        <v>0</v>
      </c>
      <c r="N421" t="n">
        <v>0</v>
      </c>
      <c r="O421" t="n">
        <v>0</v>
      </c>
      <c r="P421" t="n">
        <v>0</v>
      </c>
      <c r="Q421" t="n">
        <v>0</v>
      </c>
      <c r="R421" s="2" t="inlineStr"/>
    </row>
    <row r="422" ht="15" customHeight="1">
      <c r="A422" t="inlineStr">
        <is>
          <t>A 1800-2023</t>
        </is>
      </c>
      <c r="B422" s="1" t="n">
        <v>44938</v>
      </c>
      <c r="C422" s="1" t="n">
        <v>45888</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8699-2025</t>
        </is>
      </c>
      <c r="B423" s="1" t="n">
        <v>45712.47983796296</v>
      </c>
      <c r="C423" s="1" t="n">
        <v>45888</v>
      </c>
      <c r="D423" t="inlineStr">
        <is>
          <t>UPPSALA LÄN</t>
        </is>
      </c>
      <c r="E423" t="inlineStr">
        <is>
          <t>ÖSTHAMMAR</t>
        </is>
      </c>
      <c r="G423" t="n">
        <v>5.6</v>
      </c>
      <c r="H423" t="n">
        <v>0</v>
      </c>
      <c r="I423" t="n">
        <v>0</v>
      </c>
      <c r="J423" t="n">
        <v>0</v>
      </c>
      <c r="K423" t="n">
        <v>0</v>
      </c>
      <c r="L423" t="n">
        <v>0</v>
      </c>
      <c r="M423" t="n">
        <v>0</v>
      </c>
      <c r="N423" t="n">
        <v>0</v>
      </c>
      <c r="O423" t="n">
        <v>0</v>
      </c>
      <c r="P423" t="n">
        <v>0</v>
      </c>
      <c r="Q423" t="n">
        <v>0</v>
      </c>
      <c r="R423" s="2" t="inlineStr"/>
    </row>
    <row r="424" ht="15" customHeight="1">
      <c r="A424" t="inlineStr">
        <is>
          <t>A 8791-2025</t>
        </is>
      </c>
      <c r="B424" s="1" t="n">
        <v>45712</v>
      </c>
      <c r="C424" s="1" t="n">
        <v>45888</v>
      </c>
      <c r="D424" t="inlineStr">
        <is>
          <t>UPPSALA LÄN</t>
        </is>
      </c>
      <c r="E424" t="inlineStr">
        <is>
          <t>ÖSTHAMMAR</t>
        </is>
      </c>
      <c r="G424" t="n">
        <v>0.6</v>
      </c>
      <c r="H424" t="n">
        <v>0</v>
      </c>
      <c r="I424" t="n">
        <v>0</v>
      </c>
      <c r="J424" t="n">
        <v>0</v>
      </c>
      <c r="K424" t="n">
        <v>0</v>
      </c>
      <c r="L424" t="n">
        <v>0</v>
      </c>
      <c r="M424" t="n">
        <v>0</v>
      </c>
      <c r="N424" t="n">
        <v>0</v>
      </c>
      <c r="O424" t="n">
        <v>0</v>
      </c>
      <c r="P424" t="n">
        <v>0</v>
      </c>
      <c r="Q424" t="n">
        <v>0</v>
      </c>
      <c r="R424" s="2" t="inlineStr"/>
    </row>
    <row r="425" ht="15" customHeight="1">
      <c r="A425" t="inlineStr">
        <is>
          <t>A 31485-2023</t>
        </is>
      </c>
      <c r="B425" s="1" t="n">
        <v>45114</v>
      </c>
      <c r="C425" s="1" t="n">
        <v>45888</v>
      </c>
      <c r="D425" t="inlineStr">
        <is>
          <t>UPPSALA LÄN</t>
        </is>
      </c>
      <c r="E425" t="inlineStr">
        <is>
          <t>ÖSTHAMMAR</t>
        </is>
      </c>
      <c r="F425" t="inlineStr">
        <is>
          <t>Bergvik skog öst AB</t>
        </is>
      </c>
      <c r="G425" t="n">
        <v>1</v>
      </c>
      <c r="H425" t="n">
        <v>0</v>
      </c>
      <c r="I425" t="n">
        <v>0</v>
      </c>
      <c r="J425" t="n">
        <v>0</v>
      </c>
      <c r="K425" t="n">
        <v>0</v>
      </c>
      <c r="L425" t="n">
        <v>0</v>
      </c>
      <c r="M425" t="n">
        <v>0</v>
      </c>
      <c r="N425" t="n">
        <v>0</v>
      </c>
      <c r="O425" t="n">
        <v>0</v>
      </c>
      <c r="P425" t="n">
        <v>0</v>
      </c>
      <c r="Q425" t="n">
        <v>0</v>
      </c>
      <c r="R425" s="2" t="inlineStr"/>
    </row>
    <row r="426" ht="15" customHeight="1">
      <c r="A426" t="inlineStr">
        <is>
          <t>A 19748-2025</t>
        </is>
      </c>
      <c r="B426" s="1" t="n">
        <v>45771.38465277778</v>
      </c>
      <c r="C426" s="1" t="n">
        <v>45888</v>
      </c>
      <c r="D426" t="inlineStr">
        <is>
          <t>UPPSALA LÄN</t>
        </is>
      </c>
      <c r="E426" t="inlineStr">
        <is>
          <t>ÖSTHAMMAR</t>
        </is>
      </c>
      <c r="F426" t="inlineStr">
        <is>
          <t>Övriga Aktiebolag</t>
        </is>
      </c>
      <c r="G426" t="n">
        <v>6.8</v>
      </c>
      <c r="H426" t="n">
        <v>0</v>
      </c>
      <c r="I426" t="n">
        <v>0</v>
      </c>
      <c r="J426" t="n">
        <v>0</v>
      </c>
      <c r="K426" t="n">
        <v>0</v>
      </c>
      <c r="L426" t="n">
        <v>0</v>
      </c>
      <c r="M426" t="n">
        <v>0</v>
      </c>
      <c r="N426" t="n">
        <v>0</v>
      </c>
      <c r="O426" t="n">
        <v>0</v>
      </c>
      <c r="P426" t="n">
        <v>0</v>
      </c>
      <c r="Q426" t="n">
        <v>0</v>
      </c>
      <c r="R426" s="2" t="inlineStr"/>
    </row>
    <row r="427" ht="15" customHeight="1">
      <c r="A427" t="inlineStr">
        <is>
          <t>A 36301-2023</t>
        </is>
      </c>
      <c r="B427" s="1" t="n">
        <v>45152.37296296296</v>
      </c>
      <c r="C427" s="1" t="n">
        <v>45888</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25897-2023</t>
        </is>
      </c>
      <c r="B428" s="1" t="n">
        <v>45090.63300925926</v>
      </c>
      <c r="C428" s="1" t="n">
        <v>45888</v>
      </c>
      <c r="D428" t="inlineStr">
        <is>
          <t>UPPSALA LÄN</t>
        </is>
      </c>
      <c r="E428" t="inlineStr">
        <is>
          <t>ÖSTHAMMAR</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49206-2020</t>
        </is>
      </c>
      <c r="B429" s="1" t="n">
        <v>44105</v>
      </c>
      <c r="C429" s="1" t="n">
        <v>45888</v>
      </c>
      <c r="D429" t="inlineStr">
        <is>
          <t>UPPSALA LÄN</t>
        </is>
      </c>
      <c r="E429" t="inlineStr">
        <is>
          <t>ÖSTHAMMAR</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59327-2023</t>
        </is>
      </c>
      <c r="B430" s="1" t="n">
        <v>45253.63400462963</v>
      </c>
      <c r="C430" s="1" t="n">
        <v>45888</v>
      </c>
      <c r="D430" t="inlineStr">
        <is>
          <t>UPPSALA LÄN</t>
        </is>
      </c>
      <c r="E430" t="inlineStr">
        <is>
          <t>ÖSTHAMMAR</t>
        </is>
      </c>
      <c r="G430" t="n">
        <v>3.1</v>
      </c>
      <c r="H430" t="n">
        <v>0</v>
      </c>
      <c r="I430" t="n">
        <v>0</v>
      </c>
      <c r="J430" t="n">
        <v>0</v>
      </c>
      <c r="K430" t="n">
        <v>0</v>
      </c>
      <c r="L430" t="n">
        <v>0</v>
      </c>
      <c r="M430" t="n">
        <v>0</v>
      </c>
      <c r="N430" t="n">
        <v>0</v>
      </c>
      <c r="O430" t="n">
        <v>0</v>
      </c>
      <c r="P430" t="n">
        <v>0</v>
      </c>
      <c r="Q430" t="n">
        <v>0</v>
      </c>
      <c r="R430" s="2" t="inlineStr"/>
    </row>
    <row r="431" ht="15" customHeight="1">
      <c r="A431" t="inlineStr">
        <is>
          <t>A 7195-2023</t>
        </is>
      </c>
      <c r="B431" s="1" t="n">
        <v>44970</v>
      </c>
      <c r="C431" s="1" t="n">
        <v>45888</v>
      </c>
      <c r="D431" t="inlineStr">
        <is>
          <t>UPPSALA LÄN</t>
        </is>
      </c>
      <c r="E431" t="inlineStr">
        <is>
          <t>ÖSTHAMMAR</t>
        </is>
      </c>
      <c r="G431" t="n">
        <v>1.3</v>
      </c>
      <c r="H431" t="n">
        <v>0</v>
      </c>
      <c r="I431" t="n">
        <v>0</v>
      </c>
      <c r="J431" t="n">
        <v>0</v>
      </c>
      <c r="K431" t="n">
        <v>0</v>
      </c>
      <c r="L431" t="n">
        <v>0</v>
      </c>
      <c r="M431" t="n">
        <v>0</v>
      </c>
      <c r="N431" t="n">
        <v>0</v>
      </c>
      <c r="O431" t="n">
        <v>0</v>
      </c>
      <c r="P431" t="n">
        <v>0</v>
      </c>
      <c r="Q431" t="n">
        <v>0</v>
      </c>
      <c r="R431" s="2" t="inlineStr"/>
    </row>
    <row r="432" ht="15" customHeight="1">
      <c r="A432" t="inlineStr">
        <is>
          <t>A 4101-2022</t>
        </is>
      </c>
      <c r="B432" s="1" t="n">
        <v>44588</v>
      </c>
      <c r="C432" s="1" t="n">
        <v>45888</v>
      </c>
      <c r="D432" t="inlineStr">
        <is>
          <t>UPPSALA LÄN</t>
        </is>
      </c>
      <c r="E432" t="inlineStr">
        <is>
          <t>ÖSTHAMMAR</t>
        </is>
      </c>
      <c r="G432" t="n">
        <v>4.4</v>
      </c>
      <c r="H432" t="n">
        <v>0</v>
      </c>
      <c r="I432" t="n">
        <v>0</v>
      </c>
      <c r="J432" t="n">
        <v>0</v>
      </c>
      <c r="K432" t="n">
        <v>0</v>
      </c>
      <c r="L432" t="n">
        <v>0</v>
      </c>
      <c r="M432" t="n">
        <v>0</v>
      </c>
      <c r="N432" t="n">
        <v>0</v>
      </c>
      <c r="O432" t="n">
        <v>0</v>
      </c>
      <c r="P432" t="n">
        <v>0</v>
      </c>
      <c r="Q432" t="n">
        <v>0</v>
      </c>
      <c r="R432" s="2" t="inlineStr"/>
    </row>
    <row r="433" ht="15" customHeight="1">
      <c r="A433" t="inlineStr">
        <is>
          <t>A 26774-2023</t>
        </is>
      </c>
      <c r="B433" s="1" t="n">
        <v>45093.47947916666</v>
      </c>
      <c r="C433" s="1" t="n">
        <v>45888</v>
      </c>
      <c r="D433" t="inlineStr">
        <is>
          <t>UPPSALA LÄN</t>
        </is>
      </c>
      <c r="E433" t="inlineStr">
        <is>
          <t>ÖSTHAMMAR</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5076-2025</t>
        </is>
      </c>
      <c r="B434" s="1" t="n">
        <v>45691</v>
      </c>
      <c r="C434" s="1" t="n">
        <v>45888</v>
      </c>
      <c r="D434" t="inlineStr">
        <is>
          <t>UPPSALA LÄN</t>
        </is>
      </c>
      <c r="E434" t="inlineStr">
        <is>
          <t>ÖSTHAMMAR</t>
        </is>
      </c>
      <c r="G434" t="n">
        <v>5.8</v>
      </c>
      <c r="H434" t="n">
        <v>0</v>
      </c>
      <c r="I434" t="n">
        <v>0</v>
      </c>
      <c r="J434" t="n">
        <v>0</v>
      </c>
      <c r="K434" t="n">
        <v>0</v>
      </c>
      <c r="L434" t="n">
        <v>0</v>
      </c>
      <c r="M434" t="n">
        <v>0</v>
      </c>
      <c r="N434" t="n">
        <v>0</v>
      </c>
      <c r="O434" t="n">
        <v>0</v>
      </c>
      <c r="P434" t="n">
        <v>0</v>
      </c>
      <c r="Q434" t="n">
        <v>0</v>
      </c>
      <c r="R434" s="2" t="inlineStr"/>
    </row>
    <row r="435" ht="15" customHeight="1">
      <c r="A435" t="inlineStr">
        <is>
          <t>A 2839-2025</t>
        </is>
      </c>
      <c r="B435" s="1" t="n">
        <v>45677</v>
      </c>
      <c r="C435" s="1" t="n">
        <v>45888</v>
      </c>
      <c r="D435" t="inlineStr">
        <is>
          <t>UPPSALA LÄN</t>
        </is>
      </c>
      <c r="E435" t="inlineStr">
        <is>
          <t>ÖSTHAMMAR</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67848-2021</t>
        </is>
      </c>
      <c r="B436" s="1" t="n">
        <v>44525</v>
      </c>
      <c r="C436" s="1" t="n">
        <v>45888</v>
      </c>
      <c r="D436" t="inlineStr">
        <is>
          <t>UPPSALA LÄN</t>
        </is>
      </c>
      <c r="E436" t="inlineStr">
        <is>
          <t>ÖSTHAMMAR</t>
        </is>
      </c>
      <c r="G436" t="n">
        <v>1</v>
      </c>
      <c r="H436" t="n">
        <v>0</v>
      </c>
      <c r="I436" t="n">
        <v>0</v>
      </c>
      <c r="J436" t="n">
        <v>0</v>
      </c>
      <c r="K436" t="n">
        <v>0</v>
      </c>
      <c r="L436" t="n">
        <v>0</v>
      </c>
      <c r="M436" t="n">
        <v>0</v>
      </c>
      <c r="N436" t="n">
        <v>0</v>
      </c>
      <c r="O436" t="n">
        <v>0</v>
      </c>
      <c r="P436" t="n">
        <v>0</v>
      </c>
      <c r="Q436" t="n">
        <v>0</v>
      </c>
      <c r="R436" s="2" t="inlineStr"/>
    </row>
    <row r="437" ht="15" customHeight="1">
      <c r="A437" t="inlineStr">
        <is>
          <t>A 24389-2025</t>
        </is>
      </c>
      <c r="B437" s="1" t="n">
        <v>45797.63553240741</v>
      </c>
      <c r="C437" s="1" t="n">
        <v>45888</v>
      </c>
      <c r="D437" t="inlineStr">
        <is>
          <t>UPPSALA LÄN</t>
        </is>
      </c>
      <c r="E437" t="inlineStr">
        <is>
          <t>ÖSTHAMMAR</t>
        </is>
      </c>
      <c r="G437" t="n">
        <v>1.1</v>
      </c>
      <c r="H437" t="n">
        <v>0</v>
      </c>
      <c r="I437" t="n">
        <v>0</v>
      </c>
      <c r="J437" t="n">
        <v>0</v>
      </c>
      <c r="K437" t="n">
        <v>0</v>
      </c>
      <c r="L437" t="n">
        <v>0</v>
      </c>
      <c r="M437" t="n">
        <v>0</v>
      </c>
      <c r="N437" t="n">
        <v>0</v>
      </c>
      <c r="O437" t="n">
        <v>0</v>
      </c>
      <c r="P437" t="n">
        <v>0</v>
      </c>
      <c r="Q437" t="n">
        <v>0</v>
      </c>
      <c r="R437" s="2" t="inlineStr"/>
    </row>
    <row r="438" ht="15" customHeight="1">
      <c r="A438" t="inlineStr">
        <is>
          <t>A 24401-2025</t>
        </is>
      </c>
      <c r="B438" s="1" t="n">
        <v>45797.64908564815</v>
      </c>
      <c r="C438" s="1" t="n">
        <v>45888</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23968-2025</t>
        </is>
      </c>
      <c r="B439" s="1" t="n">
        <v>45796</v>
      </c>
      <c r="C439" s="1" t="n">
        <v>45888</v>
      </c>
      <c r="D439" t="inlineStr">
        <is>
          <t>UPPSALA LÄN</t>
        </is>
      </c>
      <c r="E439" t="inlineStr">
        <is>
          <t>ÖSTHAMMAR</t>
        </is>
      </c>
      <c r="F439" t="inlineStr">
        <is>
          <t>Bergvik skog öst AB</t>
        </is>
      </c>
      <c r="G439" t="n">
        <v>7.5</v>
      </c>
      <c r="H439" t="n">
        <v>0</v>
      </c>
      <c r="I439" t="n">
        <v>0</v>
      </c>
      <c r="J439" t="n">
        <v>0</v>
      </c>
      <c r="K439" t="n">
        <v>0</v>
      </c>
      <c r="L439" t="n">
        <v>0</v>
      </c>
      <c r="M439" t="n">
        <v>0</v>
      </c>
      <c r="N439" t="n">
        <v>0</v>
      </c>
      <c r="O439" t="n">
        <v>0</v>
      </c>
      <c r="P439" t="n">
        <v>0</v>
      </c>
      <c r="Q439" t="n">
        <v>0</v>
      </c>
      <c r="R439" s="2" t="inlineStr"/>
    </row>
    <row r="440" ht="15" customHeight="1">
      <c r="A440" t="inlineStr">
        <is>
          <t>A 24174-2025</t>
        </is>
      </c>
      <c r="B440" s="1" t="n">
        <v>45796.69207175926</v>
      </c>
      <c r="C440" s="1" t="n">
        <v>45888</v>
      </c>
      <c r="D440" t="inlineStr">
        <is>
          <t>UPPSALA LÄN</t>
        </is>
      </c>
      <c r="E440" t="inlineStr">
        <is>
          <t>ÖSTHAMMAR</t>
        </is>
      </c>
      <c r="G440" t="n">
        <v>4.9</v>
      </c>
      <c r="H440" t="n">
        <v>0</v>
      </c>
      <c r="I440" t="n">
        <v>0</v>
      </c>
      <c r="J440" t="n">
        <v>0</v>
      </c>
      <c r="K440" t="n">
        <v>0</v>
      </c>
      <c r="L440" t="n">
        <v>0</v>
      </c>
      <c r="M440" t="n">
        <v>0</v>
      </c>
      <c r="N440" t="n">
        <v>0</v>
      </c>
      <c r="O440" t="n">
        <v>0</v>
      </c>
      <c r="P440" t="n">
        <v>0</v>
      </c>
      <c r="Q440" t="n">
        <v>0</v>
      </c>
      <c r="R440" s="2" t="inlineStr"/>
    </row>
    <row r="441" ht="15" customHeight="1">
      <c r="A441" t="inlineStr">
        <is>
          <t>A 17644-2025</t>
        </is>
      </c>
      <c r="B441" s="1" t="n">
        <v>45758.32645833334</v>
      </c>
      <c r="C441" s="1" t="n">
        <v>45888</v>
      </c>
      <c r="D441" t="inlineStr">
        <is>
          <t>UPPSALA LÄN</t>
        </is>
      </c>
      <c r="E441" t="inlineStr">
        <is>
          <t>ÖSTHAMMAR</t>
        </is>
      </c>
      <c r="F441" t="inlineStr">
        <is>
          <t>Bergvik skog väst AB</t>
        </is>
      </c>
      <c r="G441" t="n">
        <v>6.1</v>
      </c>
      <c r="H441" t="n">
        <v>0</v>
      </c>
      <c r="I441" t="n">
        <v>0</v>
      </c>
      <c r="J441" t="n">
        <v>0</v>
      </c>
      <c r="K441" t="n">
        <v>0</v>
      </c>
      <c r="L441" t="n">
        <v>0</v>
      </c>
      <c r="M441" t="n">
        <v>0</v>
      </c>
      <c r="N441" t="n">
        <v>0</v>
      </c>
      <c r="O441" t="n">
        <v>0</v>
      </c>
      <c r="P441" t="n">
        <v>0</v>
      </c>
      <c r="Q441" t="n">
        <v>0</v>
      </c>
      <c r="R441" s="2" t="inlineStr"/>
    </row>
    <row r="442" ht="15" customHeight="1">
      <c r="A442" t="inlineStr">
        <is>
          <t>A 38600-2023</t>
        </is>
      </c>
      <c r="B442" s="1" t="n">
        <v>45162</v>
      </c>
      <c r="C442" s="1" t="n">
        <v>45888</v>
      </c>
      <c r="D442" t="inlineStr">
        <is>
          <t>UPPSALA LÄN</t>
        </is>
      </c>
      <c r="E442" t="inlineStr">
        <is>
          <t>ÖSTHAMMAR</t>
        </is>
      </c>
      <c r="F442" t="inlineStr">
        <is>
          <t>Bergvik skog väst AB</t>
        </is>
      </c>
      <c r="G442" t="n">
        <v>0.1</v>
      </c>
      <c r="H442" t="n">
        <v>0</v>
      </c>
      <c r="I442" t="n">
        <v>0</v>
      </c>
      <c r="J442" t="n">
        <v>0</v>
      </c>
      <c r="K442" t="n">
        <v>0</v>
      </c>
      <c r="L442" t="n">
        <v>0</v>
      </c>
      <c r="M442" t="n">
        <v>0</v>
      </c>
      <c r="N442" t="n">
        <v>0</v>
      </c>
      <c r="O442" t="n">
        <v>0</v>
      </c>
      <c r="P442" t="n">
        <v>0</v>
      </c>
      <c r="Q442" t="n">
        <v>0</v>
      </c>
      <c r="R442" s="2" t="inlineStr"/>
    </row>
    <row r="443" ht="15" customHeight="1">
      <c r="A443" t="inlineStr">
        <is>
          <t>A 38610-2023</t>
        </is>
      </c>
      <c r="B443" s="1" t="n">
        <v>45162.65466435185</v>
      </c>
      <c r="C443" s="1" t="n">
        <v>45888</v>
      </c>
      <c r="D443" t="inlineStr">
        <is>
          <t>UPPSALA LÄN</t>
        </is>
      </c>
      <c r="E443" t="inlineStr">
        <is>
          <t>ÖSTHAMMAR</t>
        </is>
      </c>
      <c r="F443" t="inlineStr">
        <is>
          <t>Bergvik skog öst AB</t>
        </is>
      </c>
      <c r="G443" t="n">
        <v>3.5</v>
      </c>
      <c r="H443" t="n">
        <v>0</v>
      </c>
      <c r="I443" t="n">
        <v>0</v>
      </c>
      <c r="J443" t="n">
        <v>0</v>
      </c>
      <c r="K443" t="n">
        <v>0</v>
      </c>
      <c r="L443" t="n">
        <v>0</v>
      </c>
      <c r="M443" t="n">
        <v>0</v>
      </c>
      <c r="N443" t="n">
        <v>0</v>
      </c>
      <c r="O443" t="n">
        <v>0</v>
      </c>
      <c r="P443" t="n">
        <v>0</v>
      </c>
      <c r="Q443" t="n">
        <v>0</v>
      </c>
      <c r="R443" s="2" t="inlineStr"/>
    </row>
    <row r="444" ht="15" customHeight="1">
      <c r="A444" t="inlineStr">
        <is>
          <t>A 24408-2025</t>
        </is>
      </c>
      <c r="B444" s="1" t="n">
        <v>45797.65774305556</v>
      </c>
      <c r="C444" s="1" t="n">
        <v>45888</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20324-2021</t>
        </is>
      </c>
      <c r="B445" s="1" t="n">
        <v>44308</v>
      </c>
      <c r="C445" s="1" t="n">
        <v>45888</v>
      </c>
      <c r="D445" t="inlineStr">
        <is>
          <t>UPPSALA LÄN</t>
        </is>
      </c>
      <c r="E445" t="inlineStr">
        <is>
          <t>ÖSTHAMMAR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10117-2025</t>
        </is>
      </c>
      <c r="B446" s="1" t="n">
        <v>45719.59866898148</v>
      </c>
      <c r="C446" s="1" t="n">
        <v>45888</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17652-2025</t>
        </is>
      </c>
      <c r="B447" s="1" t="n">
        <v>45758.33583333333</v>
      </c>
      <c r="C447" s="1" t="n">
        <v>45888</v>
      </c>
      <c r="D447" t="inlineStr">
        <is>
          <t>UPPSALA LÄN</t>
        </is>
      </c>
      <c r="E447" t="inlineStr">
        <is>
          <t>ÖSTHAMMAR</t>
        </is>
      </c>
      <c r="F447" t="inlineStr">
        <is>
          <t>Bergvik skog väst AB</t>
        </is>
      </c>
      <c r="G447" t="n">
        <v>1.1</v>
      </c>
      <c r="H447" t="n">
        <v>0</v>
      </c>
      <c r="I447" t="n">
        <v>0</v>
      </c>
      <c r="J447" t="n">
        <v>0</v>
      </c>
      <c r="K447" t="n">
        <v>0</v>
      </c>
      <c r="L447" t="n">
        <v>0</v>
      </c>
      <c r="M447" t="n">
        <v>0</v>
      </c>
      <c r="N447" t="n">
        <v>0</v>
      </c>
      <c r="O447" t="n">
        <v>0</v>
      </c>
      <c r="P447" t="n">
        <v>0</v>
      </c>
      <c r="Q447" t="n">
        <v>0</v>
      </c>
      <c r="R447" s="2" t="inlineStr"/>
    </row>
    <row r="448" ht="15" customHeight="1">
      <c r="A448" t="inlineStr">
        <is>
          <t>A 24606-2024</t>
        </is>
      </c>
      <c r="B448" s="1" t="n">
        <v>45460</v>
      </c>
      <c r="C448" s="1" t="n">
        <v>45888</v>
      </c>
      <c r="D448" t="inlineStr">
        <is>
          <t>UPPSALA LÄN</t>
        </is>
      </c>
      <c r="E448" t="inlineStr">
        <is>
          <t>ÖSTHAMMAR</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24412-2025</t>
        </is>
      </c>
      <c r="B449" s="1" t="n">
        <v>45797.6671412037</v>
      </c>
      <c r="C449" s="1" t="n">
        <v>45888</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64811-2021</t>
        </is>
      </c>
      <c r="B450" s="1" t="n">
        <v>44512</v>
      </c>
      <c r="C450" s="1" t="n">
        <v>45888</v>
      </c>
      <c r="D450" t="inlineStr">
        <is>
          <t>UPPSALA LÄN</t>
        </is>
      </c>
      <c r="E450" t="inlineStr">
        <is>
          <t>ÖSTHAMMAR</t>
        </is>
      </c>
      <c r="G450" t="n">
        <v>4.2</v>
      </c>
      <c r="H450" t="n">
        <v>0</v>
      </c>
      <c r="I450" t="n">
        <v>0</v>
      </c>
      <c r="J450" t="n">
        <v>0</v>
      </c>
      <c r="K450" t="n">
        <v>0</v>
      </c>
      <c r="L450" t="n">
        <v>0</v>
      </c>
      <c r="M450" t="n">
        <v>0</v>
      </c>
      <c r="N450" t="n">
        <v>0</v>
      </c>
      <c r="O450" t="n">
        <v>0</v>
      </c>
      <c r="P450" t="n">
        <v>0</v>
      </c>
      <c r="Q450" t="n">
        <v>0</v>
      </c>
      <c r="R450" s="2" t="inlineStr"/>
    </row>
    <row r="451" ht="15" customHeight="1">
      <c r="A451" t="inlineStr">
        <is>
          <t>A 6120-2024</t>
        </is>
      </c>
      <c r="B451" s="1" t="n">
        <v>45337.41784722222</v>
      </c>
      <c r="C451" s="1" t="n">
        <v>45888</v>
      </c>
      <c r="D451" t="inlineStr">
        <is>
          <t>UPPSALA LÄN</t>
        </is>
      </c>
      <c r="E451" t="inlineStr">
        <is>
          <t>ÖSTHAMMAR</t>
        </is>
      </c>
      <c r="G451" t="n">
        <v>0.7</v>
      </c>
      <c r="H451" t="n">
        <v>0</v>
      </c>
      <c r="I451" t="n">
        <v>0</v>
      </c>
      <c r="J451" t="n">
        <v>0</v>
      </c>
      <c r="K451" t="n">
        <v>0</v>
      </c>
      <c r="L451" t="n">
        <v>0</v>
      </c>
      <c r="M451" t="n">
        <v>0</v>
      </c>
      <c r="N451" t="n">
        <v>0</v>
      </c>
      <c r="O451" t="n">
        <v>0</v>
      </c>
      <c r="P451" t="n">
        <v>0</v>
      </c>
      <c r="Q451" t="n">
        <v>0</v>
      </c>
      <c r="R451" s="2" t="inlineStr"/>
    </row>
    <row r="452" ht="15" customHeight="1">
      <c r="A452" t="inlineStr">
        <is>
          <t>A 12528-2024</t>
        </is>
      </c>
      <c r="B452" s="1" t="n">
        <v>45379.61878472222</v>
      </c>
      <c r="C452" s="1" t="n">
        <v>45888</v>
      </c>
      <c r="D452" t="inlineStr">
        <is>
          <t>UPPSALA LÄN</t>
        </is>
      </c>
      <c r="E452" t="inlineStr">
        <is>
          <t>ÖSTHAMMAR</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56382-2022</t>
        </is>
      </c>
      <c r="B453" s="1" t="n">
        <v>44890.75795138889</v>
      </c>
      <c r="C453" s="1" t="n">
        <v>45888</v>
      </c>
      <c r="D453" t="inlineStr">
        <is>
          <t>UPPSALA LÄN</t>
        </is>
      </c>
      <c r="E453" t="inlineStr">
        <is>
          <t>ÖSTHAMMAR</t>
        </is>
      </c>
      <c r="F453" t="inlineStr">
        <is>
          <t>Allmännings- och besparingsskogar</t>
        </is>
      </c>
      <c r="G453" t="n">
        <v>1.1</v>
      </c>
      <c r="H453" t="n">
        <v>0</v>
      </c>
      <c r="I453" t="n">
        <v>0</v>
      </c>
      <c r="J453" t="n">
        <v>0</v>
      </c>
      <c r="K453" t="n">
        <v>0</v>
      </c>
      <c r="L453" t="n">
        <v>0</v>
      </c>
      <c r="M453" t="n">
        <v>0</v>
      </c>
      <c r="N453" t="n">
        <v>0</v>
      </c>
      <c r="O453" t="n">
        <v>0</v>
      </c>
      <c r="P453" t="n">
        <v>0</v>
      </c>
      <c r="Q453" t="n">
        <v>0</v>
      </c>
      <c r="R453" s="2" t="inlineStr"/>
    </row>
    <row r="454" ht="15" customHeight="1">
      <c r="A454" t="inlineStr">
        <is>
          <t>A 25049-2025</t>
        </is>
      </c>
      <c r="B454" s="1" t="n">
        <v>45799.66876157407</v>
      </c>
      <c r="C454" s="1" t="n">
        <v>45888</v>
      </c>
      <c r="D454" t="inlineStr">
        <is>
          <t>UPPSALA LÄN</t>
        </is>
      </c>
      <c r="E454" t="inlineStr">
        <is>
          <t>ÖSTHAMMAR</t>
        </is>
      </c>
      <c r="F454" t="inlineStr">
        <is>
          <t>Bergvik skog öst AB</t>
        </is>
      </c>
      <c r="G454" t="n">
        <v>3.8</v>
      </c>
      <c r="H454" t="n">
        <v>0</v>
      </c>
      <c r="I454" t="n">
        <v>0</v>
      </c>
      <c r="J454" t="n">
        <v>0</v>
      </c>
      <c r="K454" t="n">
        <v>0</v>
      </c>
      <c r="L454" t="n">
        <v>0</v>
      </c>
      <c r="M454" t="n">
        <v>0</v>
      </c>
      <c r="N454" t="n">
        <v>0</v>
      </c>
      <c r="O454" t="n">
        <v>0</v>
      </c>
      <c r="P454" t="n">
        <v>0</v>
      </c>
      <c r="Q454" t="n">
        <v>0</v>
      </c>
      <c r="R454" s="2" t="inlineStr"/>
    </row>
    <row r="455" ht="15" customHeight="1">
      <c r="A455" t="inlineStr">
        <is>
          <t>A 57043-2022</t>
        </is>
      </c>
      <c r="B455" s="1" t="n">
        <v>44895.36748842592</v>
      </c>
      <c r="C455" s="1" t="n">
        <v>45888</v>
      </c>
      <c r="D455" t="inlineStr">
        <is>
          <t>UPPSALA LÄN</t>
        </is>
      </c>
      <c r="E455" t="inlineStr">
        <is>
          <t>ÖSTHAMMAR</t>
        </is>
      </c>
      <c r="F455" t="inlineStr">
        <is>
          <t>Bergvik skog öst AB</t>
        </is>
      </c>
      <c r="G455" t="n">
        <v>5.7</v>
      </c>
      <c r="H455" t="n">
        <v>0</v>
      </c>
      <c r="I455" t="n">
        <v>0</v>
      </c>
      <c r="J455" t="n">
        <v>0</v>
      </c>
      <c r="K455" t="n">
        <v>0</v>
      </c>
      <c r="L455" t="n">
        <v>0</v>
      </c>
      <c r="M455" t="n">
        <v>0</v>
      </c>
      <c r="N455" t="n">
        <v>0</v>
      </c>
      <c r="O455" t="n">
        <v>0</v>
      </c>
      <c r="P455" t="n">
        <v>0</v>
      </c>
      <c r="Q455" t="n">
        <v>0</v>
      </c>
      <c r="R455" s="2" t="inlineStr"/>
    </row>
    <row r="456" ht="15" customHeight="1">
      <c r="A456" t="inlineStr">
        <is>
          <t>A 59880-2022</t>
        </is>
      </c>
      <c r="B456" s="1" t="n">
        <v>44908.69575231482</v>
      </c>
      <c r="C456" s="1" t="n">
        <v>45888</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357-2025</t>
        </is>
      </c>
      <c r="B457" s="1" t="n">
        <v>45659</v>
      </c>
      <c r="C457" s="1" t="n">
        <v>45888</v>
      </c>
      <c r="D457" t="inlineStr">
        <is>
          <t>UPPSALA LÄN</t>
        </is>
      </c>
      <c r="E457" t="inlineStr">
        <is>
          <t>ÖSTHAMMAR</t>
        </is>
      </c>
      <c r="G457" t="n">
        <v>15.8</v>
      </c>
      <c r="H457" t="n">
        <v>0</v>
      </c>
      <c r="I457" t="n">
        <v>0</v>
      </c>
      <c r="J457" t="n">
        <v>0</v>
      </c>
      <c r="K457" t="n">
        <v>0</v>
      </c>
      <c r="L457" t="n">
        <v>0</v>
      </c>
      <c r="M457" t="n">
        <v>0</v>
      </c>
      <c r="N457" t="n">
        <v>0</v>
      </c>
      <c r="O457" t="n">
        <v>0</v>
      </c>
      <c r="P457" t="n">
        <v>0</v>
      </c>
      <c r="Q457" t="n">
        <v>0</v>
      </c>
      <c r="R457" s="2" t="inlineStr"/>
    </row>
    <row r="458" ht="15" customHeight="1">
      <c r="A458" t="inlineStr">
        <is>
          <t>A 7944-2023</t>
        </is>
      </c>
      <c r="B458" s="1" t="n">
        <v>44973.66458333333</v>
      </c>
      <c r="C458" s="1" t="n">
        <v>45888</v>
      </c>
      <c r="D458" t="inlineStr">
        <is>
          <t>UPPSALA LÄN</t>
        </is>
      </c>
      <c r="E458" t="inlineStr">
        <is>
          <t>ÖSTHAMMAR</t>
        </is>
      </c>
      <c r="G458" t="n">
        <v>4.6</v>
      </c>
      <c r="H458" t="n">
        <v>0</v>
      </c>
      <c r="I458" t="n">
        <v>0</v>
      </c>
      <c r="J458" t="n">
        <v>0</v>
      </c>
      <c r="K458" t="n">
        <v>0</v>
      </c>
      <c r="L458" t="n">
        <v>0</v>
      </c>
      <c r="M458" t="n">
        <v>0</v>
      </c>
      <c r="N458" t="n">
        <v>0</v>
      </c>
      <c r="O458" t="n">
        <v>0</v>
      </c>
      <c r="P458" t="n">
        <v>0</v>
      </c>
      <c r="Q458" t="n">
        <v>0</v>
      </c>
      <c r="R458" s="2" t="inlineStr"/>
    </row>
    <row r="459" ht="15" customHeight="1">
      <c r="A459" t="inlineStr">
        <is>
          <t>A 52659-2021</t>
        </is>
      </c>
      <c r="B459" s="1" t="n">
        <v>44466</v>
      </c>
      <c r="C459" s="1" t="n">
        <v>45888</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9267-2024</t>
        </is>
      </c>
      <c r="B460" s="1" t="n">
        <v>45358</v>
      </c>
      <c r="C460" s="1" t="n">
        <v>45888</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33601-2024</t>
        </is>
      </c>
      <c r="B461" s="1" t="n">
        <v>45520</v>
      </c>
      <c r="C461" s="1" t="n">
        <v>45888</v>
      </c>
      <c r="D461" t="inlineStr">
        <is>
          <t>UPPSALA LÄN</t>
        </is>
      </c>
      <c r="E461" t="inlineStr">
        <is>
          <t>ÖSTHAMMAR</t>
        </is>
      </c>
      <c r="F461" t="inlineStr">
        <is>
          <t>Övriga Aktiebolag</t>
        </is>
      </c>
      <c r="G461" t="n">
        <v>2.5</v>
      </c>
      <c r="H461" t="n">
        <v>0</v>
      </c>
      <c r="I461" t="n">
        <v>0</v>
      </c>
      <c r="J461" t="n">
        <v>0</v>
      </c>
      <c r="K461" t="n">
        <v>0</v>
      </c>
      <c r="L461" t="n">
        <v>0</v>
      </c>
      <c r="M461" t="n">
        <v>0</v>
      </c>
      <c r="N461" t="n">
        <v>0</v>
      </c>
      <c r="O461" t="n">
        <v>0</v>
      </c>
      <c r="P461" t="n">
        <v>0</v>
      </c>
      <c r="Q461" t="n">
        <v>0</v>
      </c>
      <c r="R461" s="2" t="inlineStr"/>
    </row>
    <row r="462" ht="15" customHeight="1">
      <c r="A462" t="inlineStr">
        <is>
          <t>A 24944-2025</t>
        </is>
      </c>
      <c r="B462" s="1" t="n">
        <v>45799.56347222222</v>
      </c>
      <c r="C462" s="1" t="n">
        <v>45888</v>
      </c>
      <c r="D462" t="inlineStr">
        <is>
          <t>UPPSALA LÄN</t>
        </is>
      </c>
      <c r="E462" t="inlineStr">
        <is>
          <t>ÖSTHAMMAR</t>
        </is>
      </c>
      <c r="G462" t="n">
        <v>7.3</v>
      </c>
      <c r="H462" t="n">
        <v>0</v>
      </c>
      <c r="I462" t="n">
        <v>0</v>
      </c>
      <c r="J462" t="n">
        <v>0</v>
      </c>
      <c r="K462" t="n">
        <v>0</v>
      </c>
      <c r="L462" t="n">
        <v>0</v>
      </c>
      <c r="M462" t="n">
        <v>0</v>
      </c>
      <c r="N462" t="n">
        <v>0</v>
      </c>
      <c r="O462" t="n">
        <v>0</v>
      </c>
      <c r="P462" t="n">
        <v>0</v>
      </c>
      <c r="Q462" t="n">
        <v>0</v>
      </c>
      <c r="R462" s="2" t="inlineStr"/>
    </row>
    <row r="463" ht="15" customHeight="1">
      <c r="A463" t="inlineStr">
        <is>
          <t>A 7216-2025</t>
        </is>
      </c>
      <c r="B463" s="1" t="n">
        <v>45702.47630787037</v>
      </c>
      <c r="C463" s="1" t="n">
        <v>45888</v>
      </c>
      <c r="D463" t="inlineStr">
        <is>
          <t>UPPSALA LÄN</t>
        </is>
      </c>
      <c r="E463" t="inlineStr">
        <is>
          <t>ÖSTHAMMAR</t>
        </is>
      </c>
      <c r="F463" t="inlineStr">
        <is>
          <t>Övriga Aktiebolag</t>
        </is>
      </c>
      <c r="G463" t="n">
        <v>12.5</v>
      </c>
      <c r="H463" t="n">
        <v>0</v>
      </c>
      <c r="I463" t="n">
        <v>0</v>
      </c>
      <c r="J463" t="n">
        <v>0</v>
      </c>
      <c r="K463" t="n">
        <v>0</v>
      </c>
      <c r="L463" t="n">
        <v>0</v>
      </c>
      <c r="M463" t="n">
        <v>0</v>
      </c>
      <c r="N463" t="n">
        <v>0</v>
      </c>
      <c r="O463" t="n">
        <v>0</v>
      </c>
      <c r="P463" t="n">
        <v>0</v>
      </c>
      <c r="Q463" t="n">
        <v>0</v>
      </c>
      <c r="R463" s="2" t="inlineStr"/>
    </row>
    <row r="464" ht="15" customHeight="1">
      <c r="A464" t="inlineStr">
        <is>
          <t>A 12945-2025</t>
        </is>
      </c>
      <c r="B464" s="1" t="n">
        <v>45734.38159722222</v>
      </c>
      <c r="C464" s="1" t="n">
        <v>45888</v>
      </c>
      <c r="D464" t="inlineStr">
        <is>
          <t>UPPSALA LÄN</t>
        </is>
      </c>
      <c r="E464" t="inlineStr">
        <is>
          <t>ÖSTHAMMAR</t>
        </is>
      </c>
      <c r="G464" t="n">
        <v>2.1</v>
      </c>
      <c r="H464" t="n">
        <v>0</v>
      </c>
      <c r="I464" t="n">
        <v>0</v>
      </c>
      <c r="J464" t="n">
        <v>0</v>
      </c>
      <c r="K464" t="n">
        <v>0</v>
      </c>
      <c r="L464" t="n">
        <v>0</v>
      </c>
      <c r="M464" t="n">
        <v>0</v>
      </c>
      <c r="N464" t="n">
        <v>0</v>
      </c>
      <c r="O464" t="n">
        <v>0</v>
      </c>
      <c r="P464" t="n">
        <v>0</v>
      </c>
      <c r="Q464" t="n">
        <v>0</v>
      </c>
      <c r="R464" s="2" t="inlineStr"/>
    </row>
    <row r="465" ht="15" customHeight="1">
      <c r="A465" t="inlineStr">
        <is>
          <t>A 34185-2024</t>
        </is>
      </c>
      <c r="B465" s="1" t="n">
        <v>45524</v>
      </c>
      <c r="C465" s="1" t="n">
        <v>45888</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16089-2025</t>
        </is>
      </c>
      <c r="B466" s="1" t="n">
        <v>45749.84232638889</v>
      </c>
      <c r="C466" s="1" t="n">
        <v>45888</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73965-2021</t>
        </is>
      </c>
      <c r="B467" s="1" t="n">
        <v>44553.80824074074</v>
      </c>
      <c r="C467" s="1" t="n">
        <v>45888</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3418-2025</t>
        </is>
      </c>
      <c r="B468" s="1" t="n">
        <v>45680</v>
      </c>
      <c r="C468" s="1" t="n">
        <v>45888</v>
      </c>
      <c r="D468" t="inlineStr">
        <is>
          <t>UPPSALA LÄN</t>
        </is>
      </c>
      <c r="E468" t="inlineStr">
        <is>
          <t>ÖSTHAMMAR</t>
        </is>
      </c>
      <c r="F468" t="inlineStr">
        <is>
          <t>Bergvik skog väst AB</t>
        </is>
      </c>
      <c r="G468" t="n">
        <v>0.4</v>
      </c>
      <c r="H468" t="n">
        <v>0</v>
      </c>
      <c r="I468" t="n">
        <v>0</v>
      </c>
      <c r="J468" t="n">
        <v>0</v>
      </c>
      <c r="K468" t="n">
        <v>0</v>
      </c>
      <c r="L468" t="n">
        <v>0</v>
      </c>
      <c r="M468" t="n">
        <v>0</v>
      </c>
      <c r="N468" t="n">
        <v>0</v>
      </c>
      <c r="O468" t="n">
        <v>0</v>
      </c>
      <c r="P468" t="n">
        <v>0</v>
      </c>
      <c r="Q468" t="n">
        <v>0</v>
      </c>
      <c r="R468" s="2" t="inlineStr"/>
    </row>
    <row r="469" ht="15" customHeight="1">
      <c r="A469" t="inlineStr">
        <is>
          <t>A 3420-2025</t>
        </is>
      </c>
      <c r="B469" s="1" t="n">
        <v>45680</v>
      </c>
      <c r="C469" s="1" t="n">
        <v>45888</v>
      </c>
      <c r="D469" t="inlineStr">
        <is>
          <t>UPPSALA LÄN</t>
        </is>
      </c>
      <c r="E469" t="inlineStr">
        <is>
          <t>ÖSTHAMMAR</t>
        </is>
      </c>
      <c r="F469" t="inlineStr">
        <is>
          <t>Bergvik skog väst AB</t>
        </is>
      </c>
      <c r="G469" t="n">
        <v>3.6</v>
      </c>
      <c r="H469" t="n">
        <v>0</v>
      </c>
      <c r="I469" t="n">
        <v>0</v>
      </c>
      <c r="J469" t="n">
        <v>0</v>
      </c>
      <c r="K469" t="n">
        <v>0</v>
      </c>
      <c r="L469" t="n">
        <v>0</v>
      </c>
      <c r="M469" t="n">
        <v>0</v>
      </c>
      <c r="N469" t="n">
        <v>0</v>
      </c>
      <c r="O469" t="n">
        <v>0</v>
      </c>
      <c r="P469" t="n">
        <v>0</v>
      </c>
      <c r="Q469" t="n">
        <v>0</v>
      </c>
      <c r="R469" s="2" t="inlineStr"/>
    </row>
    <row r="470" ht="15" customHeight="1">
      <c r="A470" t="inlineStr">
        <is>
          <t>A 14170-2025</t>
        </is>
      </c>
      <c r="B470" s="1" t="n">
        <v>45740.51895833333</v>
      </c>
      <c r="C470" s="1" t="n">
        <v>45888</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23197-2023</t>
        </is>
      </c>
      <c r="B471" s="1" t="n">
        <v>45075</v>
      </c>
      <c r="C471" s="1" t="n">
        <v>45888</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58297-2024</t>
        </is>
      </c>
      <c r="B472" s="1" t="n">
        <v>45632.59780092593</v>
      </c>
      <c r="C472" s="1" t="n">
        <v>45888</v>
      </c>
      <c r="D472" t="inlineStr">
        <is>
          <t>UPPSALA LÄN</t>
        </is>
      </c>
      <c r="E472" t="inlineStr">
        <is>
          <t>ÖSTHAMMAR</t>
        </is>
      </c>
      <c r="G472" t="n">
        <v>5.1</v>
      </c>
      <c r="H472" t="n">
        <v>0</v>
      </c>
      <c r="I472" t="n">
        <v>0</v>
      </c>
      <c r="J472" t="n">
        <v>0</v>
      </c>
      <c r="K472" t="n">
        <v>0</v>
      </c>
      <c r="L472" t="n">
        <v>0</v>
      </c>
      <c r="M472" t="n">
        <v>0</v>
      </c>
      <c r="N472" t="n">
        <v>0</v>
      </c>
      <c r="O472" t="n">
        <v>0</v>
      </c>
      <c r="P472" t="n">
        <v>0</v>
      </c>
      <c r="Q472" t="n">
        <v>0</v>
      </c>
      <c r="R472" s="2" t="inlineStr"/>
    </row>
    <row r="473" ht="15" customHeight="1">
      <c r="A473" t="inlineStr">
        <is>
          <t>A 52478-2024</t>
        </is>
      </c>
      <c r="B473" s="1" t="n">
        <v>45609.55065972222</v>
      </c>
      <c r="C473" s="1" t="n">
        <v>45888</v>
      </c>
      <c r="D473" t="inlineStr">
        <is>
          <t>UPPSALA LÄN</t>
        </is>
      </c>
      <c r="E473" t="inlineStr">
        <is>
          <t>ÖSTHAMMAR</t>
        </is>
      </c>
      <c r="G473" t="n">
        <v>0.7</v>
      </c>
      <c r="H473" t="n">
        <v>0</v>
      </c>
      <c r="I473" t="n">
        <v>0</v>
      </c>
      <c r="J473" t="n">
        <v>0</v>
      </c>
      <c r="K473" t="n">
        <v>0</v>
      </c>
      <c r="L473" t="n">
        <v>0</v>
      </c>
      <c r="M473" t="n">
        <v>0</v>
      </c>
      <c r="N473" t="n">
        <v>0</v>
      </c>
      <c r="O473" t="n">
        <v>0</v>
      </c>
      <c r="P473" t="n">
        <v>0</v>
      </c>
      <c r="Q473" t="n">
        <v>0</v>
      </c>
      <c r="R473" s="2" t="inlineStr"/>
    </row>
    <row r="474" ht="15" customHeight="1">
      <c r="A474" t="inlineStr">
        <is>
          <t>A 5303-2025</t>
        </is>
      </c>
      <c r="B474" s="1" t="n">
        <v>45692</v>
      </c>
      <c r="C474" s="1" t="n">
        <v>45888</v>
      </c>
      <c r="D474" t="inlineStr">
        <is>
          <t>UPPSALA LÄN</t>
        </is>
      </c>
      <c r="E474" t="inlineStr">
        <is>
          <t>ÖSTHAMMAR</t>
        </is>
      </c>
      <c r="G474" t="n">
        <v>5</v>
      </c>
      <c r="H474" t="n">
        <v>0</v>
      </c>
      <c r="I474" t="n">
        <v>0</v>
      </c>
      <c r="J474" t="n">
        <v>0</v>
      </c>
      <c r="K474" t="n">
        <v>0</v>
      </c>
      <c r="L474" t="n">
        <v>0</v>
      </c>
      <c r="M474" t="n">
        <v>0</v>
      </c>
      <c r="N474" t="n">
        <v>0</v>
      </c>
      <c r="O474" t="n">
        <v>0</v>
      </c>
      <c r="P474" t="n">
        <v>0</v>
      </c>
      <c r="Q474" t="n">
        <v>0</v>
      </c>
      <c r="R474" s="2" t="inlineStr"/>
    </row>
    <row r="475" ht="15" customHeight="1">
      <c r="A475" t="inlineStr">
        <is>
          <t>A 52661-2022</t>
        </is>
      </c>
      <c r="B475" s="1" t="n">
        <v>44874</v>
      </c>
      <c r="C475" s="1" t="n">
        <v>45888</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45888</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2947-2025</t>
        </is>
      </c>
      <c r="B477" s="1" t="n">
        <v>45678</v>
      </c>
      <c r="C477" s="1" t="n">
        <v>45888</v>
      </c>
      <c r="D477" t="inlineStr">
        <is>
          <t>UPPSALA LÄN</t>
        </is>
      </c>
      <c r="E477" t="inlineStr">
        <is>
          <t>ÖSTHAMMAR</t>
        </is>
      </c>
      <c r="G477" t="n">
        <v>3.6</v>
      </c>
      <c r="H477" t="n">
        <v>0</v>
      </c>
      <c r="I477" t="n">
        <v>0</v>
      </c>
      <c r="J477" t="n">
        <v>0</v>
      </c>
      <c r="K477" t="n">
        <v>0</v>
      </c>
      <c r="L477" t="n">
        <v>0</v>
      </c>
      <c r="M477" t="n">
        <v>0</v>
      </c>
      <c r="N477" t="n">
        <v>0</v>
      </c>
      <c r="O477" t="n">
        <v>0</v>
      </c>
      <c r="P477" t="n">
        <v>0</v>
      </c>
      <c r="Q477" t="n">
        <v>0</v>
      </c>
      <c r="R477" s="2" t="inlineStr"/>
    </row>
    <row r="478" ht="15" customHeight="1">
      <c r="A478" t="inlineStr">
        <is>
          <t>A 26330-2025</t>
        </is>
      </c>
      <c r="B478" s="1" t="n">
        <v>45805.68263888889</v>
      </c>
      <c r="C478" s="1" t="n">
        <v>45888</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17433-2025</t>
        </is>
      </c>
      <c r="B479" s="1" t="n">
        <v>45757.40733796296</v>
      </c>
      <c r="C479" s="1" t="n">
        <v>45888</v>
      </c>
      <c r="D479" t="inlineStr">
        <is>
          <t>UPPSALA LÄN</t>
        </is>
      </c>
      <c r="E479" t="inlineStr">
        <is>
          <t>ÖSTHAMMAR</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26319-2025</t>
        </is>
      </c>
      <c r="B480" s="1" t="n">
        <v>45805.65960648148</v>
      </c>
      <c r="C480" s="1" t="n">
        <v>45888</v>
      </c>
      <c r="D480" t="inlineStr">
        <is>
          <t>UPPSALA LÄN</t>
        </is>
      </c>
      <c r="E480" t="inlineStr">
        <is>
          <t>ÖSTHAMMAR</t>
        </is>
      </c>
      <c r="G480" t="n">
        <v>1</v>
      </c>
      <c r="H480" t="n">
        <v>0</v>
      </c>
      <c r="I480" t="n">
        <v>0</v>
      </c>
      <c r="J480" t="n">
        <v>0</v>
      </c>
      <c r="K480" t="n">
        <v>0</v>
      </c>
      <c r="L480" t="n">
        <v>0</v>
      </c>
      <c r="M480" t="n">
        <v>0</v>
      </c>
      <c r="N480" t="n">
        <v>0</v>
      </c>
      <c r="O480" t="n">
        <v>0</v>
      </c>
      <c r="P480" t="n">
        <v>0</v>
      </c>
      <c r="Q480" t="n">
        <v>0</v>
      </c>
      <c r="R480" s="2" t="inlineStr"/>
    </row>
    <row r="481" ht="15" customHeight="1">
      <c r="A481" t="inlineStr">
        <is>
          <t>A 26328-2025</t>
        </is>
      </c>
      <c r="B481" s="1" t="n">
        <v>45805.67305555556</v>
      </c>
      <c r="C481" s="1" t="n">
        <v>45888</v>
      </c>
      <c r="D481" t="inlineStr">
        <is>
          <t>UPPSALA LÄN</t>
        </is>
      </c>
      <c r="E481" t="inlineStr">
        <is>
          <t>ÖSTHAMMAR</t>
        </is>
      </c>
      <c r="G481" t="n">
        <v>1.6</v>
      </c>
      <c r="H481" t="n">
        <v>0</v>
      </c>
      <c r="I481" t="n">
        <v>0</v>
      </c>
      <c r="J481" t="n">
        <v>0</v>
      </c>
      <c r="K481" t="n">
        <v>0</v>
      </c>
      <c r="L481" t="n">
        <v>0</v>
      </c>
      <c r="M481" t="n">
        <v>0</v>
      </c>
      <c r="N481" t="n">
        <v>0</v>
      </c>
      <c r="O481" t="n">
        <v>0</v>
      </c>
      <c r="P481" t="n">
        <v>0</v>
      </c>
      <c r="Q481" t="n">
        <v>0</v>
      </c>
      <c r="R481" s="2" t="inlineStr"/>
    </row>
    <row r="482" ht="15" customHeight="1">
      <c r="A482" t="inlineStr">
        <is>
          <t>A 12756-2024</t>
        </is>
      </c>
      <c r="B482" s="1" t="n">
        <v>45384</v>
      </c>
      <c r="C482" s="1" t="n">
        <v>45888</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26055-2025</t>
        </is>
      </c>
      <c r="B483" s="1" t="n">
        <v>45804.77559027778</v>
      </c>
      <c r="C483" s="1" t="n">
        <v>45888</v>
      </c>
      <c r="D483" t="inlineStr">
        <is>
          <t>UPPSALA LÄN</t>
        </is>
      </c>
      <c r="E483" t="inlineStr">
        <is>
          <t>ÖSTHAMMAR</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45888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8708-2022</t>
        </is>
      </c>
      <c r="B485" s="1" t="n">
        <v>44613.77238425926</v>
      </c>
      <c r="C485" s="1" t="n">
        <v>45888</v>
      </c>
      <c r="D485" t="inlineStr">
        <is>
          <t>UPPSALA LÄN</t>
        </is>
      </c>
      <c r="E485" t="inlineStr">
        <is>
          <t>ÖSTHAMMAR</t>
        </is>
      </c>
      <c r="G485" t="n">
        <v>4.3</v>
      </c>
      <c r="H485" t="n">
        <v>0</v>
      </c>
      <c r="I485" t="n">
        <v>0</v>
      </c>
      <c r="J485" t="n">
        <v>0</v>
      </c>
      <c r="K485" t="n">
        <v>0</v>
      </c>
      <c r="L485" t="n">
        <v>0</v>
      </c>
      <c r="M485" t="n">
        <v>0</v>
      </c>
      <c r="N485" t="n">
        <v>0</v>
      </c>
      <c r="O485" t="n">
        <v>0</v>
      </c>
      <c r="P485" t="n">
        <v>0</v>
      </c>
      <c r="Q485" t="n">
        <v>0</v>
      </c>
      <c r="R485" s="2" t="inlineStr"/>
    </row>
    <row r="486" ht="15" customHeight="1">
      <c r="A486" t="inlineStr">
        <is>
          <t>A 19744-2025</t>
        </is>
      </c>
      <c r="B486" s="1" t="n">
        <v>45771.37754629629</v>
      </c>
      <c r="C486" s="1" t="n">
        <v>45888</v>
      </c>
      <c r="D486" t="inlineStr">
        <is>
          <t>UPPSALA LÄN</t>
        </is>
      </c>
      <c r="E486" t="inlineStr">
        <is>
          <t>ÖSTHAMMAR</t>
        </is>
      </c>
      <c r="F486" t="inlineStr">
        <is>
          <t>Övriga Aktiebolag</t>
        </is>
      </c>
      <c r="G486" t="n">
        <v>9.6</v>
      </c>
      <c r="H486" t="n">
        <v>0</v>
      </c>
      <c r="I486" t="n">
        <v>0</v>
      </c>
      <c r="J486" t="n">
        <v>0</v>
      </c>
      <c r="K486" t="n">
        <v>0</v>
      </c>
      <c r="L486" t="n">
        <v>0</v>
      </c>
      <c r="M486" t="n">
        <v>0</v>
      </c>
      <c r="N486" t="n">
        <v>0</v>
      </c>
      <c r="O486" t="n">
        <v>0</v>
      </c>
      <c r="P486" t="n">
        <v>0</v>
      </c>
      <c r="Q486" t="n">
        <v>0</v>
      </c>
      <c r="R486" s="2" t="inlineStr"/>
    </row>
    <row r="487" ht="15" customHeight="1">
      <c r="A487" t="inlineStr">
        <is>
          <t>A 65028-2021</t>
        </is>
      </c>
      <c r="B487" s="1" t="n">
        <v>44515</v>
      </c>
      <c r="C487" s="1" t="n">
        <v>45888</v>
      </c>
      <c r="D487" t="inlineStr">
        <is>
          <t>UPPSALA LÄN</t>
        </is>
      </c>
      <c r="E487" t="inlineStr">
        <is>
          <t>ÖSTHAMMAR</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40547-2023</t>
        </is>
      </c>
      <c r="B488" s="1" t="n">
        <v>45170.45050925926</v>
      </c>
      <c r="C488" s="1" t="n">
        <v>45888</v>
      </c>
      <c r="D488" t="inlineStr">
        <is>
          <t>UPPSALA LÄN</t>
        </is>
      </c>
      <c r="E488" t="inlineStr">
        <is>
          <t>ÖSTHAMMAR</t>
        </is>
      </c>
      <c r="G488" t="n">
        <v>2.1</v>
      </c>
      <c r="H488" t="n">
        <v>0</v>
      </c>
      <c r="I488" t="n">
        <v>0</v>
      </c>
      <c r="J488" t="n">
        <v>0</v>
      </c>
      <c r="K488" t="n">
        <v>0</v>
      </c>
      <c r="L488" t="n">
        <v>0</v>
      </c>
      <c r="M488" t="n">
        <v>0</v>
      </c>
      <c r="N488" t="n">
        <v>0</v>
      </c>
      <c r="O488" t="n">
        <v>0</v>
      </c>
      <c r="P488" t="n">
        <v>0</v>
      </c>
      <c r="Q488" t="n">
        <v>0</v>
      </c>
      <c r="R488" s="2" t="inlineStr"/>
    </row>
    <row r="489" ht="15" customHeight="1">
      <c r="A489" t="inlineStr">
        <is>
          <t>A 8874-2025</t>
        </is>
      </c>
      <c r="B489" s="1" t="n">
        <v>45713</v>
      </c>
      <c r="C489" s="1" t="n">
        <v>45888</v>
      </c>
      <c r="D489" t="inlineStr">
        <is>
          <t>UPPSALA LÄN</t>
        </is>
      </c>
      <c r="E489" t="inlineStr">
        <is>
          <t>ÖSTHAMMAR</t>
        </is>
      </c>
      <c r="G489" t="n">
        <v>6.3</v>
      </c>
      <c r="H489" t="n">
        <v>0</v>
      </c>
      <c r="I489" t="n">
        <v>0</v>
      </c>
      <c r="J489" t="n">
        <v>0</v>
      </c>
      <c r="K489" t="n">
        <v>0</v>
      </c>
      <c r="L489" t="n">
        <v>0</v>
      </c>
      <c r="M489" t="n">
        <v>0</v>
      </c>
      <c r="N489" t="n">
        <v>0</v>
      </c>
      <c r="O489" t="n">
        <v>0</v>
      </c>
      <c r="P489" t="n">
        <v>0</v>
      </c>
      <c r="Q489" t="n">
        <v>0</v>
      </c>
      <c r="R489" s="2" t="inlineStr"/>
    </row>
    <row r="490" ht="15" customHeight="1">
      <c r="A490" t="inlineStr">
        <is>
          <t>A 1063-2025</t>
        </is>
      </c>
      <c r="B490" s="1" t="n">
        <v>45666</v>
      </c>
      <c r="C490" s="1" t="n">
        <v>45888</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26521-2025</t>
        </is>
      </c>
      <c r="B491" s="1" t="n">
        <v>45807.56275462963</v>
      </c>
      <c r="C491" s="1" t="n">
        <v>45888</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33760-2024</t>
        </is>
      </c>
      <c r="B492" s="1" t="n">
        <v>45520</v>
      </c>
      <c r="C492" s="1" t="n">
        <v>45888</v>
      </c>
      <c r="D492" t="inlineStr">
        <is>
          <t>UPPSALA LÄN</t>
        </is>
      </c>
      <c r="E492" t="inlineStr">
        <is>
          <t>ÖSTHAMMAR</t>
        </is>
      </c>
      <c r="F492" t="inlineStr">
        <is>
          <t>Övriga Aktiebolag</t>
        </is>
      </c>
      <c r="G492" t="n">
        <v>0.7</v>
      </c>
      <c r="H492" t="n">
        <v>0</v>
      </c>
      <c r="I492" t="n">
        <v>0</v>
      </c>
      <c r="J492" t="n">
        <v>0</v>
      </c>
      <c r="K492" t="n">
        <v>0</v>
      </c>
      <c r="L492" t="n">
        <v>0</v>
      </c>
      <c r="M492" t="n">
        <v>0</v>
      </c>
      <c r="N492" t="n">
        <v>0</v>
      </c>
      <c r="O492" t="n">
        <v>0</v>
      </c>
      <c r="P492" t="n">
        <v>0</v>
      </c>
      <c r="Q492" t="n">
        <v>0</v>
      </c>
      <c r="R492" s="2" t="inlineStr"/>
    </row>
    <row r="493" ht="15" customHeight="1">
      <c r="A493" t="inlineStr">
        <is>
          <t>A 14505-2023</t>
        </is>
      </c>
      <c r="B493" s="1" t="n">
        <v>45012.7975</v>
      </c>
      <c r="C493" s="1" t="n">
        <v>45888</v>
      </c>
      <c r="D493" t="inlineStr">
        <is>
          <t>UPPSALA LÄN</t>
        </is>
      </c>
      <c r="E493" t="inlineStr">
        <is>
          <t>ÖSTHAMMAR</t>
        </is>
      </c>
      <c r="F493" t="inlineStr">
        <is>
          <t>Bergvik skog öst AB</t>
        </is>
      </c>
      <c r="G493" t="n">
        <v>1.1</v>
      </c>
      <c r="H493" t="n">
        <v>0</v>
      </c>
      <c r="I493" t="n">
        <v>0</v>
      </c>
      <c r="J493" t="n">
        <v>0</v>
      </c>
      <c r="K493" t="n">
        <v>0</v>
      </c>
      <c r="L493" t="n">
        <v>0</v>
      </c>
      <c r="M493" t="n">
        <v>0</v>
      </c>
      <c r="N493" t="n">
        <v>0</v>
      </c>
      <c r="O493" t="n">
        <v>0</v>
      </c>
      <c r="P493" t="n">
        <v>0</v>
      </c>
      <c r="Q493" t="n">
        <v>0</v>
      </c>
      <c r="R493" s="2" t="inlineStr"/>
    </row>
    <row r="494" ht="15" customHeight="1">
      <c r="A494" t="inlineStr">
        <is>
          <t>A 8592-2022</t>
        </is>
      </c>
      <c r="B494" s="1" t="n">
        <v>44613</v>
      </c>
      <c r="C494" s="1" t="n">
        <v>45888</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26526-2025</t>
        </is>
      </c>
      <c r="B495" s="1" t="n">
        <v>45807.56612268519</v>
      </c>
      <c r="C495" s="1" t="n">
        <v>45888</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52629-2023</t>
        </is>
      </c>
      <c r="B496" s="1" t="n">
        <v>45225</v>
      </c>
      <c r="C496" s="1" t="n">
        <v>45888</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35918-2023</t>
        </is>
      </c>
      <c r="B497" s="1" t="n">
        <v>45148.64976851852</v>
      </c>
      <c r="C497" s="1" t="n">
        <v>45888</v>
      </c>
      <c r="D497" t="inlineStr">
        <is>
          <t>UPPSALA LÄN</t>
        </is>
      </c>
      <c r="E497" t="inlineStr">
        <is>
          <t>ÖSTHAMMAR</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4292-2025</t>
        </is>
      </c>
      <c r="B498" s="1" t="n">
        <v>45685.66459490741</v>
      </c>
      <c r="C498" s="1" t="n">
        <v>45888</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4356-2025</t>
        </is>
      </c>
      <c r="B499" s="1" t="n">
        <v>45686</v>
      </c>
      <c r="C499" s="1" t="n">
        <v>45888</v>
      </c>
      <c r="D499" t="inlineStr">
        <is>
          <t>UPPSALA LÄN</t>
        </is>
      </c>
      <c r="E499" t="inlineStr">
        <is>
          <t>ÖSTHAMMAR</t>
        </is>
      </c>
      <c r="F499" t="inlineStr">
        <is>
          <t>Övriga Aktiebolag</t>
        </is>
      </c>
      <c r="G499" t="n">
        <v>24.6</v>
      </c>
      <c r="H499" t="n">
        <v>0</v>
      </c>
      <c r="I499" t="n">
        <v>0</v>
      </c>
      <c r="J499" t="n">
        <v>0</v>
      </c>
      <c r="K499" t="n">
        <v>0</v>
      </c>
      <c r="L499" t="n">
        <v>0</v>
      </c>
      <c r="M499" t="n">
        <v>0</v>
      </c>
      <c r="N499" t="n">
        <v>0</v>
      </c>
      <c r="O499" t="n">
        <v>0</v>
      </c>
      <c r="P499" t="n">
        <v>0</v>
      </c>
      <c r="Q499" t="n">
        <v>0</v>
      </c>
      <c r="R499" s="2" t="inlineStr"/>
    </row>
    <row r="500" ht="15" customHeight="1">
      <c r="A500" t="inlineStr">
        <is>
          <t>A 47341-2023</t>
        </is>
      </c>
      <c r="B500" s="1" t="n">
        <v>45202.55721064815</v>
      </c>
      <c r="C500" s="1" t="n">
        <v>45888</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6661-2024</t>
        </is>
      </c>
      <c r="B501" s="1" t="n">
        <v>45341.70582175926</v>
      </c>
      <c r="C501" s="1" t="n">
        <v>45888</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3732-2022</t>
        </is>
      </c>
      <c r="B502" s="1" t="n">
        <v>44586.64851851852</v>
      </c>
      <c r="C502" s="1" t="n">
        <v>45888</v>
      </c>
      <c r="D502" t="inlineStr">
        <is>
          <t>UPPSALA LÄN</t>
        </is>
      </c>
      <c r="E502" t="inlineStr">
        <is>
          <t>ÖSTHAMMAR</t>
        </is>
      </c>
      <c r="F502" t="inlineStr">
        <is>
          <t>Bergvik skog öst AB</t>
        </is>
      </c>
      <c r="G502" t="n">
        <v>3.6</v>
      </c>
      <c r="H502" t="n">
        <v>0</v>
      </c>
      <c r="I502" t="n">
        <v>0</v>
      </c>
      <c r="J502" t="n">
        <v>0</v>
      </c>
      <c r="K502" t="n">
        <v>0</v>
      </c>
      <c r="L502" t="n">
        <v>0</v>
      </c>
      <c r="M502" t="n">
        <v>0</v>
      </c>
      <c r="N502" t="n">
        <v>0</v>
      </c>
      <c r="O502" t="n">
        <v>0</v>
      </c>
      <c r="P502" t="n">
        <v>0</v>
      </c>
      <c r="Q502" t="n">
        <v>0</v>
      </c>
      <c r="R502" s="2" t="inlineStr"/>
    </row>
    <row r="503" ht="15" customHeight="1">
      <c r="A503" t="inlineStr">
        <is>
          <t>A 17646-2025</t>
        </is>
      </c>
      <c r="B503" s="1" t="n">
        <v>45758.32872685185</v>
      </c>
      <c r="C503" s="1" t="n">
        <v>45888</v>
      </c>
      <c r="D503" t="inlineStr">
        <is>
          <t>UPPSALA LÄN</t>
        </is>
      </c>
      <c r="E503" t="inlineStr">
        <is>
          <t>ÖSTHAMMAR</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17648-2025</t>
        </is>
      </c>
      <c r="B504" s="1" t="n">
        <v>45758.33064814815</v>
      </c>
      <c r="C504" s="1" t="n">
        <v>45888</v>
      </c>
      <c r="D504" t="inlineStr">
        <is>
          <t>UPPSALA LÄN</t>
        </is>
      </c>
      <c r="E504" t="inlineStr">
        <is>
          <t>ÖSTHAMMAR</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56903-2023</t>
        </is>
      </c>
      <c r="B505" s="1" t="n">
        <v>45244.56943287037</v>
      </c>
      <c r="C505" s="1" t="n">
        <v>45888</v>
      </c>
      <c r="D505" t="inlineStr">
        <is>
          <t>UPPSALA LÄN</t>
        </is>
      </c>
      <c r="E505" t="inlineStr">
        <is>
          <t>ÖSTHAMMAR</t>
        </is>
      </c>
      <c r="G505" t="n">
        <v>3.1</v>
      </c>
      <c r="H505" t="n">
        <v>0</v>
      </c>
      <c r="I505" t="n">
        <v>0</v>
      </c>
      <c r="J505" t="n">
        <v>0</v>
      </c>
      <c r="K505" t="n">
        <v>0</v>
      </c>
      <c r="L505" t="n">
        <v>0</v>
      </c>
      <c r="M505" t="n">
        <v>0</v>
      </c>
      <c r="N505" t="n">
        <v>0</v>
      </c>
      <c r="O505" t="n">
        <v>0</v>
      </c>
      <c r="P505" t="n">
        <v>0</v>
      </c>
      <c r="Q505" t="n">
        <v>0</v>
      </c>
      <c r="R505" s="2" t="inlineStr"/>
    </row>
    <row r="506" ht="15" customHeight="1">
      <c r="A506" t="inlineStr">
        <is>
          <t>A 27131-2025</t>
        </is>
      </c>
      <c r="B506" s="1" t="n">
        <v>45811</v>
      </c>
      <c r="C506" s="1" t="n">
        <v>45888</v>
      </c>
      <c r="D506" t="inlineStr">
        <is>
          <t>UPPSALA LÄN</t>
        </is>
      </c>
      <c r="E506" t="inlineStr">
        <is>
          <t>ÖSTHAMMAR</t>
        </is>
      </c>
      <c r="G506" t="n">
        <v>1.9</v>
      </c>
      <c r="H506" t="n">
        <v>0</v>
      </c>
      <c r="I506" t="n">
        <v>0</v>
      </c>
      <c r="J506" t="n">
        <v>0</v>
      </c>
      <c r="K506" t="n">
        <v>0</v>
      </c>
      <c r="L506" t="n">
        <v>0</v>
      </c>
      <c r="M506" t="n">
        <v>0</v>
      </c>
      <c r="N506" t="n">
        <v>0</v>
      </c>
      <c r="O506" t="n">
        <v>0</v>
      </c>
      <c r="P506" t="n">
        <v>0</v>
      </c>
      <c r="Q506" t="n">
        <v>0</v>
      </c>
      <c r="R506" s="2" t="inlineStr"/>
    </row>
    <row r="507" ht="15" customHeight="1">
      <c r="A507" t="inlineStr">
        <is>
          <t>A 28420-2023</t>
        </is>
      </c>
      <c r="B507" s="1" t="n">
        <v>45102.33054398148</v>
      </c>
      <c r="C507" s="1" t="n">
        <v>45888</v>
      </c>
      <c r="D507" t="inlineStr">
        <is>
          <t>UPPSALA LÄN</t>
        </is>
      </c>
      <c r="E507" t="inlineStr">
        <is>
          <t>ÖSTHAMMAR</t>
        </is>
      </c>
      <c r="F507" t="inlineStr">
        <is>
          <t>Bergvik skog öst AB</t>
        </is>
      </c>
      <c r="G507" t="n">
        <v>3.2</v>
      </c>
      <c r="H507" t="n">
        <v>0</v>
      </c>
      <c r="I507" t="n">
        <v>0</v>
      </c>
      <c r="J507" t="n">
        <v>0</v>
      </c>
      <c r="K507" t="n">
        <v>0</v>
      </c>
      <c r="L507" t="n">
        <v>0</v>
      </c>
      <c r="M507" t="n">
        <v>0</v>
      </c>
      <c r="N507" t="n">
        <v>0</v>
      </c>
      <c r="O507" t="n">
        <v>0</v>
      </c>
      <c r="P507" t="n">
        <v>0</v>
      </c>
      <c r="Q507" t="n">
        <v>0</v>
      </c>
      <c r="R507" s="2" t="inlineStr"/>
    </row>
    <row r="508" ht="15" customHeight="1">
      <c r="A508" t="inlineStr">
        <is>
          <t>A 28432-2023</t>
        </is>
      </c>
      <c r="B508" s="1" t="n">
        <v>45102.59896990741</v>
      </c>
      <c r="C508" s="1" t="n">
        <v>45888</v>
      </c>
      <c r="D508" t="inlineStr">
        <is>
          <t>UPPSALA LÄN</t>
        </is>
      </c>
      <c r="E508" t="inlineStr">
        <is>
          <t>ÖSTHAMMAR</t>
        </is>
      </c>
      <c r="F508" t="inlineStr">
        <is>
          <t>Bergvik skog öst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19637-2025</t>
        </is>
      </c>
      <c r="B509" s="1" t="n">
        <v>45770.6534375</v>
      </c>
      <c r="C509" s="1" t="n">
        <v>45888</v>
      </c>
      <c r="D509" t="inlineStr">
        <is>
          <t>UPPSALA LÄN</t>
        </is>
      </c>
      <c r="E509" t="inlineStr">
        <is>
          <t>ÖSTHAMMAR</t>
        </is>
      </c>
      <c r="F509" t="inlineStr">
        <is>
          <t>Övriga Aktiebolag</t>
        </is>
      </c>
      <c r="G509" t="n">
        <v>2.1</v>
      </c>
      <c r="H509" t="n">
        <v>0</v>
      </c>
      <c r="I509" t="n">
        <v>0</v>
      </c>
      <c r="J509" t="n">
        <v>0</v>
      </c>
      <c r="K509" t="n">
        <v>0</v>
      </c>
      <c r="L509" t="n">
        <v>0</v>
      </c>
      <c r="M509" t="n">
        <v>0</v>
      </c>
      <c r="N509" t="n">
        <v>0</v>
      </c>
      <c r="O509" t="n">
        <v>0</v>
      </c>
      <c r="P509" t="n">
        <v>0</v>
      </c>
      <c r="Q509" t="n">
        <v>0</v>
      </c>
      <c r="R509" s="2" t="inlineStr"/>
    </row>
    <row r="510" ht="15" customHeight="1">
      <c r="A510" t="inlineStr">
        <is>
          <t>A 56969-2022</t>
        </is>
      </c>
      <c r="B510" s="1" t="n">
        <v>44894.68043981482</v>
      </c>
      <c r="C510" s="1" t="n">
        <v>45888</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27132-2025</t>
        </is>
      </c>
      <c r="B511" s="1" t="n">
        <v>45811</v>
      </c>
      <c r="C511" s="1" t="n">
        <v>45888</v>
      </c>
      <c r="D511" t="inlineStr">
        <is>
          <t>UPPSALA LÄN</t>
        </is>
      </c>
      <c r="E511" t="inlineStr">
        <is>
          <t>ÖSTHAMMAR</t>
        </is>
      </c>
      <c r="G511" t="n">
        <v>2.3</v>
      </c>
      <c r="H511" t="n">
        <v>0</v>
      </c>
      <c r="I511" t="n">
        <v>0</v>
      </c>
      <c r="J511" t="n">
        <v>0</v>
      </c>
      <c r="K511" t="n">
        <v>0</v>
      </c>
      <c r="L511" t="n">
        <v>0</v>
      </c>
      <c r="M511" t="n">
        <v>0</v>
      </c>
      <c r="N511" t="n">
        <v>0</v>
      </c>
      <c r="O511" t="n">
        <v>0</v>
      </c>
      <c r="P511" t="n">
        <v>0</v>
      </c>
      <c r="Q511" t="n">
        <v>0</v>
      </c>
      <c r="R511" s="2" t="inlineStr"/>
    </row>
    <row r="512" ht="15" customHeight="1">
      <c r="A512" t="inlineStr">
        <is>
          <t>A 27058-2025</t>
        </is>
      </c>
      <c r="B512" s="1" t="n">
        <v>45811.63436342592</v>
      </c>
      <c r="C512" s="1" t="n">
        <v>45888</v>
      </c>
      <c r="D512" t="inlineStr">
        <is>
          <t>UPPSALA LÄN</t>
        </is>
      </c>
      <c r="E512" t="inlineStr">
        <is>
          <t>ÖSTHAMMAR</t>
        </is>
      </c>
      <c r="F512" t="inlineStr">
        <is>
          <t>Bergvik skog öst AB</t>
        </is>
      </c>
      <c r="G512" t="n">
        <v>5.7</v>
      </c>
      <c r="H512" t="n">
        <v>0</v>
      </c>
      <c r="I512" t="n">
        <v>0</v>
      </c>
      <c r="J512" t="n">
        <v>0</v>
      </c>
      <c r="K512" t="n">
        <v>0</v>
      </c>
      <c r="L512" t="n">
        <v>0</v>
      </c>
      <c r="M512" t="n">
        <v>0</v>
      </c>
      <c r="N512" t="n">
        <v>0</v>
      </c>
      <c r="O512" t="n">
        <v>0</v>
      </c>
      <c r="P512" t="n">
        <v>0</v>
      </c>
      <c r="Q512" t="n">
        <v>0</v>
      </c>
      <c r="R512" s="2" t="inlineStr"/>
    </row>
    <row r="513" ht="15" customHeight="1">
      <c r="A513" t="inlineStr">
        <is>
          <t>A 60584-2021</t>
        </is>
      </c>
      <c r="B513" s="1" t="n">
        <v>44496</v>
      </c>
      <c r="C513" s="1" t="n">
        <v>45888</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44152-2024</t>
        </is>
      </c>
      <c r="B514" s="1" t="n">
        <v>45572</v>
      </c>
      <c r="C514" s="1" t="n">
        <v>45888</v>
      </c>
      <c r="D514" t="inlineStr">
        <is>
          <t>UPPSALA LÄN</t>
        </is>
      </c>
      <c r="E514" t="inlineStr">
        <is>
          <t>ÖSTHAMMAR</t>
        </is>
      </c>
      <c r="G514" t="n">
        <v>1.6</v>
      </c>
      <c r="H514" t="n">
        <v>0</v>
      </c>
      <c r="I514" t="n">
        <v>0</v>
      </c>
      <c r="J514" t="n">
        <v>0</v>
      </c>
      <c r="K514" t="n">
        <v>0</v>
      </c>
      <c r="L514" t="n">
        <v>0</v>
      </c>
      <c r="M514" t="n">
        <v>0</v>
      </c>
      <c r="N514" t="n">
        <v>0</v>
      </c>
      <c r="O514" t="n">
        <v>0</v>
      </c>
      <c r="P514" t="n">
        <v>0</v>
      </c>
      <c r="Q514" t="n">
        <v>0</v>
      </c>
      <c r="R514" s="2" t="inlineStr"/>
    </row>
    <row r="515" ht="15" customHeight="1">
      <c r="A515" t="inlineStr">
        <is>
          <t>A 48856-2024</t>
        </is>
      </c>
      <c r="B515" s="1" t="n">
        <v>45593</v>
      </c>
      <c r="C515" s="1" t="n">
        <v>45888</v>
      </c>
      <c r="D515" t="inlineStr">
        <is>
          <t>UPPSALA LÄN</t>
        </is>
      </c>
      <c r="E515" t="inlineStr">
        <is>
          <t>ÖSTHAMMAR</t>
        </is>
      </c>
      <c r="G515" t="n">
        <v>1.5</v>
      </c>
      <c r="H515" t="n">
        <v>0</v>
      </c>
      <c r="I515" t="n">
        <v>0</v>
      </c>
      <c r="J515" t="n">
        <v>0</v>
      </c>
      <c r="K515" t="n">
        <v>0</v>
      </c>
      <c r="L515" t="n">
        <v>0</v>
      </c>
      <c r="M515" t="n">
        <v>0</v>
      </c>
      <c r="N515" t="n">
        <v>0</v>
      </c>
      <c r="O515" t="n">
        <v>0</v>
      </c>
      <c r="P515" t="n">
        <v>0</v>
      </c>
      <c r="Q515" t="n">
        <v>0</v>
      </c>
      <c r="R515" s="2" t="inlineStr"/>
    </row>
    <row r="516" ht="15" customHeight="1">
      <c r="A516" t="inlineStr">
        <is>
          <t>A 33056-2021</t>
        </is>
      </c>
      <c r="B516" s="1" t="n">
        <v>44376.52438657408</v>
      </c>
      <c r="C516" s="1" t="n">
        <v>45888</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27347-2025</t>
        </is>
      </c>
      <c r="B517" s="1" t="n">
        <v>45812.62390046296</v>
      </c>
      <c r="C517" s="1" t="n">
        <v>45888</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47390-2023</t>
        </is>
      </c>
      <c r="B518" s="1" t="n">
        <v>45202</v>
      </c>
      <c r="C518" s="1" t="n">
        <v>45888</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27392-2025</t>
        </is>
      </c>
      <c r="B519" s="1" t="n">
        <v>45812.68268518519</v>
      </c>
      <c r="C519" s="1" t="n">
        <v>45888</v>
      </c>
      <c r="D519" t="inlineStr">
        <is>
          <t>UPPSALA LÄN</t>
        </is>
      </c>
      <c r="E519" t="inlineStr">
        <is>
          <t>ÖSTHAMMAR</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27676-2025</t>
        </is>
      </c>
      <c r="B520" s="1" t="n">
        <v>45813.63075231481</v>
      </c>
      <c r="C520" s="1" t="n">
        <v>45888</v>
      </c>
      <c r="D520" t="inlineStr">
        <is>
          <t>UPPSALA LÄN</t>
        </is>
      </c>
      <c r="E520" t="inlineStr">
        <is>
          <t>ÖSTHAMMAR</t>
        </is>
      </c>
      <c r="G520" t="n">
        <v>2.9</v>
      </c>
      <c r="H520" t="n">
        <v>0</v>
      </c>
      <c r="I520" t="n">
        <v>0</v>
      </c>
      <c r="J520" t="n">
        <v>0</v>
      </c>
      <c r="K520" t="n">
        <v>0</v>
      </c>
      <c r="L520" t="n">
        <v>0</v>
      </c>
      <c r="M520" t="n">
        <v>0</v>
      </c>
      <c r="N520" t="n">
        <v>0</v>
      </c>
      <c r="O520" t="n">
        <v>0</v>
      </c>
      <c r="P520" t="n">
        <v>0</v>
      </c>
      <c r="Q520" t="n">
        <v>0</v>
      </c>
      <c r="R520" s="2" t="inlineStr"/>
    </row>
    <row r="521" ht="15" customHeight="1">
      <c r="A521" t="inlineStr">
        <is>
          <t>A 5877-2023</t>
        </is>
      </c>
      <c r="B521" s="1" t="n">
        <v>44963.62001157407</v>
      </c>
      <c r="C521" s="1" t="n">
        <v>45888</v>
      </c>
      <c r="D521" t="inlineStr">
        <is>
          <t>UPPSALA LÄN</t>
        </is>
      </c>
      <c r="E521" t="inlineStr">
        <is>
          <t>ÖSTHAMMAR</t>
        </is>
      </c>
      <c r="G521" t="n">
        <v>0.7</v>
      </c>
      <c r="H521" t="n">
        <v>0</v>
      </c>
      <c r="I521" t="n">
        <v>0</v>
      </c>
      <c r="J521" t="n">
        <v>0</v>
      </c>
      <c r="K521" t="n">
        <v>0</v>
      </c>
      <c r="L521" t="n">
        <v>0</v>
      </c>
      <c r="M521" t="n">
        <v>0</v>
      </c>
      <c r="N521" t="n">
        <v>0</v>
      </c>
      <c r="O521" t="n">
        <v>0</v>
      </c>
      <c r="P521" t="n">
        <v>0</v>
      </c>
      <c r="Q521" t="n">
        <v>0</v>
      </c>
      <c r="R521" s="2" t="inlineStr"/>
    </row>
    <row r="522" ht="15" customHeight="1">
      <c r="A522" t="inlineStr">
        <is>
          <t>A 27352-2025</t>
        </is>
      </c>
      <c r="B522" s="1" t="n">
        <v>45812.62694444445</v>
      </c>
      <c r="C522" s="1" t="n">
        <v>45888</v>
      </c>
      <c r="D522" t="inlineStr">
        <is>
          <t>UPPSALA LÄN</t>
        </is>
      </c>
      <c r="E522" t="inlineStr">
        <is>
          <t>ÖSTHAMMAR</t>
        </is>
      </c>
      <c r="G522" t="n">
        <v>2.5</v>
      </c>
      <c r="H522" t="n">
        <v>0</v>
      </c>
      <c r="I522" t="n">
        <v>0</v>
      </c>
      <c r="J522" t="n">
        <v>0</v>
      </c>
      <c r="K522" t="n">
        <v>0</v>
      </c>
      <c r="L522" t="n">
        <v>0</v>
      </c>
      <c r="M522" t="n">
        <v>0</v>
      </c>
      <c r="N522" t="n">
        <v>0</v>
      </c>
      <c r="O522" t="n">
        <v>0</v>
      </c>
      <c r="P522" t="n">
        <v>0</v>
      </c>
      <c r="Q522" t="n">
        <v>0</v>
      </c>
      <c r="R522" s="2" t="inlineStr"/>
    </row>
    <row r="523" ht="15" customHeight="1">
      <c r="A523" t="inlineStr">
        <is>
          <t>A 27350-2025</t>
        </is>
      </c>
      <c r="B523" s="1" t="n">
        <v>45812.62571759259</v>
      </c>
      <c r="C523" s="1" t="n">
        <v>45888</v>
      </c>
      <c r="D523" t="inlineStr">
        <is>
          <t>UPPSALA LÄN</t>
        </is>
      </c>
      <c r="E523" t="inlineStr">
        <is>
          <t>ÖSTHAMMAR</t>
        </is>
      </c>
      <c r="G523" t="n">
        <v>1</v>
      </c>
      <c r="H523" t="n">
        <v>0</v>
      </c>
      <c r="I523" t="n">
        <v>0</v>
      </c>
      <c r="J523" t="n">
        <v>0</v>
      </c>
      <c r="K523" t="n">
        <v>0</v>
      </c>
      <c r="L523" t="n">
        <v>0</v>
      </c>
      <c r="M523" t="n">
        <v>0</v>
      </c>
      <c r="N523" t="n">
        <v>0</v>
      </c>
      <c r="O523" t="n">
        <v>0</v>
      </c>
      <c r="P523" t="n">
        <v>0</v>
      </c>
      <c r="Q523" t="n">
        <v>0</v>
      </c>
      <c r="R523" s="2" t="inlineStr"/>
    </row>
    <row r="524" ht="15" customHeight="1">
      <c r="A524" t="inlineStr">
        <is>
          <t>A 27384-2025</t>
        </is>
      </c>
      <c r="B524" s="1" t="n">
        <v>45812.6672337963</v>
      </c>
      <c r="C524" s="1" t="n">
        <v>45888</v>
      </c>
      <c r="D524" t="inlineStr">
        <is>
          <t>UPPSALA LÄN</t>
        </is>
      </c>
      <c r="E524" t="inlineStr">
        <is>
          <t>ÖSTHAMMAR</t>
        </is>
      </c>
      <c r="G524" t="n">
        <v>1.6</v>
      </c>
      <c r="H524" t="n">
        <v>0</v>
      </c>
      <c r="I524" t="n">
        <v>0</v>
      </c>
      <c r="J524" t="n">
        <v>0</v>
      </c>
      <c r="K524" t="n">
        <v>0</v>
      </c>
      <c r="L524" t="n">
        <v>0</v>
      </c>
      <c r="M524" t="n">
        <v>0</v>
      </c>
      <c r="N524" t="n">
        <v>0</v>
      </c>
      <c r="O524" t="n">
        <v>0</v>
      </c>
      <c r="P524" t="n">
        <v>0</v>
      </c>
      <c r="Q524" t="n">
        <v>0</v>
      </c>
      <c r="R524" s="2" t="inlineStr"/>
    </row>
    <row r="525" ht="15" customHeight="1">
      <c r="A525" t="inlineStr">
        <is>
          <t>A 52389-2022</t>
        </is>
      </c>
      <c r="B525" s="1" t="n">
        <v>44874.38325231482</v>
      </c>
      <c r="C525" s="1" t="n">
        <v>45888</v>
      </c>
      <c r="D525" t="inlineStr">
        <is>
          <t>UPPSALA LÄN</t>
        </is>
      </c>
      <c r="E525" t="inlineStr">
        <is>
          <t>ÖSTHAMMAR</t>
        </is>
      </c>
      <c r="G525" t="n">
        <v>3.1</v>
      </c>
      <c r="H525" t="n">
        <v>0</v>
      </c>
      <c r="I525" t="n">
        <v>0</v>
      </c>
      <c r="J525" t="n">
        <v>0</v>
      </c>
      <c r="K525" t="n">
        <v>0</v>
      </c>
      <c r="L525" t="n">
        <v>0</v>
      </c>
      <c r="M525" t="n">
        <v>0</v>
      </c>
      <c r="N525" t="n">
        <v>0</v>
      </c>
      <c r="O525" t="n">
        <v>0</v>
      </c>
      <c r="P525" t="n">
        <v>0</v>
      </c>
      <c r="Q525" t="n">
        <v>0</v>
      </c>
      <c r="R525" s="2" t="inlineStr"/>
    </row>
    <row r="526" ht="15" customHeight="1">
      <c r="A526" t="inlineStr">
        <is>
          <t>A 27383-2025</t>
        </is>
      </c>
      <c r="B526" s="1" t="n">
        <v>45812.66628472223</v>
      </c>
      <c r="C526" s="1" t="n">
        <v>45888</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27385-2025</t>
        </is>
      </c>
      <c r="B527" s="1" t="n">
        <v>45812.66829861111</v>
      </c>
      <c r="C527" s="1" t="n">
        <v>45888</v>
      </c>
      <c r="D527" t="inlineStr">
        <is>
          <t>UPPSALA LÄN</t>
        </is>
      </c>
      <c r="E527" t="inlineStr">
        <is>
          <t>ÖSTHAMMAR</t>
        </is>
      </c>
      <c r="G527" t="n">
        <v>0.6</v>
      </c>
      <c r="H527" t="n">
        <v>0</v>
      </c>
      <c r="I527" t="n">
        <v>0</v>
      </c>
      <c r="J527" t="n">
        <v>0</v>
      </c>
      <c r="K527" t="n">
        <v>0</v>
      </c>
      <c r="L527" t="n">
        <v>0</v>
      </c>
      <c r="M527" t="n">
        <v>0</v>
      </c>
      <c r="N527" t="n">
        <v>0</v>
      </c>
      <c r="O527" t="n">
        <v>0</v>
      </c>
      <c r="P527" t="n">
        <v>0</v>
      </c>
      <c r="Q527" t="n">
        <v>0</v>
      </c>
      <c r="R527" s="2" t="inlineStr"/>
    </row>
    <row r="528" ht="15" customHeight="1">
      <c r="A528" t="inlineStr">
        <is>
          <t>A 27395-2025</t>
        </is>
      </c>
      <c r="B528" s="1" t="n">
        <v>45812.6850462963</v>
      </c>
      <c r="C528" s="1" t="n">
        <v>45888</v>
      </c>
      <c r="D528" t="inlineStr">
        <is>
          <t>UPPSALA LÄN</t>
        </is>
      </c>
      <c r="E528" t="inlineStr">
        <is>
          <t>ÖSTHAMMAR</t>
        </is>
      </c>
      <c r="F528" t="inlineStr">
        <is>
          <t>Bergvik skog öst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27563-2025</t>
        </is>
      </c>
      <c r="B529" s="1" t="n">
        <v>45813.48471064815</v>
      </c>
      <c r="C529" s="1" t="n">
        <v>45888</v>
      </c>
      <c r="D529" t="inlineStr">
        <is>
          <t>UPPSALA LÄN</t>
        </is>
      </c>
      <c r="E529" t="inlineStr">
        <is>
          <t>ÖSTHAMMAR</t>
        </is>
      </c>
      <c r="F529" t="inlineStr">
        <is>
          <t>Bergvik skog öst AB</t>
        </is>
      </c>
      <c r="G529" t="n">
        <v>4</v>
      </c>
      <c r="H529" t="n">
        <v>0</v>
      </c>
      <c r="I529" t="n">
        <v>0</v>
      </c>
      <c r="J529" t="n">
        <v>0</v>
      </c>
      <c r="K529" t="n">
        <v>0</v>
      </c>
      <c r="L529" t="n">
        <v>0</v>
      </c>
      <c r="M529" t="n">
        <v>0</v>
      </c>
      <c r="N529" t="n">
        <v>0</v>
      </c>
      <c r="O529" t="n">
        <v>0</v>
      </c>
      <c r="P529" t="n">
        <v>0</v>
      </c>
      <c r="Q529" t="n">
        <v>0</v>
      </c>
      <c r="R529" s="2" t="inlineStr"/>
    </row>
    <row r="530" ht="15" customHeight="1">
      <c r="A530" t="inlineStr">
        <is>
          <t>A 25033-2021</t>
        </is>
      </c>
      <c r="B530" s="1" t="n">
        <v>44341.590625</v>
      </c>
      <c r="C530" s="1" t="n">
        <v>45888</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57453-2022</t>
        </is>
      </c>
      <c r="B531" s="1" t="n">
        <v>44896.56266203704</v>
      </c>
      <c r="C531" s="1" t="n">
        <v>45888</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57462-2022</t>
        </is>
      </c>
      <c r="B532" s="1" t="n">
        <v>44896.57527777777</v>
      </c>
      <c r="C532" s="1" t="n">
        <v>45888</v>
      </c>
      <c r="D532" t="inlineStr">
        <is>
          <t>UPPSALA LÄN</t>
        </is>
      </c>
      <c r="E532" t="inlineStr">
        <is>
          <t>ÖSTHAMMAR</t>
        </is>
      </c>
      <c r="G532" t="n">
        <v>1.9</v>
      </c>
      <c r="H532" t="n">
        <v>0</v>
      </c>
      <c r="I532" t="n">
        <v>0</v>
      </c>
      <c r="J532" t="n">
        <v>0</v>
      </c>
      <c r="K532" t="n">
        <v>0</v>
      </c>
      <c r="L532" t="n">
        <v>0</v>
      </c>
      <c r="M532" t="n">
        <v>0</v>
      </c>
      <c r="N532" t="n">
        <v>0</v>
      </c>
      <c r="O532" t="n">
        <v>0</v>
      </c>
      <c r="P532" t="n">
        <v>0</v>
      </c>
      <c r="Q532" t="n">
        <v>0</v>
      </c>
      <c r="R532" s="2" t="inlineStr"/>
    </row>
    <row r="533" ht="15" customHeight="1">
      <c r="A533" t="inlineStr">
        <is>
          <t>A 6039-2025</t>
        </is>
      </c>
      <c r="B533" s="1" t="n">
        <v>45695</v>
      </c>
      <c r="C533" s="1" t="n">
        <v>45888</v>
      </c>
      <c r="D533" t="inlineStr">
        <is>
          <t>UPPSALA LÄN</t>
        </is>
      </c>
      <c r="E533" t="inlineStr">
        <is>
          <t>ÖSTHAMMAR</t>
        </is>
      </c>
      <c r="G533" t="n">
        <v>2.3</v>
      </c>
      <c r="H533" t="n">
        <v>0</v>
      </c>
      <c r="I533" t="n">
        <v>0</v>
      </c>
      <c r="J533" t="n">
        <v>0</v>
      </c>
      <c r="K533" t="n">
        <v>0</v>
      </c>
      <c r="L533" t="n">
        <v>0</v>
      </c>
      <c r="M533" t="n">
        <v>0</v>
      </c>
      <c r="N533" t="n">
        <v>0</v>
      </c>
      <c r="O533" t="n">
        <v>0</v>
      </c>
      <c r="P533" t="n">
        <v>0</v>
      </c>
      <c r="Q533" t="n">
        <v>0</v>
      </c>
      <c r="R533" s="2" t="inlineStr"/>
    </row>
    <row r="534" ht="15" customHeight="1">
      <c r="A534" t="inlineStr">
        <is>
          <t>A 25269-2024</t>
        </is>
      </c>
      <c r="B534" s="1" t="n">
        <v>45462</v>
      </c>
      <c r="C534" s="1" t="n">
        <v>45888</v>
      </c>
      <c r="D534" t="inlineStr">
        <is>
          <t>UPPSALA LÄN</t>
        </is>
      </c>
      <c r="E534" t="inlineStr">
        <is>
          <t>ÖSTHAMMAR</t>
        </is>
      </c>
      <c r="F534" t="inlineStr">
        <is>
          <t>Bergvik skog öst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13352-2023</t>
        </is>
      </c>
      <c r="B535" s="1" t="n">
        <v>45005</v>
      </c>
      <c r="C535" s="1" t="n">
        <v>45888</v>
      </c>
      <c r="D535" t="inlineStr">
        <is>
          <t>UPPSALA LÄN</t>
        </is>
      </c>
      <c r="E535" t="inlineStr">
        <is>
          <t>ÖSTHAMMAR</t>
        </is>
      </c>
      <c r="G535" t="n">
        <v>1.8</v>
      </c>
      <c r="H535" t="n">
        <v>0</v>
      </c>
      <c r="I535" t="n">
        <v>0</v>
      </c>
      <c r="J535" t="n">
        <v>0</v>
      </c>
      <c r="K535" t="n">
        <v>0</v>
      </c>
      <c r="L535" t="n">
        <v>0</v>
      </c>
      <c r="M535" t="n">
        <v>0</v>
      </c>
      <c r="N535" t="n">
        <v>0</v>
      </c>
      <c r="O535" t="n">
        <v>0</v>
      </c>
      <c r="P535" t="n">
        <v>0</v>
      </c>
      <c r="Q535" t="n">
        <v>0</v>
      </c>
      <c r="R535" s="2" t="inlineStr"/>
    </row>
    <row r="536" ht="15" customHeight="1">
      <c r="A536" t="inlineStr">
        <is>
          <t>A 22804-2022</t>
        </is>
      </c>
      <c r="B536" s="1" t="n">
        <v>44715</v>
      </c>
      <c r="C536" s="1" t="n">
        <v>45888</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45795-2023</t>
        </is>
      </c>
      <c r="B537" s="1" t="n">
        <v>45195</v>
      </c>
      <c r="C537" s="1" t="n">
        <v>45888</v>
      </c>
      <c r="D537" t="inlineStr">
        <is>
          <t>UPPSALA LÄN</t>
        </is>
      </c>
      <c r="E537" t="inlineStr">
        <is>
          <t>ÖSTHAMMAR</t>
        </is>
      </c>
      <c r="G537" t="n">
        <v>4</v>
      </c>
      <c r="H537" t="n">
        <v>0</v>
      </c>
      <c r="I537" t="n">
        <v>0</v>
      </c>
      <c r="J537" t="n">
        <v>0</v>
      </c>
      <c r="K537" t="n">
        <v>0</v>
      </c>
      <c r="L537" t="n">
        <v>0</v>
      </c>
      <c r="M537" t="n">
        <v>0</v>
      </c>
      <c r="N537" t="n">
        <v>0</v>
      </c>
      <c r="O537" t="n">
        <v>0</v>
      </c>
      <c r="P537" t="n">
        <v>0</v>
      </c>
      <c r="Q537" t="n">
        <v>0</v>
      </c>
      <c r="R537" s="2" t="inlineStr"/>
    </row>
    <row r="538" ht="15" customHeight="1">
      <c r="A538" t="inlineStr">
        <is>
          <t>A 27919-2025</t>
        </is>
      </c>
      <c r="B538" s="1" t="n">
        <v>45817.48384259259</v>
      </c>
      <c r="C538" s="1" t="n">
        <v>45888</v>
      </c>
      <c r="D538" t="inlineStr">
        <is>
          <t>UPPSALA LÄN</t>
        </is>
      </c>
      <c r="E538" t="inlineStr">
        <is>
          <t>ÖSTHAMMAR</t>
        </is>
      </c>
      <c r="F538" t="inlineStr">
        <is>
          <t>Bergvik skog öst AB</t>
        </is>
      </c>
      <c r="G538" t="n">
        <v>3.5</v>
      </c>
      <c r="H538" t="n">
        <v>0</v>
      </c>
      <c r="I538" t="n">
        <v>0</v>
      </c>
      <c r="J538" t="n">
        <v>0</v>
      </c>
      <c r="K538" t="n">
        <v>0</v>
      </c>
      <c r="L538" t="n">
        <v>0</v>
      </c>
      <c r="M538" t="n">
        <v>0</v>
      </c>
      <c r="N538" t="n">
        <v>0</v>
      </c>
      <c r="O538" t="n">
        <v>0</v>
      </c>
      <c r="P538" t="n">
        <v>0</v>
      </c>
      <c r="Q538" t="n">
        <v>0</v>
      </c>
      <c r="R538" s="2" t="inlineStr"/>
    </row>
    <row r="539" ht="15" customHeight="1">
      <c r="A539" t="inlineStr">
        <is>
          <t>A 27853-2025</t>
        </is>
      </c>
      <c r="B539" s="1" t="n">
        <v>45817.40178240741</v>
      </c>
      <c r="C539" s="1" t="n">
        <v>45888</v>
      </c>
      <c r="D539" t="inlineStr">
        <is>
          <t>UPPSALA LÄN</t>
        </is>
      </c>
      <c r="E539" t="inlineStr">
        <is>
          <t>ÖSTHAMMAR</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27812-2025</t>
        </is>
      </c>
      <c r="B540" s="1" t="n">
        <v>45817.32150462963</v>
      </c>
      <c r="C540" s="1" t="n">
        <v>45888</v>
      </c>
      <c r="D540" t="inlineStr">
        <is>
          <t>UPPSALA LÄN</t>
        </is>
      </c>
      <c r="E540" t="inlineStr">
        <is>
          <t>ÖSTHAMMAR</t>
        </is>
      </c>
      <c r="F540" t="inlineStr">
        <is>
          <t>Bergvik skog öst AB</t>
        </is>
      </c>
      <c r="G540" t="n">
        <v>1.8</v>
      </c>
      <c r="H540" t="n">
        <v>0</v>
      </c>
      <c r="I540" t="n">
        <v>0</v>
      </c>
      <c r="J540" t="n">
        <v>0</v>
      </c>
      <c r="K540" t="n">
        <v>0</v>
      </c>
      <c r="L540" t="n">
        <v>0</v>
      </c>
      <c r="M540" t="n">
        <v>0</v>
      </c>
      <c r="N540" t="n">
        <v>0</v>
      </c>
      <c r="O540" t="n">
        <v>0</v>
      </c>
      <c r="P540" t="n">
        <v>0</v>
      </c>
      <c r="Q540" t="n">
        <v>0</v>
      </c>
      <c r="R540" s="2" t="inlineStr"/>
    </row>
    <row r="541" ht="15" customHeight="1">
      <c r="A541" t="inlineStr">
        <is>
          <t>A 27920-2025</t>
        </is>
      </c>
      <c r="B541" s="1" t="n">
        <v>45817.48454861111</v>
      </c>
      <c r="C541" s="1" t="n">
        <v>45888</v>
      </c>
      <c r="D541" t="inlineStr">
        <is>
          <t>UPPSALA LÄN</t>
        </is>
      </c>
      <c r="E541" t="inlineStr">
        <is>
          <t>ÖSTHAMMAR</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51364-2021</t>
        </is>
      </c>
      <c r="B542" s="1" t="n">
        <v>44461</v>
      </c>
      <c r="C542" s="1" t="n">
        <v>45888</v>
      </c>
      <c r="D542" t="inlineStr">
        <is>
          <t>UPPSALA LÄN</t>
        </is>
      </c>
      <c r="E542" t="inlineStr">
        <is>
          <t>ÖSTHAMMAR</t>
        </is>
      </c>
      <c r="G542" t="n">
        <v>2.4</v>
      </c>
      <c r="H542" t="n">
        <v>0</v>
      </c>
      <c r="I542" t="n">
        <v>0</v>
      </c>
      <c r="J542" t="n">
        <v>0</v>
      </c>
      <c r="K542" t="n">
        <v>0</v>
      </c>
      <c r="L542" t="n">
        <v>0</v>
      </c>
      <c r="M542" t="n">
        <v>0</v>
      </c>
      <c r="N542" t="n">
        <v>0</v>
      </c>
      <c r="O542" t="n">
        <v>0</v>
      </c>
      <c r="P542" t="n">
        <v>0</v>
      </c>
      <c r="Q542" t="n">
        <v>0</v>
      </c>
      <c r="R542" s="2" t="inlineStr"/>
    </row>
    <row r="543" ht="15" customHeight="1">
      <c r="A543" t="inlineStr">
        <is>
          <t>A 8330-2025</t>
        </is>
      </c>
      <c r="B543" s="1" t="n">
        <v>45708</v>
      </c>
      <c r="C543" s="1" t="n">
        <v>45888</v>
      </c>
      <c r="D543" t="inlineStr">
        <is>
          <t>UPPSALA LÄN</t>
        </is>
      </c>
      <c r="E543" t="inlineStr">
        <is>
          <t>ÖSTHAMMAR</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7997-2022</t>
        </is>
      </c>
      <c r="B544" s="1" t="n">
        <v>44609</v>
      </c>
      <c r="C544" s="1" t="n">
        <v>45888</v>
      </c>
      <c r="D544" t="inlineStr">
        <is>
          <t>UPPSALA LÄN</t>
        </is>
      </c>
      <c r="E544" t="inlineStr">
        <is>
          <t>ÖSTHAMMAR</t>
        </is>
      </c>
      <c r="G544" t="n">
        <v>1.8</v>
      </c>
      <c r="H544" t="n">
        <v>0</v>
      </c>
      <c r="I544" t="n">
        <v>0</v>
      </c>
      <c r="J544" t="n">
        <v>0</v>
      </c>
      <c r="K544" t="n">
        <v>0</v>
      </c>
      <c r="L544" t="n">
        <v>0</v>
      </c>
      <c r="M544" t="n">
        <v>0</v>
      </c>
      <c r="N544" t="n">
        <v>0</v>
      </c>
      <c r="O544" t="n">
        <v>0</v>
      </c>
      <c r="P544" t="n">
        <v>0</v>
      </c>
      <c r="Q544" t="n">
        <v>0</v>
      </c>
      <c r="R544" s="2" t="inlineStr"/>
    </row>
    <row r="545" ht="15" customHeight="1">
      <c r="A545" t="inlineStr">
        <is>
          <t>A 21478-2023</t>
        </is>
      </c>
      <c r="B545" s="1" t="n">
        <v>45063.47773148148</v>
      </c>
      <c r="C545" s="1" t="n">
        <v>45888</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27509-2025</t>
        </is>
      </c>
      <c r="B546" s="1" t="n">
        <v>45813.4278125</v>
      </c>
      <c r="C546" s="1" t="n">
        <v>45888</v>
      </c>
      <c r="D546" t="inlineStr">
        <is>
          <t>UPPSALA LÄN</t>
        </is>
      </c>
      <c r="E546" t="inlineStr">
        <is>
          <t>ÖSTHAMMAR</t>
        </is>
      </c>
      <c r="F546" t="inlineStr">
        <is>
          <t>Bergvik skog öst AB</t>
        </is>
      </c>
      <c r="G546" t="n">
        <v>3.3</v>
      </c>
      <c r="H546" t="n">
        <v>0</v>
      </c>
      <c r="I546" t="n">
        <v>0</v>
      </c>
      <c r="J546" t="n">
        <v>0</v>
      </c>
      <c r="K546" t="n">
        <v>0</v>
      </c>
      <c r="L546" t="n">
        <v>0</v>
      </c>
      <c r="M546" t="n">
        <v>0</v>
      </c>
      <c r="N546" t="n">
        <v>0</v>
      </c>
      <c r="O546" t="n">
        <v>0</v>
      </c>
      <c r="P546" t="n">
        <v>0</v>
      </c>
      <c r="Q546" t="n">
        <v>0</v>
      </c>
      <c r="R546" s="2" t="inlineStr"/>
    </row>
    <row r="547" ht="15" customHeight="1">
      <c r="A547" t="inlineStr">
        <is>
          <t>A 43915-2023</t>
        </is>
      </c>
      <c r="B547" s="1" t="n">
        <v>45187.71274305556</v>
      </c>
      <c r="C547" s="1" t="n">
        <v>45888</v>
      </c>
      <c r="D547" t="inlineStr">
        <is>
          <t>UPPSALA LÄN</t>
        </is>
      </c>
      <c r="E547" t="inlineStr">
        <is>
          <t>ÖSTHAMMAR</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28442-2025</t>
        </is>
      </c>
      <c r="B548" s="1" t="n">
        <v>45819</v>
      </c>
      <c r="C548" s="1" t="n">
        <v>45888</v>
      </c>
      <c r="D548" t="inlineStr">
        <is>
          <t>UPPSALA LÄN</t>
        </is>
      </c>
      <c r="E548" t="inlineStr">
        <is>
          <t>ÖSTHAMMAR</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67199-2021</t>
        </is>
      </c>
      <c r="B549" s="1" t="n">
        <v>44523.46197916667</v>
      </c>
      <c r="C549" s="1" t="n">
        <v>45888</v>
      </c>
      <c r="D549" t="inlineStr">
        <is>
          <t>UPPSALA LÄN</t>
        </is>
      </c>
      <c r="E549" t="inlineStr">
        <is>
          <t>ÖSTHAMMAR</t>
        </is>
      </c>
      <c r="G549" t="n">
        <v>2.3</v>
      </c>
      <c r="H549" t="n">
        <v>0</v>
      </c>
      <c r="I549" t="n">
        <v>0</v>
      </c>
      <c r="J549" t="n">
        <v>0</v>
      </c>
      <c r="K549" t="n">
        <v>0</v>
      </c>
      <c r="L549" t="n">
        <v>0</v>
      </c>
      <c r="M549" t="n">
        <v>0</v>
      </c>
      <c r="N549" t="n">
        <v>0</v>
      </c>
      <c r="O549" t="n">
        <v>0</v>
      </c>
      <c r="P549" t="n">
        <v>0</v>
      </c>
      <c r="Q549" t="n">
        <v>0</v>
      </c>
      <c r="R549" s="2" t="inlineStr"/>
    </row>
    <row r="550" ht="15" customHeight="1">
      <c r="A550" t="inlineStr">
        <is>
          <t>A 28101-2025</t>
        </is>
      </c>
      <c r="B550" s="1" t="n">
        <v>45817.83736111111</v>
      </c>
      <c r="C550" s="1" t="n">
        <v>45888</v>
      </c>
      <c r="D550" t="inlineStr">
        <is>
          <t>UPPSALA LÄN</t>
        </is>
      </c>
      <c r="E550" t="inlineStr">
        <is>
          <t>ÖSTHAMMAR</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19501-2025</t>
        </is>
      </c>
      <c r="B551" s="1" t="n">
        <v>45770.4015625</v>
      </c>
      <c r="C551" s="1" t="n">
        <v>45888</v>
      </c>
      <c r="D551" t="inlineStr">
        <is>
          <t>UPPSALA LÄN</t>
        </is>
      </c>
      <c r="E551" t="inlineStr">
        <is>
          <t>ÖSTHAMMAR</t>
        </is>
      </c>
      <c r="F551" t="inlineStr">
        <is>
          <t>Övriga Aktiebolag</t>
        </is>
      </c>
      <c r="G551" t="n">
        <v>17.3</v>
      </c>
      <c r="H551" t="n">
        <v>0</v>
      </c>
      <c r="I551" t="n">
        <v>0</v>
      </c>
      <c r="J551" t="n">
        <v>0</v>
      </c>
      <c r="K551" t="n">
        <v>0</v>
      </c>
      <c r="L551" t="n">
        <v>0</v>
      </c>
      <c r="M551" t="n">
        <v>0</v>
      </c>
      <c r="N551" t="n">
        <v>0</v>
      </c>
      <c r="O551" t="n">
        <v>0</v>
      </c>
      <c r="P551" t="n">
        <v>0</v>
      </c>
      <c r="Q551" t="n">
        <v>0</v>
      </c>
      <c r="R551" s="2" t="inlineStr"/>
    </row>
    <row r="552" ht="15" customHeight="1">
      <c r="A552" t="inlineStr">
        <is>
          <t>A 28100-2025</t>
        </is>
      </c>
      <c r="B552" s="1" t="n">
        <v>45817.83487268518</v>
      </c>
      <c r="C552" s="1" t="n">
        <v>45888</v>
      </c>
      <c r="D552" t="inlineStr">
        <is>
          <t>UPPSALA LÄN</t>
        </is>
      </c>
      <c r="E552" t="inlineStr">
        <is>
          <t>ÖSTHAMMAR</t>
        </is>
      </c>
      <c r="F552" t="inlineStr">
        <is>
          <t>Bergvik skog öst AB</t>
        </is>
      </c>
      <c r="G552" t="n">
        <v>3.2</v>
      </c>
      <c r="H552" t="n">
        <v>0</v>
      </c>
      <c r="I552" t="n">
        <v>0</v>
      </c>
      <c r="J552" t="n">
        <v>0</v>
      </c>
      <c r="K552" t="n">
        <v>0</v>
      </c>
      <c r="L552" t="n">
        <v>0</v>
      </c>
      <c r="M552" t="n">
        <v>0</v>
      </c>
      <c r="N552" t="n">
        <v>0</v>
      </c>
      <c r="O552" t="n">
        <v>0</v>
      </c>
      <c r="P552" t="n">
        <v>0</v>
      </c>
      <c r="Q552" t="n">
        <v>0</v>
      </c>
      <c r="R552" s="2" t="inlineStr"/>
    </row>
    <row r="553" ht="15" customHeight="1">
      <c r="A553" t="inlineStr">
        <is>
          <t>A 15449-2022</t>
        </is>
      </c>
      <c r="B553" s="1" t="n">
        <v>44660.91659722223</v>
      </c>
      <c r="C553" s="1" t="n">
        <v>45888</v>
      </c>
      <c r="D553" t="inlineStr">
        <is>
          <t>UPPSALA LÄN</t>
        </is>
      </c>
      <c r="E553" t="inlineStr">
        <is>
          <t>ÖSTHAMMAR</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28099-2025</t>
        </is>
      </c>
      <c r="B554" s="1" t="n">
        <v>45817.82967592592</v>
      </c>
      <c r="C554" s="1" t="n">
        <v>45888</v>
      </c>
      <c r="D554" t="inlineStr">
        <is>
          <t>UPPSALA LÄN</t>
        </is>
      </c>
      <c r="E554" t="inlineStr">
        <is>
          <t>ÖSTHAMMAR</t>
        </is>
      </c>
      <c r="F554" t="inlineStr">
        <is>
          <t>Bergvik skog öst AB</t>
        </is>
      </c>
      <c r="G554" t="n">
        <v>2.2</v>
      </c>
      <c r="H554" t="n">
        <v>0</v>
      </c>
      <c r="I554" t="n">
        <v>0</v>
      </c>
      <c r="J554" t="n">
        <v>0</v>
      </c>
      <c r="K554" t="n">
        <v>0</v>
      </c>
      <c r="L554" t="n">
        <v>0</v>
      </c>
      <c r="M554" t="n">
        <v>0</v>
      </c>
      <c r="N554" t="n">
        <v>0</v>
      </c>
      <c r="O554" t="n">
        <v>0</v>
      </c>
      <c r="P554" t="n">
        <v>0</v>
      </c>
      <c r="Q554" t="n">
        <v>0</v>
      </c>
      <c r="R554" s="2" t="inlineStr"/>
    </row>
    <row r="555" ht="15" customHeight="1">
      <c r="A555" t="inlineStr">
        <is>
          <t>A 23728-2025</t>
        </is>
      </c>
      <c r="B555" s="1" t="n">
        <v>45793.41719907407</v>
      </c>
      <c r="C555" s="1" t="n">
        <v>45888</v>
      </c>
      <c r="D555" t="inlineStr">
        <is>
          <t>UPPSALA LÄN</t>
        </is>
      </c>
      <c r="E555" t="inlineStr">
        <is>
          <t>ÖSTHAMMAR</t>
        </is>
      </c>
      <c r="G555" t="n">
        <v>1.1</v>
      </c>
      <c r="H555" t="n">
        <v>0</v>
      </c>
      <c r="I555" t="n">
        <v>0</v>
      </c>
      <c r="J555" t="n">
        <v>0</v>
      </c>
      <c r="K555" t="n">
        <v>0</v>
      </c>
      <c r="L555" t="n">
        <v>0</v>
      </c>
      <c r="M555" t="n">
        <v>0</v>
      </c>
      <c r="N555" t="n">
        <v>0</v>
      </c>
      <c r="O555" t="n">
        <v>0</v>
      </c>
      <c r="P555" t="n">
        <v>0</v>
      </c>
      <c r="Q555" t="n">
        <v>0</v>
      </c>
      <c r="R555" s="2" t="inlineStr"/>
    </row>
    <row r="556" ht="15" customHeight="1">
      <c r="A556" t="inlineStr">
        <is>
          <t>A 28745-2025</t>
        </is>
      </c>
      <c r="B556" s="1" t="n">
        <v>45820.39076388889</v>
      </c>
      <c r="C556" s="1" t="n">
        <v>45888</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28748-2025</t>
        </is>
      </c>
      <c r="B557" s="1" t="n">
        <v>45820.39540509259</v>
      </c>
      <c r="C557" s="1" t="n">
        <v>45888</v>
      </c>
      <c r="D557" t="inlineStr">
        <is>
          <t>UPPSALA LÄN</t>
        </is>
      </c>
      <c r="E557" t="inlineStr">
        <is>
          <t>ÖSTHAMMAR</t>
        </is>
      </c>
      <c r="G557" t="n">
        <v>2</v>
      </c>
      <c r="H557" t="n">
        <v>0</v>
      </c>
      <c r="I557" t="n">
        <v>0</v>
      </c>
      <c r="J557" t="n">
        <v>0</v>
      </c>
      <c r="K557" t="n">
        <v>0</v>
      </c>
      <c r="L557" t="n">
        <v>0</v>
      </c>
      <c r="M557" t="n">
        <v>0</v>
      </c>
      <c r="N557" t="n">
        <v>0</v>
      </c>
      <c r="O557" t="n">
        <v>0</v>
      </c>
      <c r="P557" t="n">
        <v>0</v>
      </c>
      <c r="Q557" t="n">
        <v>0</v>
      </c>
      <c r="R557" s="2" t="inlineStr"/>
    </row>
    <row r="558" ht="15" customHeight="1">
      <c r="A558" t="inlineStr">
        <is>
          <t>A 18183-2022</t>
        </is>
      </c>
      <c r="B558" s="1" t="n">
        <v>44684</v>
      </c>
      <c r="C558" s="1" t="n">
        <v>45888</v>
      </c>
      <c r="D558" t="inlineStr">
        <is>
          <t>UPPSALA LÄN</t>
        </is>
      </c>
      <c r="E558" t="inlineStr">
        <is>
          <t>ÖSTHAMMAR</t>
        </is>
      </c>
      <c r="G558" t="n">
        <v>0.2</v>
      </c>
      <c r="H558" t="n">
        <v>0</v>
      </c>
      <c r="I558" t="n">
        <v>0</v>
      </c>
      <c r="J558" t="n">
        <v>0</v>
      </c>
      <c r="K558" t="n">
        <v>0</v>
      </c>
      <c r="L558" t="n">
        <v>0</v>
      </c>
      <c r="M558" t="n">
        <v>0</v>
      </c>
      <c r="N558" t="n">
        <v>0</v>
      </c>
      <c r="O558" t="n">
        <v>0</v>
      </c>
      <c r="P558" t="n">
        <v>0</v>
      </c>
      <c r="Q558" t="n">
        <v>0</v>
      </c>
      <c r="R558" s="2" t="inlineStr"/>
    </row>
    <row r="559" ht="15" customHeight="1">
      <c r="A559" t="inlineStr">
        <is>
          <t>A 29024-2025</t>
        </is>
      </c>
      <c r="B559" s="1" t="n">
        <v>45821.43233796296</v>
      </c>
      <c r="C559" s="1" t="n">
        <v>45888</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29031-2025</t>
        </is>
      </c>
      <c r="B560" s="1" t="n">
        <v>45821.44159722222</v>
      </c>
      <c r="C560" s="1" t="n">
        <v>45888</v>
      </c>
      <c r="D560" t="inlineStr">
        <is>
          <t>UPPSALA LÄN</t>
        </is>
      </c>
      <c r="E560" t="inlineStr">
        <is>
          <t>ÖSTHAMMAR</t>
        </is>
      </c>
      <c r="F560" t="inlineStr">
        <is>
          <t>Bergvik skog öst AB</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3119-2025</t>
        </is>
      </c>
      <c r="B561" s="1" t="n">
        <v>45678</v>
      </c>
      <c r="C561" s="1" t="n">
        <v>45888</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28739-2025</t>
        </is>
      </c>
      <c r="B562" s="1" t="n">
        <v>45820</v>
      </c>
      <c r="C562" s="1" t="n">
        <v>45888</v>
      </c>
      <c r="D562" t="inlineStr">
        <is>
          <t>UPPSALA LÄN</t>
        </is>
      </c>
      <c r="E562" t="inlineStr">
        <is>
          <t>ÖSTHAMMAR</t>
        </is>
      </c>
      <c r="G562" t="n">
        <v>1.4</v>
      </c>
      <c r="H562" t="n">
        <v>0</v>
      </c>
      <c r="I562" t="n">
        <v>0</v>
      </c>
      <c r="J562" t="n">
        <v>0</v>
      </c>
      <c r="K562" t="n">
        <v>0</v>
      </c>
      <c r="L562" t="n">
        <v>0</v>
      </c>
      <c r="M562" t="n">
        <v>0</v>
      </c>
      <c r="N562" t="n">
        <v>0</v>
      </c>
      <c r="O562" t="n">
        <v>0</v>
      </c>
      <c r="P562" t="n">
        <v>0</v>
      </c>
      <c r="Q562" t="n">
        <v>0</v>
      </c>
      <c r="R562" s="2" t="inlineStr"/>
    </row>
    <row r="563" ht="15" customHeight="1">
      <c r="A563" t="inlineStr">
        <is>
          <t>A 29028-2025</t>
        </is>
      </c>
      <c r="B563" s="1" t="n">
        <v>45821.4384375</v>
      </c>
      <c r="C563" s="1" t="n">
        <v>45888</v>
      </c>
      <c r="D563" t="inlineStr">
        <is>
          <t>UPPSALA LÄN</t>
        </is>
      </c>
      <c r="E563" t="inlineStr">
        <is>
          <t>ÖSTHAMMAR</t>
        </is>
      </c>
      <c r="F563" t="inlineStr">
        <is>
          <t>Bergvik skog öst AB</t>
        </is>
      </c>
      <c r="G563" t="n">
        <v>1.7</v>
      </c>
      <c r="H563" t="n">
        <v>0</v>
      </c>
      <c r="I563" t="n">
        <v>0</v>
      </c>
      <c r="J563" t="n">
        <v>0</v>
      </c>
      <c r="K563" t="n">
        <v>0</v>
      </c>
      <c r="L563" t="n">
        <v>0</v>
      </c>
      <c r="M563" t="n">
        <v>0</v>
      </c>
      <c r="N563" t="n">
        <v>0</v>
      </c>
      <c r="O563" t="n">
        <v>0</v>
      </c>
      <c r="P563" t="n">
        <v>0</v>
      </c>
      <c r="Q563" t="n">
        <v>0</v>
      </c>
      <c r="R563" s="2" t="inlineStr"/>
    </row>
    <row r="564" ht="15" customHeight="1">
      <c r="A564" t="inlineStr">
        <is>
          <t>A 29029-2025</t>
        </is>
      </c>
      <c r="B564" s="1" t="n">
        <v>45821.43973379629</v>
      </c>
      <c r="C564" s="1" t="n">
        <v>45888</v>
      </c>
      <c r="D564" t="inlineStr">
        <is>
          <t>UPPSALA LÄN</t>
        </is>
      </c>
      <c r="E564" t="inlineStr">
        <is>
          <t>ÖSTHAMMAR</t>
        </is>
      </c>
      <c r="F564" t="inlineStr">
        <is>
          <t>Bergvik skog öst AB</t>
        </is>
      </c>
      <c r="G564" t="n">
        <v>4.2</v>
      </c>
      <c r="H564" t="n">
        <v>0</v>
      </c>
      <c r="I564" t="n">
        <v>0</v>
      </c>
      <c r="J564" t="n">
        <v>0</v>
      </c>
      <c r="K564" t="n">
        <v>0</v>
      </c>
      <c r="L564" t="n">
        <v>0</v>
      </c>
      <c r="M564" t="n">
        <v>0</v>
      </c>
      <c r="N564" t="n">
        <v>0</v>
      </c>
      <c r="O564" t="n">
        <v>0</v>
      </c>
      <c r="P564" t="n">
        <v>0</v>
      </c>
      <c r="Q564" t="n">
        <v>0</v>
      </c>
      <c r="R564" s="2" t="inlineStr"/>
    </row>
    <row r="565" ht="15" customHeight="1">
      <c r="A565" t="inlineStr">
        <is>
          <t>A 28421-2023</t>
        </is>
      </c>
      <c r="B565" s="1" t="n">
        <v>45102</v>
      </c>
      <c r="C565" s="1" t="n">
        <v>45888</v>
      </c>
      <c r="D565" t="inlineStr">
        <is>
          <t>UPPSALA LÄN</t>
        </is>
      </c>
      <c r="E565" t="inlineStr">
        <is>
          <t>ÖSTHAMMAR</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55389-2020</t>
        </is>
      </c>
      <c r="B566" s="1" t="n">
        <v>44131.38030092593</v>
      </c>
      <c r="C566" s="1" t="n">
        <v>45888</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17931-2025</t>
        </is>
      </c>
      <c r="B567" s="1" t="n">
        <v>45759.56894675926</v>
      </c>
      <c r="C567" s="1" t="n">
        <v>45888</v>
      </c>
      <c r="D567" t="inlineStr">
        <is>
          <t>UPPSALA LÄN</t>
        </is>
      </c>
      <c r="E567" t="inlineStr">
        <is>
          <t>ÖSTHAMMAR</t>
        </is>
      </c>
      <c r="G567" t="n">
        <v>2.1</v>
      </c>
      <c r="H567" t="n">
        <v>0</v>
      </c>
      <c r="I567" t="n">
        <v>0</v>
      </c>
      <c r="J567" t="n">
        <v>0</v>
      </c>
      <c r="K567" t="n">
        <v>0</v>
      </c>
      <c r="L567" t="n">
        <v>0</v>
      </c>
      <c r="M567" t="n">
        <v>0</v>
      </c>
      <c r="N567" t="n">
        <v>0</v>
      </c>
      <c r="O567" t="n">
        <v>0</v>
      </c>
      <c r="P567" t="n">
        <v>0</v>
      </c>
      <c r="Q567" t="n">
        <v>0</v>
      </c>
      <c r="R567" s="2" t="inlineStr"/>
    </row>
    <row r="568" ht="15" customHeight="1">
      <c r="A568" t="inlineStr">
        <is>
          <t>A 17938-2025</t>
        </is>
      </c>
      <c r="B568" s="1" t="n">
        <v>45760.55626157407</v>
      </c>
      <c r="C568" s="1" t="n">
        <v>45888</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27494-2025</t>
        </is>
      </c>
      <c r="B569" s="1" t="n">
        <v>45813.39756944445</v>
      </c>
      <c r="C569" s="1" t="n">
        <v>45888</v>
      </c>
      <c r="D569" t="inlineStr">
        <is>
          <t>UPPSALA LÄN</t>
        </is>
      </c>
      <c r="E569" t="inlineStr">
        <is>
          <t>ÖSTHAMMAR</t>
        </is>
      </c>
      <c r="F569" t="inlineStr">
        <is>
          <t>Bergvik skog öst AB</t>
        </is>
      </c>
      <c r="G569" t="n">
        <v>23.4</v>
      </c>
      <c r="H569" t="n">
        <v>0</v>
      </c>
      <c r="I569" t="n">
        <v>0</v>
      </c>
      <c r="J569" t="n">
        <v>0</v>
      </c>
      <c r="K569" t="n">
        <v>0</v>
      </c>
      <c r="L569" t="n">
        <v>0</v>
      </c>
      <c r="M569" t="n">
        <v>0</v>
      </c>
      <c r="N569" t="n">
        <v>0</v>
      </c>
      <c r="O569" t="n">
        <v>0</v>
      </c>
      <c r="P569" t="n">
        <v>0</v>
      </c>
      <c r="Q569" t="n">
        <v>0</v>
      </c>
      <c r="R569" s="2" t="inlineStr"/>
    </row>
    <row r="570" ht="15" customHeight="1">
      <c r="A570" t="inlineStr">
        <is>
          <t>A 29384-2025</t>
        </is>
      </c>
      <c r="B570" s="1" t="n">
        <v>45824</v>
      </c>
      <c r="C570" s="1" t="n">
        <v>45888</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6892-2022</t>
        </is>
      </c>
      <c r="B571" s="1" t="n">
        <v>44602</v>
      </c>
      <c r="C571" s="1" t="n">
        <v>45888</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27490-2025</t>
        </is>
      </c>
      <c r="B572" s="1" t="n">
        <v>45813.39273148148</v>
      </c>
      <c r="C572" s="1" t="n">
        <v>45888</v>
      </c>
      <c r="D572" t="inlineStr">
        <is>
          <t>UPPSALA LÄN</t>
        </is>
      </c>
      <c r="E572" t="inlineStr">
        <is>
          <t>ÖSTHAMMAR</t>
        </is>
      </c>
      <c r="F572" t="inlineStr">
        <is>
          <t>Bergvik skog öst AB</t>
        </is>
      </c>
      <c r="G572" t="n">
        <v>6.1</v>
      </c>
      <c r="H572" t="n">
        <v>0</v>
      </c>
      <c r="I572" t="n">
        <v>0</v>
      </c>
      <c r="J572" t="n">
        <v>0</v>
      </c>
      <c r="K572" t="n">
        <v>0</v>
      </c>
      <c r="L572" t="n">
        <v>0</v>
      </c>
      <c r="M572" t="n">
        <v>0</v>
      </c>
      <c r="N572" t="n">
        <v>0</v>
      </c>
      <c r="O572" t="n">
        <v>0</v>
      </c>
      <c r="P572" t="n">
        <v>0</v>
      </c>
      <c r="Q572" t="n">
        <v>0</v>
      </c>
      <c r="R572" s="2" t="inlineStr"/>
    </row>
    <row r="573" ht="15" customHeight="1">
      <c r="A573" t="inlineStr">
        <is>
          <t>A 62295-2022</t>
        </is>
      </c>
      <c r="B573" s="1" t="n">
        <v>44916</v>
      </c>
      <c r="C573" s="1" t="n">
        <v>45888</v>
      </c>
      <c r="D573" t="inlineStr">
        <is>
          <t>UPPSALA LÄN</t>
        </is>
      </c>
      <c r="E573" t="inlineStr">
        <is>
          <t>ÖSTHAMMAR</t>
        </is>
      </c>
      <c r="G573" t="n">
        <v>3.3</v>
      </c>
      <c r="H573" t="n">
        <v>0</v>
      </c>
      <c r="I573" t="n">
        <v>0</v>
      </c>
      <c r="J573" t="n">
        <v>0</v>
      </c>
      <c r="K573" t="n">
        <v>0</v>
      </c>
      <c r="L573" t="n">
        <v>0</v>
      </c>
      <c r="M573" t="n">
        <v>0</v>
      </c>
      <c r="N573" t="n">
        <v>0</v>
      </c>
      <c r="O573" t="n">
        <v>0</v>
      </c>
      <c r="P573" t="n">
        <v>0</v>
      </c>
      <c r="Q573" t="n">
        <v>0</v>
      </c>
      <c r="R573" s="2" t="inlineStr"/>
    </row>
    <row r="574" ht="15" customHeight="1">
      <c r="A574" t="inlineStr">
        <is>
          <t>A 8763-2025</t>
        </is>
      </c>
      <c r="B574" s="1" t="n">
        <v>45712.57872685185</v>
      </c>
      <c r="C574" s="1" t="n">
        <v>45888</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29775-2025</t>
        </is>
      </c>
      <c r="B575" s="1" t="n">
        <v>45825.63803240741</v>
      </c>
      <c r="C575" s="1" t="n">
        <v>45888</v>
      </c>
      <c r="D575" t="inlineStr">
        <is>
          <t>UPPSALA LÄN</t>
        </is>
      </c>
      <c r="E575" t="inlineStr">
        <is>
          <t>ÖSTHAMMAR</t>
        </is>
      </c>
      <c r="G575" t="n">
        <v>0.9</v>
      </c>
      <c r="H575" t="n">
        <v>0</v>
      </c>
      <c r="I575" t="n">
        <v>0</v>
      </c>
      <c r="J575" t="n">
        <v>0</v>
      </c>
      <c r="K575" t="n">
        <v>0</v>
      </c>
      <c r="L575" t="n">
        <v>0</v>
      </c>
      <c r="M575" t="n">
        <v>0</v>
      </c>
      <c r="N575" t="n">
        <v>0</v>
      </c>
      <c r="O575" t="n">
        <v>0</v>
      </c>
      <c r="P575" t="n">
        <v>0</v>
      </c>
      <c r="Q575" t="n">
        <v>0</v>
      </c>
      <c r="R575" s="2" t="inlineStr"/>
    </row>
    <row r="576" ht="15" customHeight="1">
      <c r="A576" t="inlineStr">
        <is>
          <t>A 8830-2023</t>
        </is>
      </c>
      <c r="B576" s="1" t="n">
        <v>44978</v>
      </c>
      <c r="C576" s="1" t="n">
        <v>45888</v>
      </c>
      <c r="D576" t="inlineStr">
        <is>
          <t>UPPSALA LÄN</t>
        </is>
      </c>
      <c r="E576" t="inlineStr">
        <is>
          <t>ÖSTHAMMAR</t>
        </is>
      </c>
      <c r="F576" t="inlineStr">
        <is>
          <t>Bergvik skog öst AB</t>
        </is>
      </c>
      <c r="G576" t="n">
        <v>1.6</v>
      </c>
      <c r="H576" t="n">
        <v>0</v>
      </c>
      <c r="I576" t="n">
        <v>0</v>
      </c>
      <c r="J576" t="n">
        <v>0</v>
      </c>
      <c r="K576" t="n">
        <v>0</v>
      </c>
      <c r="L576" t="n">
        <v>0</v>
      </c>
      <c r="M576" t="n">
        <v>0</v>
      </c>
      <c r="N576" t="n">
        <v>0</v>
      </c>
      <c r="O576" t="n">
        <v>0</v>
      </c>
      <c r="P576" t="n">
        <v>0</v>
      </c>
      <c r="Q576" t="n">
        <v>0</v>
      </c>
      <c r="R576" s="2" t="inlineStr"/>
    </row>
    <row r="577" ht="15" customHeight="1">
      <c r="A577" t="inlineStr">
        <is>
          <t>A 27486-2025</t>
        </is>
      </c>
      <c r="B577" s="1" t="n">
        <v>45813.38521990741</v>
      </c>
      <c r="C577" s="1" t="n">
        <v>45888</v>
      </c>
      <c r="D577" t="inlineStr">
        <is>
          <t>UPPSALA LÄN</t>
        </is>
      </c>
      <c r="E577" t="inlineStr">
        <is>
          <t>ÖSTHAMMAR</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54368-2023</t>
        </is>
      </c>
      <c r="B578" s="1" t="n">
        <v>45233.33221064815</v>
      </c>
      <c r="C578" s="1" t="n">
        <v>45888</v>
      </c>
      <c r="D578" t="inlineStr">
        <is>
          <t>UPPSALA LÄN</t>
        </is>
      </c>
      <c r="E578" t="inlineStr">
        <is>
          <t>ÖSTHAMMAR</t>
        </is>
      </c>
      <c r="F578" t="inlineStr">
        <is>
          <t>Bergvik skog öst AB</t>
        </is>
      </c>
      <c r="G578" t="n">
        <v>3</v>
      </c>
      <c r="H578" t="n">
        <v>0</v>
      </c>
      <c r="I578" t="n">
        <v>0</v>
      </c>
      <c r="J578" t="n">
        <v>0</v>
      </c>
      <c r="K578" t="n">
        <v>0</v>
      </c>
      <c r="L578" t="n">
        <v>0</v>
      </c>
      <c r="M578" t="n">
        <v>0</v>
      </c>
      <c r="N578" t="n">
        <v>0</v>
      </c>
      <c r="O578" t="n">
        <v>0</v>
      </c>
      <c r="P578" t="n">
        <v>0</v>
      </c>
      <c r="Q578" t="n">
        <v>0</v>
      </c>
      <c r="R578" s="2" t="inlineStr"/>
    </row>
    <row r="579" ht="15" customHeight="1">
      <c r="A579" t="inlineStr">
        <is>
          <t>A 32815-2024</t>
        </is>
      </c>
      <c r="B579" s="1" t="n">
        <v>45516.57682870371</v>
      </c>
      <c r="C579" s="1" t="n">
        <v>45888</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36092-2025</t>
        </is>
      </c>
      <c r="B580" s="1" t="n">
        <v>45866.48244212963</v>
      </c>
      <c r="C580" s="1" t="n">
        <v>45888</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18091-2023</t>
        </is>
      </c>
      <c r="B581" s="1" t="n">
        <v>45040</v>
      </c>
      <c r="C581" s="1" t="n">
        <v>45888</v>
      </c>
      <c r="D581" t="inlineStr">
        <is>
          <t>UPPSALA LÄN</t>
        </is>
      </c>
      <c r="E581" t="inlineStr">
        <is>
          <t>ÖSTHAMMAR</t>
        </is>
      </c>
      <c r="G581" t="n">
        <v>2.4</v>
      </c>
      <c r="H581" t="n">
        <v>0</v>
      </c>
      <c r="I581" t="n">
        <v>0</v>
      </c>
      <c r="J581" t="n">
        <v>0</v>
      </c>
      <c r="K581" t="n">
        <v>0</v>
      </c>
      <c r="L581" t="n">
        <v>0</v>
      </c>
      <c r="M581" t="n">
        <v>0</v>
      </c>
      <c r="N581" t="n">
        <v>0</v>
      </c>
      <c r="O581" t="n">
        <v>0</v>
      </c>
      <c r="P581" t="n">
        <v>0</v>
      </c>
      <c r="Q581" t="n">
        <v>0</v>
      </c>
      <c r="R581" s="2" t="inlineStr"/>
    </row>
    <row r="582" ht="15" customHeight="1">
      <c r="A582" t="inlineStr">
        <is>
          <t>A 30244-2025</t>
        </is>
      </c>
      <c r="B582" s="1" t="n">
        <v>45827.40902777778</v>
      </c>
      <c r="C582" s="1" t="n">
        <v>45888</v>
      </c>
      <c r="D582" t="inlineStr">
        <is>
          <t>UPPSALA LÄN</t>
        </is>
      </c>
      <c r="E582" t="inlineStr">
        <is>
          <t>ÖSTHAMMAR</t>
        </is>
      </c>
      <c r="G582" t="n">
        <v>1.4</v>
      </c>
      <c r="H582" t="n">
        <v>0</v>
      </c>
      <c r="I582" t="n">
        <v>0</v>
      </c>
      <c r="J582" t="n">
        <v>0</v>
      </c>
      <c r="K582" t="n">
        <v>0</v>
      </c>
      <c r="L582" t="n">
        <v>0</v>
      </c>
      <c r="M582" t="n">
        <v>0</v>
      </c>
      <c r="N582" t="n">
        <v>0</v>
      </c>
      <c r="O582" t="n">
        <v>0</v>
      </c>
      <c r="P582" t="n">
        <v>0</v>
      </c>
      <c r="Q582" t="n">
        <v>0</v>
      </c>
      <c r="R582" s="2" t="inlineStr"/>
    </row>
    <row r="583" ht="15" customHeight="1">
      <c r="A583" t="inlineStr">
        <is>
          <t>A 47522-2023</t>
        </is>
      </c>
      <c r="B583" s="1" t="n">
        <v>45203</v>
      </c>
      <c r="C583" s="1" t="n">
        <v>45888</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13358-2024</t>
        </is>
      </c>
      <c r="B584" s="1" t="n">
        <v>45387.3503125</v>
      </c>
      <c r="C584" s="1" t="n">
        <v>45888</v>
      </c>
      <c r="D584" t="inlineStr">
        <is>
          <t>UPPSALA LÄN</t>
        </is>
      </c>
      <c r="E584" t="inlineStr">
        <is>
          <t>ÖSTHAMMAR</t>
        </is>
      </c>
      <c r="G584" t="n">
        <v>2.2</v>
      </c>
      <c r="H584" t="n">
        <v>0</v>
      </c>
      <c r="I584" t="n">
        <v>0</v>
      </c>
      <c r="J584" t="n">
        <v>0</v>
      </c>
      <c r="K584" t="n">
        <v>0</v>
      </c>
      <c r="L584" t="n">
        <v>0</v>
      </c>
      <c r="M584" t="n">
        <v>0</v>
      </c>
      <c r="N584" t="n">
        <v>0</v>
      </c>
      <c r="O584" t="n">
        <v>0</v>
      </c>
      <c r="P584" t="n">
        <v>0</v>
      </c>
      <c r="Q584" t="n">
        <v>0</v>
      </c>
      <c r="R584" s="2" t="inlineStr"/>
    </row>
    <row r="585" ht="15" customHeight="1">
      <c r="A585" t="inlineStr">
        <is>
          <t>A 29282-2021</t>
        </is>
      </c>
      <c r="B585" s="1" t="n">
        <v>44361</v>
      </c>
      <c r="C585" s="1" t="n">
        <v>45888</v>
      </c>
      <c r="D585" t="inlineStr">
        <is>
          <t>UPPSALA LÄN</t>
        </is>
      </c>
      <c r="E585" t="inlineStr">
        <is>
          <t>ÖSTHAMMAR</t>
        </is>
      </c>
      <c r="G585" t="n">
        <v>2.4</v>
      </c>
      <c r="H585" t="n">
        <v>0</v>
      </c>
      <c r="I585" t="n">
        <v>0</v>
      </c>
      <c r="J585" t="n">
        <v>0</v>
      </c>
      <c r="K585" t="n">
        <v>0</v>
      </c>
      <c r="L585" t="n">
        <v>0</v>
      </c>
      <c r="M585" t="n">
        <v>0</v>
      </c>
      <c r="N585" t="n">
        <v>0</v>
      </c>
      <c r="O585" t="n">
        <v>0</v>
      </c>
      <c r="P585" t="n">
        <v>0</v>
      </c>
      <c r="Q585" t="n">
        <v>0</v>
      </c>
      <c r="R585" s="2" t="inlineStr"/>
    </row>
    <row r="586" ht="15" customHeight="1">
      <c r="A586" t="inlineStr">
        <is>
          <t>A 54366-2023</t>
        </is>
      </c>
      <c r="B586" s="1" t="n">
        <v>45233</v>
      </c>
      <c r="C586" s="1" t="n">
        <v>45888</v>
      </c>
      <c r="D586" t="inlineStr">
        <is>
          <t>UPPSALA LÄN</t>
        </is>
      </c>
      <c r="E586" t="inlineStr">
        <is>
          <t>ÖSTHAMMAR</t>
        </is>
      </c>
      <c r="F586" t="inlineStr">
        <is>
          <t>Bergvik skog öst AB</t>
        </is>
      </c>
      <c r="G586" t="n">
        <v>2.9</v>
      </c>
      <c r="H586" t="n">
        <v>0</v>
      </c>
      <c r="I586" t="n">
        <v>0</v>
      </c>
      <c r="J586" t="n">
        <v>0</v>
      </c>
      <c r="K586" t="n">
        <v>0</v>
      </c>
      <c r="L586" t="n">
        <v>0</v>
      </c>
      <c r="M586" t="n">
        <v>0</v>
      </c>
      <c r="N586" t="n">
        <v>0</v>
      </c>
      <c r="O586" t="n">
        <v>0</v>
      </c>
      <c r="P586" t="n">
        <v>0</v>
      </c>
      <c r="Q586" t="n">
        <v>0</v>
      </c>
      <c r="R586" s="2" t="inlineStr"/>
    </row>
    <row r="587" ht="15" customHeight="1">
      <c r="A587" t="inlineStr">
        <is>
          <t>A 36451-2025</t>
        </is>
      </c>
      <c r="B587" s="1" t="n">
        <v>45869.4290625</v>
      </c>
      <c r="C587" s="1" t="n">
        <v>45888</v>
      </c>
      <c r="D587" t="inlineStr">
        <is>
          <t>UPPSALA LÄN</t>
        </is>
      </c>
      <c r="E587" t="inlineStr">
        <is>
          <t>ÖSTHAMMAR</t>
        </is>
      </c>
      <c r="G587" t="n">
        <v>0.8</v>
      </c>
      <c r="H587" t="n">
        <v>0</v>
      </c>
      <c r="I587" t="n">
        <v>0</v>
      </c>
      <c r="J587" t="n">
        <v>0</v>
      </c>
      <c r="K587" t="n">
        <v>0</v>
      </c>
      <c r="L587" t="n">
        <v>0</v>
      </c>
      <c r="M587" t="n">
        <v>0</v>
      </c>
      <c r="N587" t="n">
        <v>0</v>
      </c>
      <c r="O587" t="n">
        <v>0</v>
      </c>
      <c r="P587" t="n">
        <v>0</v>
      </c>
      <c r="Q587" t="n">
        <v>0</v>
      </c>
      <c r="R587" s="2" t="inlineStr"/>
    </row>
    <row r="588" ht="15" customHeight="1">
      <c r="A588" t="inlineStr">
        <is>
          <t>A 5429-2023</t>
        </is>
      </c>
      <c r="B588" s="1" t="n">
        <v>44959.83037037037</v>
      </c>
      <c r="C588" s="1" t="n">
        <v>45888</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11008-2023</t>
        </is>
      </c>
      <c r="B589" s="1" t="n">
        <v>44991</v>
      </c>
      <c r="C589" s="1" t="n">
        <v>45888</v>
      </c>
      <c r="D589" t="inlineStr">
        <is>
          <t>UPPSALA LÄN</t>
        </is>
      </c>
      <c r="E589" t="inlineStr">
        <is>
          <t>ÖSTHAMMAR</t>
        </is>
      </c>
      <c r="F589" t="inlineStr">
        <is>
          <t>Bergvik skog öst AB</t>
        </is>
      </c>
      <c r="G589" t="n">
        <v>0.6</v>
      </c>
      <c r="H589" t="n">
        <v>0</v>
      </c>
      <c r="I589" t="n">
        <v>0</v>
      </c>
      <c r="J589" t="n">
        <v>0</v>
      </c>
      <c r="K589" t="n">
        <v>0</v>
      </c>
      <c r="L589" t="n">
        <v>0</v>
      </c>
      <c r="M589" t="n">
        <v>0</v>
      </c>
      <c r="N589" t="n">
        <v>0</v>
      </c>
      <c r="O589" t="n">
        <v>0</v>
      </c>
      <c r="P589" t="n">
        <v>0</v>
      </c>
      <c r="Q589" t="n">
        <v>0</v>
      </c>
      <c r="R589" s="2" t="inlineStr"/>
    </row>
    <row r="590" ht="15" customHeight="1">
      <c r="A590" t="inlineStr">
        <is>
          <t>A 60047-2021</t>
        </is>
      </c>
      <c r="B590" s="1" t="n">
        <v>44495</v>
      </c>
      <c r="C590" s="1" t="n">
        <v>45888</v>
      </c>
      <c r="D590" t="inlineStr">
        <is>
          <t>UPPSALA LÄN</t>
        </is>
      </c>
      <c r="E590" t="inlineStr">
        <is>
          <t>ÖSTHAMMAR</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52694-2023</t>
        </is>
      </c>
      <c r="B591" s="1" t="n">
        <v>45225.76836805556</v>
      </c>
      <c r="C591" s="1" t="n">
        <v>45888</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23120-2021</t>
        </is>
      </c>
      <c r="B592" s="1" t="n">
        <v>44330</v>
      </c>
      <c r="C592" s="1" t="n">
        <v>45888</v>
      </c>
      <c r="D592" t="inlineStr">
        <is>
          <t>UPPSALA LÄN</t>
        </is>
      </c>
      <c r="E592" t="inlineStr">
        <is>
          <t>ÖSTHAMMAR</t>
        </is>
      </c>
      <c r="G592" t="n">
        <v>0.5</v>
      </c>
      <c r="H592" t="n">
        <v>0</v>
      </c>
      <c r="I592" t="n">
        <v>0</v>
      </c>
      <c r="J592" t="n">
        <v>0</v>
      </c>
      <c r="K592" t="n">
        <v>0</v>
      </c>
      <c r="L592" t="n">
        <v>0</v>
      </c>
      <c r="M592" t="n">
        <v>0</v>
      </c>
      <c r="N592" t="n">
        <v>0</v>
      </c>
      <c r="O592" t="n">
        <v>0</v>
      </c>
      <c r="P592" t="n">
        <v>0</v>
      </c>
      <c r="Q592" t="n">
        <v>0</v>
      </c>
      <c r="R592" s="2" t="inlineStr"/>
    </row>
    <row r="593" ht="15" customHeight="1">
      <c r="A593" t="inlineStr">
        <is>
          <t>A 8623-2025</t>
        </is>
      </c>
      <c r="B593" s="1" t="n">
        <v>45711.51902777778</v>
      </c>
      <c r="C593" s="1" t="n">
        <v>45888</v>
      </c>
      <c r="D593" t="inlineStr">
        <is>
          <t>UPPSALA LÄN</t>
        </is>
      </c>
      <c r="E593" t="inlineStr">
        <is>
          <t>ÖSTHAMMAR</t>
        </is>
      </c>
      <c r="F593" t="inlineStr">
        <is>
          <t>Bergvik skog väst AB</t>
        </is>
      </c>
      <c r="G593" t="n">
        <v>3.5</v>
      </c>
      <c r="H593" t="n">
        <v>0</v>
      </c>
      <c r="I593" t="n">
        <v>0</v>
      </c>
      <c r="J593" t="n">
        <v>0</v>
      </c>
      <c r="K593" t="n">
        <v>0</v>
      </c>
      <c r="L593" t="n">
        <v>0</v>
      </c>
      <c r="M593" t="n">
        <v>0</v>
      </c>
      <c r="N593" t="n">
        <v>0</v>
      </c>
      <c r="O593" t="n">
        <v>0</v>
      </c>
      <c r="P593" t="n">
        <v>0</v>
      </c>
      <c r="Q593" t="n">
        <v>0</v>
      </c>
      <c r="R593" s="2" t="inlineStr"/>
    </row>
    <row r="594" ht="15" customHeight="1">
      <c r="A594" t="inlineStr">
        <is>
          <t>A 8626-2025</t>
        </is>
      </c>
      <c r="B594" s="1" t="n">
        <v>45711.53565972222</v>
      </c>
      <c r="C594" s="1" t="n">
        <v>45888</v>
      </c>
      <c r="D594" t="inlineStr">
        <is>
          <t>UPPSALA LÄN</t>
        </is>
      </c>
      <c r="E594" t="inlineStr">
        <is>
          <t>ÖSTHAMMAR</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36645-2025</t>
        </is>
      </c>
      <c r="B595" s="1" t="n">
        <v>45872.50078703704</v>
      </c>
      <c r="C595" s="1" t="n">
        <v>45888</v>
      </c>
      <c r="D595" t="inlineStr">
        <is>
          <t>UPPSALA LÄN</t>
        </is>
      </c>
      <c r="E595" t="inlineStr">
        <is>
          <t>ÖSTHAMMAR</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30610-2025</t>
        </is>
      </c>
      <c r="B596" s="1" t="n">
        <v>45831.45965277778</v>
      </c>
      <c r="C596" s="1" t="n">
        <v>45888</v>
      </c>
      <c r="D596" t="inlineStr">
        <is>
          <t>UPPSALA LÄN</t>
        </is>
      </c>
      <c r="E596" t="inlineStr">
        <is>
          <t>ÖSTHAMMAR</t>
        </is>
      </c>
      <c r="G596" t="n">
        <v>0.2</v>
      </c>
      <c r="H596" t="n">
        <v>0</v>
      </c>
      <c r="I596" t="n">
        <v>0</v>
      </c>
      <c r="J596" t="n">
        <v>0</v>
      </c>
      <c r="K596" t="n">
        <v>0</v>
      </c>
      <c r="L596" t="n">
        <v>0</v>
      </c>
      <c r="M596" t="n">
        <v>0</v>
      </c>
      <c r="N596" t="n">
        <v>0</v>
      </c>
      <c r="O596" t="n">
        <v>0</v>
      </c>
      <c r="P596" t="n">
        <v>0</v>
      </c>
      <c r="Q596" t="n">
        <v>0</v>
      </c>
      <c r="R596" s="2" t="inlineStr"/>
    </row>
    <row r="597" ht="15" customHeight="1">
      <c r="A597" t="inlineStr">
        <is>
          <t>A 3514-2023</t>
        </is>
      </c>
      <c r="B597" s="1" t="n">
        <v>44950</v>
      </c>
      <c r="C597" s="1" t="n">
        <v>45888</v>
      </c>
      <c r="D597" t="inlineStr">
        <is>
          <t>UPPSALA LÄN</t>
        </is>
      </c>
      <c r="E597" t="inlineStr">
        <is>
          <t>ÖSTHAMMAR</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36643-2025</t>
        </is>
      </c>
      <c r="B598" s="1" t="n">
        <v>45872.47782407407</v>
      </c>
      <c r="C598" s="1" t="n">
        <v>45888</v>
      </c>
      <c r="D598" t="inlineStr">
        <is>
          <t>UPPSALA LÄN</t>
        </is>
      </c>
      <c r="E598" t="inlineStr">
        <is>
          <t>ÖSTHAMMAR</t>
        </is>
      </c>
      <c r="F598" t="inlineStr">
        <is>
          <t>Bergvik skog öst AB</t>
        </is>
      </c>
      <c r="G598" t="n">
        <v>15.1</v>
      </c>
      <c r="H598" t="n">
        <v>0</v>
      </c>
      <c r="I598" t="n">
        <v>0</v>
      </c>
      <c r="J598" t="n">
        <v>0</v>
      </c>
      <c r="K598" t="n">
        <v>0</v>
      </c>
      <c r="L598" t="n">
        <v>0</v>
      </c>
      <c r="M598" t="n">
        <v>0</v>
      </c>
      <c r="N598" t="n">
        <v>0</v>
      </c>
      <c r="O598" t="n">
        <v>0</v>
      </c>
      <c r="P598" t="n">
        <v>0</v>
      </c>
      <c r="Q598" t="n">
        <v>0</v>
      </c>
      <c r="R598" s="2" t="inlineStr"/>
    </row>
    <row r="599" ht="15" customHeight="1">
      <c r="A599" t="inlineStr">
        <is>
          <t>A 36644-2025</t>
        </is>
      </c>
      <c r="B599" s="1" t="n">
        <v>45872.48738425926</v>
      </c>
      <c r="C599" s="1" t="n">
        <v>45888</v>
      </c>
      <c r="D599" t="inlineStr">
        <is>
          <t>UPPSALA LÄN</t>
        </is>
      </c>
      <c r="E599" t="inlineStr">
        <is>
          <t>ÖSTHAMMAR</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30504-2025</t>
        </is>
      </c>
      <c r="B600" s="1" t="n">
        <v>45830.8558912037</v>
      </c>
      <c r="C600" s="1" t="n">
        <v>45888</v>
      </c>
      <c r="D600" t="inlineStr">
        <is>
          <t>UPPSALA LÄN</t>
        </is>
      </c>
      <c r="E600" t="inlineStr">
        <is>
          <t>ÖSTHAMMAR</t>
        </is>
      </c>
      <c r="G600" t="n">
        <v>0.6</v>
      </c>
      <c r="H600" t="n">
        <v>0</v>
      </c>
      <c r="I600" t="n">
        <v>0</v>
      </c>
      <c r="J600" t="n">
        <v>0</v>
      </c>
      <c r="K600" t="n">
        <v>0</v>
      </c>
      <c r="L600" t="n">
        <v>0</v>
      </c>
      <c r="M600" t="n">
        <v>0</v>
      </c>
      <c r="N600" t="n">
        <v>0</v>
      </c>
      <c r="O600" t="n">
        <v>0</v>
      </c>
      <c r="P600" t="n">
        <v>0</v>
      </c>
      <c r="Q600" t="n">
        <v>0</v>
      </c>
      <c r="R600" s="2" t="inlineStr"/>
    </row>
    <row r="601" ht="15" customHeight="1">
      <c r="A601" t="inlineStr">
        <is>
          <t>A 30503-2025</t>
        </is>
      </c>
      <c r="B601" s="1" t="n">
        <v>45830.8500462963</v>
      </c>
      <c r="C601" s="1" t="n">
        <v>45888</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36646-2025</t>
        </is>
      </c>
      <c r="B602" s="1" t="n">
        <v>45872.5096412037</v>
      </c>
      <c r="C602" s="1" t="n">
        <v>45888</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36873-2022</t>
        </is>
      </c>
      <c r="B603" s="1" t="n">
        <v>44805.63708333333</v>
      </c>
      <c r="C603" s="1" t="n">
        <v>45888</v>
      </c>
      <c r="D603" t="inlineStr">
        <is>
          <t>UPPSALA LÄN</t>
        </is>
      </c>
      <c r="E603" t="inlineStr">
        <is>
          <t>ÖSTHAMMAR</t>
        </is>
      </c>
      <c r="G603" t="n">
        <v>2.5</v>
      </c>
      <c r="H603" t="n">
        <v>0</v>
      </c>
      <c r="I603" t="n">
        <v>0</v>
      </c>
      <c r="J603" t="n">
        <v>0</v>
      </c>
      <c r="K603" t="n">
        <v>0</v>
      </c>
      <c r="L603" t="n">
        <v>0</v>
      </c>
      <c r="M603" t="n">
        <v>0</v>
      </c>
      <c r="N603" t="n">
        <v>0</v>
      </c>
      <c r="O603" t="n">
        <v>0</v>
      </c>
      <c r="P603" t="n">
        <v>0</v>
      </c>
      <c r="Q603" t="n">
        <v>0</v>
      </c>
      <c r="R603" s="2" t="inlineStr"/>
    </row>
    <row r="604" ht="15" customHeight="1">
      <c r="A604" t="inlineStr">
        <is>
          <t>A 24128-2023</t>
        </is>
      </c>
      <c r="B604" s="1" t="n">
        <v>45079.50289351852</v>
      </c>
      <c r="C604" s="1" t="n">
        <v>45888</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6764-2025</t>
        </is>
      </c>
      <c r="B605" s="1" t="n">
        <v>45700.63226851852</v>
      </c>
      <c r="C605" s="1" t="n">
        <v>45888</v>
      </c>
      <c r="D605" t="inlineStr">
        <is>
          <t>UPPSALA LÄN</t>
        </is>
      </c>
      <c r="E605" t="inlineStr">
        <is>
          <t>ÖSTHAMMAR</t>
        </is>
      </c>
      <c r="F605" t="inlineStr">
        <is>
          <t>Bergvik skog öst AB</t>
        </is>
      </c>
      <c r="G605" t="n">
        <v>5.3</v>
      </c>
      <c r="H605" t="n">
        <v>0</v>
      </c>
      <c r="I605" t="n">
        <v>0</v>
      </c>
      <c r="J605" t="n">
        <v>0</v>
      </c>
      <c r="K605" t="n">
        <v>0</v>
      </c>
      <c r="L605" t="n">
        <v>0</v>
      </c>
      <c r="M605" t="n">
        <v>0</v>
      </c>
      <c r="N605" t="n">
        <v>0</v>
      </c>
      <c r="O605" t="n">
        <v>0</v>
      </c>
      <c r="P605" t="n">
        <v>0</v>
      </c>
      <c r="Q605" t="n">
        <v>0</v>
      </c>
      <c r="R605" s="2" t="inlineStr"/>
    </row>
    <row r="606" ht="15" customHeight="1">
      <c r="A606" t="inlineStr">
        <is>
          <t>A 54666-2022</t>
        </is>
      </c>
      <c r="B606" s="1" t="n">
        <v>44883</v>
      </c>
      <c r="C606" s="1" t="n">
        <v>45888</v>
      </c>
      <c r="D606" t="inlineStr">
        <is>
          <t>UPPSALA LÄN</t>
        </is>
      </c>
      <c r="E606" t="inlineStr">
        <is>
          <t>ÖSTHAMMAR</t>
        </is>
      </c>
      <c r="G606" t="n">
        <v>14.3</v>
      </c>
      <c r="H606" t="n">
        <v>0</v>
      </c>
      <c r="I606" t="n">
        <v>0</v>
      </c>
      <c r="J606" t="n">
        <v>0</v>
      </c>
      <c r="K606" t="n">
        <v>0</v>
      </c>
      <c r="L606" t="n">
        <v>0</v>
      </c>
      <c r="M606" t="n">
        <v>0</v>
      </c>
      <c r="N606" t="n">
        <v>0</v>
      </c>
      <c r="O606" t="n">
        <v>0</v>
      </c>
      <c r="P606" t="n">
        <v>0</v>
      </c>
      <c r="Q606" t="n">
        <v>0</v>
      </c>
      <c r="R606" s="2" t="inlineStr"/>
    </row>
    <row r="607" ht="15" customHeight="1">
      <c r="A607" t="inlineStr">
        <is>
          <t>A 33552-2024</t>
        </is>
      </c>
      <c r="B607" s="1" t="n">
        <v>45519</v>
      </c>
      <c r="C607" s="1" t="n">
        <v>45888</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33553-2024</t>
        </is>
      </c>
      <c r="B608" s="1" t="n">
        <v>45519</v>
      </c>
      <c r="C608" s="1" t="n">
        <v>45888</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31249-2025</t>
        </is>
      </c>
      <c r="B609" s="1" t="n">
        <v>45832.89476851852</v>
      </c>
      <c r="C609" s="1" t="n">
        <v>45888</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31579-2025</t>
        </is>
      </c>
      <c r="B610" s="1" t="n">
        <v>45833.68211805556</v>
      </c>
      <c r="C610" s="1" t="n">
        <v>45888</v>
      </c>
      <c r="D610" t="inlineStr">
        <is>
          <t>UPPSALA LÄN</t>
        </is>
      </c>
      <c r="E610" t="inlineStr">
        <is>
          <t>ÖSTHAMMAR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31360-2025</t>
        </is>
      </c>
      <c r="B611" s="1" t="n">
        <v>45833.43527777777</v>
      </c>
      <c r="C611" s="1" t="n">
        <v>45888</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61817-2021</t>
        </is>
      </c>
      <c r="B612" s="1" t="n">
        <v>44501.76855324074</v>
      </c>
      <c r="C612" s="1" t="n">
        <v>45888</v>
      </c>
      <c r="D612" t="inlineStr">
        <is>
          <t>UPPSALA LÄN</t>
        </is>
      </c>
      <c r="E612" t="inlineStr">
        <is>
          <t>ÖSTHAMMAR</t>
        </is>
      </c>
      <c r="F612" t="inlineStr">
        <is>
          <t>Bergvik skog öst AB</t>
        </is>
      </c>
      <c r="G612" t="n">
        <v>2.3</v>
      </c>
      <c r="H612" t="n">
        <v>0</v>
      </c>
      <c r="I612" t="n">
        <v>0</v>
      </c>
      <c r="J612" t="n">
        <v>0</v>
      </c>
      <c r="K612" t="n">
        <v>0</v>
      </c>
      <c r="L612" t="n">
        <v>0</v>
      </c>
      <c r="M612" t="n">
        <v>0</v>
      </c>
      <c r="N612" t="n">
        <v>0</v>
      </c>
      <c r="O612" t="n">
        <v>0</v>
      </c>
      <c r="P612" t="n">
        <v>0</v>
      </c>
      <c r="Q612" t="n">
        <v>0</v>
      </c>
      <c r="R612" s="2" t="inlineStr"/>
    </row>
    <row r="613" ht="15" customHeight="1">
      <c r="A613" t="inlineStr">
        <is>
          <t>A 24181-2022</t>
        </is>
      </c>
      <c r="B613" s="1" t="n">
        <v>44725</v>
      </c>
      <c r="C613" s="1" t="n">
        <v>45888</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19947-2024</t>
        </is>
      </c>
      <c r="B614" s="1" t="n">
        <v>45433</v>
      </c>
      <c r="C614" s="1" t="n">
        <v>45888</v>
      </c>
      <c r="D614" t="inlineStr">
        <is>
          <t>UPPSALA LÄN</t>
        </is>
      </c>
      <c r="E614" t="inlineStr">
        <is>
          <t>ÖSTHAMMAR</t>
        </is>
      </c>
      <c r="G614" t="n">
        <v>0.3</v>
      </c>
      <c r="H614" t="n">
        <v>0</v>
      </c>
      <c r="I614" t="n">
        <v>0</v>
      </c>
      <c r="J614" t="n">
        <v>0</v>
      </c>
      <c r="K614" t="n">
        <v>0</v>
      </c>
      <c r="L614" t="n">
        <v>0</v>
      </c>
      <c r="M614" t="n">
        <v>0</v>
      </c>
      <c r="N614" t="n">
        <v>0</v>
      </c>
      <c r="O614" t="n">
        <v>0</v>
      </c>
      <c r="P614" t="n">
        <v>0</v>
      </c>
      <c r="Q614" t="n">
        <v>0</v>
      </c>
      <c r="R614" s="2" t="inlineStr"/>
    </row>
    <row r="615" ht="15" customHeight="1">
      <c r="A615" t="inlineStr">
        <is>
          <t>A 54437-2024</t>
        </is>
      </c>
      <c r="B615" s="1" t="n">
        <v>45617</v>
      </c>
      <c r="C615" s="1" t="n">
        <v>45888</v>
      </c>
      <c r="D615" t="inlineStr">
        <is>
          <t>UPPSALA LÄN</t>
        </is>
      </c>
      <c r="E615" t="inlineStr">
        <is>
          <t>ÖSTHAMMAR</t>
        </is>
      </c>
      <c r="G615" t="n">
        <v>2.1</v>
      </c>
      <c r="H615" t="n">
        <v>0</v>
      </c>
      <c r="I615" t="n">
        <v>0</v>
      </c>
      <c r="J615" t="n">
        <v>0</v>
      </c>
      <c r="K615" t="n">
        <v>0</v>
      </c>
      <c r="L615" t="n">
        <v>0</v>
      </c>
      <c r="M615" t="n">
        <v>0</v>
      </c>
      <c r="N615" t="n">
        <v>0</v>
      </c>
      <c r="O615" t="n">
        <v>0</v>
      </c>
      <c r="P615" t="n">
        <v>0</v>
      </c>
      <c r="Q615" t="n">
        <v>0</v>
      </c>
      <c r="R615" s="2" t="inlineStr"/>
    </row>
    <row r="616" ht="15" customHeight="1">
      <c r="A616" t="inlineStr">
        <is>
          <t>A 9052-2023</t>
        </is>
      </c>
      <c r="B616" s="1" t="n">
        <v>44979</v>
      </c>
      <c r="C616" s="1" t="n">
        <v>45888</v>
      </c>
      <c r="D616" t="inlineStr">
        <is>
          <t>UPPSALA LÄN</t>
        </is>
      </c>
      <c r="E616" t="inlineStr">
        <is>
          <t>ÖSTHAMMAR</t>
        </is>
      </c>
      <c r="F616" t="inlineStr">
        <is>
          <t>Kyrkan</t>
        </is>
      </c>
      <c r="G616" t="n">
        <v>0.2</v>
      </c>
      <c r="H616" t="n">
        <v>0</v>
      </c>
      <c r="I616" t="n">
        <v>0</v>
      </c>
      <c r="J616" t="n">
        <v>0</v>
      </c>
      <c r="K616" t="n">
        <v>0</v>
      </c>
      <c r="L616" t="n">
        <v>0</v>
      </c>
      <c r="M616" t="n">
        <v>0</v>
      </c>
      <c r="N616" t="n">
        <v>0</v>
      </c>
      <c r="O616" t="n">
        <v>0</v>
      </c>
      <c r="P616" t="n">
        <v>0</v>
      </c>
      <c r="Q616" t="n">
        <v>0</v>
      </c>
      <c r="R616" s="2" t="inlineStr"/>
    </row>
    <row r="617" ht="15" customHeight="1">
      <c r="A617" t="inlineStr">
        <is>
          <t>A 16240-2025</t>
        </is>
      </c>
      <c r="B617" s="1" t="n">
        <v>45746</v>
      </c>
      <c r="C617" s="1" t="n">
        <v>45888</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28152-2024</t>
        </is>
      </c>
      <c r="B618" s="1" t="n">
        <v>45476.77056712963</v>
      </c>
      <c r="C618" s="1" t="n">
        <v>45888</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20326-2021</t>
        </is>
      </c>
      <c r="B619" s="1" t="n">
        <v>44308</v>
      </c>
      <c r="C619" s="1" t="n">
        <v>45888</v>
      </c>
      <c r="D619" t="inlineStr">
        <is>
          <t>UPPSALA LÄN</t>
        </is>
      </c>
      <c r="E619" t="inlineStr">
        <is>
          <t>ÖSTHAMMAR</t>
        </is>
      </c>
      <c r="G619" t="n">
        <v>0.7</v>
      </c>
      <c r="H619" t="n">
        <v>0</v>
      </c>
      <c r="I619" t="n">
        <v>0</v>
      </c>
      <c r="J619" t="n">
        <v>0</v>
      </c>
      <c r="K619" t="n">
        <v>0</v>
      </c>
      <c r="L619" t="n">
        <v>0</v>
      </c>
      <c r="M619" t="n">
        <v>0</v>
      </c>
      <c r="N619" t="n">
        <v>0</v>
      </c>
      <c r="O619" t="n">
        <v>0</v>
      </c>
      <c r="P619" t="n">
        <v>0</v>
      </c>
      <c r="Q619" t="n">
        <v>0</v>
      </c>
      <c r="R619" s="2" t="inlineStr"/>
    </row>
    <row r="620" ht="15" customHeight="1">
      <c r="A620" t="inlineStr">
        <is>
          <t>A 57-2023</t>
        </is>
      </c>
      <c r="B620" s="1" t="n">
        <v>44928.40917824074</v>
      </c>
      <c r="C620" s="1" t="n">
        <v>45888</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59-2023</t>
        </is>
      </c>
      <c r="B621" s="1" t="n">
        <v>44928.41822916667</v>
      </c>
      <c r="C621" s="1" t="n">
        <v>45888</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55079-2024</t>
        </is>
      </c>
      <c r="B622" s="1" t="n">
        <v>45621.42747685185</v>
      </c>
      <c r="C622" s="1" t="n">
        <v>45888</v>
      </c>
      <c r="D622" t="inlineStr">
        <is>
          <t>UPPSALA LÄN</t>
        </is>
      </c>
      <c r="E622" t="inlineStr">
        <is>
          <t>ÖSTHAMMAR</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31896-2025</t>
        </is>
      </c>
      <c r="B623" s="1" t="n">
        <v>45834.67556712963</v>
      </c>
      <c r="C623" s="1" t="n">
        <v>45888</v>
      </c>
      <c r="D623" t="inlineStr">
        <is>
          <t>UPPSALA LÄN</t>
        </is>
      </c>
      <c r="E623" t="inlineStr">
        <is>
          <t>ÖSTHAMMAR</t>
        </is>
      </c>
      <c r="G623" t="n">
        <v>4.1</v>
      </c>
      <c r="H623" t="n">
        <v>0</v>
      </c>
      <c r="I623" t="n">
        <v>0</v>
      </c>
      <c r="J623" t="n">
        <v>0</v>
      </c>
      <c r="K623" t="n">
        <v>0</v>
      </c>
      <c r="L623" t="n">
        <v>0</v>
      </c>
      <c r="M623" t="n">
        <v>0</v>
      </c>
      <c r="N623" t="n">
        <v>0</v>
      </c>
      <c r="O623" t="n">
        <v>0</v>
      </c>
      <c r="P623" t="n">
        <v>0</v>
      </c>
      <c r="Q623" t="n">
        <v>0</v>
      </c>
      <c r="R623" s="2" t="inlineStr"/>
    </row>
    <row r="624" ht="15" customHeight="1">
      <c r="A624" t="inlineStr">
        <is>
          <t>A 33680-2024</t>
        </is>
      </c>
      <c r="B624" s="1" t="n">
        <v>45520.50712962963</v>
      </c>
      <c r="C624" s="1" t="n">
        <v>45888</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33550-2024</t>
        </is>
      </c>
      <c r="B625" s="1" t="n">
        <v>45519.81043981481</v>
      </c>
      <c r="C625" s="1" t="n">
        <v>45888</v>
      </c>
      <c r="D625" t="inlineStr">
        <is>
          <t>UPPSALA LÄN</t>
        </is>
      </c>
      <c r="E625" t="inlineStr">
        <is>
          <t>ÖSTHAMMAR</t>
        </is>
      </c>
      <c r="F625" t="inlineStr">
        <is>
          <t>Bergvik skog öst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30811-2023</t>
        </is>
      </c>
      <c r="B626" s="1" t="n">
        <v>45112.86422453704</v>
      </c>
      <c r="C626" s="1" t="n">
        <v>45888</v>
      </c>
      <c r="D626" t="inlineStr">
        <is>
          <t>UPPSALA LÄN</t>
        </is>
      </c>
      <c r="E626" t="inlineStr">
        <is>
          <t>ÖSTHAMMAR</t>
        </is>
      </c>
      <c r="F626" t="inlineStr">
        <is>
          <t>Bergvik skog öst AB</t>
        </is>
      </c>
      <c r="G626" t="n">
        <v>0.7</v>
      </c>
      <c r="H626" t="n">
        <v>0</v>
      </c>
      <c r="I626" t="n">
        <v>0</v>
      </c>
      <c r="J626" t="n">
        <v>0</v>
      </c>
      <c r="K626" t="n">
        <v>0</v>
      </c>
      <c r="L626" t="n">
        <v>0</v>
      </c>
      <c r="M626" t="n">
        <v>0</v>
      </c>
      <c r="N626" t="n">
        <v>0</v>
      </c>
      <c r="O626" t="n">
        <v>0</v>
      </c>
      <c r="P626" t="n">
        <v>0</v>
      </c>
      <c r="Q626" t="n">
        <v>0</v>
      </c>
      <c r="R626" s="2" t="inlineStr"/>
    </row>
    <row r="627" ht="15" customHeight="1">
      <c r="A627" t="inlineStr">
        <is>
          <t>A 55646-2021</t>
        </is>
      </c>
      <c r="B627" s="1" t="n">
        <v>44476.3632175926</v>
      </c>
      <c r="C627" s="1" t="n">
        <v>45888</v>
      </c>
      <c r="D627" t="inlineStr">
        <is>
          <t>UPPSALA LÄN</t>
        </is>
      </c>
      <c r="E627" t="inlineStr">
        <is>
          <t>ÖSTHAMMAR</t>
        </is>
      </c>
      <c r="F627" t="inlineStr">
        <is>
          <t>Bergvik skog öst AB</t>
        </is>
      </c>
      <c r="G627" t="n">
        <v>0.2</v>
      </c>
      <c r="H627" t="n">
        <v>0</v>
      </c>
      <c r="I627" t="n">
        <v>0</v>
      </c>
      <c r="J627" t="n">
        <v>0</v>
      </c>
      <c r="K627" t="n">
        <v>0</v>
      </c>
      <c r="L627" t="n">
        <v>0</v>
      </c>
      <c r="M627" t="n">
        <v>0</v>
      </c>
      <c r="N627" t="n">
        <v>0</v>
      </c>
      <c r="O627" t="n">
        <v>0</v>
      </c>
      <c r="P627" t="n">
        <v>0</v>
      </c>
      <c r="Q627" t="n">
        <v>0</v>
      </c>
      <c r="R627" s="2" t="inlineStr"/>
    </row>
    <row r="628" ht="15" customHeight="1">
      <c r="A628" t="inlineStr">
        <is>
          <t>A 31956-2025</t>
        </is>
      </c>
      <c r="B628" s="1" t="n">
        <v>45835.34184027778</v>
      </c>
      <c r="C628" s="1" t="n">
        <v>45888</v>
      </c>
      <c r="D628" t="inlineStr">
        <is>
          <t>UPPSALA LÄN</t>
        </is>
      </c>
      <c r="E628" t="inlineStr">
        <is>
          <t>ÖSTHAMMAR</t>
        </is>
      </c>
      <c r="F628" t="inlineStr">
        <is>
          <t>Övriga Aktiebolag</t>
        </is>
      </c>
      <c r="G628" t="n">
        <v>4.2</v>
      </c>
      <c r="H628" t="n">
        <v>0</v>
      </c>
      <c r="I628" t="n">
        <v>0</v>
      </c>
      <c r="J628" t="n">
        <v>0</v>
      </c>
      <c r="K628" t="n">
        <v>0</v>
      </c>
      <c r="L628" t="n">
        <v>0</v>
      </c>
      <c r="M628" t="n">
        <v>0</v>
      </c>
      <c r="N628" t="n">
        <v>0</v>
      </c>
      <c r="O628" t="n">
        <v>0</v>
      </c>
      <c r="P628" t="n">
        <v>0</v>
      </c>
      <c r="Q628" t="n">
        <v>0</v>
      </c>
      <c r="R628" s="2" t="inlineStr"/>
    </row>
    <row r="629" ht="15" customHeight="1">
      <c r="A629" t="inlineStr">
        <is>
          <t>A 31977-2025</t>
        </is>
      </c>
      <c r="B629" s="1" t="n">
        <v>45835.3554050926</v>
      </c>
      <c r="C629" s="1" t="n">
        <v>45888</v>
      </c>
      <c r="D629" t="inlineStr">
        <is>
          <t>UPPSALA LÄN</t>
        </is>
      </c>
      <c r="E629" t="inlineStr">
        <is>
          <t>ÖSTHAMMAR</t>
        </is>
      </c>
      <c r="F629" t="inlineStr">
        <is>
          <t>Övriga Aktiebolag</t>
        </is>
      </c>
      <c r="G629" t="n">
        <v>35.3</v>
      </c>
      <c r="H629" t="n">
        <v>0</v>
      </c>
      <c r="I629" t="n">
        <v>0</v>
      </c>
      <c r="J629" t="n">
        <v>0</v>
      </c>
      <c r="K629" t="n">
        <v>0</v>
      </c>
      <c r="L629" t="n">
        <v>0</v>
      </c>
      <c r="M629" t="n">
        <v>0</v>
      </c>
      <c r="N629" t="n">
        <v>0</v>
      </c>
      <c r="O629" t="n">
        <v>0</v>
      </c>
      <c r="P629" t="n">
        <v>0</v>
      </c>
      <c r="Q629" t="n">
        <v>0</v>
      </c>
      <c r="R629" s="2" t="inlineStr"/>
    </row>
    <row r="630" ht="15" customHeight="1">
      <c r="A630" t="inlineStr">
        <is>
          <t>A 17643-2025</t>
        </is>
      </c>
      <c r="B630" s="1" t="n">
        <v>45758.32454861111</v>
      </c>
      <c r="C630" s="1" t="n">
        <v>45888</v>
      </c>
      <c r="D630" t="inlineStr">
        <is>
          <t>UPPSALA LÄN</t>
        </is>
      </c>
      <c r="E630" t="inlineStr">
        <is>
          <t>ÖSTHAMMAR</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37764-2025</t>
        </is>
      </c>
      <c r="B631" s="1" t="n">
        <v>45880.70917824074</v>
      </c>
      <c r="C631" s="1" t="n">
        <v>45888</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37770-2025</t>
        </is>
      </c>
      <c r="B632" s="1" t="n">
        <v>45880.7505787037</v>
      </c>
      <c r="C632" s="1" t="n">
        <v>45888</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12262-2023</t>
        </is>
      </c>
      <c r="B633" s="1" t="n">
        <v>44998.66662037037</v>
      </c>
      <c r="C633" s="1" t="n">
        <v>45888</v>
      </c>
      <c r="D633" t="inlineStr">
        <is>
          <t>UPPSALA LÄN</t>
        </is>
      </c>
      <c r="E633" t="inlineStr">
        <is>
          <t>ÖSTHAMMAR</t>
        </is>
      </c>
      <c r="G633" t="n">
        <v>4.1</v>
      </c>
      <c r="H633" t="n">
        <v>0</v>
      </c>
      <c r="I633" t="n">
        <v>0</v>
      </c>
      <c r="J633" t="n">
        <v>0</v>
      </c>
      <c r="K633" t="n">
        <v>0</v>
      </c>
      <c r="L633" t="n">
        <v>0</v>
      </c>
      <c r="M633" t="n">
        <v>0</v>
      </c>
      <c r="N633" t="n">
        <v>0</v>
      </c>
      <c r="O633" t="n">
        <v>0</v>
      </c>
      <c r="P633" t="n">
        <v>0</v>
      </c>
      <c r="Q633" t="n">
        <v>0</v>
      </c>
      <c r="R633" s="2" t="inlineStr"/>
    </row>
    <row r="634" ht="15" customHeight="1">
      <c r="A634" t="inlineStr">
        <is>
          <t>A 27476-2025</t>
        </is>
      </c>
      <c r="B634" s="1" t="n">
        <v>45813.37517361111</v>
      </c>
      <c r="C634" s="1" t="n">
        <v>45888</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61443-2024</t>
        </is>
      </c>
      <c r="B635" s="1" t="n">
        <v>45646.47936342593</v>
      </c>
      <c r="C635" s="1" t="n">
        <v>45888</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41478-2024</t>
        </is>
      </c>
      <c r="B636" s="1" t="n">
        <v>45560.44158564815</v>
      </c>
      <c r="C636" s="1" t="n">
        <v>45888</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19646-2025</t>
        </is>
      </c>
      <c r="B637" s="1" t="n">
        <v>45770.6600462963</v>
      </c>
      <c r="C637" s="1" t="n">
        <v>45888</v>
      </c>
      <c r="D637" t="inlineStr">
        <is>
          <t>UPPSALA LÄN</t>
        </is>
      </c>
      <c r="E637" t="inlineStr">
        <is>
          <t>ÖSTHAMMAR</t>
        </is>
      </c>
      <c r="F637" t="inlineStr">
        <is>
          <t>Övriga Aktiebolag</t>
        </is>
      </c>
      <c r="G637" t="n">
        <v>1</v>
      </c>
      <c r="H637" t="n">
        <v>0</v>
      </c>
      <c r="I637" t="n">
        <v>0</v>
      </c>
      <c r="J637" t="n">
        <v>0</v>
      </c>
      <c r="K637" t="n">
        <v>0</v>
      </c>
      <c r="L637" t="n">
        <v>0</v>
      </c>
      <c r="M637" t="n">
        <v>0</v>
      </c>
      <c r="N637" t="n">
        <v>0</v>
      </c>
      <c r="O637" t="n">
        <v>0</v>
      </c>
      <c r="P637" t="n">
        <v>0</v>
      </c>
      <c r="Q637" t="n">
        <v>0</v>
      </c>
      <c r="R637" s="2" t="inlineStr"/>
    </row>
    <row r="638" ht="15" customHeight="1">
      <c r="A638" t="inlineStr">
        <is>
          <t>A 16141-2022</t>
        </is>
      </c>
      <c r="B638" s="1" t="n">
        <v>44665</v>
      </c>
      <c r="C638" s="1" t="n">
        <v>45888</v>
      </c>
      <c r="D638" t="inlineStr">
        <is>
          <t>UPPSALA LÄN</t>
        </is>
      </c>
      <c r="E638" t="inlineStr">
        <is>
          <t>ÖSTHAMMAR</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13279-2022</t>
        </is>
      </c>
      <c r="B639" s="1" t="n">
        <v>44644</v>
      </c>
      <c r="C639" s="1" t="n">
        <v>45888</v>
      </c>
      <c r="D639" t="inlineStr">
        <is>
          <t>UPPSALA LÄN</t>
        </is>
      </c>
      <c r="E639" t="inlineStr">
        <is>
          <t>ÖSTHAMMAR</t>
        </is>
      </c>
      <c r="G639" t="n">
        <v>1.4</v>
      </c>
      <c r="H639" t="n">
        <v>0</v>
      </c>
      <c r="I639" t="n">
        <v>0</v>
      </c>
      <c r="J639" t="n">
        <v>0</v>
      </c>
      <c r="K639" t="n">
        <v>0</v>
      </c>
      <c r="L639" t="n">
        <v>0</v>
      </c>
      <c r="M639" t="n">
        <v>0</v>
      </c>
      <c r="N639" t="n">
        <v>0</v>
      </c>
      <c r="O639" t="n">
        <v>0</v>
      </c>
      <c r="P639" t="n">
        <v>0</v>
      </c>
      <c r="Q639" t="n">
        <v>0</v>
      </c>
      <c r="R639" s="2" t="inlineStr"/>
    </row>
    <row r="640" ht="15" customHeight="1">
      <c r="A640" t="inlineStr">
        <is>
          <t>A 34922-2023</t>
        </is>
      </c>
      <c r="B640" s="1" t="n">
        <v>45142.48359953704</v>
      </c>
      <c r="C640" s="1" t="n">
        <v>45888</v>
      </c>
      <c r="D640" t="inlineStr">
        <is>
          <t>UPPSALA LÄN</t>
        </is>
      </c>
      <c r="E640" t="inlineStr">
        <is>
          <t>ÖSTHAMMAR</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37656-2025</t>
        </is>
      </c>
      <c r="B641" s="1" t="n">
        <v>45880.49582175926</v>
      </c>
      <c r="C641" s="1" t="n">
        <v>45888</v>
      </c>
      <c r="D641" t="inlineStr">
        <is>
          <t>UPPSALA LÄN</t>
        </is>
      </c>
      <c r="E641" t="inlineStr">
        <is>
          <t>ÖSTHAMMAR</t>
        </is>
      </c>
      <c r="G641" t="n">
        <v>4.3</v>
      </c>
      <c r="H641" t="n">
        <v>0</v>
      </c>
      <c r="I641" t="n">
        <v>0</v>
      </c>
      <c r="J641" t="n">
        <v>0</v>
      </c>
      <c r="K641" t="n">
        <v>0</v>
      </c>
      <c r="L641" t="n">
        <v>0</v>
      </c>
      <c r="M641" t="n">
        <v>0</v>
      </c>
      <c r="N641" t="n">
        <v>0</v>
      </c>
      <c r="O641" t="n">
        <v>0</v>
      </c>
      <c r="P641" t="n">
        <v>0</v>
      </c>
      <c r="Q641" t="n">
        <v>0</v>
      </c>
      <c r="R641" s="2" t="inlineStr"/>
    </row>
    <row r="642" ht="15" customHeight="1">
      <c r="A642" t="inlineStr">
        <is>
          <t>A 6046-2025</t>
        </is>
      </c>
      <c r="B642" s="1" t="n">
        <v>45695</v>
      </c>
      <c r="C642" s="1" t="n">
        <v>45888</v>
      </c>
      <c r="D642" t="inlineStr">
        <is>
          <t>UPPSALA LÄN</t>
        </is>
      </c>
      <c r="E642" t="inlineStr">
        <is>
          <t>ÖSTHAMMAR</t>
        </is>
      </c>
      <c r="G642" t="n">
        <v>0.8</v>
      </c>
      <c r="H642" t="n">
        <v>0</v>
      </c>
      <c r="I642" t="n">
        <v>0</v>
      </c>
      <c r="J642" t="n">
        <v>0</v>
      </c>
      <c r="K642" t="n">
        <v>0</v>
      </c>
      <c r="L642" t="n">
        <v>0</v>
      </c>
      <c r="M642" t="n">
        <v>0</v>
      </c>
      <c r="N642" t="n">
        <v>0</v>
      </c>
      <c r="O642" t="n">
        <v>0</v>
      </c>
      <c r="P642" t="n">
        <v>0</v>
      </c>
      <c r="Q642" t="n">
        <v>0</v>
      </c>
      <c r="R642" s="2" t="inlineStr"/>
      <c r="U642">
        <f>HYPERLINK("https://klasma.github.io/Logging_0382/knärot/A 6046-2025 karta knärot.png", "A 6046-2025")</f>
        <v/>
      </c>
      <c r="V642">
        <f>HYPERLINK("https://klasma.github.io/Logging_0382/klagomål/A 6046-2025 FSC-klagomål.docx", "A 6046-2025")</f>
        <v/>
      </c>
      <c r="W642">
        <f>HYPERLINK("https://klasma.github.io/Logging_0382/klagomålsmail/A 6046-2025 FSC-klagomål mail.docx", "A 6046-2025")</f>
        <v/>
      </c>
      <c r="X642">
        <f>HYPERLINK("https://klasma.github.io/Logging_0382/tillsyn/A 6046-2025 tillsynsbegäran.docx", "A 6046-2025")</f>
        <v/>
      </c>
      <c r="Y642">
        <f>HYPERLINK("https://klasma.github.io/Logging_0382/tillsynsmail/A 6046-2025 tillsynsbegäran mail.docx", "A 6046-2025")</f>
        <v/>
      </c>
    </row>
    <row r="643" ht="15" customHeight="1">
      <c r="A643" t="inlineStr">
        <is>
          <t>A 45102-2024</t>
        </is>
      </c>
      <c r="B643" s="1" t="n">
        <v>45575.58836805556</v>
      </c>
      <c r="C643" s="1" t="n">
        <v>45888</v>
      </c>
      <c r="D643" t="inlineStr">
        <is>
          <t>UPPSALA LÄN</t>
        </is>
      </c>
      <c r="E643" t="inlineStr">
        <is>
          <t>ÖSTHAMMAR</t>
        </is>
      </c>
      <c r="G643" t="n">
        <v>8.6</v>
      </c>
      <c r="H643" t="n">
        <v>0</v>
      </c>
      <c r="I643" t="n">
        <v>0</v>
      </c>
      <c r="J643" t="n">
        <v>0</v>
      </c>
      <c r="K643" t="n">
        <v>0</v>
      </c>
      <c r="L643" t="n">
        <v>0</v>
      </c>
      <c r="M643" t="n">
        <v>0</v>
      </c>
      <c r="N643" t="n">
        <v>0</v>
      </c>
      <c r="O643" t="n">
        <v>0</v>
      </c>
      <c r="P643" t="n">
        <v>0</v>
      </c>
      <c r="Q643" t="n">
        <v>0</v>
      </c>
      <c r="R643" s="2" t="inlineStr"/>
    </row>
    <row r="644" ht="15" customHeight="1">
      <c r="A644" t="inlineStr">
        <is>
          <t>A 18731-2022</t>
        </is>
      </c>
      <c r="B644" s="1" t="n">
        <v>44687.78673611111</v>
      </c>
      <c r="C644" s="1" t="n">
        <v>45888</v>
      </c>
      <c r="D644" t="inlineStr">
        <is>
          <t>UPPSALA LÄN</t>
        </is>
      </c>
      <c r="E644" t="inlineStr">
        <is>
          <t>ÖSTHAMMAR</t>
        </is>
      </c>
      <c r="G644" t="n">
        <v>4.9</v>
      </c>
      <c r="H644" t="n">
        <v>0</v>
      </c>
      <c r="I644" t="n">
        <v>0</v>
      </c>
      <c r="J644" t="n">
        <v>0</v>
      </c>
      <c r="K644" t="n">
        <v>0</v>
      </c>
      <c r="L644" t="n">
        <v>0</v>
      </c>
      <c r="M644" t="n">
        <v>0</v>
      </c>
      <c r="N644" t="n">
        <v>0</v>
      </c>
      <c r="O644" t="n">
        <v>0</v>
      </c>
      <c r="P644" t="n">
        <v>0</v>
      </c>
      <c r="Q644" t="n">
        <v>0</v>
      </c>
      <c r="R644" s="2" t="inlineStr"/>
    </row>
    <row r="645" ht="15" customHeight="1">
      <c r="A645" t="inlineStr">
        <is>
          <t>A 32718-2025</t>
        </is>
      </c>
      <c r="B645" s="1" t="n">
        <v>45839.37740740741</v>
      </c>
      <c r="C645" s="1" t="n">
        <v>45888</v>
      </c>
      <c r="D645" t="inlineStr">
        <is>
          <t>UPPSALA LÄN</t>
        </is>
      </c>
      <c r="E645" t="inlineStr">
        <is>
          <t>ÖSTHAMMAR</t>
        </is>
      </c>
      <c r="G645" t="n">
        <v>10.4</v>
      </c>
      <c r="H645" t="n">
        <v>0</v>
      </c>
      <c r="I645" t="n">
        <v>0</v>
      </c>
      <c r="J645" t="n">
        <v>0</v>
      </c>
      <c r="K645" t="n">
        <v>0</v>
      </c>
      <c r="L645" t="n">
        <v>0</v>
      </c>
      <c r="M645" t="n">
        <v>0</v>
      </c>
      <c r="N645" t="n">
        <v>0</v>
      </c>
      <c r="O645" t="n">
        <v>0</v>
      </c>
      <c r="P645" t="n">
        <v>0</v>
      </c>
      <c r="Q645" t="n">
        <v>0</v>
      </c>
      <c r="R645" s="2" t="inlineStr"/>
    </row>
    <row r="646" ht="15" customHeight="1">
      <c r="A646" t="inlineStr">
        <is>
          <t>A 11385-2024</t>
        </is>
      </c>
      <c r="B646" s="1" t="n">
        <v>45372</v>
      </c>
      <c r="C646" s="1" t="n">
        <v>45888</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9642-2024</t>
        </is>
      </c>
      <c r="B647" s="1" t="n">
        <v>45362.36296296296</v>
      </c>
      <c r="C647" s="1" t="n">
        <v>45888</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23495-2023</t>
        </is>
      </c>
      <c r="B648" s="1" t="n">
        <v>45076.71652777777</v>
      </c>
      <c r="C648" s="1" t="n">
        <v>45888</v>
      </c>
      <c r="D648" t="inlineStr">
        <is>
          <t>UPPSALA LÄN</t>
        </is>
      </c>
      <c r="E648" t="inlineStr">
        <is>
          <t>ÖSTHAMMAR</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18401-2025</t>
        </is>
      </c>
      <c r="B649" s="1" t="n">
        <v>45762.5966087963</v>
      </c>
      <c r="C649" s="1" t="n">
        <v>45888</v>
      </c>
      <c r="D649" t="inlineStr">
        <is>
          <t>UPPSALA LÄN</t>
        </is>
      </c>
      <c r="E649" t="inlineStr">
        <is>
          <t>ÖSTHAMMAR</t>
        </is>
      </c>
      <c r="G649" t="n">
        <v>1.7</v>
      </c>
      <c r="H649" t="n">
        <v>0</v>
      </c>
      <c r="I649" t="n">
        <v>0</v>
      </c>
      <c r="J649" t="n">
        <v>0</v>
      </c>
      <c r="K649" t="n">
        <v>0</v>
      </c>
      <c r="L649" t="n">
        <v>0</v>
      </c>
      <c r="M649" t="n">
        <v>0</v>
      </c>
      <c r="N649" t="n">
        <v>0</v>
      </c>
      <c r="O649" t="n">
        <v>0</v>
      </c>
      <c r="P649" t="n">
        <v>0</v>
      </c>
      <c r="Q649" t="n">
        <v>0</v>
      </c>
      <c r="R649" s="2" t="inlineStr"/>
    </row>
    <row r="650" ht="15" customHeight="1">
      <c r="A650" t="inlineStr">
        <is>
          <t>A 28429-2023</t>
        </is>
      </c>
      <c r="B650" s="1" t="n">
        <v>45102.58728009259</v>
      </c>
      <c r="C650" s="1" t="n">
        <v>45888</v>
      </c>
      <c r="D650" t="inlineStr">
        <is>
          <t>UPPSALA LÄN</t>
        </is>
      </c>
      <c r="E650" t="inlineStr">
        <is>
          <t>ÖSTHAMMAR</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38233-2024</t>
        </is>
      </c>
      <c r="B651" s="1" t="n">
        <v>45545</v>
      </c>
      <c r="C651" s="1" t="n">
        <v>45888</v>
      </c>
      <c r="D651" t="inlineStr">
        <is>
          <t>UPPSALA LÄN</t>
        </is>
      </c>
      <c r="E651" t="inlineStr">
        <is>
          <t>ÖSTHAMMAR</t>
        </is>
      </c>
      <c r="G651" t="n">
        <v>3.4</v>
      </c>
      <c r="H651" t="n">
        <v>0</v>
      </c>
      <c r="I651" t="n">
        <v>0</v>
      </c>
      <c r="J651" t="n">
        <v>0</v>
      </c>
      <c r="K651" t="n">
        <v>0</v>
      </c>
      <c r="L651" t="n">
        <v>0</v>
      </c>
      <c r="M651" t="n">
        <v>0</v>
      </c>
      <c r="N651" t="n">
        <v>0</v>
      </c>
      <c r="O651" t="n">
        <v>0</v>
      </c>
      <c r="P651" t="n">
        <v>0</v>
      </c>
      <c r="Q651" t="n">
        <v>0</v>
      </c>
      <c r="R651" s="2" t="inlineStr"/>
    </row>
    <row r="652" ht="15" customHeight="1">
      <c r="A652" t="inlineStr">
        <is>
          <t>A 17947-2022</t>
        </is>
      </c>
      <c r="B652" s="1" t="n">
        <v>44683</v>
      </c>
      <c r="C652" s="1" t="n">
        <v>45888</v>
      </c>
      <c r="D652" t="inlineStr">
        <is>
          <t>UPPSALA LÄN</t>
        </is>
      </c>
      <c r="E652" t="inlineStr">
        <is>
          <t>ÖSTHAMMAR</t>
        </is>
      </c>
      <c r="G652" t="n">
        <v>5.5</v>
      </c>
      <c r="H652" t="n">
        <v>0</v>
      </c>
      <c r="I652" t="n">
        <v>0</v>
      </c>
      <c r="J652" t="n">
        <v>0</v>
      </c>
      <c r="K652" t="n">
        <v>0</v>
      </c>
      <c r="L652" t="n">
        <v>0</v>
      </c>
      <c r="M652" t="n">
        <v>0</v>
      </c>
      <c r="N652" t="n">
        <v>0</v>
      </c>
      <c r="O652" t="n">
        <v>0</v>
      </c>
      <c r="P652" t="n">
        <v>0</v>
      </c>
      <c r="Q652" t="n">
        <v>0</v>
      </c>
      <c r="R652" s="2" t="inlineStr"/>
    </row>
    <row r="653" ht="15" customHeight="1">
      <c r="A653" t="inlineStr">
        <is>
          <t>A 58878-2022</t>
        </is>
      </c>
      <c r="B653" s="1" t="n">
        <v>44903</v>
      </c>
      <c r="C653" s="1" t="n">
        <v>45888</v>
      </c>
      <c r="D653" t="inlineStr">
        <is>
          <t>UPPSALA LÄN</t>
        </is>
      </c>
      <c r="E653" t="inlineStr">
        <is>
          <t>ÖSTHAMMAR</t>
        </is>
      </c>
      <c r="G653" t="n">
        <v>0.8</v>
      </c>
      <c r="H653" t="n">
        <v>0</v>
      </c>
      <c r="I653" t="n">
        <v>0</v>
      </c>
      <c r="J653" t="n">
        <v>0</v>
      </c>
      <c r="K653" t="n">
        <v>0</v>
      </c>
      <c r="L653" t="n">
        <v>0</v>
      </c>
      <c r="M653" t="n">
        <v>0</v>
      </c>
      <c r="N653" t="n">
        <v>0</v>
      </c>
      <c r="O653" t="n">
        <v>0</v>
      </c>
      <c r="P653" t="n">
        <v>0</v>
      </c>
      <c r="Q653" t="n">
        <v>0</v>
      </c>
      <c r="R653" s="2" t="inlineStr"/>
    </row>
    <row r="654" ht="15" customHeight="1">
      <c r="A654" t="inlineStr">
        <is>
          <t>A 30755-2024</t>
        </is>
      </c>
      <c r="B654" s="1" t="n">
        <v>45496</v>
      </c>
      <c r="C654" s="1" t="n">
        <v>45888</v>
      </c>
      <c r="D654" t="inlineStr">
        <is>
          <t>UPPSALA LÄN</t>
        </is>
      </c>
      <c r="E654" t="inlineStr">
        <is>
          <t>ÖSTHAMMAR</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22798-2023</t>
        </is>
      </c>
      <c r="B655" s="1" t="n">
        <v>45072</v>
      </c>
      <c r="C655" s="1" t="n">
        <v>45888</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11547-2022</t>
        </is>
      </c>
      <c r="B656" s="1" t="n">
        <v>44631.43116898148</v>
      </c>
      <c r="C656" s="1" t="n">
        <v>45888</v>
      </c>
      <c r="D656" t="inlineStr">
        <is>
          <t>UPPSALA LÄN</t>
        </is>
      </c>
      <c r="E656" t="inlineStr">
        <is>
          <t>ÖSTHAMMAR</t>
        </is>
      </c>
      <c r="G656" t="n">
        <v>4.4</v>
      </c>
      <c r="H656" t="n">
        <v>0</v>
      </c>
      <c r="I656" t="n">
        <v>0</v>
      </c>
      <c r="J656" t="n">
        <v>0</v>
      </c>
      <c r="K656" t="n">
        <v>0</v>
      </c>
      <c r="L656" t="n">
        <v>0</v>
      </c>
      <c r="M656" t="n">
        <v>0</v>
      </c>
      <c r="N656" t="n">
        <v>0</v>
      </c>
      <c r="O656" t="n">
        <v>0</v>
      </c>
      <c r="P656" t="n">
        <v>0</v>
      </c>
      <c r="Q656" t="n">
        <v>0</v>
      </c>
      <c r="R656" s="2" t="inlineStr"/>
    </row>
    <row r="657" ht="15" customHeight="1">
      <c r="A657" t="inlineStr">
        <is>
          <t>A 4561-2022</t>
        </is>
      </c>
      <c r="B657" s="1" t="n">
        <v>44591.59170138889</v>
      </c>
      <c r="C657" s="1" t="n">
        <v>45888</v>
      </c>
      <c r="D657" t="inlineStr">
        <is>
          <t>UPPSALA LÄN</t>
        </is>
      </c>
      <c r="E657" t="inlineStr">
        <is>
          <t>ÖSTHAMMAR</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4562-2022</t>
        </is>
      </c>
      <c r="B658" s="1" t="n">
        <v>44591</v>
      </c>
      <c r="C658" s="1" t="n">
        <v>45888</v>
      </c>
      <c r="D658" t="inlineStr">
        <is>
          <t>UPPSALA LÄN</t>
        </is>
      </c>
      <c r="E658" t="inlineStr">
        <is>
          <t>ÖSTHAMMAR</t>
        </is>
      </c>
      <c r="G658" t="n">
        <v>3.4</v>
      </c>
      <c r="H658" t="n">
        <v>0</v>
      </c>
      <c r="I658" t="n">
        <v>0</v>
      </c>
      <c r="J658" t="n">
        <v>0</v>
      </c>
      <c r="K658" t="n">
        <v>0</v>
      </c>
      <c r="L658" t="n">
        <v>0</v>
      </c>
      <c r="M658" t="n">
        <v>0</v>
      </c>
      <c r="N658" t="n">
        <v>0</v>
      </c>
      <c r="O658" t="n">
        <v>0</v>
      </c>
      <c r="P658" t="n">
        <v>0</v>
      </c>
      <c r="Q658" t="n">
        <v>0</v>
      </c>
      <c r="R658" s="2" t="inlineStr"/>
    </row>
    <row r="659" ht="15" customHeight="1">
      <c r="A659" t="inlineStr">
        <is>
          <t>A 53733-2023</t>
        </is>
      </c>
      <c r="B659" s="1" t="n">
        <v>45230.76862268519</v>
      </c>
      <c r="C659" s="1" t="n">
        <v>45888</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23741-2024</t>
        </is>
      </c>
      <c r="B660" s="1" t="n">
        <v>45455</v>
      </c>
      <c r="C660" s="1" t="n">
        <v>45888</v>
      </c>
      <c r="D660" t="inlineStr">
        <is>
          <t>UPPSALA LÄN</t>
        </is>
      </c>
      <c r="E660" t="inlineStr">
        <is>
          <t>ÖSTHAMMAR</t>
        </is>
      </c>
      <c r="F660" t="inlineStr">
        <is>
          <t>Bergvik skog öst AB</t>
        </is>
      </c>
      <c r="G660" t="n">
        <v>1.9</v>
      </c>
      <c r="H660" t="n">
        <v>0</v>
      </c>
      <c r="I660" t="n">
        <v>0</v>
      </c>
      <c r="J660" t="n">
        <v>0</v>
      </c>
      <c r="K660" t="n">
        <v>0</v>
      </c>
      <c r="L660" t="n">
        <v>0</v>
      </c>
      <c r="M660" t="n">
        <v>0</v>
      </c>
      <c r="N660" t="n">
        <v>0</v>
      </c>
      <c r="O660" t="n">
        <v>0</v>
      </c>
      <c r="P660" t="n">
        <v>0</v>
      </c>
      <c r="Q660" t="n">
        <v>0</v>
      </c>
      <c r="R660" s="2" t="inlineStr"/>
    </row>
    <row r="661" ht="15" customHeight="1">
      <c r="A661" t="inlineStr">
        <is>
          <t>A 26612-2023</t>
        </is>
      </c>
      <c r="B661" s="1" t="n">
        <v>45089</v>
      </c>
      <c r="C661" s="1" t="n">
        <v>45888</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41308-2023</t>
        </is>
      </c>
      <c r="B662" s="1" t="n">
        <v>45174.62788194444</v>
      </c>
      <c r="C662" s="1" t="n">
        <v>45888</v>
      </c>
      <c r="D662" t="inlineStr">
        <is>
          <t>UPPSALA LÄN</t>
        </is>
      </c>
      <c r="E662" t="inlineStr">
        <is>
          <t>ÖSTHAMMAR</t>
        </is>
      </c>
      <c r="F662" t="inlineStr">
        <is>
          <t>Övriga Aktiebolag</t>
        </is>
      </c>
      <c r="G662" t="n">
        <v>2.8</v>
      </c>
      <c r="H662" t="n">
        <v>0</v>
      </c>
      <c r="I662" t="n">
        <v>0</v>
      </c>
      <c r="J662" t="n">
        <v>0</v>
      </c>
      <c r="K662" t="n">
        <v>0</v>
      </c>
      <c r="L662" t="n">
        <v>0</v>
      </c>
      <c r="M662" t="n">
        <v>0</v>
      </c>
      <c r="N662" t="n">
        <v>0</v>
      </c>
      <c r="O662" t="n">
        <v>0</v>
      </c>
      <c r="P662" t="n">
        <v>0</v>
      </c>
      <c r="Q662" t="n">
        <v>0</v>
      </c>
      <c r="R662" s="2" t="inlineStr"/>
    </row>
    <row r="663" ht="15" customHeight="1">
      <c r="A663" t="inlineStr">
        <is>
          <t>A 33529-2025</t>
        </is>
      </c>
      <c r="B663" s="1" t="n">
        <v>45841.55199074074</v>
      </c>
      <c r="C663" s="1" t="n">
        <v>45888</v>
      </c>
      <c r="D663" t="inlineStr">
        <is>
          <t>UPPSALA LÄN</t>
        </is>
      </c>
      <c r="E663" t="inlineStr">
        <is>
          <t>ÖSTHAMMAR</t>
        </is>
      </c>
      <c r="F663" t="inlineStr">
        <is>
          <t>Bergvik skog öst AB</t>
        </is>
      </c>
      <c r="G663" t="n">
        <v>11.8</v>
      </c>
      <c r="H663" t="n">
        <v>0</v>
      </c>
      <c r="I663" t="n">
        <v>0</v>
      </c>
      <c r="J663" t="n">
        <v>0</v>
      </c>
      <c r="K663" t="n">
        <v>0</v>
      </c>
      <c r="L663" t="n">
        <v>0</v>
      </c>
      <c r="M663" t="n">
        <v>0</v>
      </c>
      <c r="N663" t="n">
        <v>0</v>
      </c>
      <c r="O663" t="n">
        <v>0</v>
      </c>
      <c r="P663" t="n">
        <v>0</v>
      </c>
      <c r="Q663" t="n">
        <v>0</v>
      </c>
      <c r="R663" s="2" t="inlineStr"/>
    </row>
    <row r="664" ht="15" customHeight="1">
      <c r="A664" t="inlineStr">
        <is>
          <t>A 32244-2021</t>
        </is>
      </c>
      <c r="B664" s="1" t="n">
        <v>44371.45335648148</v>
      </c>
      <c r="C664" s="1" t="n">
        <v>45888</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33048-2025</t>
        </is>
      </c>
      <c r="B665" s="1" t="n">
        <v>45840.41451388889</v>
      </c>
      <c r="C665" s="1" t="n">
        <v>45888</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33271-2025</t>
        </is>
      </c>
      <c r="B666" s="1" t="n">
        <v>45840.68381944444</v>
      </c>
      <c r="C666" s="1" t="n">
        <v>45888</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17969-2023</t>
        </is>
      </c>
      <c r="B667" s="1" t="n">
        <v>45040.47081018519</v>
      </c>
      <c r="C667" s="1" t="n">
        <v>45888</v>
      </c>
      <c r="D667" t="inlineStr">
        <is>
          <t>UPPSALA LÄN</t>
        </is>
      </c>
      <c r="E667" t="inlineStr">
        <is>
          <t>ÖSTHAMMAR</t>
        </is>
      </c>
      <c r="G667" t="n">
        <v>5.4</v>
      </c>
      <c r="H667" t="n">
        <v>0</v>
      </c>
      <c r="I667" t="n">
        <v>0</v>
      </c>
      <c r="J667" t="n">
        <v>0</v>
      </c>
      <c r="K667" t="n">
        <v>0</v>
      </c>
      <c r="L667" t="n">
        <v>0</v>
      </c>
      <c r="M667" t="n">
        <v>0</v>
      </c>
      <c r="N667" t="n">
        <v>0</v>
      </c>
      <c r="O667" t="n">
        <v>0</v>
      </c>
      <c r="P667" t="n">
        <v>0</v>
      </c>
      <c r="Q667" t="n">
        <v>0</v>
      </c>
      <c r="R667" s="2" t="inlineStr"/>
    </row>
    <row r="668" ht="15" customHeight="1">
      <c r="A668" t="inlineStr">
        <is>
          <t>A 25969-2023</t>
        </is>
      </c>
      <c r="B668" s="1" t="n">
        <v>45090</v>
      </c>
      <c r="C668" s="1" t="n">
        <v>45888</v>
      </c>
      <c r="D668" t="inlineStr">
        <is>
          <t>UPPSALA LÄN</t>
        </is>
      </c>
      <c r="E668" t="inlineStr">
        <is>
          <t>ÖSTHAMMAR</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50998-2023</t>
        </is>
      </c>
      <c r="B669" s="1" t="n">
        <v>45218.5586574074</v>
      </c>
      <c r="C669" s="1" t="n">
        <v>45888</v>
      </c>
      <c r="D669" t="inlineStr">
        <is>
          <t>UPPSALA LÄN</t>
        </is>
      </c>
      <c r="E669" t="inlineStr">
        <is>
          <t>ÖSTHAMMAR</t>
        </is>
      </c>
      <c r="G669" t="n">
        <v>3.6</v>
      </c>
      <c r="H669" t="n">
        <v>0</v>
      </c>
      <c r="I669" t="n">
        <v>0</v>
      </c>
      <c r="J669" t="n">
        <v>0</v>
      </c>
      <c r="K669" t="n">
        <v>0</v>
      </c>
      <c r="L669" t="n">
        <v>0</v>
      </c>
      <c r="M669" t="n">
        <v>0</v>
      </c>
      <c r="N669" t="n">
        <v>0</v>
      </c>
      <c r="O669" t="n">
        <v>0</v>
      </c>
      <c r="P669" t="n">
        <v>0</v>
      </c>
      <c r="Q669" t="n">
        <v>0</v>
      </c>
      <c r="R669" s="2" t="inlineStr"/>
    </row>
    <row r="670" ht="15" customHeight="1">
      <c r="A670" t="inlineStr">
        <is>
          <t>A 55837-2023</t>
        </is>
      </c>
      <c r="B670" s="1" t="n">
        <v>45239</v>
      </c>
      <c r="C670" s="1" t="n">
        <v>45888</v>
      </c>
      <c r="D670" t="inlineStr">
        <is>
          <t>UPPSALA LÄN</t>
        </is>
      </c>
      <c r="E670" t="inlineStr">
        <is>
          <t>ÖSTHAMMAR</t>
        </is>
      </c>
      <c r="G670" t="n">
        <v>0.5</v>
      </c>
      <c r="H670" t="n">
        <v>0</v>
      </c>
      <c r="I670" t="n">
        <v>0</v>
      </c>
      <c r="J670" t="n">
        <v>0</v>
      </c>
      <c r="K670" t="n">
        <v>0</v>
      </c>
      <c r="L670" t="n">
        <v>0</v>
      </c>
      <c r="M670" t="n">
        <v>0</v>
      </c>
      <c r="N670" t="n">
        <v>0</v>
      </c>
      <c r="O670" t="n">
        <v>0</v>
      </c>
      <c r="P670" t="n">
        <v>0</v>
      </c>
      <c r="Q670" t="n">
        <v>0</v>
      </c>
      <c r="R670" s="2" t="inlineStr"/>
    </row>
    <row r="671" ht="15" customHeight="1">
      <c r="A671" t="inlineStr">
        <is>
          <t>A 18838-2023</t>
        </is>
      </c>
      <c r="B671" s="1" t="n">
        <v>45044</v>
      </c>
      <c r="C671" s="1" t="n">
        <v>45888</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59382-2022</t>
        </is>
      </c>
      <c r="B672" s="1" t="n">
        <v>44905.50363425926</v>
      </c>
      <c r="C672" s="1" t="n">
        <v>45888</v>
      </c>
      <c r="D672" t="inlineStr">
        <is>
          <t>UPPSALA LÄN</t>
        </is>
      </c>
      <c r="E672" t="inlineStr">
        <is>
          <t>ÖSTHAMMAR</t>
        </is>
      </c>
      <c r="G672" t="n">
        <v>2.9</v>
      </c>
      <c r="H672" t="n">
        <v>0</v>
      </c>
      <c r="I672" t="n">
        <v>0</v>
      </c>
      <c r="J672" t="n">
        <v>0</v>
      </c>
      <c r="K672" t="n">
        <v>0</v>
      </c>
      <c r="L672" t="n">
        <v>0</v>
      </c>
      <c r="M672" t="n">
        <v>0</v>
      </c>
      <c r="N672" t="n">
        <v>0</v>
      </c>
      <c r="O672" t="n">
        <v>0</v>
      </c>
      <c r="P672" t="n">
        <v>0</v>
      </c>
      <c r="Q672" t="n">
        <v>0</v>
      </c>
      <c r="R672" s="2" t="inlineStr"/>
    </row>
    <row r="673" ht="15" customHeight="1">
      <c r="A673" t="inlineStr">
        <is>
          <t>A 26395-2025</t>
        </is>
      </c>
      <c r="B673" s="1" t="n">
        <v>45807</v>
      </c>
      <c r="C673" s="1" t="n">
        <v>45888</v>
      </c>
      <c r="D673" t="inlineStr">
        <is>
          <t>UPPSALA LÄN</t>
        </is>
      </c>
      <c r="E673" t="inlineStr">
        <is>
          <t>ÖSTHAMMAR</t>
        </is>
      </c>
      <c r="G673" t="n">
        <v>7</v>
      </c>
      <c r="H673" t="n">
        <v>0</v>
      </c>
      <c r="I673" t="n">
        <v>0</v>
      </c>
      <c r="J673" t="n">
        <v>0</v>
      </c>
      <c r="K673" t="n">
        <v>0</v>
      </c>
      <c r="L673" t="n">
        <v>0</v>
      </c>
      <c r="M673" t="n">
        <v>0</v>
      </c>
      <c r="N673" t="n">
        <v>0</v>
      </c>
      <c r="O673" t="n">
        <v>0</v>
      </c>
      <c r="P673" t="n">
        <v>0</v>
      </c>
      <c r="Q673" t="n">
        <v>0</v>
      </c>
      <c r="R673" s="2" t="inlineStr"/>
    </row>
    <row r="674" ht="15" customHeight="1">
      <c r="A674" t="inlineStr">
        <is>
          <t>A 33927-2025</t>
        </is>
      </c>
      <c r="B674" s="1" t="n">
        <v>45842.62363425926</v>
      </c>
      <c r="C674" s="1" t="n">
        <v>45888</v>
      </c>
      <c r="D674" t="inlineStr">
        <is>
          <t>UPPSALA LÄN</t>
        </is>
      </c>
      <c r="E674" t="inlineStr">
        <is>
          <t>ÖSTHAMMAR</t>
        </is>
      </c>
      <c r="G674" t="n">
        <v>3.5</v>
      </c>
      <c r="H674" t="n">
        <v>0</v>
      </c>
      <c r="I674" t="n">
        <v>0</v>
      </c>
      <c r="J674" t="n">
        <v>0</v>
      </c>
      <c r="K674" t="n">
        <v>0</v>
      </c>
      <c r="L674" t="n">
        <v>0</v>
      </c>
      <c r="M674" t="n">
        <v>0</v>
      </c>
      <c r="N674" t="n">
        <v>0</v>
      </c>
      <c r="O674" t="n">
        <v>0</v>
      </c>
      <c r="P674" t="n">
        <v>0</v>
      </c>
      <c r="Q674" t="n">
        <v>0</v>
      </c>
      <c r="R674" s="2" t="inlineStr"/>
    </row>
    <row r="675" ht="15" customHeight="1">
      <c r="A675" t="inlineStr">
        <is>
          <t>A 38886-2025</t>
        </is>
      </c>
      <c r="B675" s="1" t="n">
        <v>45887.58370370371</v>
      </c>
      <c r="C675" s="1" t="n">
        <v>45888</v>
      </c>
      <c r="D675" t="inlineStr">
        <is>
          <t>UPPSALA LÄN</t>
        </is>
      </c>
      <c r="E675" t="inlineStr">
        <is>
          <t>ÖSTHAMMAR</t>
        </is>
      </c>
      <c r="F675" t="inlineStr">
        <is>
          <t>Bergvik skog öst AB</t>
        </is>
      </c>
      <c r="G675" t="n">
        <v>4.7</v>
      </c>
      <c r="H675" t="n">
        <v>0</v>
      </c>
      <c r="I675" t="n">
        <v>0</v>
      </c>
      <c r="J675" t="n">
        <v>0</v>
      </c>
      <c r="K675" t="n">
        <v>0</v>
      </c>
      <c r="L675" t="n">
        <v>0</v>
      </c>
      <c r="M675" t="n">
        <v>0</v>
      </c>
      <c r="N675" t="n">
        <v>0</v>
      </c>
      <c r="O675" t="n">
        <v>0</v>
      </c>
      <c r="P675" t="n">
        <v>0</v>
      </c>
      <c r="Q675" t="n">
        <v>0</v>
      </c>
      <c r="R675" s="2" t="inlineStr"/>
    </row>
    <row r="676" ht="15" customHeight="1">
      <c r="A676" t="inlineStr">
        <is>
          <t>A 33972-2025</t>
        </is>
      </c>
      <c r="B676" s="1" t="n">
        <v>45842.97236111111</v>
      </c>
      <c r="C676" s="1" t="n">
        <v>45888</v>
      </c>
      <c r="D676" t="inlineStr">
        <is>
          <t>UPPSALA LÄN</t>
        </is>
      </c>
      <c r="E676" t="inlineStr">
        <is>
          <t>ÖSTHAMMAR</t>
        </is>
      </c>
      <c r="G676" t="n">
        <v>0.8</v>
      </c>
      <c r="H676" t="n">
        <v>0</v>
      </c>
      <c r="I676" t="n">
        <v>0</v>
      </c>
      <c r="J676" t="n">
        <v>0</v>
      </c>
      <c r="K676" t="n">
        <v>0</v>
      </c>
      <c r="L676" t="n">
        <v>0</v>
      </c>
      <c r="M676" t="n">
        <v>0</v>
      </c>
      <c r="N676" t="n">
        <v>0</v>
      </c>
      <c r="O676" t="n">
        <v>0</v>
      </c>
      <c r="P676" t="n">
        <v>0</v>
      </c>
      <c r="Q676" t="n">
        <v>0</v>
      </c>
      <c r="R676" s="2" t="inlineStr"/>
    </row>
    <row r="677" ht="15" customHeight="1">
      <c r="A677" t="inlineStr">
        <is>
          <t>A 17085-2025</t>
        </is>
      </c>
      <c r="B677" s="1" t="n">
        <v>45755.64612268518</v>
      </c>
      <c r="C677" s="1" t="n">
        <v>45888</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60079-2022</t>
        </is>
      </c>
      <c r="B678" s="1" t="n">
        <v>44909</v>
      </c>
      <c r="C678" s="1" t="n">
        <v>45888</v>
      </c>
      <c r="D678" t="inlineStr">
        <is>
          <t>UPPSALA LÄN</t>
        </is>
      </c>
      <c r="E678" t="inlineStr">
        <is>
          <t>ÖSTHAMMAR</t>
        </is>
      </c>
      <c r="G678" t="n">
        <v>9.6</v>
      </c>
      <c r="H678" t="n">
        <v>0</v>
      </c>
      <c r="I678" t="n">
        <v>0</v>
      </c>
      <c r="J678" t="n">
        <v>0</v>
      </c>
      <c r="K678" t="n">
        <v>0</v>
      </c>
      <c r="L678" t="n">
        <v>0</v>
      </c>
      <c r="M678" t="n">
        <v>0</v>
      </c>
      <c r="N678" t="n">
        <v>0</v>
      </c>
      <c r="O678" t="n">
        <v>0</v>
      </c>
      <c r="P678" t="n">
        <v>0</v>
      </c>
      <c r="Q678" t="n">
        <v>0</v>
      </c>
      <c r="R678" s="2" t="inlineStr"/>
    </row>
    <row r="679" ht="15" customHeight="1">
      <c r="A679" t="inlineStr">
        <is>
          <t>A 29231-2024</t>
        </is>
      </c>
      <c r="B679" s="1" t="n">
        <v>45482</v>
      </c>
      <c r="C679" s="1" t="n">
        <v>45888</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33973-2025</t>
        </is>
      </c>
      <c r="B680" s="1" t="n">
        <v>45842.98429398148</v>
      </c>
      <c r="C680" s="1" t="n">
        <v>45888</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44184-2024</t>
        </is>
      </c>
      <c r="B681" s="1" t="n">
        <v>45572</v>
      </c>
      <c r="C681" s="1" t="n">
        <v>45888</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40637-2022</t>
        </is>
      </c>
      <c r="B682" s="1" t="n">
        <v>44824</v>
      </c>
      <c r="C682" s="1" t="n">
        <v>45888</v>
      </c>
      <c r="D682" t="inlineStr">
        <is>
          <t>UPPSALA LÄN</t>
        </is>
      </c>
      <c r="E682" t="inlineStr">
        <is>
          <t>ÖSTHAMMAR</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56260-2022</t>
        </is>
      </c>
      <c r="B683" s="1" t="n">
        <v>44890</v>
      </c>
      <c r="C683" s="1" t="n">
        <v>45888</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62394-2022</t>
        </is>
      </c>
      <c r="B684" s="1" t="n">
        <v>44923.82017361111</v>
      </c>
      <c r="C684" s="1" t="n">
        <v>45888</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22709-2021</t>
        </is>
      </c>
      <c r="B685" s="1" t="n">
        <v>44327.61518518518</v>
      </c>
      <c r="C685" s="1" t="n">
        <v>45888</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8616-2023</t>
        </is>
      </c>
      <c r="B686" s="1" t="n">
        <v>44977</v>
      </c>
      <c r="C686" s="1" t="n">
        <v>45888</v>
      </c>
      <c r="D686" t="inlineStr">
        <is>
          <t>UPPSALA LÄN</t>
        </is>
      </c>
      <c r="E686" t="inlineStr">
        <is>
          <t>ÖSTHAMMAR</t>
        </is>
      </c>
      <c r="F686" t="inlineStr">
        <is>
          <t>Bergvik skog öst AB</t>
        </is>
      </c>
      <c r="G686" t="n">
        <v>0.2</v>
      </c>
      <c r="H686" t="n">
        <v>0</v>
      </c>
      <c r="I686" t="n">
        <v>0</v>
      </c>
      <c r="J686" t="n">
        <v>0</v>
      </c>
      <c r="K686" t="n">
        <v>0</v>
      </c>
      <c r="L686" t="n">
        <v>0</v>
      </c>
      <c r="M686" t="n">
        <v>0</v>
      </c>
      <c r="N686" t="n">
        <v>0</v>
      </c>
      <c r="O686" t="n">
        <v>0</v>
      </c>
      <c r="P686" t="n">
        <v>0</v>
      </c>
      <c r="Q686" t="n">
        <v>0</v>
      </c>
      <c r="R686" s="2" t="inlineStr"/>
    </row>
    <row r="687" ht="15" customHeight="1">
      <c r="A687" t="inlineStr">
        <is>
          <t>A 50927-2024</t>
        </is>
      </c>
      <c r="B687" s="1" t="n">
        <v>45602</v>
      </c>
      <c r="C687" s="1" t="n">
        <v>45888</v>
      </c>
      <c r="D687" t="inlineStr">
        <is>
          <t>UPPSALA LÄN</t>
        </is>
      </c>
      <c r="E687" t="inlineStr">
        <is>
          <t>ÖSTHAMMAR</t>
        </is>
      </c>
      <c r="F687" t="inlineStr">
        <is>
          <t>Bergvik skog öst AB</t>
        </is>
      </c>
      <c r="G687" t="n">
        <v>45.4</v>
      </c>
      <c r="H687" t="n">
        <v>0</v>
      </c>
      <c r="I687" t="n">
        <v>0</v>
      </c>
      <c r="J687" t="n">
        <v>0</v>
      </c>
      <c r="K687" t="n">
        <v>0</v>
      </c>
      <c r="L687" t="n">
        <v>0</v>
      </c>
      <c r="M687" t="n">
        <v>0</v>
      </c>
      <c r="N687" t="n">
        <v>0</v>
      </c>
      <c r="O687" t="n">
        <v>0</v>
      </c>
      <c r="P687" t="n">
        <v>0</v>
      </c>
      <c r="Q687" t="n">
        <v>0</v>
      </c>
      <c r="R687" s="2" t="inlineStr"/>
    </row>
    <row r="688" ht="15" customHeight="1">
      <c r="A688" t="inlineStr">
        <is>
          <t>A 41538-2021</t>
        </is>
      </c>
      <c r="B688" s="1" t="n">
        <v>44425.35016203704</v>
      </c>
      <c r="C688" s="1" t="n">
        <v>45888</v>
      </c>
      <c r="D688" t="inlineStr">
        <is>
          <t>UPPSALA LÄN</t>
        </is>
      </c>
      <c r="E688" t="inlineStr">
        <is>
          <t>ÖSTHAMMAR</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34742-2022</t>
        </is>
      </c>
      <c r="B689" s="1" t="n">
        <v>44795.61990740741</v>
      </c>
      <c r="C689" s="1" t="n">
        <v>45888</v>
      </c>
      <c r="D689" t="inlineStr">
        <is>
          <t>UPPSALA LÄN</t>
        </is>
      </c>
      <c r="E689" t="inlineStr">
        <is>
          <t>ÖSTHAMMAR</t>
        </is>
      </c>
      <c r="F689" t="inlineStr">
        <is>
          <t>Bergvik skog öst AB</t>
        </is>
      </c>
      <c r="G689" t="n">
        <v>1.1</v>
      </c>
      <c r="H689" t="n">
        <v>0</v>
      </c>
      <c r="I689" t="n">
        <v>0</v>
      </c>
      <c r="J689" t="n">
        <v>0</v>
      </c>
      <c r="K689" t="n">
        <v>0</v>
      </c>
      <c r="L689" t="n">
        <v>0</v>
      </c>
      <c r="M689" t="n">
        <v>0</v>
      </c>
      <c r="N689" t="n">
        <v>0</v>
      </c>
      <c r="O689" t="n">
        <v>0</v>
      </c>
      <c r="P689" t="n">
        <v>0</v>
      </c>
      <c r="Q689" t="n">
        <v>0</v>
      </c>
      <c r="R689" s="2" t="inlineStr"/>
    </row>
    <row r="690" ht="15" customHeight="1">
      <c r="A690" t="inlineStr">
        <is>
          <t>A 4096-2025</t>
        </is>
      </c>
      <c r="B690" s="1" t="n">
        <v>45684</v>
      </c>
      <c r="C690" s="1" t="n">
        <v>45888</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55090-2024</t>
        </is>
      </c>
      <c r="B691" s="1" t="n">
        <v>45621.4350462963</v>
      </c>
      <c r="C691" s="1" t="n">
        <v>45888</v>
      </c>
      <c r="D691" t="inlineStr">
        <is>
          <t>UPPSALA LÄN</t>
        </is>
      </c>
      <c r="E691" t="inlineStr">
        <is>
          <t>ÖSTHAMMAR</t>
        </is>
      </c>
      <c r="F691" t="inlineStr">
        <is>
          <t>Sveaskog</t>
        </is>
      </c>
      <c r="G691" t="n">
        <v>4.4</v>
      </c>
      <c r="H691" t="n">
        <v>0</v>
      </c>
      <c r="I691" t="n">
        <v>0</v>
      </c>
      <c r="J691" t="n">
        <v>0</v>
      </c>
      <c r="K691" t="n">
        <v>0</v>
      </c>
      <c r="L691" t="n">
        <v>0</v>
      </c>
      <c r="M691" t="n">
        <v>0</v>
      </c>
      <c r="N691" t="n">
        <v>0</v>
      </c>
      <c r="O691" t="n">
        <v>0</v>
      </c>
      <c r="P691" t="n">
        <v>0</v>
      </c>
      <c r="Q691" t="n">
        <v>0</v>
      </c>
      <c r="R691" s="2" t="inlineStr"/>
    </row>
    <row r="692" ht="15" customHeight="1">
      <c r="A692" t="inlineStr">
        <is>
          <t>A 55093-2024</t>
        </is>
      </c>
      <c r="B692" s="1" t="n">
        <v>45621.43712962963</v>
      </c>
      <c r="C692" s="1" t="n">
        <v>45888</v>
      </c>
      <c r="D692" t="inlineStr">
        <is>
          <t>UPPSALA LÄN</t>
        </is>
      </c>
      <c r="E692" t="inlineStr">
        <is>
          <t>ÖSTHAMMAR</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55097-2024</t>
        </is>
      </c>
      <c r="B693" s="1" t="n">
        <v>45621.43855324074</v>
      </c>
      <c r="C693" s="1" t="n">
        <v>45888</v>
      </c>
      <c r="D693" t="inlineStr">
        <is>
          <t>UPPSALA LÄN</t>
        </is>
      </c>
      <c r="E693" t="inlineStr">
        <is>
          <t>ÖSTHAMMAR</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8902-2025</t>
        </is>
      </c>
      <c r="B694" s="1" t="n">
        <v>45713.41503472222</v>
      </c>
      <c r="C694" s="1" t="n">
        <v>45888</v>
      </c>
      <c r="D694" t="inlineStr">
        <is>
          <t>UPPSALA LÄN</t>
        </is>
      </c>
      <c r="E694" t="inlineStr">
        <is>
          <t>ÖSTHAMMAR</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3327-2023</t>
        </is>
      </c>
      <c r="B695" s="1" t="n">
        <v>44949.4377662037</v>
      </c>
      <c r="C695" s="1" t="n">
        <v>45888</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41821-2023</t>
        </is>
      </c>
      <c r="B696" s="1" t="n">
        <v>45176</v>
      </c>
      <c r="C696" s="1" t="n">
        <v>45888</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35309-2023</t>
        </is>
      </c>
      <c r="B697" s="1" t="n">
        <v>45146</v>
      </c>
      <c r="C697" s="1" t="n">
        <v>45888</v>
      </c>
      <c r="D697" t="inlineStr">
        <is>
          <t>UPPSALA LÄN</t>
        </is>
      </c>
      <c r="E697" t="inlineStr">
        <is>
          <t>ÖSTHAMMAR</t>
        </is>
      </c>
      <c r="G697" t="n">
        <v>1.3</v>
      </c>
      <c r="H697" t="n">
        <v>0</v>
      </c>
      <c r="I697" t="n">
        <v>0</v>
      </c>
      <c r="J697" t="n">
        <v>0</v>
      </c>
      <c r="K697" t="n">
        <v>0</v>
      </c>
      <c r="L697" t="n">
        <v>0</v>
      </c>
      <c r="M697" t="n">
        <v>0</v>
      </c>
      <c r="N697" t="n">
        <v>0</v>
      </c>
      <c r="O697" t="n">
        <v>0</v>
      </c>
      <c r="P697" t="n">
        <v>0</v>
      </c>
      <c r="Q697" t="n">
        <v>0</v>
      </c>
      <c r="R697" s="2" t="inlineStr"/>
    </row>
    <row r="698" ht="15" customHeight="1">
      <c r="A698" t="inlineStr">
        <is>
          <t>A 14272-2025</t>
        </is>
      </c>
      <c r="B698" s="1" t="n">
        <v>45740.64327546296</v>
      </c>
      <c r="C698" s="1" t="n">
        <v>45888</v>
      </c>
      <c r="D698" t="inlineStr">
        <is>
          <t>UPPSALA LÄN</t>
        </is>
      </c>
      <c r="E698" t="inlineStr">
        <is>
          <t>ÖSTHAMMAR</t>
        </is>
      </c>
      <c r="G698" t="n">
        <v>5.7</v>
      </c>
      <c r="H698" t="n">
        <v>0</v>
      </c>
      <c r="I698" t="n">
        <v>0</v>
      </c>
      <c r="J698" t="n">
        <v>0</v>
      </c>
      <c r="K698" t="n">
        <v>0</v>
      </c>
      <c r="L698" t="n">
        <v>0</v>
      </c>
      <c r="M698" t="n">
        <v>0</v>
      </c>
      <c r="N698" t="n">
        <v>0</v>
      </c>
      <c r="O698" t="n">
        <v>0</v>
      </c>
      <c r="P698" t="n">
        <v>0</v>
      </c>
      <c r="Q698" t="n">
        <v>0</v>
      </c>
      <c r="R698" s="2" t="inlineStr"/>
    </row>
    <row r="699" ht="15" customHeight="1">
      <c r="A699" t="inlineStr">
        <is>
          <t>A 17940-2025</t>
        </is>
      </c>
      <c r="B699" s="1" t="n">
        <v>45760.55842592593</v>
      </c>
      <c r="C699" s="1" t="n">
        <v>45888</v>
      </c>
      <c r="D699" t="inlineStr">
        <is>
          <t>UPPSALA LÄN</t>
        </is>
      </c>
      <c r="E699" t="inlineStr">
        <is>
          <t>ÖSTHAMMAR</t>
        </is>
      </c>
      <c r="F699" t="inlineStr">
        <is>
          <t>Bergvik skog öst AB</t>
        </is>
      </c>
      <c r="G699" t="n">
        <v>5.6</v>
      </c>
      <c r="H699" t="n">
        <v>0</v>
      </c>
      <c r="I699" t="n">
        <v>0</v>
      </c>
      <c r="J699" t="n">
        <v>0</v>
      </c>
      <c r="K699" t="n">
        <v>0</v>
      </c>
      <c r="L699" t="n">
        <v>0</v>
      </c>
      <c r="M699" t="n">
        <v>0</v>
      </c>
      <c r="N699" t="n">
        <v>0</v>
      </c>
      <c r="O699" t="n">
        <v>0</v>
      </c>
      <c r="P699" t="n">
        <v>0</v>
      </c>
      <c r="Q699" t="n">
        <v>0</v>
      </c>
      <c r="R699" s="2" t="inlineStr"/>
    </row>
    <row r="700" ht="15" customHeight="1">
      <c r="A700" t="inlineStr">
        <is>
          <t>A 12215-2023</t>
        </is>
      </c>
      <c r="B700" s="1" t="n">
        <v>44998</v>
      </c>
      <c r="C700" s="1" t="n">
        <v>45888</v>
      </c>
      <c r="D700" t="inlineStr">
        <is>
          <t>UPPSALA LÄN</t>
        </is>
      </c>
      <c r="E700" t="inlineStr">
        <is>
          <t>ÖSTHAMMAR</t>
        </is>
      </c>
      <c r="G700" t="n">
        <v>5.1</v>
      </c>
      <c r="H700" t="n">
        <v>0</v>
      </c>
      <c r="I700" t="n">
        <v>0</v>
      </c>
      <c r="J700" t="n">
        <v>0</v>
      </c>
      <c r="K700" t="n">
        <v>0</v>
      </c>
      <c r="L700" t="n">
        <v>0</v>
      </c>
      <c r="M700" t="n">
        <v>0</v>
      </c>
      <c r="N700" t="n">
        <v>0</v>
      </c>
      <c r="O700" t="n">
        <v>0</v>
      </c>
      <c r="P700" t="n">
        <v>0</v>
      </c>
      <c r="Q700" t="n">
        <v>0</v>
      </c>
      <c r="R700" s="2" t="inlineStr"/>
    </row>
    <row r="701" ht="15" customHeight="1">
      <c r="A701" t="inlineStr">
        <is>
          <t>A 66779-2021</t>
        </is>
      </c>
      <c r="B701" s="1" t="n">
        <v>44522.31700231481</v>
      </c>
      <c r="C701" s="1" t="n">
        <v>45888</v>
      </c>
      <c r="D701" t="inlineStr">
        <is>
          <t>UPPSALA LÄN</t>
        </is>
      </c>
      <c r="E701" t="inlineStr">
        <is>
          <t>ÖSTHAMMAR</t>
        </is>
      </c>
      <c r="G701" t="n">
        <v>2</v>
      </c>
      <c r="H701" t="n">
        <v>0</v>
      </c>
      <c r="I701" t="n">
        <v>0</v>
      </c>
      <c r="J701" t="n">
        <v>0</v>
      </c>
      <c r="K701" t="n">
        <v>0</v>
      </c>
      <c r="L701" t="n">
        <v>0</v>
      </c>
      <c r="M701" t="n">
        <v>0</v>
      </c>
      <c r="N701" t="n">
        <v>0</v>
      </c>
      <c r="O701" t="n">
        <v>0</v>
      </c>
      <c r="P701" t="n">
        <v>0</v>
      </c>
      <c r="Q701" t="n">
        <v>0</v>
      </c>
      <c r="R701" s="2" t="inlineStr"/>
    </row>
    <row r="702" ht="15" customHeight="1">
      <c r="A702" t="inlineStr">
        <is>
          <t>A 33062-2021</t>
        </is>
      </c>
      <c r="B702" s="1" t="n">
        <v>44376</v>
      </c>
      <c r="C702" s="1" t="n">
        <v>45888</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24033-2023</t>
        </is>
      </c>
      <c r="B703" s="1" t="n">
        <v>45078</v>
      </c>
      <c r="C703" s="1" t="n">
        <v>45888</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17939-2025</t>
        </is>
      </c>
      <c r="B704" s="1" t="n">
        <v>45760.55671296296</v>
      </c>
      <c r="C704" s="1" t="n">
        <v>45888</v>
      </c>
      <c r="D704" t="inlineStr">
        <is>
          <t>UPPSALA LÄN</t>
        </is>
      </c>
      <c r="E704" t="inlineStr">
        <is>
          <t>ÖSTHAMMAR</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3638-2022</t>
        </is>
      </c>
      <c r="B705" s="1" t="n">
        <v>44578</v>
      </c>
      <c r="C705" s="1" t="n">
        <v>45888</v>
      </c>
      <c r="D705" t="inlineStr">
        <is>
          <t>UPPSALA LÄN</t>
        </is>
      </c>
      <c r="E705" t="inlineStr">
        <is>
          <t>ÖSTHAMMAR</t>
        </is>
      </c>
      <c r="G705" t="n">
        <v>1.7</v>
      </c>
      <c r="H705" t="n">
        <v>0</v>
      </c>
      <c r="I705" t="n">
        <v>0</v>
      </c>
      <c r="J705" t="n">
        <v>0</v>
      </c>
      <c r="K705" t="n">
        <v>0</v>
      </c>
      <c r="L705" t="n">
        <v>0</v>
      </c>
      <c r="M705" t="n">
        <v>0</v>
      </c>
      <c r="N705" t="n">
        <v>0</v>
      </c>
      <c r="O705" t="n">
        <v>0</v>
      </c>
      <c r="P705" t="n">
        <v>0</v>
      </c>
      <c r="Q705" t="n">
        <v>0</v>
      </c>
      <c r="R705" s="2" t="inlineStr"/>
    </row>
    <row r="706" ht="15" customHeight="1">
      <c r="A706" t="inlineStr">
        <is>
          <t>A 5344-2025</t>
        </is>
      </c>
      <c r="B706" s="1" t="n">
        <v>45692</v>
      </c>
      <c r="C706" s="1" t="n">
        <v>45888</v>
      </c>
      <c r="D706" t="inlineStr">
        <is>
          <t>UPPSALA LÄN</t>
        </is>
      </c>
      <c r="E706" t="inlineStr">
        <is>
          <t>ÖSTHAMMAR</t>
        </is>
      </c>
      <c r="F706" t="inlineStr">
        <is>
          <t>Bergvik skog öst AB</t>
        </is>
      </c>
      <c r="G706" t="n">
        <v>3.2</v>
      </c>
      <c r="H706" t="n">
        <v>0</v>
      </c>
      <c r="I706" t="n">
        <v>0</v>
      </c>
      <c r="J706" t="n">
        <v>0</v>
      </c>
      <c r="K706" t="n">
        <v>0</v>
      </c>
      <c r="L706" t="n">
        <v>0</v>
      </c>
      <c r="M706" t="n">
        <v>0</v>
      </c>
      <c r="N706" t="n">
        <v>0</v>
      </c>
      <c r="O706" t="n">
        <v>0</v>
      </c>
      <c r="P706" t="n">
        <v>0</v>
      </c>
      <c r="Q706" t="n">
        <v>0</v>
      </c>
      <c r="R706" s="2" t="inlineStr"/>
    </row>
    <row r="707" ht="15" customHeight="1">
      <c r="A707" t="inlineStr">
        <is>
          <t>A 49897-2023</t>
        </is>
      </c>
      <c r="B707" s="1" t="n">
        <v>45213.84846064815</v>
      </c>
      <c r="C707" s="1" t="n">
        <v>45888</v>
      </c>
      <c r="D707" t="inlineStr">
        <is>
          <t>UPPSALA LÄN</t>
        </is>
      </c>
      <c r="E707" t="inlineStr">
        <is>
          <t>ÖSTHAMMAR</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37812-2022</t>
        </is>
      </c>
      <c r="B708" s="1" t="n">
        <v>44810</v>
      </c>
      <c r="C708" s="1" t="n">
        <v>45888</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56089-2020</t>
        </is>
      </c>
      <c r="B709" s="1" t="n">
        <v>44133</v>
      </c>
      <c r="C709" s="1" t="n">
        <v>45888</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63637-2020</t>
        </is>
      </c>
      <c r="B710" s="1" t="n">
        <v>44162</v>
      </c>
      <c r="C710" s="1" t="n">
        <v>45888</v>
      </c>
      <c r="D710" t="inlineStr">
        <is>
          <t>UPPSALA LÄN</t>
        </is>
      </c>
      <c r="E710" t="inlineStr">
        <is>
          <t>ÖSTHAMMAR</t>
        </is>
      </c>
      <c r="G710" t="n">
        <v>4</v>
      </c>
      <c r="H710" t="n">
        <v>0</v>
      </c>
      <c r="I710" t="n">
        <v>0</v>
      </c>
      <c r="J710" t="n">
        <v>0</v>
      </c>
      <c r="K710" t="n">
        <v>0</v>
      </c>
      <c r="L710" t="n">
        <v>0</v>
      </c>
      <c r="M710" t="n">
        <v>0</v>
      </c>
      <c r="N710" t="n">
        <v>0</v>
      </c>
      <c r="O710" t="n">
        <v>0</v>
      </c>
      <c r="P710" t="n">
        <v>0</v>
      </c>
      <c r="Q710" t="n">
        <v>0</v>
      </c>
      <c r="R710" s="2" t="inlineStr"/>
    </row>
    <row r="711">
      <c r="A711" t="inlineStr">
        <is>
          <t>A 56041-2020</t>
        </is>
      </c>
      <c r="B711" s="1" t="n">
        <v>44133</v>
      </c>
      <c r="C711" s="1" t="n">
        <v>45888</v>
      </c>
      <c r="D711" t="inlineStr">
        <is>
          <t>UPPSALA LÄN</t>
        </is>
      </c>
      <c r="E711" t="inlineStr">
        <is>
          <t>ÖSTHAMMAR</t>
        </is>
      </c>
      <c r="F711" t="inlineStr">
        <is>
          <t>Bergvik skog väst AB</t>
        </is>
      </c>
      <c r="G711" t="n">
        <v>1.6</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2025-08-19T08:27:46Z</dcterms:created>
  <dcterms:modified xmlns:dcterms="http://purl.org/dc/terms/" xmlns:xsi="http://www.w3.org/2001/XMLSchema-instance" xsi:type="dcterms:W3CDTF">2025-08-19T08:27:47Z</dcterms:modified>
</cp:coreProperties>
</file>