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46030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46030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51517-2025</t>
        </is>
      </c>
      <c r="B7" s="1" t="n">
        <v>45950.65636574074</v>
      </c>
      <c r="C7" s="1" t="n">
        <v>46030</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46030</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60737-2025</t>
        </is>
      </c>
      <c r="B9" s="1" t="n">
        <v>45996.83012731482</v>
      </c>
      <c r="C9" s="1" t="n">
        <v>46030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46030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46030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46030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46030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46030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46030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46030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46030</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16239-2025</t>
        </is>
      </c>
      <c r="B24" s="1" t="n">
        <v>45746</v>
      </c>
      <c r="C24" s="1" t="n">
        <v>46030</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46030</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46030</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46030</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46030</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46030</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46030</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46030</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46030</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46030</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46030</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46030</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46030</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46030</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46030</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46030</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46030</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46030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46030</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46030</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60889-2025</t>
        </is>
      </c>
      <c r="B45" s="1" t="n">
        <v>45999.56931712963</v>
      </c>
      <c r="C45" s="1" t="n">
        <v>46030</v>
      </c>
      <c r="D45" t="inlineStr">
        <is>
          <t>UPPSALA LÄN</t>
        </is>
      </c>
      <c r="E45" t="inlineStr">
        <is>
          <t>ÖSTHAMMAR</t>
        </is>
      </c>
      <c r="G45" t="n">
        <v>10.8</v>
      </c>
      <c r="H45" t="n">
        <v>0</v>
      </c>
      <c r="I45" t="n">
        <v>4</v>
      </c>
      <c r="J45" t="n">
        <v>0</v>
      </c>
      <c r="K45" t="n">
        <v>0</v>
      </c>
      <c r="L45" t="n">
        <v>0</v>
      </c>
      <c r="M45" t="n">
        <v>0</v>
      </c>
      <c r="N45" t="n">
        <v>0</v>
      </c>
      <c r="O45" t="n">
        <v>0</v>
      </c>
      <c r="P45" t="n">
        <v>0</v>
      </c>
      <c r="Q45" t="n">
        <v>4</v>
      </c>
      <c r="R45" s="2" t="inlineStr">
        <is>
          <t>Fjällig taggsvamp s.str.
Guldkremla
Skarp dropptaggsvamp
Sårläka</t>
        </is>
      </c>
      <c r="S45">
        <f>HYPERLINK("https://klasma.github.io/Logging_0382/artfynd/A 60889-2025 artfynd.xlsx", "A 60889-2025")</f>
        <v/>
      </c>
      <c r="T45">
        <f>HYPERLINK("https://klasma.github.io/Logging_0382/kartor/A 60889-2025 karta.png", "A 60889-2025")</f>
        <v/>
      </c>
      <c r="V45">
        <f>HYPERLINK("https://klasma.github.io/Logging_0382/klagomål/A 60889-2025 FSC-klagomål.docx", "A 60889-2025")</f>
        <v/>
      </c>
      <c r="W45">
        <f>HYPERLINK("https://klasma.github.io/Logging_0382/klagomålsmail/A 60889-2025 FSC-klagomål mail.docx", "A 60889-2025")</f>
        <v/>
      </c>
      <c r="X45">
        <f>HYPERLINK("https://klasma.github.io/Logging_0382/tillsyn/A 60889-2025 tillsynsbegäran.docx", "A 60889-2025")</f>
        <v/>
      </c>
      <c r="Y45">
        <f>HYPERLINK("https://klasma.github.io/Logging_0382/tillsynsmail/A 60889-2025 tillsynsbegäran mail.docx", "A 60889-2025")</f>
        <v/>
      </c>
    </row>
    <row r="46" ht="15" customHeight="1">
      <c r="A46" t="inlineStr">
        <is>
          <t>A 33051-2021</t>
        </is>
      </c>
      <c r="B46" s="1" t="n">
        <v>44376</v>
      </c>
      <c r="C46" s="1" t="n">
        <v>46030</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74364-2021</t>
        </is>
      </c>
      <c r="B47" s="1" t="n">
        <v>44559</v>
      </c>
      <c r="C47" s="1" t="n">
        <v>46030</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46030</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46030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46030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46030</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46030</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46030</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46030</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46030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46030</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46030</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46030</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60078-2021</t>
        </is>
      </c>
      <c r="B59" s="1" t="n">
        <v>44495</v>
      </c>
      <c r="C59" s="1" t="n">
        <v>46030</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46030</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46030</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56669-2025</t>
        </is>
      </c>
      <c r="B62" s="1" t="n">
        <v>45975.69306712963</v>
      </c>
      <c r="C62" s="1" t="n">
        <v>46030</v>
      </c>
      <c r="D62" t="inlineStr">
        <is>
          <t>UPPSALA LÄN</t>
        </is>
      </c>
      <c r="E62" t="inlineStr">
        <is>
          <t>ÖSTHAMMAR</t>
        </is>
      </c>
      <c r="G62" t="n">
        <v>2.1</v>
      </c>
      <c r="H62" t="n">
        <v>0</v>
      </c>
      <c r="I62" t="n">
        <v>2</v>
      </c>
      <c r="J62" t="n">
        <v>0</v>
      </c>
      <c r="K62" t="n">
        <v>0</v>
      </c>
      <c r="L62" t="n">
        <v>0</v>
      </c>
      <c r="M62" t="n">
        <v>0</v>
      </c>
      <c r="N62" t="n">
        <v>0</v>
      </c>
      <c r="O62" t="n">
        <v>0</v>
      </c>
      <c r="P62" t="n">
        <v>0</v>
      </c>
      <c r="Q62" t="n">
        <v>2</v>
      </c>
      <c r="R62" s="2" t="inlineStr">
        <is>
          <t>Anisspindling
Svavelriska</t>
        </is>
      </c>
      <c r="S62">
        <f>HYPERLINK("https://klasma.github.io/Logging_0382/artfynd/A 56669-2025 artfynd.xlsx", "A 56669-2025")</f>
        <v/>
      </c>
      <c r="T62">
        <f>HYPERLINK("https://klasma.github.io/Logging_0382/kartor/A 56669-2025 karta.png", "A 56669-2025")</f>
        <v/>
      </c>
      <c r="V62">
        <f>HYPERLINK("https://klasma.github.io/Logging_0382/klagomål/A 56669-2025 FSC-klagomål.docx", "A 56669-2025")</f>
        <v/>
      </c>
      <c r="W62">
        <f>HYPERLINK("https://klasma.github.io/Logging_0382/klagomålsmail/A 56669-2025 FSC-klagomål mail.docx", "A 56669-2025")</f>
        <v/>
      </c>
      <c r="X62">
        <f>HYPERLINK("https://klasma.github.io/Logging_0382/tillsyn/A 56669-2025 tillsynsbegäran.docx", "A 56669-2025")</f>
        <v/>
      </c>
      <c r="Y62">
        <f>HYPERLINK("https://klasma.github.io/Logging_0382/tillsynsmail/A 56669-2025 tillsynsbegäran mail.docx", "A 56669-2025")</f>
        <v/>
      </c>
    </row>
    <row r="63" ht="15" customHeight="1">
      <c r="A63" t="inlineStr">
        <is>
          <t>A 41303-2025</t>
        </is>
      </c>
      <c r="B63" s="1" t="n">
        <v>45898.69215277778</v>
      </c>
      <c r="C63" s="1" t="n">
        <v>46030</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46030</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46030</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33269-2025</t>
        </is>
      </c>
      <c r="B66" s="1" t="n">
        <v>45840.68208333333</v>
      </c>
      <c r="C66" s="1" t="n">
        <v>46030</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46030</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46030</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60898-2025</t>
        </is>
      </c>
      <c r="B69" s="1" t="n">
        <v>45999.58256944444</v>
      </c>
      <c r="C69" s="1" t="n">
        <v>46030</v>
      </c>
      <c r="D69" t="inlineStr">
        <is>
          <t>UPPSALA LÄN</t>
        </is>
      </c>
      <c r="E69" t="inlineStr">
        <is>
          <t>ÖSTHAMMAR</t>
        </is>
      </c>
      <c r="G69" t="n">
        <v>3.9</v>
      </c>
      <c r="H69" t="n">
        <v>0</v>
      </c>
      <c r="I69" t="n">
        <v>2</v>
      </c>
      <c r="J69" t="n">
        <v>0</v>
      </c>
      <c r="K69" t="n">
        <v>0</v>
      </c>
      <c r="L69" t="n">
        <v>0</v>
      </c>
      <c r="M69" t="n">
        <v>0</v>
      </c>
      <c r="N69" t="n">
        <v>0</v>
      </c>
      <c r="O69" t="n">
        <v>0</v>
      </c>
      <c r="P69" t="n">
        <v>0</v>
      </c>
      <c r="Q69" t="n">
        <v>2</v>
      </c>
      <c r="R69" s="2" t="inlineStr">
        <is>
          <t>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13287-2022</t>
        </is>
      </c>
      <c r="B70" s="1" t="n">
        <v>44644</v>
      </c>
      <c r="C70" s="1" t="n">
        <v>46030</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30943-2024</t>
        </is>
      </c>
      <c r="B71" s="1" t="n">
        <v>45499</v>
      </c>
      <c r="C71" s="1" t="n">
        <v>46030</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9646-2024</t>
        </is>
      </c>
      <c r="B72" s="1" t="n">
        <v>45362.37055555556</v>
      </c>
      <c r="C72" s="1" t="n">
        <v>46030</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26277-2024</t>
        </is>
      </c>
      <c r="B73" s="1" t="n">
        <v>45468</v>
      </c>
      <c r="C73" s="1" t="n">
        <v>46030</v>
      </c>
      <c r="D73" t="inlineStr">
        <is>
          <t>UPPSALA LÄN</t>
        </is>
      </c>
      <c r="E73" t="inlineStr">
        <is>
          <t>ÖSTHAMMAR</t>
        </is>
      </c>
      <c r="G73" t="n">
        <v>3.5</v>
      </c>
      <c r="H73" t="n">
        <v>1</v>
      </c>
      <c r="I73" t="n">
        <v>2</v>
      </c>
      <c r="J73" t="n">
        <v>0</v>
      </c>
      <c r="K73" t="n">
        <v>0</v>
      </c>
      <c r="L73" t="n">
        <v>0</v>
      </c>
      <c r="M73" t="n">
        <v>0</v>
      </c>
      <c r="N73" t="n">
        <v>0</v>
      </c>
      <c r="O73" t="n">
        <v>0</v>
      </c>
      <c r="P73" t="n">
        <v>0</v>
      </c>
      <c r="Q73" t="n">
        <v>2</v>
      </c>
      <c r="R73" s="2" t="inlineStr">
        <is>
          <t>Nästrot
Sårläka</t>
        </is>
      </c>
      <c r="S73">
        <f>HYPERLINK("https://klasma.github.io/Logging_0382/artfynd/A 26277-2024 artfynd.xlsx", "A 26277-2024")</f>
        <v/>
      </c>
      <c r="T73">
        <f>HYPERLINK("https://klasma.github.io/Logging_0382/kartor/A 26277-2024 karta.png", "A 26277-2024")</f>
        <v/>
      </c>
      <c r="V73">
        <f>HYPERLINK("https://klasma.github.io/Logging_0382/klagomål/A 26277-2024 FSC-klagomål.docx", "A 26277-2024")</f>
        <v/>
      </c>
      <c r="W73">
        <f>HYPERLINK("https://klasma.github.io/Logging_0382/klagomålsmail/A 26277-2024 FSC-klagomål mail.docx", "A 26277-2024")</f>
        <v/>
      </c>
      <c r="X73">
        <f>HYPERLINK("https://klasma.github.io/Logging_0382/tillsyn/A 26277-2024 tillsynsbegäran.docx", "A 26277-2024")</f>
        <v/>
      </c>
      <c r="Y73">
        <f>HYPERLINK("https://klasma.github.io/Logging_0382/tillsynsmail/A 26277-2024 tillsynsbegäran mail.docx", "A 26277-2024")</f>
        <v/>
      </c>
    </row>
    <row r="74" ht="15" customHeight="1">
      <c r="A74" t="inlineStr">
        <is>
          <t>A 67855-2021</t>
        </is>
      </c>
      <c r="B74" s="1" t="n">
        <v>44525</v>
      </c>
      <c r="C74" s="1" t="n">
        <v>46030</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21453-2023</t>
        </is>
      </c>
      <c r="B75" s="1" t="n">
        <v>45063</v>
      </c>
      <c r="C75" s="1" t="n">
        <v>46030</v>
      </c>
      <c r="D75" t="inlineStr">
        <is>
          <t>UPPSALA LÄN</t>
        </is>
      </c>
      <c r="E75" t="inlineStr">
        <is>
          <t>ÖSTHAMMAR</t>
        </is>
      </c>
      <c r="F75" t="inlineStr">
        <is>
          <t>Bergvik skog väst AB</t>
        </is>
      </c>
      <c r="G75" t="n">
        <v>6.1</v>
      </c>
      <c r="H75" t="n">
        <v>1</v>
      </c>
      <c r="I75" t="n">
        <v>1</v>
      </c>
      <c r="J75" t="n">
        <v>0</v>
      </c>
      <c r="K75" t="n">
        <v>0</v>
      </c>
      <c r="L75" t="n">
        <v>0</v>
      </c>
      <c r="M75" t="n">
        <v>0</v>
      </c>
      <c r="N75" t="n">
        <v>0</v>
      </c>
      <c r="O75" t="n">
        <v>0</v>
      </c>
      <c r="P75" t="n">
        <v>0</v>
      </c>
      <c r="Q75" t="n">
        <v>2</v>
      </c>
      <c r="R75" s="2" t="inlineStr">
        <is>
          <t>Fransig jordstjärna
Blåsippa</t>
        </is>
      </c>
      <c r="S75">
        <f>HYPERLINK("https://klasma.github.io/Logging_0382/artfynd/A 21453-2023 artfynd.xlsx", "A 21453-2023")</f>
        <v/>
      </c>
      <c r="T75">
        <f>HYPERLINK("https://klasma.github.io/Logging_0382/kartor/A 21453-2023 karta.png", "A 21453-2023")</f>
        <v/>
      </c>
      <c r="V75">
        <f>HYPERLINK("https://klasma.github.io/Logging_0382/klagomål/A 21453-2023 FSC-klagomål.docx", "A 21453-2023")</f>
        <v/>
      </c>
      <c r="W75">
        <f>HYPERLINK("https://klasma.github.io/Logging_0382/klagomålsmail/A 21453-2023 FSC-klagomål mail.docx", "A 21453-2023")</f>
        <v/>
      </c>
      <c r="X75">
        <f>HYPERLINK("https://klasma.github.io/Logging_0382/tillsyn/A 21453-2023 tillsynsbegäran.docx", "A 21453-2023")</f>
        <v/>
      </c>
      <c r="Y75">
        <f>HYPERLINK("https://klasma.github.io/Logging_0382/tillsynsmail/A 21453-2023 tillsynsbegäran mail.docx", "A 21453-2023")</f>
        <v/>
      </c>
    </row>
    <row r="76" ht="15" customHeight="1">
      <c r="A76" t="inlineStr">
        <is>
          <t>A 73981-2021</t>
        </is>
      </c>
      <c r="B76" s="1" t="n">
        <v>44555</v>
      </c>
      <c r="C76" s="1" t="n">
        <v>46030</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21422-2023</t>
        </is>
      </c>
      <c r="B77" s="1" t="n">
        <v>45063</v>
      </c>
      <c r="C77" s="1" t="n">
        <v>46030</v>
      </c>
      <c r="D77" t="inlineStr">
        <is>
          <t>UPPSALA LÄN</t>
        </is>
      </c>
      <c r="E77" t="inlineStr">
        <is>
          <t>ÖSTHAMMAR</t>
        </is>
      </c>
      <c r="F77" t="inlineStr">
        <is>
          <t>Sveaskog</t>
        </is>
      </c>
      <c r="G77" t="n">
        <v>2.8</v>
      </c>
      <c r="H77" t="n">
        <v>2</v>
      </c>
      <c r="I77" t="n">
        <v>0</v>
      </c>
      <c r="J77" t="n">
        <v>1</v>
      </c>
      <c r="K77" t="n">
        <v>0</v>
      </c>
      <c r="L77" t="n">
        <v>0</v>
      </c>
      <c r="M77" t="n">
        <v>0</v>
      </c>
      <c r="N77" t="n">
        <v>0</v>
      </c>
      <c r="O77" t="n">
        <v>1</v>
      </c>
      <c r="P77" t="n">
        <v>0</v>
      </c>
      <c r="Q77" t="n">
        <v>2</v>
      </c>
      <c r="R77" s="2" t="inlineStr">
        <is>
          <t>Nordfladdermus
Dvärgpipistrell</t>
        </is>
      </c>
      <c r="S77">
        <f>HYPERLINK("https://klasma.github.io/Logging_0382/artfynd/A 21422-2023 artfynd.xlsx", "A 21422-2023")</f>
        <v/>
      </c>
      <c r="T77">
        <f>HYPERLINK("https://klasma.github.io/Logging_0382/kartor/A 21422-2023 karta.png", "A 21422-2023")</f>
        <v/>
      </c>
      <c r="V77">
        <f>HYPERLINK("https://klasma.github.io/Logging_0382/klagomål/A 21422-2023 FSC-klagomål.docx", "A 21422-2023")</f>
        <v/>
      </c>
      <c r="W77">
        <f>HYPERLINK("https://klasma.github.io/Logging_0382/klagomålsmail/A 21422-2023 FSC-klagomål mail.docx", "A 21422-2023")</f>
        <v/>
      </c>
      <c r="X77">
        <f>HYPERLINK("https://klasma.github.io/Logging_0382/tillsyn/A 21422-2023 tillsynsbegäran.docx", "A 21422-2023")</f>
        <v/>
      </c>
      <c r="Y77">
        <f>HYPERLINK("https://klasma.github.io/Logging_0382/tillsynsmail/A 21422-2023 tillsynsbegäran mail.docx", "A 21422-2023")</f>
        <v/>
      </c>
    </row>
    <row r="78" ht="15" customHeight="1">
      <c r="A78" t="inlineStr">
        <is>
          <t>A 25098-2022</t>
        </is>
      </c>
      <c r="B78" s="1" t="n">
        <v>44729.44149305556</v>
      </c>
      <c r="C78" s="1" t="n">
        <v>46030</v>
      </c>
      <c r="D78" t="inlineStr">
        <is>
          <t>UPPSALA LÄN</t>
        </is>
      </c>
      <c r="E78" t="inlineStr">
        <is>
          <t>ÖSTHAMMAR</t>
        </is>
      </c>
      <c r="G78" t="n">
        <v>2.9</v>
      </c>
      <c r="H78" t="n">
        <v>2</v>
      </c>
      <c r="I78" t="n">
        <v>0</v>
      </c>
      <c r="J78" t="n">
        <v>0</v>
      </c>
      <c r="K78" t="n">
        <v>0</v>
      </c>
      <c r="L78" t="n">
        <v>0</v>
      </c>
      <c r="M78" t="n">
        <v>0</v>
      </c>
      <c r="N78" t="n">
        <v>0</v>
      </c>
      <c r="O78" t="n">
        <v>0</v>
      </c>
      <c r="P78" t="n">
        <v>0</v>
      </c>
      <c r="Q78" t="n">
        <v>2</v>
      </c>
      <c r="R78" s="2" t="inlineStr">
        <is>
          <t>Blåsippa
Gullviva</t>
        </is>
      </c>
      <c r="S78">
        <f>HYPERLINK("https://klasma.github.io/Logging_0382/artfynd/A 25098-2022 artfynd.xlsx", "A 25098-2022")</f>
        <v/>
      </c>
      <c r="T78">
        <f>HYPERLINK("https://klasma.github.io/Logging_0382/kartor/A 25098-2022 karta.png", "A 25098-2022")</f>
        <v/>
      </c>
      <c r="V78">
        <f>HYPERLINK("https://klasma.github.io/Logging_0382/klagomål/A 25098-2022 FSC-klagomål.docx", "A 25098-2022")</f>
        <v/>
      </c>
      <c r="W78">
        <f>HYPERLINK("https://klasma.github.io/Logging_0382/klagomålsmail/A 25098-2022 FSC-klagomål mail.docx", "A 25098-2022")</f>
        <v/>
      </c>
      <c r="X78">
        <f>HYPERLINK("https://klasma.github.io/Logging_0382/tillsyn/A 25098-2022 tillsynsbegäran.docx", "A 25098-2022")</f>
        <v/>
      </c>
      <c r="Y78">
        <f>HYPERLINK("https://klasma.github.io/Logging_0382/tillsynsmail/A 25098-2022 tillsynsbegäran mail.docx", "A 25098-2022")</f>
        <v/>
      </c>
    </row>
    <row r="79" ht="15" customHeight="1">
      <c r="A79" t="inlineStr">
        <is>
          <t>A 6223-2021</t>
        </is>
      </c>
      <c r="B79" s="1" t="n">
        <v>44235</v>
      </c>
      <c r="C79" s="1" t="n">
        <v>46030</v>
      </c>
      <c r="D79" t="inlineStr">
        <is>
          <t>UPPSALA LÄN</t>
        </is>
      </c>
      <c r="E79" t="inlineStr">
        <is>
          <t>ÖSTHAMMAR</t>
        </is>
      </c>
      <c r="G79" t="n">
        <v>0.5</v>
      </c>
      <c r="H79" t="n">
        <v>2</v>
      </c>
      <c r="I79" t="n">
        <v>0</v>
      </c>
      <c r="J79" t="n">
        <v>0</v>
      </c>
      <c r="K79" t="n">
        <v>0</v>
      </c>
      <c r="L79" t="n">
        <v>0</v>
      </c>
      <c r="M79" t="n">
        <v>0</v>
      </c>
      <c r="N79" t="n">
        <v>0</v>
      </c>
      <c r="O79" t="n">
        <v>0</v>
      </c>
      <c r="P79" t="n">
        <v>0</v>
      </c>
      <c r="Q79" t="n">
        <v>2</v>
      </c>
      <c r="R79" s="2" t="inlineStr">
        <is>
          <t>Blåsippa
Gullviva</t>
        </is>
      </c>
      <c r="S79">
        <f>HYPERLINK("https://klasma.github.io/Logging_0382/artfynd/A 6223-2021 artfynd.xlsx", "A 6223-2021")</f>
        <v/>
      </c>
      <c r="T79">
        <f>HYPERLINK("https://klasma.github.io/Logging_0382/kartor/A 6223-2021 karta.png", "A 6223-2021")</f>
        <v/>
      </c>
      <c r="V79">
        <f>HYPERLINK("https://klasma.github.io/Logging_0382/klagomål/A 6223-2021 FSC-klagomål.docx", "A 6223-2021")</f>
        <v/>
      </c>
      <c r="W79">
        <f>HYPERLINK("https://klasma.github.io/Logging_0382/klagomålsmail/A 6223-2021 FSC-klagomål mail.docx", "A 6223-2021")</f>
        <v/>
      </c>
      <c r="X79">
        <f>HYPERLINK("https://klasma.github.io/Logging_0382/tillsyn/A 6223-2021 tillsynsbegäran.docx", "A 6223-2021")</f>
        <v/>
      </c>
      <c r="Y79">
        <f>HYPERLINK("https://klasma.github.io/Logging_0382/tillsynsmail/A 6223-2021 tillsynsbegäran mail.docx", "A 6223-2021")</f>
        <v/>
      </c>
    </row>
    <row r="80" ht="15" customHeight="1">
      <c r="A80" t="inlineStr">
        <is>
          <t>A 38442-2022</t>
        </is>
      </c>
      <c r="B80" s="1" t="n">
        <v>44813</v>
      </c>
      <c r="C80" s="1" t="n">
        <v>46030</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46030</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46030</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46030</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49839-2021</t>
        </is>
      </c>
      <c r="B84" s="1" t="n">
        <v>44455</v>
      </c>
      <c r="C84" s="1" t="n">
        <v>46030</v>
      </c>
      <c r="D84" t="inlineStr">
        <is>
          <t>UPPSALA LÄN</t>
        </is>
      </c>
      <c r="E84" t="inlineStr">
        <is>
          <t>ÖSTHAMMAR</t>
        </is>
      </c>
      <c r="G84" t="n">
        <v>3.6</v>
      </c>
      <c r="H84" t="n">
        <v>0</v>
      </c>
      <c r="I84" t="n">
        <v>0</v>
      </c>
      <c r="J84" t="n">
        <v>0</v>
      </c>
      <c r="K84" t="n">
        <v>1</v>
      </c>
      <c r="L84" t="n">
        <v>0</v>
      </c>
      <c r="M84" t="n">
        <v>0</v>
      </c>
      <c r="N84" t="n">
        <v>0</v>
      </c>
      <c r="O84" t="n">
        <v>1</v>
      </c>
      <c r="P84" t="n">
        <v>1</v>
      </c>
      <c r="Q84" t="n">
        <v>1</v>
      </c>
      <c r="R84" s="2" t="inlineStr">
        <is>
          <t>Violgubbe</t>
        </is>
      </c>
      <c r="S84">
        <f>HYPERLINK("https://klasma.github.io/Logging_0382/artfynd/A 49839-2021 artfynd.xlsx", "A 49839-2021")</f>
        <v/>
      </c>
      <c r="T84">
        <f>HYPERLINK("https://klasma.github.io/Logging_0382/kartor/A 49839-2021 karta.png", "A 49839-2021")</f>
        <v/>
      </c>
      <c r="V84">
        <f>HYPERLINK("https://klasma.github.io/Logging_0382/klagomål/A 49839-2021 FSC-klagomål.docx", "A 49839-2021")</f>
        <v/>
      </c>
      <c r="W84">
        <f>HYPERLINK("https://klasma.github.io/Logging_0382/klagomålsmail/A 49839-2021 FSC-klagomål mail.docx", "A 49839-2021")</f>
        <v/>
      </c>
      <c r="X84">
        <f>HYPERLINK("https://klasma.github.io/Logging_0382/tillsyn/A 49839-2021 tillsynsbegäran.docx", "A 49839-2021")</f>
        <v/>
      </c>
      <c r="Y84">
        <f>HYPERLINK("https://klasma.github.io/Logging_0382/tillsynsmail/A 49839-2021 tillsynsbegäran mail.docx", "A 49839-2021")</f>
        <v/>
      </c>
    </row>
    <row r="85" ht="15" customHeight="1">
      <c r="A85" t="inlineStr">
        <is>
          <t>A 63615-2021</t>
        </is>
      </c>
      <c r="B85" s="1" t="n">
        <v>44509</v>
      </c>
      <c r="C85" s="1" t="n">
        <v>46030</v>
      </c>
      <c r="D85" t="inlineStr">
        <is>
          <t>UPPSALA LÄN</t>
        </is>
      </c>
      <c r="E85" t="inlineStr">
        <is>
          <t>ÖSTHAMMAR</t>
        </is>
      </c>
      <c r="G85" t="n">
        <v>1.9</v>
      </c>
      <c r="H85" t="n">
        <v>0</v>
      </c>
      <c r="I85" t="n">
        <v>0</v>
      </c>
      <c r="J85" t="n">
        <v>1</v>
      </c>
      <c r="K85" t="n">
        <v>0</v>
      </c>
      <c r="L85" t="n">
        <v>0</v>
      </c>
      <c r="M85" t="n">
        <v>0</v>
      </c>
      <c r="N85" t="n">
        <v>0</v>
      </c>
      <c r="O85" t="n">
        <v>1</v>
      </c>
      <c r="P85" t="n">
        <v>0</v>
      </c>
      <c r="Q85" t="n">
        <v>1</v>
      </c>
      <c r="R85" s="2" t="inlineStr">
        <is>
          <t>Gul taggsvamp</t>
        </is>
      </c>
      <c r="S85">
        <f>HYPERLINK("https://klasma.github.io/Logging_0382/artfynd/A 63615-2021 artfynd.xlsx", "A 63615-2021")</f>
        <v/>
      </c>
      <c r="T85">
        <f>HYPERLINK("https://klasma.github.io/Logging_0382/kartor/A 63615-2021 karta.png", "A 63615-2021")</f>
        <v/>
      </c>
      <c r="V85">
        <f>HYPERLINK("https://klasma.github.io/Logging_0382/klagomål/A 63615-2021 FSC-klagomål.docx", "A 63615-2021")</f>
        <v/>
      </c>
      <c r="W85">
        <f>HYPERLINK("https://klasma.github.io/Logging_0382/klagomålsmail/A 63615-2021 FSC-klagomål mail.docx", "A 63615-2021")</f>
        <v/>
      </c>
      <c r="X85">
        <f>HYPERLINK("https://klasma.github.io/Logging_0382/tillsyn/A 63615-2021 tillsynsbegäran.docx", "A 63615-2021")</f>
        <v/>
      </c>
      <c r="Y85">
        <f>HYPERLINK("https://klasma.github.io/Logging_0382/tillsynsmail/A 63615-2021 tillsynsbegäran mail.docx", "A 63615-2021")</f>
        <v/>
      </c>
    </row>
    <row r="86" ht="15" customHeight="1">
      <c r="A86" t="inlineStr">
        <is>
          <t>A 14203-2024</t>
        </is>
      </c>
      <c r="B86" s="1" t="n">
        <v>45393</v>
      </c>
      <c r="C86" s="1" t="n">
        <v>46030</v>
      </c>
      <c r="D86" t="inlineStr">
        <is>
          <t>UPPSALA LÄN</t>
        </is>
      </c>
      <c r="E86" t="inlineStr">
        <is>
          <t>ÖSTHAMMAR</t>
        </is>
      </c>
      <c r="G86" t="n">
        <v>1.4</v>
      </c>
      <c r="H86" t="n">
        <v>0</v>
      </c>
      <c r="I86" t="n">
        <v>0</v>
      </c>
      <c r="J86" t="n">
        <v>1</v>
      </c>
      <c r="K86" t="n">
        <v>0</v>
      </c>
      <c r="L86" t="n">
        <v>0</v>
      </c>
      <c r="M86" t="n">
        <v>0</v>
      </c>
      <c r="N86" t="n">
        <v>0</v>
      </c>
      <c r="O86" t="n">
        <v>1</v>
      </c>
      <c r="P86" t="n">
        <v>0</v>
      </c>
      <c r="Q86" t="n">
        <v>1</v>
      </c>
      <c r="R86" s="2" t="inlineStr">
        <is>
          <t>Scharlakansvaxing</t>
        </is>
      </c>
      <c r="S86">
        <f>HYPERLINK("https://klasma.github.io/Logging_0382/artfynd/A 14203-2024 artfynd.xlsx", "A 14203-2024")</f>
        <v/>
      </c>
      <c r="T86">
        <f>HYPERLINK("https://klasma.github.io/Logging_0382/kartor/A 14203-2024 karta.png", "A 14203-2024")</f>
        <v/>
      </c>
      <c r="V86">
        <f>HYPERLINK("https://klasma.github.io/Logging_0382/klagomål/A 14203-2024 FSC-klagomål.docx", "A 14203-2024")</f>
        <v/>
      </c>
      <c r="W86">
        <f>HYPERLINK("https://klasma.github.io/Logging_0382/klagomålsmail/A 14203-2024 FSC-klagomål mail.docx", "A 14203-2024")</f>
        <v/>
      </c>
      <c r="X86">
        <f>HYPERLINK("https://klasma.github.io/Logging_0382/tillsyn/A 14203-2024 tillsynsbegäran.docx", "A 14203-2024")</f>
        <v/>
      </c>
      <c r="Y86">
        <f>HYPERLINK("https://klasma.github.io/Logging_0382/tillsynsmail/A 14203-2024 tillsynsbegäran mail.docx", "A 14203-2024")</f>
        <v/>
      </c>
    </row>
    <row r="87" ht="15" customHeight="1">
      <c r="A87" t="inlineStr">
        <is>
          <t>A 7446-2022</t>
        </is>
      </c>
      <c r="B87" s="1" t="n">
        <v>44606</v>
      </c>
      <c r="C87" s="1" t="n">
        <v>46030</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41220-2025</t>
        </is>
      </c>
      <c r="B88" s="1" t="n">
        <v>45898.58630787037</v>
      </c>
      <c r="C88" s="1" t="n">
        <v>46030</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22287-2023</t>
        </is>
      </c>
      <c r="B89" s="1" t="n">
        <v>45070</v>
      </c>
      <c r="C89" s="1" t="n">
        <v>46030</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30605-2025</t>
        </is>
      </c>
      <c r="B90" s="1" t="n">
        <v>45831.45510416666</v>
      </c>
      <c r="C90" s="1" t="n">
        <v>46030</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46030</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46030</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46030</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61410-2025</t>
        </is>
      </c>
      <c r="B94" s="1" t="n">
        <v>46001.51974537037</v>
      </c>
      <c r="C94" s="1" t="n">
        <v>46030</v>
      </c>
      <c r="D94" t="inlineStr">
        <is>
          <t>UPPSALA LÄN</t>
        </is>
      </c>
      <c r="E94" t="inlineStr">
        <is>
          <t>ÖSTHAMMAR</t>
        </is>
      </c>
      <c r="G94" t="n">
        <v>3.5</v>
      </c>
      <c r="H94" t="n">
        <v>0</v>
      </c>
      <c r="I94" t="n">
        <v>1</v>
      </c>
      <c r="J94" t="n">
        <v>0</v>
      </c>
      <c r="K94" t="n">
        <v>0</v>
      </c>
      <c r="L94" t="n">
        <v>0</v>
      </c>
      <c r="M94" t="n">
        <v>0</v>
      </c>
      <c r="N94" t="n">
        <v>0</v>
      </c>
      <c r="O94" t="n">
        <v>0</v>
      </c>
      <c r="P94" t="n">
        <v>0</v>
      </c>
      <c r="Q94" t="n">
        <v>1</v>
      </c>
      <c r="R94" s="2" t="inlineStr">
        <is>
          <t>Trådticka</t>
        </is>
      </c>
      <c r="S94">
        <f>HYPERLINK("https://klasma.github.io/Logging_0382/artfynd/A 61410-2025 artfynd.xlsx", "A 61410-2025")</f>
        <v/>
      </c>
      <c r="T94">
        <f>HYPERLINK("https://klasma.github.io/Logging_0382/kartor/A 61410-2025 karta.png", "A 61410-2025")</f>
        <v/>
      </c>
      <c r="V94">
        <f>HYPERLINK("https://klasma.github.io/Logging_0382/klagomål/A 61410-2025 FSC-klagomål.docx", "A 61410-2025")</f>
        <v/>
      </c>
      <c r="W94">
        <f>HYPERLINK("https://klasma.github.io/Logging_0382/klagomålsmail/A 61410-2025 FSC-klagomål mail.docx", "A 61410-2025")</f>
        <v/>
      </c>
      <c r="X94">
        <f>HYPERLINK("https://klasma.github.io/Logging_0382/tillsyn/A 61410-2025 tillsynsbegäran.docx", "A 61410-2025")</f>
        <v/>
      </c>
      <c r="Y94">
        <f>HYPERLINK("https://klasma.github.io/Logging_0382/tillsynsmail/A 61410-2025 tillsynsbegäran mail.docx", "A 61410-2025")</f>
        <v/>
      </c>
    </row>
    <row r="95" ht="15" customHeight="1">
      <c r="A95" t="inlineStr">
        <is>
          <t>A 61574-2025</t>
        </is>
      </c>
      <c r="B95" s="1" t="n">
        <v>46002.31423611111</v>
      </c>
      <c r="C95" s="1" t="n">
        <v>46030</v>
      </c>
      <c r="D95" t="inlineStr">
        <is>
          <t>UPPSALA LÄN</t>
        </is>
      </c>
      <c r="E95" t="inlineStr">
        <is>
          <t>ÖSTHAMMAR</t>
        </is>
      </c>
      <c r="F95" t="inlineStr">
        <is>
          <t>Övriga Aktiebolag</t>
        </is>
      </c>
      <c r="G95" t="n">
        <v>16.6</v>
      </c>
      <c r="H95" t="n">
        <v>1</v>
      </c>
      <c r="I95" t="n">
        <v>0</v>
      </c>
      <c r="J95" t="n">
        <v>0</v>
      </c>
      <c r="K95" t="n">
        <v>1</v>
      </c>
      <c r="L95" t="n">
        <v>0</v>
      </c>
      <c r="M95" t="n">
        <v>0</v>
      </c>
      <c r="N95" t="n">
        <v>0</v>
      </c>
      <c r="O95" t="n">
        <v>1</v>
      </c>
      <c r="P95" t="n">
        <v>1</v>
      </c>
      <c r="Q95" t="n">
        <v>1</v>
      </c>
      <c r="R95" s="2" t="inlineStr">
        <is>
          <t>Hällebräcka</t>
        </is>
      </c>
      <c r="S95">
        <f>HYPERLINK("https://klasma.github.io/Logging_0382/artfynd/A 61574-2025 artfynd.xlsx", "A 61574-2025")</f>
        <v/>
      </c>
      <c r="T95">
        <f>HYPERLINK("https://klasma.github.io/Logging_0382/kartor/A 61574-2025 karta.png", "A 61574-2025")</f>
        <v/>
      </c>
      <c r="V95">
        <f>HYPERLINK("https://klasma.github.io/Logging_0382/klagomål/A 61574-2025 FSC-klagomål.docx", "A 61574-2025")</f>
        <v/>
      </c>
      <c r="W95">
        <f>HYPERLINK("https://klasma.github.io/Logging_0382/klagomålsmail/A 61574-2025 FSC-klagomål mail.docx", "A 61574-2025")</f>
        <v/>
      </c>
      <c r="X95">
        <f>HYPERLINK("https://klasma.github.io/Logging_0382/tillsyn/A 61574-2025 tillsynsbegäran.docx", "A 61574-2025")</f>
        <v/>
      </c>
      <c r="Y95">
        <f>HYPERLINK("https://klasma.github.io/Logging_0382/tillsynsmail/A 61574-2025 tillsynsbegäran mail.docx", "A 61574-2025")</f>
        <v/>
      </c>
    </row>
    <row r="96" ht="15" customHeight="1">
      <c r="A96" t="inlineStr">
        <is>
          <t>A 7470-2022</t>
        </is>
      </c>
      <c r="B96" s="1" t="n">
        <v>44607</v>
      </c>
      <c r="C96" s="1" t="n">
        <v>46030</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22209-2022</t>
        </is>
      </c>
      <c r="B97" s="1" t="n">
        <v>44712</v>
      </c>
      <c r="C97" s="1" t="n">
        <v>46030</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12753-2024</t>
        </is>
      </c>
      <c r="B98" s="1" t="n">
        <v>45384</v>
      </c>
      <c r="C98" s="1" t="n">
        <v>46030</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24797-2022</t>
        </is>
      </c>
      <c r="B99" s="1" t="n">
        <v>44728</v>
      </c>
      <c r="C99" s="1" t="n">
        <v>46030</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25179-2023</t>
        </is>
      </c>
      <c r="B100" s="1" t="n">
        <v>45078</v>
      </c>
      <c r="C100" s="1" t="n">
        <v>46030</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33800-2024</t>
        </is>
      </c>
      <c r="B101" s="1" t="n">
        <v>45520</v>
      </c>
      <c r="C101" s="1" t="n">
        <v>46030</v>
      </c>
      <c r="D101" t="inlineStr">
        <is>
          <t>UPPSALA LÄN</t>
        </is>
      </c>
      <c r="E101" t="inlineStr">
        <is>
          <t>ÖSTHAMMAR</t>
        </is>
      </c>
      <c r="F101" t="inlineStr">
        <is>
          <t>Naturvårdsverket</t>
        </is>
      </c>
      <c r="G101" t="n">
        <v>1.5</v>
      </c>
      <c r="H101" t="n">
        <v>1</v>
      </c>
      <c r="I101" t="n">
        <v>0</v>
      </c>
      <c r="J101" t="n">
        <v>0</v>
      </c>
      <c r="K101" t="n">
        <v>0</v>
      </c>
      <c r="L101" t="n">
        <v>0</v>
      </c>
      <c r="M101" t="n">
        <v>0</v>
      </c>
      <c r="N101" t="n">
        <v>0</v>
      </c>
      <c r="O101" t="n">
        <v>0</v>
      </c>
      <c r="P101" t="n">
        <v>0</v>
      </c>
      <c r="Q101" t="n">
        <v>1</v>
      </c>
      <c r="R101" s="2" t="inlineStr">
        <is>
          <t>Fläcknycklar</t>
        </is>
      </c>
      <c r="S101">
        <f>HYPERLINK("https://klasma.github.io/Logging_0382/artfynd/A 33800-2024 artfynd.xlsx", "A 33800-2024")</f>
        <v/>
      </c>
      <c r="T101">
        <f>HYPERLINK("https://klasma.github.io/Logging_0382/kartor/A 33800-2024 karta.png", "A 33800-2024")</f>
        <v/>
      </c>
      <c r="V101">
        <f>HYPERLINK("https://klasma.github.io/Logging_0382/klagomål/A 33800-2024 FSC-klagomål.docx", "A 33800-2024")</f>
        <v/>
      </c>
      <c r="W101">
        <f>HYPERLINK("https://klasma.github.io/Logging_0382/klagomålsmail/A 33800-2024 FSC-klagomål mail.docx", "A 33800-2024")</f>
        <v/>
      </c>
      <c r="X101">
        <f>HYPERLINK("https://klasma.github.io/Logging_0382/tillsyn/A 33800-2024 tillsynsbegäran.docx", "A 33800-2024")</f>
        <v/>
      </c>
      <c r="Y101">
        <f>HYPERLINK("https://klasma.github.io/Logging_0382/tillsynsmail/A 33800-2024 tillsynsbegäran mail.docx", "A 33800-2024")</f>
        <v/>
      </c>
    </row>
    <row r="102" ht="15" customHeight="1">
      <c r="A102" t="inlineStr">
        <is>
          <t>A 14706-2023</t>
        </is>
      </c>
      <c r="B102" s="1" t="n">
        <v>45013</v>
      </c>
      <c r="C102" s="1" t="n">
        <v>46030</v>
      </c>
      <c r="D102" t="inlineStr">
        <is>
          <t>UPPSALA LÄN</t>
        </is>
      </c>
      <c r="E102" t="inlineStr">
        <is>
          <t>ÖSTHAMMAR</t>
        </is>
      </c>
      <c r="G102" t="n">
        <v>0.9</v>
      </c>
      <c r="H102" t="n">
        <v>0</v>
      </c>
      <c r="I102" t="n">
        <v>1</v>
      </c>
      <c r="J102" t="n">
        <v>0</v>
      </c>
      <c r="K102" t="n">
        <v>0</v>
      </c>
      <c r="L102" t="n">
        <v>0</v>
      </c>
      <c r="M102" t="n">
        <v>0</v>
      </c>
      <c r="N102" t="n">
        <v>0</v>
      </c>
      <c r="O102" t="n">
        <v>0</v>
      </c>
      <c r="P102" t="n">
        <v>0</v>
      </c>
      <c r="Q102" t="n">
        <v>1</v>
      </c>
      <c r="R102" s="2" t="inlineStr">
        <is>
          <t>Olivspindling</t>
        </is>
      </c>
      <c r="S102">
        <f>HYPERLINK("https://klasma.github.io/Logging_0382/artfynd/A 14706-2023 artfynd.xlsx", "A 14706-2023")</f>
        <v/>
      </c>
      <c r="T102">
        <f>HYPERLINK("https://klasma.github.io/Logging_0382/kartor/A 14706-2023 karta.png", "A 14706-2023")</f>
        <v/>
      </c>
      <c r="V102">
        <f>HYPERLINK("https://klasma.github.io/Logging_0382/klagomål/A 14706-2023 FSC-klagomål.docx", "A 14706-2023")</f>
        <v/>
      </c>
      <c r="W102">
        <f>HYPERLINK("https://klasma.github.io/Logging_0382/klagomålsmail/A 14706-2023 FSC-klagomål mail.docx", "A 14706-2023")</f>
        <v/>
      </c>
      <c r="X102">
        <f>HYPERLINK("https://klasma.github.io/Logging_0382/tillsyn/A 14706-2023 tillsynsbegäran.docx", "A 14706-2023")</f>
        <v/>
      </c>
      <c r="Y102">
        <f>HYPERLINK("https://klasma.github.io/Logging_0382/tillsynsmail/A 14706-2023 tillsynsbegäran mail.docx", "A 14706-2023")</f>
        <v/>
      </c>
    </row>
    <row r="103" ht="15" customHeight="1">
      <c r="A103" t="inlineStr">
        <is>
          <t>A 1227-2022</t>
        </is>
      </c>
      <c r="B103" s="1" t="n">
        <v>44572.57641203704</v>
      </c>
      <c r="C103" s="1" t="n">
        <v>46030</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46030</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46030</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52818-2022</t>
        </is>
      </c>
      <c r="B106" s="1" t="n">
        <v>44875</v>
      </c>
      <c r="C106" s="1" t="n">
        <v>46030</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46030</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46030</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22375-2024</t>
        </is>
      </c>
      <c r="B109" s="1" t="n">
        <v>45446</v>
      </c>
      <c r="C109" s="1" t="n">
        <v>46030</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70495-2021</t>
        </is>
      </c>
      <c r="B110" s="1" t="n">
        <v>44536</v>
      </c>
      <c r="C110" s="1" t="n">
        <v>46030</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29679-2023</t>
        </is>
      </c>
      <c r="B111" s="1" t="n">
        <v>45107</v>
      </c>
      <c r="C111" s="1" t="n">
        <v>46030</v>
      </c>
      <c r="D111" t="inlineStr">
        <is>
          <t>UPPSALA LÄN</t>
        </is>
      </c>
      <c r="E111" t="inlineStr">
        <is>
          <t>ÖSTHAMMAR</t>
        </is>
      </c>
      <c r="F111" t="inlineStr">
        <is>
          <t>Övriga Aktiebolag</t>
        </is>
      </c>
      <c r="G111" t="n">
        <v>7.3</v>
      </c>
      <c r="H111" t="n">
        <v>0</v>
      </c>
      <c r="I111" t="n">
        <v>0</v>
      </c>
      <c r="J111" t="n">
        <v>1</v>
      </c>
      <c r="K111" t="n">
        <v>0</v>
      </c>
      <c r="L111" t="n">
        <v>0</v>
      </c>
      <c r="M111" t="n">
        <v>0</v>
      </c>
      <c r="N111" t="n">
        <v>0</v>
      </c>
      <c r="O111" t="n">
        <v>1</v>
      </c>
      <c r="P111" t="n">
        <v>0</v>
      </c>
      <c r="Q111" t="n">
        <v>1</v>
      </c>
      <c r="R111" s="2" t="inlineStr">
        <is>
          <t>Vintertagging</t>
        </is>
      </c>
      <c r="S111">
        <f>HYPERLINK("https://klasma.github.io/Logging_0382/artfynd/A 29679-2023 artfynd.xlsx", "A 29679-2023")</f>
        <v/>
      </c>
      <c r="T111">
        <f>HYPERLINK("https://klasma.github.io/Logging_0382/kartor/A 29679-2023 karta.png", "A 29679-2023")</f>
        <v/>
      </c>
      <c r="V111">
        <f>HYPERLINK("https://klasma.github.io/Logging_0382/klagomål/A 29679-2023 FSC-klagomål.docx", "A 29679-2023")</f>
        <v/>
      </c>
      <c r="W111">
        <f>HYPERLINK("https://klasma.github.io/Logging_0382/klagomålsmail/A 29679-2023 FSC-klagomål mail.docx", "A 29679-2023")</f>
        <v/>
      </c>
      <c r="X111">
        <f>HYPERLINK("https://klasma.github.io/Logging_0382/tillsyn/A 29679-2023 tillsynsbegäran.docx", "A 29679-2023")</f>
        <v/>
      </c>
      <c r="Y111">
        <f>HYPERLINK("https://klasma.github.io/Logging_0382/tillsynsmail/A 29679-2023 tillsynsbegäran mail.docx", "A 29679-2023")</f>
        <v/>
      </c>
    </row>
    <row r="112" ht="15" customHeight="1">
      <c r="A112" t="inlineStr">
        <is>
          <t>A 3693-2021</t>
        </is>
      </c>
      <c r="B112" s="1" t="n">
        <v>44221</v>
      </c>
      <c r="C112" s="1" t="n">
        <v>46030</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70408-2021</t>
        </is>
      </c>
      <c r="B113" s="1" t="n">
        <v>44536</v>
      </c>
      <c r="C113" s="1" t="n">
        <v>46030</v>
      </c>
      <c r="D113" t="inlineStr">
        <is>
          <t>UPPSALA LÄN</t>
        </is>
      </c>
      <c r="E113" t="inlineStr">
        <is>
          <t>ÖSTHAMMAR</t>
        </is>
      </c>
      <c r="G113" t="n">
        <v>1</v>
      </c>
      <c r="H113" t="n">
        <v>0</v>
      </c>
      <c r="I113" t="n">
        <v>0</v>
      </c>
      <c r="J113" t="n">
        <v>0</v>
      </c>
      <c r="K113" t="n">
        <v>0</v>
      </c>
      <c r="L113" t="n">
        <v>0</v>
      </c>
      <c r="M113" t="n">
        <v>0</v>
      </c>
      <c r="N113" t="n">
        <v>0</v>
      </c>
      <c r="O113" t="n">
        <v>0</v>
      </c>
      <c r="P113" t="n">
        <v>0</v>
      </c>
      <c r="Q113" t="n">
        <v>0</v>
      </c>
      <c r="R113" s="2" t="inlineStr"/>
    </row>
    <row r="114" ht="15" customHeight="1">
      <c r="A114" t="inlineStr">
        <is>
          <t>A 73983-2021</t>
        </is>
      </c>
      <c r="B114" s="1" t="n">
        <v>44555.80506944445</v>
      </c>
      <c r="C114" s="1" t="n">
        <v>46030</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46030</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46030</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46030</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10287-2022</t>
        </is>
      </c>
      <c r="B118" s="1" t="n">
        <v>44622</v>
      </c>
      <c r="C118" s="1" t="n">
        <v>46030</v>
      </c>
      <c r="D118" t="inlineStr">
        <is>
          <t>UPPSALA LÄN</t>
        </is>
      </c>
      <c r="E118" t="inlineStr">
        <is>
          <t>ÖSTHAMMAR</t>
        </is>
      </c>
      <c r="F118" t="inlineStr">
        <is>
          <t>Bergvik skog öst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61555-2021</t>
        </is>
      </c>
      <c r="B119" s="1" t="n">
        <v>44501.4250462963</v>
      </c>
      <c r="C119" s="1" t="n">
        <v>46030</v>
      </c>
      <c r="D119" t="inlineStr">
        <is>
          <t>UPPSALA LÄN</t>
        </is>
      </c>
      <c r="E119" t="inlineStr">
        <is>
          <t>ÖSTHAMMAR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18727-2022</t>
        </is>
      </c>
      <c r="B120" s="1" t="n">
        <v>44687.68890046296</v>
      </c>
      <c r="C120" s="1" t="n">
        <v>46030</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18732-2022</t>
        </is>
      </c>
      <c r="B121" s="1" t="n">
        <v>44687</v>
      </c>
      <c r="C121" s="1" t="n">
        <v>46030</v>
      </c>
      <c r="D121" t="inlineStr">
        <is>
          <t>UPPSALA LÄN</t>
        </is>
      </c>
      <c r="E121" t="inlineStr">
        <is>
          <t>ÖSTHAMMAR</t>
        </is>
      </c>
      <c r="G121" t="n">
        <v>10.5</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46030</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15847-2022</t>
        </is>
      </c>
      <c r="B123" s="1" t="n">
        <v>44664</v>
      </c>
      <c r="C123" s="1" t="n">
        <v>46030</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14271-2022</t>
        </is>
      </c>
      <c r="B124" s="1" t="n">
        <v>44651.88756944444</v>
      </c>
      <c r="C124" s="1" t="n">
        <v>46030</v>
      </c>
      <c r="D124" t="inlineStr">
        <is>
          <t>UPPSALA LÄN</t>
        </is>
      </c>
      <c r="E124" t="inlineStr">
        <is>
          <t>ÖSTHAMMAR</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46030</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51055-2022</t>
        </is>
      </c>
      <c r="B126" s="1" t="n">
        <v>44868</v>
      </c>
      <c r="C126" s="1" t="n">
        <v>46030</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59498-2021</t>
        </is>
      </c>
      <c r="B127" s="1" t="n">
        <v>44491.53787037037</v>
      </c>
      <c r="C127" s="1" t="n">
        <v>46030</v>
      </c>
      <c r="D127" t="inlineStr">
        <is>
          <t>UPPSALA LÄN</t>
        </is>
      </c>
      <c r="E127" t="inlineStr">
        <is>
          <t>ÖSTHAMMAR</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44019-2022</t>
        </is>
      </c>
      <c r="B128" s="1" t="n">
        <v>44838.82126157408</v>
      </c>
      <c r="C128" s="1" t="n">
        <v>46030</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46030</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24062-2021</t>
        </is>
      </c>
      <c r="B130" s="1" t="n">
        <v>44336</v>
      </c>
      <c r="C130" s="1" t="n">
        <v>46030</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46030</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46030</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46030</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46030</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67859-2021</t>
        </is>
      </c>
      <c r="B135" s="1" t="n">
        <v>44525.48695601852</v>
      </c>
      <c r="C135" s="1" t="n">
        <v>46030</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26257-2021</t>
        </is>
      </c>
      <c r="B136" s="1" t="n">
        <v>44347</v>
      </c>
      <c r="C136" s="1" t="n">
        <v>46030</v>
      </c>
      <c r="D136" t="inlineStr">
        <is>
          <t>UPPSALA LÄN</t>
        </is>
      </c>
      <c r="E136" t="inlineStr">
        <is>
          <t>ÖSTHAMMAR</t>
        </is>
      </c>
      <c r="G136" t="n">
        <v>3.2</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46030</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46030</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46030</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46030</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46030</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10298-2022</t>
        </is>
      </c>
      <c r="B142" s="1" t="n">
        <v>44622</v>
      </c>
      <c r="C142" s="1" t="n">
        <v>46030</v>
      </c>
      <c r="D142" t="inlineStr">
        <is>
          <t>UPPSALA LÄN</t>
        </is>
      </c>
      <c r="E142" t="inlineStr">
        <is>
          <t>ÖSTHAMMAR</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8556-2022</t>
        </is>
      </c>
      <c r="B143" s="1" t="n">
        <v>44613.51798611111</v>
      </c>
      <c r="C143" s="1" t="n">
        <v>46030</v>
      </c>
      <c r="D143" t="inlineStr">
        <is>
          <t>UPPSALA LÄN</t>
        </is>
      </c>
      <c r="E143" t="inlineStr">
        <is>
          <t>ÖSTHAMMAR</t>
        </is>
      </c>
      <c r="G143" t="n">
        <v>0.5</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46030</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46030</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46030</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4315-2022</t>
        </is>
      </c>
      <c r="B147" s="1" t="n">
        <v>44588</v>
      </c>
      <c r="C147" s="1" t="n">
        <v>46030</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24138-2022</t>
        </is>
      </c>
      <c r="B148" s="1" t="n">
        <v>44725.45895833334</v>
      </c>
      <c r="C148" s="1" t="n">
        <v>46030</v>
      </c>
      <c r="D148" t="inlineStr">
        <is>
          <t>UPPSALA LÄN</t>
        </is>
      </c>
      <c r="E148" t="inlineStr">
        <is>
          <t>ÖSTHAMMAR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46030</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47163-2022</t>
        </is>
      </c>
      <c r="B150" s="1" t="n">
        <v>44852.59962962963</v>
      </c>
      <c r="C150" s="1" t="n">
        <v>46030</v>
      </c>
      <c r="D150" t="inlineStr">
        <is>
          <t>UPPSALA LÄN</t>
        </is>
      </c>
      <c r="E150" t="inlineStr">
        <is>
          <t>ÖSTHAMMAR</t>
        </is>
      </c>
      <c r="G150" t="n">
        <v>5.5</v>
      </c>
      <c r="H150" t="n">
        <v>0</v>
      </c>
      <c r="I150" t="n">
        <v>0</v>
      </c>
      <c r="J150" t="n">
        <v>0</v>
      </c>
      <c r="K150" t="n">
        <v>0</v>
      </c>
      <c r="L150" t="n">
        <v>0</v>
      </c>
      <c r="M150" t="n">
        <v>0</v>
      </c>
      <c r="N150" t="n">
        <v>0</v>
      </c>
      <c r="O150" t="n">
        <v>0</v>
      </c>
      <c r="P150" t="n">
        <v>0</v>
      </c>
      <c r="Q150" t="n">
        <v>0</v>
      </c>
      <c r="R150" s="2" t="inlineStr"/>
    </row>
    <row r="151" ht="15" customHeight="1">
      <c r="A151" t="inlineStr">
        <is>
          <t>A 66549-2021</t>
        </is>
      </c>
      <c r="B151" s="1" t="n">
        <v>44519.3990162037</v>
      </c>
      <c r="C151" s="1" t="n">
        <v>46030</v>
      </c>
      <c r="D151" t="inlineStr">
        <is>
          <t>UPPSALA LÄN</t>
        </is>
      </c>
      <c r="E151" t="inlineStr">
        <is>
          <t>ÖSTHAMMAR</t>
        </is>
      </c>
      <c r="F151" t="inlineStr">
        <is>
          <t>Bergvik skog öst AB</t>
        </is>
      </c>
      <c r="G151" t="n">
        <v>2.8</v>
      </c>
      <c r="H151" t="n">
        <v>0</v>
      </c>
      <c r="I151" t="n">
        <v>0</v>
      </c>
      <c r="J151" t="n">
        <v>0</v>
      </c>
      <c r="K151" t="n">
        <v>0</v>
      </c>
      <c r="L151" t="n">
        <v>0</v>
      </c>
      <c r="M151" t="n">
        <v>0</v>
      </c>
      <c r="N151" t="n">
        <v>0</v>
      </c>
      <c r="O151" t="n">
        <v>0</v>
      </c>
      <c r="P151" t="n">
        <v>0</v>
      </c>
      <c r="Q151" t="n">
        <v>0</v>
      </c>
      <c r="R151" s="2" t="inlineStr"/>
    </row>
    <row r="152" ht="15" customHeight="1">
      <c r="A152" t="inlineStr">
        <is>
          <t>A 5932-2022</t>
        </is>
      </c>
      <c r="B152" s="1" t="n">
        <v>44598.8281712963</v>
      </c>
      <c r="C152" s="1" t="n">
        <v>46030</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48308-2021</t>
        </is>
      </c>
      <c r="B153" s="1" t="n">
        <v>44450</v>
      </c>
      <c r="C153" s="1" t="n">
        <v>46030</v>
      </c>
      <c r="D153" t="inlineStr">
        <is>
          <t>UPPSALA LÄN</t>
        </is>
      </c>
      <c r="E153" t="inlineStr">
        <is>
          <t>ÖSTHAMMAR</t>
        </is>
      </c>
      <c r="G153" t="n">
        <v>3.5</v>
      </c>
      <c r="H153" t="n">
        <v>0</v>
      </c>
      <c r="I153" t="n">
        <v>0</v>
      </c>
      <c r="J153" t="n">
        <v>0</v>
      </c>
      <c r="K153" t="n">
        <v>0</v>
      </c>
      <c r="L153" t="n">
        <v>0</v>
      </c>
      <c r="M153" t="n">
        <v>0</v>
      </c>
      <c r="N153" t="n">
        <v>0</v>
      </c>
      <c r="O153" t="n">
        <v>0</v>
      </c>
      <c r="P153" t="n">
        <v>0</v>
      </c>
      <c r="Q153" t="n">
        <v>0</v>
      </c>
      <c r="R153" s="2" t="inlineStr"/>
    </row>
    <row r="154" ht="15" customHeight="1">
      <c r="A154" t="inlineStr">
        <is>
          <t>A 19287-2022</t>
        </is>
      </c>
      <c r="B154" s="1" t="n">
        <v>44692.49559027778</v>
      </c>
      <c r="C154" s="1" t="n">
        <v>46030</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46030</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19181-2022</t>
        </is>
      </c>
      <c r="B156" s="1" t="n">
        <v>44691</v>
      </c>
      <c r="C156" s="1" t="n">
        <v>46030</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19707-2022</t>
        </is>
      </c>
      <c r="B157" s="1" t="n">
        <v>44694</v>
      </c>
      <c r="C157" s="1" t="n">
        <v>46030</v>
      </c>
      <c r="D157" t="inlineStr">
        <is>
          <t>UPPSALA LÄN</t>
        </is>
      </c>
      <c r="E157" t="inlineStr">
        <is>
          <t>ÖSTHAMMAR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15334-2022</t>
        </is>
      </c>
      <c r="B158" s="1" t="n">
        <v>44659</v>
      </c>
      <c r="C158" s="1" t="n">
        <v>46030</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64872-2021</t>
        </is>
      </c>
      <c r="B159" s="1" t="n">
        <v>44512.6108912037</v>
      </c>
      <c r="C159" s="1" t="n">
        <v>46030</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43469-2021</t>
        </is>
      </c>
      <c r="B160" s="1" t="n">
        <v>44432</v>
      </c>
      <c r="C160" s="1" t="n">
        <v>46030</v>
      </c>
      <c r="D160" t="inlineStr">
        <is>
          <t>UPPSALA LÄN</t>
        </is>
      </c>
      <c r="E160" t="inlineStr">
        <is>
          <t>ÖSTHAMMAR</t>
        </is>
      </c>
      <c r="G160" t="n">
        <v>3.9</v>
      </c>
      <c r="H160" t="n">
        <v>0</v>
      </c>
      <c r="I160" t="n">
        <v>0</v>
      </c>
      <c r="J160" t="n">
        <v>0</v>
      </c>
      <c r="K160" t="n">
        <v>0</v>
      </c>
      <c r="L160" t="n">
        <v>0</v>
      </c>
      <c r="M160" t="n">
        <v>0</v>
      </c>
      <c r="N160" t="n">
        <v>0</v>
      </c>
      <c r="O160" t="n">
        <v>0</v>
      </c>
      <c r="P160" t="n">
        <v>0</v>
      </c>
      <c r="Q160" t="n">
        <v>0</v>
      </c>
      <c r="R160" s="2" t="inlineStr"/>
    </row>
    <row r="161" ht="15" customHeight="1">
      <c r="A161" t="inlineStr">
        <is>
          <t>A 49914-2022</t>
        </is>
      </c>
      <c r="B161" s="1" t="n">
        <v>44865</v>
      </c>
      <c r="C161" s="1" t="n">
        <v>46030</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22945-2022</t>
        </is>
      </c>
      <c r="B162" s="1" t="n">
        <v>44715.91158564815</v>
      </c>
      <c r="C162" s="1" t="n">
        <v>46030</v>
      </c>
      <c r="D162" t="inlineStr">
        <is>
          <t>UPPSALA LÄN</t>
        </is>
      </c>
      <c r="E162" t="inlineStr">
        <is>
          <t>ÖSTHAMMAR</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15845-2022</t>
        </is>
      </c>
      <c r="B163" s="1" t="n">
        <v>44664</v>
      </c>
      <c r="C163" s="1" t="n">
        <v>46030</v>
      </c>
      <c r="D163" t="inlineStr">
        <is>
          <t>UPPSALA LÄN</t>
        </is>
      </c>
      <c r="E163" t="inlineStr">
        <is>
          <t>ÖSTHAMMAR</t>
        </is>
      </c>
      <c r="G163" t="n">
        <v>4.5</v>
      </c>
      <c r="H163" t="n">
        <v>0</v>
      </c>
      <c r="I163" t="n">
        <v>0</v>
      </c>
      <c r="J163" t="n">
        <v>0</v>
      </c>
      <c r="K163" t="n">
        <v>0</v>
      </c>
      <c r="L163" t="n">
        <v>0</v>
      </c>
      <c r="M163" t="n">
        <v>0</v>
      </c>
      <c r="N163" t="n">
        <v>0</v>
      </c>
      <c r="O163" t="n">
        <v>0</v>
      </c>
      <c r="P163" t="n">
        <v>0</v>
      </c>
      <c r="Q163" t="n">
        <v>0</v>
      </c>
      <c r="R163" s="2" t="inlineStr"/>
    </row>
    <row r="164" ht="15" customHeight="1">
      <c r="A164" t="inlineStr">
        <is>
          <t>A 30209-2022</t>
        </is>
      </c>
      <c r="B164" s="1" t="n">
        <v>44757.75236111111</v>
      </c>
      <c r="C164" s="1" t="n">
        <v>46030</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49334-2022</t>
        </is>
      </c>
      <c r="B165" s="1" t="n">
        <v>44861</v>
      </c>
      <c r="C165" s="1" t="n">
        <v>46030</v>
      </c>
      <c r="D165" t="inlineStr">
        <is>
          <t>UPPSALA LÄN</t>
        </is>
      </c>
      <c r="E165" t="inlineStr">
        <is>
          <t>ÖSTHAMMAR</t>
        </is>
      </c>
      <c r="G165" t="n">
        <v>3.5</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46030</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46030</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41558-2021</t>
        </is>
      </c>
      <c r="B168" s="1" t="n">
        <v>44425.37835648148</v>
      </c>
      <c r="C168" s="1" t="n">
        <v>46030</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15457-2022</t>
        </is>
      </c>
      <c r="B169" s="1" t="n">
        <v>44661.74027777778</v>
      </c>
      <c r="C169" s="1" t="n">
        <v>46030</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25987-2022</t>
        </is>
      </c>
      <c r="B170" s="1" t="n">
        <v>44734.49601851852</v>
      </c>
      <c r="C170" s="1" t="n">
        <v>46030</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61560-2021</t>
        </is>
      </c>
      <c r="B171" s="1" t="n">
        <v>44501.42905092592</v>
      </c>
      <c r="C171" s="1" t="n">
        <v>46030</v>
      </c>
      <c r="D171" t="inlineStr">
        <is>
          <t>UPPSALA LÄN</t>
        </is>
      </c>
      <c r="E171" t="inlineStr">
        <is>
          <t>ÖSTHAMMAR</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37570-2022</t>
        </is>
      </c>
      <c r="B172" s="1" t="n">
        <v>44809</v>
      </c>
      <c r="C172" s="1" t="n">
        <v>46030</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37545-2022</t>
        </is>
      </c>
      <c r="B173" s="1" t="n">
        <v>44809.63373842592</v>
      </c>
      <c r="C173" s="1" t="n">
        <v>46030</v>
      </c>
      <c r="D173" t="inlineStr">
        <is>
          <t>UPPSALA LÄN</t>
        </is>
      </c>
      <c r="E173" t="inlineStr">
        <is>
          <t>ÖSTHAMMAR</t>
        </is>
      </c>
      <c r="G173" t="n">
        <v>3.1</v>
      </c>
      <c r="H173" t="n">
        <v>0</v>
      </c>
      <c r="I173" t="n">
        <v>0</v>
      </c>
      <c r="J173" t="n">
        <v>0</v>
      </c>
      <c r="K173" t="n">
        <v>0</v>
      </c>
      <c r="L173" t="n">
        <v>0</v>
      </c>
      <c r="M173" t="n">
        <v>0</v>
      </c>
      <c r="N173" t="n">
        <v>0</v>
      </c>
      <c r="O173" t="n">
        <v>0</v>
      </c>
      <c r="P173" t="n">
        <v>0</v>
      </c>
      <c r="Q173" t="n">
        <v>0</v>
      </c>
      <c r="R173" s="2" t="inlineStr"/>
    </row>
    <row r="174" ht="15" customHeight="1">
      <c r="A174" t="inlineStr">
        <is>
          <t>A 38501-2022</t>
        </is>
      </c>
      <c r="B174" s="1" t="n">
        <v>44813</v>
      </c>
      <c r="C174" s="1" t="n">
        <v>46030</v>
      </c>
      <c r="D174" t="inlineStr">
        <is>
          <t>UPPSALA LÄN</t>
        </is>
      </c>
      <c r="E174" t="inlineStr">
        <is>
          <t>ÖSTHAMMAR</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37813-2022</t>
        </is>
      </c>
      <c r="B175" s="1" t="n">
        <v>44810</v>
      </c>
      <c r="C175" s="1" t="n">
        <v>46030</v>
      </c>
      <c r="D175" t="inlineStr">
        <is>
          <t>UPPSALA LÄN</t>
        </is>
      </c>
      <c r="E175" t="inlineStr">
        <is>
          <t>ÖSTHAMMAR</t>
        </is>
      </c>
      <c r="G175" t="n">
        <v>0.5</v>
      </c>
      <c r="H175" t="n">
        <v>0</v>
      </c>
      <c r="I175" t="n">
        <v>0</v>
      </c>
      <c r="J175" t="n">
        <v>0</v>
      </c>
      <c r="K175" t="n">
        <v>0</v>
      </c>
      <c r="L175" t="n">
        <v>0</v>
      </c>
      <c r="M175" t="n">
        <v>0</v>
      </c>
      <c r="N175" t="n">
        <v>0</v>
      </c>
      <c r="O175" t="n">
        <v>0</v>
      </c>
      <c r="P175" t="n">
        <v>0</v>
      </c>
      <c r="Q175" t="n">
        <v>0</v>
      </c>
      <c r="R175" s="2" t="inlineStr"/>
    </row>
    <row r="176" ht="15" customHeight="1">
      <c r="A176" t="inlineStr">
        <is>
          <t>A 11987-2022</t>
        </is>
      </c>
      <c r="B176" s="1" t="n">
        <v>44635.68695601852</v>
      </c>
      <c r="C176" s="1" t="n">
        <v>46030</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22207-2022</t>
        </is>
      </c>
      <c r="B177" s="1" t="n">
        <v>44712.51509259259</v>
      </c>
      <c r="C177" s="1" t="n">
        <v>46030</v>
      </c>
      <c r="D177" t="inlineStr">
        <is>
          <t>UPPSALA LÄN</t>
        </is>
      </c>
      <c r="E177" t="inlineStr">
        <is>
          <t>ÖSTHAMMAR</t>
        </is>
      </c>
      <c r="F177" t="inlineStr">
        <is>
          <t>Bergvik skog öst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16184-2022</t>
        </is>
      </c>
      <c r="B178" s="1" t="n">
        <v>44669.36354166667</v>
      </c>
      <c r="C178" s="1" t="n">
        <v>46030</v>
      </c>
      <c r="D178" t="inlineStr">
        <is>
          <t>UPPSALA LÄN</t>
        </is>
      </c>
      <c r="E178" t="inlineStr">
        <is>
          <t>ÖSTHAMMAR</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18736-2022</t>
        </is>
      </c>
      <c r="B179" s="1" t="n">
        <v>44687.87017361111</v>
      </c>
      <c r="C179" s="1" t="n">
        <v>46030</v>
      </c>
      <c r="D179" t="inlineStr">
        <is>
          <t>UPPSALA LÄN</t>
        </is>
      </c>
      <c r="E179" t="inlineStr">
        <is>
          <t>ÖSTHAMMAR</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24817-2022</t>
        </is>
      </c>
      <c r="B180" s="1" t="n">
        <v>44728</v>
      </c>
      <c r="C180" s="1" t="n">
        <v>46030</v>
      </c>
      <c r="D180" t="inlineStr">
        <is>
          <t>UPPSALA LÄN</t>
        </is>
      </c>
      <c r="E180" t="inlineStr">
        <is>
          <t>ÖSTHAMMAR</t>
        </is>
      </c>
      <c r="F180" t="inlineStr">
        <is>
          <t>Sveaskog</t>
        </is>
      </c>
      <c r="G180" t="n">
        <v>0.2</v>
      </c>
      <c r="H180" t="n">
        <v>0</v>
      </c>
      <c r="I180" t="n">
        <v>0</v>
      </c>
      <c r="J180" t="n">
        <v>0</v>
      </c>
      <c r="K180" t="n">
        <v>0</v>
      </c>
      <c r="L180" t="n">
        <v>0</v>
      </c>
      <c r="M180" t="n">
        <v>0</v>
      </c>
      <c r="N180" t="n">
        <v>0</v>
      </c>
      <c r="O180" t="n">
        <v>0</v>
      </c>
      <c r="P180" t="n">
        <v>0</v>
      </c>
      <c r="Q180" t="n">
        <v>0</v>
      </c>
      <c r="R180" s="2" t="inlineStr"/>
    </row>
    <row r="181" ht="15" customHeight="1">
      <c r="A181" t="inlineStr">
        <is>
          <t>A 7871-2022</t>
        </is>
      </c>
      <c r="B181" s="1" t="n">
        <v>44608</v>
      </c>
      <c r="C181" s="1" t="n">
        <v>46030</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51906-2022</t>
        </is>
      </c>
      <c r="B182" s="1" t="n">
        <v>44872.62109953703</v>
      </c>
      <c r="C182" s="1" t="n">
        <v>46030</v>
      </c>
      <c r="D182" t="inlineStr">
        <is>
          <t>UPPSALA LÄN</t>
        </is>
      </c>
      <c r="E182" t="inlineStr">
        <is>
          <t>ÖSTHAMMAR</t>
        </is>
      </c>
      <c r="G182" t="n">
        <v>0.4</v>
      </c>
      <c r="H182" t="n">
        <v>0</v>
      </c>
      <c r="I182" t="n">
        <v>0</v>
      </c>
      <c r="J182" t="n">
        <v>0</v>
      </c>
      <c r="K182" t="n">
        <v>0</v>
      </c>
      <c r="L182" t="n">
        <v>0</v>
      </c>
      <c r="M182" t="n">
        <v>0</v>
      </c>
      <c r="N182" t="n">
        <v>0</v>
      </c>
      <c r="O182" t="n">
        <v>0</v>
      </c>
      <c r="P182" t="n">
        <v>0</v>
      </c>
      <c r="Q182" t="n">
        <v>0</v>
      </c>
      <c r="R182" s="2" t="inlineStr"/>
    </row>
    <row r="183" ht="15" customHeight="1">
      <c r="A183" t="inlineStr">
        <is>
          <t>A 6221-2021</t>
        </is>
      </c>
      <c r="B183" s="1" t="n">
        <v>44235</v>
      </c>
      <c r="C183" s="1" t="n">
        <v>46030</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31182-2022</t>
        </is>
      </c>
      <c r="B184" s="1" t="n">
        <v>44770</v>
      </c>
      <c r="C184" s="1" t="n">
        <v>46030</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26534-2022</t>
        </is>
      </c>
      <c r="B185" s="1" t="n">
        <v>44739</v>
      </c>
      <c r="C185" s="1" t="n">
        <v>46030</v>
      </c>
      <c r="D185" t="inlineStr">
        <is>
          <t>UPPSALA LÄN</t>
        </is>
      </c>
      <c r="E185" t="inlineStr">
        <is>
          <t>ÖSTHAMMAR</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52898-2021</t>
        </is>
      </c>
      <c r="B186" s="1" t="n">
        <v>44467</v>
      </c>
      <c r="C186" s="1" t="n">
        <v>46030</v>
      </c>
      <c r="D186" t="inlineStr">
        <is>
          <t>UPPSALA LÄN</t>
        </is>
      </c>
      <c r="E186" t="inlineStr">
        <is>
          <t>ÖSTHAMMAR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9789-2022</t>
        </is>
      </c>
      <c r="B187" s="1" t="n">
        <v>44620.35590277778</v>
      </c>
      <c r="C187" s="1" t="n">
        <v>46030</v>
      </c>
      <c r="D187" t="inlineStr">
        <is>
          <t>UPPSALA LÄN</t>
        </is>
      </c>
      <c r="E187" t="inlineStr">
        <is>
          <t>ÖSTHAMMAR</t>
        </is>
      </c>
      <c r="G187" t="n">
        <v>1.2</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46030</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46030</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46030</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46030</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46030</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12999-2022</t>
        </is>
      </c>
      <c r="B193" s="1" t="n">
        <v>44643.4372337963</v>
      </c>
      <c r="C193" s="1" t="n">
        <v>46030</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16185-2022</t>
        </is>
      </c>
      <c r="B194" s="1" t="n">
        <v>44669</v>
      </c>
      <c r="C194" s="1" t="n">
        <v>46030</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46030</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22887-2022</t>
        </is>
      </c>
      <c r="B196" s="1" t="n">
        <v>44715</v>
      </c>
      <c r="C196" s="1" t="n">
        <v>46030</v>
      </c>
      <c r="D196" t="inlineStr">
        <is>
          <t>UPPSALA LÄN</t>
        </is>
      </c>
      <c r="E196" t="inlineStr">
        <is>
          <t>ÖSTHAMMAR</t>
        </is>
      </c>
      <c r="G196" t="n">
        <v>0.2</v>
      </c>
      <c r="H196" t="n">
        <v>0</v>
      </c>
      <c r="I196" t="n">
        <v>0</v>
      </c>
      <c r="J196" t="n">
        <v>0</v>
      </c>
      <c r="K196" t="n">
        <v>0</v>
      </c>
      <c r="L196" t="n">
        <v>0</v>
      </c>
      <c r="M196" t="n">
        <v>0</v>
      </c>
      <c r="N196" t="n">
        <v>0</v>
      </c>
      <c r="O196" t="n">
        <v>0</v>
      </c>
      <c r="P196" t="n">
        <v>0</v>
      </c>
      <c r="Q196" t="n">
        <v>0</v>
      </c>
      <c r="R196" s="2" t="inlineStr"/>
    </row>
    <row r="197" ht="15" customHeight="1">
      <c r="A197" t="inlineStr">
        <is>
          <t>A 52544-2021</t>
        </is>
      </c>
      <c r="B197" s="1" t="n">
        <v>44466</v>
      </c>
      <c r="C197" s="1" t="n">
        <v>46030</v>
      </c>
      <c r="D197" t="inlineStr">
        <is>
          <t>UPPSALA LÄN</t>
        </is>
      </c>
      <c r="E197" t="inlineStr">
        <is>
          <t>ÖSTHAMMAR</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34418-2022</t>
        </is>
      </c>
      <c r="B198" s="1" t="n">
        <v>44792</v>
      </c>
      <c r="C198" s="1" t="n">
        <v>46030</v>
      </c>
      <c r="D198" t="inlineStr">
        <is>
          <t>UPPSALA LÄN</t>
        </is>
      </c>
      <c r="E198" t="inlineStr">
        <is>
          <t>ÖSTHAMMAR</t>
        </is>
      </c>
      <c r="G198" t="n">
        <v>0.3</v>
      </c>
      <c r="H198" t="n">
        <v>0</v>
      </c>
      <c r="I198" t="n">
        <v>0</v>
      </c>
      <c r="J198" t="n">
        <v>0</v>
      </c>
      <c r="K198" t="n">
        <v>0</v>
      </c>
      <c r="L198" t="n">
        <v>0</v>
      </c>
      <c r="M198" t="n">
        <v>0</v>
      </c>
      <c r="N198" t="n">
        <v>0</v>
      </c>
      <c r="O198" t="n">
        <v>0</v>
      </c>
      <c r="P198" t="n">
        <v>0</v>
      </c>
      <c r="Q198" t="n">
        <v>0</v>
      </c>
      <c r="R198" s="2" t="inlineStr"/>
    </row>
    <row r="199" ht="15" customHeight="1">
      <c r="A199" t="inlineStr">
        <is>
          <t>A 57003-2021</t>
        </is>
      </c>
      <c r="B199" s="1" t="n">
        <v>44482.47577546296</v>
      </c>
      <c r="C199" s="1" t="n">
        <v>46030</v>
      </c>
      <c r="D199" t="inlineStr">
        <is>
          <t>UPPSALA LÄN</t>
        </is>
      </c>
      <c r="E199" t="inlineStr">
        <is>
          <t>ÖSTHAMMAR</t>
        </is>
      </c>
      <c r="G199" t="n">
        <v>1.9</v>
      </c>
      <c r="H199" t="n">
        <v>0</v>
      </c>
      <c r="I199" t="n">
        <v>0</v>
      </c>
      <c r="J199" t="n">
        <v>0</v>
      </c>
      <c r="K199" t="n">
        <v>0</v>
      </c>
      <c r="L199" t="n">
        <v>0</v>
      </c>
      <c r="M199" t="n">
        <v>0</v>
      </c>
      <c r="N199" t="n">
        <v>0</v>
      </c>
      <c r="O199" t="n">
        <v>0</v>
      </c>
      <c r="P199" t="n">
        <v>0</v>
      </c>
      <c r="Q199" t="n">
        <v>0</v>
      </c>
      <c r="R199" s="2" t="inlineStr"/>
    </row>
    <row r="200" ht="15" customHeight="1">
      <c r="A200" t="inlineStr">
        <is>
          <t>A 37568-2022</t>
        </is>
      </c>
      <c r="B200" s="1" t="n">
        <v>44809</v>
      </c>
      <c r="C200" s="1" t="n">
        <v>46030</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2085-2022</t>
        </is>
      </c>
      <c r="B201" s="1" t="n">
        <v>44576.78626157407</v>
      </c>
      <c r="C201" s="1" t="n">
        <v>46030</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17651-2025</t>
        </is>
      </c>
      <c r="B202" s="1" t="n">
        <v>45758.33304398148</v>
      </c>
      <c r="C202" s="1" t="n">
        <v>46030</v>
      </c>
      <c r="D202" t="inlineStr">
        <is>
          <t>UPPSALA LÄN</t>
        </is>
      </c>
      <c r="E202" t="inlineStr">
        <is>
          <t>ÖSTHAMMAR</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48719-2023</t>
        </is>
      </c>
      <c r="B203" s="1" t="n">
        <v>45208.70452546296</v>
      </c>
      <c r="C203" s="1" t="n">
        <v>46030</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31574-2022</t>
        </is>
      </c>
      <c r="B204" s="1" t="n">
        <v>44775</v>
      </c>
      <c r="C204" s="1" t="n">
        <v>46030</v>
      </c>
      <c r="D204" t="inlineStr">
        <is>
          <t>UPPSALA LÄN</t>
        </is>
      </c>
      <c r="E204" t="inlineStr">
        <is>
          <t>ÖSTHAMMAR</t>
        </is>
      </c>
      <c r="G204" t="n">
        <v>29.7</v>
      </c>
      <c r="H204" t="n">
        <v>0</v>
      </c>
      <c r="I204" t="n">
        <v>0</v>
      </c>
      <c r="J204" t="n">
        <v>0</v>
      </c>
      <c r="K204" t="n">
        <v>0</v>
      </c>
      <c r="L204" t="n">
        <v>0</v>
      </c>
      <c r="M204" t="n">
        <v>0</v>
      </c>
      <c r="N204" t="n">
        <v>0</v>
      </c>
      <c r="O204" t="n">
        <v>0</v>
      </c>
      <c r="P204" t="n">
        <v>0</v>
      </c>
      <c r="Q204" t="n">
        <v>0</v>
      </c>
      <c r="R204" s="2" t="inlineStr"/>
    </row>
    <row r="205" ht="15" customHeight="1">
      <c r="A205" t="inlineStr">
        <is>
          <t>A 21862-2023</t>
        </is>
      </c>
      <c r="B205" s="1" t="n">
        <v>45068</v>
      </c>
      <c r="C205" s="1" t="n">
        <v>46030</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55086-2024</t>
        </is>
      </c>
      <c r="B206" s="1" t="n">
        <v>45621.43098379629</v>
      </c>
      <c r="C206" s="1" t="n">
        <v>46030</v>
      </c>
      <c r="D206" t="inlineStr">
        <is>
          <t>UPPSALA LÄN</t>
        </is>
      </c>
      <c r="E206" t="inlineStr">
        <is>
          <t>ÖSTHAMMAR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62695-2023</t>
        </is>
      </c>
      <c r="B207" s="1" t="n">
        <v>45271</v>
      </c>
      <c r="C207" s="1" t="n">
        <v>46030</v>
      </c>
      <c r="D207" t="inlineStr">
        <is>
          <t>UPPSALA LÄN</t>
        </is>
      </c>
      <c r="E207" t="inlineStr">
        <is>
          <t>ÖSTHAMMAR</t>
        </is>
      </c>
      <c r="G207" t="n">
        <v>5.3</v>
      </c>
      <c r="H207" t="n">
        <v>0</v>
      </c>
      <c r="I207" t="n">
        <v>0</v>
      </c>
      <c r="J207" t="n">
        <v>0</v>
      </c>
      <c r="K207" t="n">
        <v>0</v>
      </c>
      <c r="L207" t="n">
        <v>0</v>
      </c>
      <c r="M207" t="n">
        <v>0</v>
      </c>
      <c r="N207" t="n">
        <v>0</v>
      </c>
      <c r="O207" t="n">
        <v>0</v>
      </c>
      <c r="P207" t="n">
        <v>0</v>
      </c>
      <c r="Q207" t="n">
        <v>0</v>
      </c>
      <c r="R207" s="2" t="inlineStr"/>
    </row>
    <row r="208" ht="15" customHeight="1">
      <c r="A208" t="inlineStr">
        <is>
          <t>A 31479-2023</t>
        </is>
      </c>
      <c r="B208" s="1" t="n">
        <v>45114.79793981482</v>
      </c>
      <c r="C208" s="1" t="n">
        <v>46030</v>
      </c>
      <c r="D208" t="inlineStr">
        <is>
          <t>UPPSALA LÄN</t>
        </is>
      </c>
      <c r="E208" t="inlineStr">
        <is>
          <t>ÖSTHAMMAR</t>
        </is>
      </c>
      <c r="F208" t="inlineStr">
        <is>
          <t>Bergvik skog öst AB</t>
        </is>
      </c>
      <c r="G208" t="n">
        <v>1.9</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46030</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74436-2021</t>
        </is>
      </c>
      <c r="B210" s="1" t="n">
        <v>44560.4502199074</v>
      </c>
      <c r="C210" s="1" t="n">
        <v>46030</v>
      </c>
      <c r="D210" t="inlineStr">
        <is>
          <t>UPPSALA LÄN</t>
        </is>
      </c>
      <c r="E210" t="inlineStr">
        <is>
          <t>ÖSTHAMMAR</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4559-2022</t>
        </is>
      </c>
      <c r="B211" s="1" t="n">
        <v>44591.51854166666</v>
      </c>
      <c r="C211" s="1" t="n">
        <v>46030</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46030</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46030</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46030</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20046-2023</t>
        </is>
      </c>
      <c r="B215" s="1" t="n">
        <v>45054</v>
      </c>
      <c r="C215" s="1" t="n">
        <v>46030</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29753-2022</t>
        </is>
      </c>
      <c r="B216" s="1" t="n">
        <v>44755</v>
      </c>
      <c r="C216" s="1" t="n">
        <v>46030</v>
      </c>
      <c r="D216" t="inlineStr">
        <is>
          <t>UPPSALA LÄN</t>
        </is>
      </c>
      <c r="E216" t="inlineStr">
        <is>
          <t>ÖSTHAMMAR</t>
        </is>
      </c>
      <c r="G216" t="n">
        <v>9.4</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46030</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61261-2022</t>
        </is>
      </c>
      <c r="B218" s="1" t="n">
        <v>44915.59645833333</v>
      </c>
      <c r="C218" s="1" t="n">
        <v>46030</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29824-2023</t>
        </is>
      </c>
      <c r="B219" s="1" t="n">
        <v>45107</v>
      </c>
      <c r="C219" s="1" t="n">
        <v>46030</v>
      </c>
      <c r="D219" t="inlineStr">
        <is>
          <t>UPPSALA LÄN</t>
        </is>
      </c>
      <c r="E219" t="inlineStr">
        <is>
          <t>ÖSTHAMMAR</t>
        </is>
      </c>
      <c r="F219" t="inlineStr">
        <is>
          <t>Naturvårdsverket</t>
        </is>
      </c>
      <c r="G219" t="n">
        <v>1.6</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46030</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46030</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46030</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8624-2025</t>
        </is>
      </c>
      <c r="B223" s="1" t="n">
        <v>45711.52333333333</v>
      </c>
      <c r="C223" s="1" t="n">
        <v>46030</v>
      </c>
      <c r="D223" t="inlineStr">
        <is>
          <t>UPPSALA LÄN</t>
        </is>
      </c>
      <c r="E223" t="inlineStr">
        <is>
          <t>ÖSTHAMMAR</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14187-2022</t>
        </is>
      </c>
      <c r="B224" s="1" t="n">
        <v>44651.5625</v>
      </c>
      <c r="C224" s="1" t="n">
        <v>46030</v>
      </c>
      <c r="D224" t="inlineStr">
        <is>
          <t>UPPSALA LÄN</t>
        </is>
      </c>
      <c r="E224" t="inlineStr">
        <is>
          <t>ÖSTHAMMAR</t>
        </is>
      </c>
      <c r="F224" t="inlineStr">
        <is>
          <t>Övriga Aktiebolag</t>
        </is>
      </c>
      <c r="G224" t="n">
        <v>14.1</v>
      </c>
      <c r="H224" t="n">
        <v>0</v>
      </c>
      <c r="I224" t="n">
        <v>0</v>
      </c>
      <c r="J224" t="n">
        <v>0</v>
      </c>
      <c r="K224" t="n">
        <v>0</v>
      </c>
      <c r="L224" t="n">
        <v>0</v>
      </c>
      <c r="M224" t="n">
        <v>0</v>
      </c>
      <c r="N224" t="n">
        <v>0</v>
      </c>
      <c r="O224" t="n">
        <v>0</v>
      </c>
      <c r="P224" t="n">
        <v>0</v>
      </c>
      <c r="Q224" t="n">
        <v>0</v>
      </c>
      <c r="R224" s="2" t="inlineStr"/>
    </row>
    <row r="225" ht="15" customHeight="1">
      <c r="A225" t="inlineStr">
        <is>
          <t>A 13093-2022</t>
        </is>
      </c>
      <c r="B225" s="1" t="n">
        <v>44643.93269675926</v>
      </c>
      <c r="C225" s="1" t="n">
        <v>46030</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6143-2022</t>
        </is>
      </c>
      <c r="B226" s="1" t="n">
        <v>44599.72306712963</v>
      </c>
      <c r="C226" s="1" t="n">
        <v>46030</v>
      </c>
      <c r="D226" t="inlineStr">
        <is>
          <t>UPPSALA LÄN</t>
        </is>
      </c>
      <c r="E226" t="inlineStr">
        <is>
          <t>ÖSTHAMMAR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36954-2024</t>
        </is>
      </c>
      <c r="B227" s="1" t="n">
        <v>45538.71109953704</v>
      </c>
      <c r="C227" s="1" t="n">
        <v>46030</v>
      </c>
      <c r="D227" t="inlineStr">
        <is>
          <t>UPPSALA LÄN</t>
        </is>
      </c>
      <c r="E227" t="inlineStr">
        <is>
          <t>ÖSTHAMMAR</t>
        </is>
      </c>
      <c r="F227" t="inlineStr">
        <is>
          <t>Bergvik skog öst AB</t>
        </is>
      </c>
      <c r="G227" t="n">
        <v>5.1</v>
      </c>
      <c r="H227" t="n">
        <v>0</v>
      </c>
      <c r="I227" t="n">
        <v>0</v>
      </c>
      <c r="J227" t="n">
        <v>0</v>
      </c>
      <c r="K227" t="n">
        <v>0</v>
      </c>
      <c r="L227" t="n">
        <v>0</v>
      </c>
      <c r="M227" t="n">
        <v>0</v>
      </c>
      <c r="N227" t="n">
        <v>0</v>
      </c>
      <c r="O227" t="n">
        <v>0</v>
      </c>
      <c r="P227" t="n">
        <v>0</v>
      </c>
      <c r="Q227" t="n">
        <v>0</v>
      </c>
      <c r="R227" s="2" t="inlineStr"/>
    </row>
    <row r="228" ht="15" customHeight="1">
      <c r="A228" t="inlineStr">
        <is>
          <t>A 33685-2024</t>
        </is>
      </c>
      <c r="B228" s="1" t="n">
        <v>45520.51063657407</v>
      </c>
      <c r="C228" s="1" t="n">
        <v>46030</v>
      </c>
      <c r="D228" t="inlineStr">
        <is>
          <t>UPPSALA LÄN</t>
        </is>
      </c>
      <c r="E228" t="inlineStr">
        <is>
          <t>ÖSTHAMMAR</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43655-2024</t>
        </is>
      </c>
      <c r="B229" s="1" t="n">
        <v>45569</v>
      </c>
      <c r="C229" s="1" t="n">
        <v>46030</v>
      </c>
      <c r="D229" t="inlineStr">
        <is>
          <t>UPPSALA LÄN</t>
        </is>
      </c>
      <c r="E229" t="inlineStr">
        <is>
          <t>ÖSTHAMMAR</t>
        </is>
      </c>
      <c r="G229" t="n">
        <v>2.1</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46030</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22488-2025</t>
        </is>
      </c>
      <c r="B231" s="1" t="n">
        <v>45786.64865740741</v>
      </c>
      <c r="C231" s="1" t="n">
        <v>46030</v>
      </c>
      <c r="D231" t="inlineStr">
        <is>
          <t>UPPSALA LÄN</t>
        </is>
      </c>
      <c r="E231" t="inlineStr">
        <is>
          <t>ÖSTHAMMAR</t>
        </is>
      </c>
      <c r="F231" t="inlineStr">
        <is>
          <t>Bergvik skog öst AB</t>
        </is>
      </c>
      <c r="G231" t="n">
        <v>14.9</v>
      </c>
      <c r="H231" t="n">
        <v>0</v>
      </c>
      <c r="I231" t="n">
        <v>0</v>
      </c>
      <c r="J231" t="n">
        <v>0</v>
      </c>
      <c r="K231" t="n">
        <v>0</v>
      </c>
      <c r="L231" t="n">
        <v>0</v>
      </c>
      <c r="M231" t="n">
        <v>0</v>
      </c>
      <c r="N231" t="n">
        <v>0</v>
      </c>
      <c r="O231" t="n">
        <v>0</v>
      </c>
      <c r="P231" t="n">
        <v>0</v>
      </c>
      <c r="Q231" t="n">
        <v>0</v>
      </c>
      <c r="R231" s="2" t="inlineStr"/>
    </row>
    <row r="232" ht="15" customHeight="1">
      <c r="A232" t="inlineStr">
        <is>
          <t>A 14595-2023</t>
        </is>
      </c>
      <c r="B232" s="1" t="n">
        <v>45013.57858796296</v>
      </c>
      <c r="C232" s="1" t="n">
        <v>46030</v>
      </c>
      <c r="D232" t="inlineStr">
        <is>
          <t>UPPSALA LÄN</t>
        </is>
      </c>
      <c r="E232" t="inlineStr">
        <is>
          <t>ÖSTHAMMAR</t>
        </is>
      </c>
      <c r="G232" t="n">
        <v>5</v>
      </c>
      <c r="H232" t="n">
        <v>0</v>
      </c>
      <c r="I232" t="n">
        <v>0</v>
      </c>
      <c r="J232" t="n">
        <v>0</v>
      </c>
      <c r="K232" t="n">
        <v>0</v>
      </c>
      <c r="L232" t="n">
        <v>0</v>
      </c>
      <c r="M232" t="n">
        <v>0</v>
      </c>
      <c r="N232" t="n">
        <v>0</v>
      </c>
      <c r="O232" t="n">
        <v>0</v>
      </c>
      <c r="P232" t="n">
        <v>0</v>
      </c>
      <c r="Q232" t="n">
        <v>0</v>
      </c>
      <c r="R232" s="2" t="inlineStr"/>
    </row>
    <row r="233" ht="15" customHeight="1">
      <c r="A233" t="inlineStr">
        <is>
          <t>A 32483-2024</t>
        </is>
      </c>
      <c r="B233" s="1" t="n">
        <v>45513.36644675926</v>
      </c>
      <c r="C233" s="1" t="n">
        <v>46030</v>
      </c>
      <c r="D233" t="inlineStr">
        <is>
          <t>UPPSALA LÄN</t>
        </is>
      </c>
      <c r="E233" t="inlineStr">
        <is>
          <t>ÖSTHAMMAR</t>
        </is>
      </c>
      <c r="F233" t="inlineStr">
        <is>
          <t>Kyrkan</t>
        </is>
      </c>
      <c r="G233" t="n">
        <v>4.7</v>
      </c>
      <c r="H233" t="n">
        <v>0</v>
      </c>
      <c r="I233" t="n">
        <v>0</v>
      </c>
      <c r="J233" t="n">
        <v>0</v>
      </c>
      <c r="K233" t="n">
        <v>0</v>
      </c>
      <c r="L233" t="n">
        <v>0</v>
      </c>
      <c r="M233" t="n">
        <v>0</v>
      </c>
      <c r="N233" t="n">
        <v>0</v>
      </c>
      <c r="O233" t="n">
        <v>0</v>
      </c>
      <c r="P233" t="n">
        <v>0</v>
      </c>
      <c r="Q233" t="n">
        <v>0</v>
      </c>
      <c r="R233" s="2" t="inlineStr"/>
    </row>
    <row r="234" ht="15" customHeight="1">
      <c r="A234" t="inlineStr">
        <is>
          <t>A 38575-2024</t>
        </is>
      </c>
      <c r="B234" s="1" t="n">
        <v>45546.64221064815</v>
      </c>
      <c r="C234" s="1" t="n">
        <v>46030</v>
      </c>
      <c r="D234" t="inlineStr">
        <is>
          <t>UPPSALA LÄN</t>
        </is>
      </c>
      <c r="E234" t="inlineStr">
        <is>
          <t>ÖSTHAMMAR</t>
        </is>
      </c>
      <c r="F234" t="inlineStr">
        <is>
          <t>Bergvik skog öst AB</t>
        </is>
      </c>
      <c r="G234" t="n">
        <v>5.1</v>
      </c>
      <c r="H234" t="n">
        <v>0</v>
      </c>
      <c r="I234" t="n">
        <v>0</v>
      </c>
      <c r="J234" t="n">
        <v>0</v>
      </c>
      <c r="K234" t="n">
        <v>0</v>
      </c>
      <c r="L234" t="n">
        <v>0</v>
      </c>
      <c r="M234" t="n">
        <v>0</v>
      </c>
      <c r="N234" t="n">
        <v>0</v>
      </c>
      <c r="O234" t="n">
        <v>0</v>
      </c>
      <c r="P234" t="n">
        <v>0</v>
      </c>
      <c r="Q234" t="n">
        <v>0</v>
      </c>
      <c r="R234" s="2" t="inlineStr"/>
    </row>
    <row r="235" ht="15" customHeight="1">
      <c r="A235" t="inlineStr">
        <is>
          <t>A 19009-2023</t>
        </is>
      </c>
      <c r="B235" s="1" t="n">
        <v>45045</v>
      </c>
      <c r="C235" s="1" t="n">
        <v>46030</v>
      </c>
      <c r="D235" t="inlineStr">
        <is>
          <t>UPPSALA LÄN</t>
        </is>
      </c>
      <c r="E235" t="inlineStr">
        <is>
          <t>ÖSTHAMMAR</t>
        </is>
      </c>
      <c r="F235" t="inlineStr">
        <is>
          <t>Bergvik skog öst AB</t>
        </is>
      </c>
      <c r="G235" t="n">
        <v>0.2</v>
      </c>
      <c r="H235" t="n">
        <v>0</v>
      </c>
      <c r="I235" t="n">
        <v>0</v>
      </c>
      <c r="J235" t="n">
        <v>0</v>
      </c>
      <c r="K235" t="n">
        <v>0</v>
      </c>
      <c r="L235" t="n">
        <v>0</v>
      </c>
      <c r="M235" t="n">
        <v>0</v>
      </c>
      <c r="N235" t="n">
        <v>0</v>
      </c>
      <c r="O235" t="n">
        <v>0</v>
      </c>
      <c r="P235" t="n">
        <v>0</v>
      </c>
      <c r="Q235" t="n">
        <v>0</v>
      </c>
      <c r="R235" s="2" t="inlineStr"/>
    </row>
    <row r="236" ht="15" customHeight="1">
      <c r="A236" t="inlineStr">
        <is>
          <t>A 43685-2024</t>
        </is>
      </c>
      <c r="B236" s="1" t="n">
        <v>45569</v>
      </c>
      <c r="C236" s="1" t="n">
        <v>46030</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44796-2024</t>
        </is>
      </c>
      <c r="B237" s="1" t="n">
        <v>45574</v>
      </c>
      <c r="C237" s="1" t="n">
        <v>46030</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44027-2024</t>
        </is>
      </c>
      <c r="B238" s="1" t="n">
        <v>45572</v>
      </c>
      <c r="C238" s="1" t="n">
        <v>46030</v>
      </c>
      <c r="D238" t="inlineStr">
        <is>
          <t>UPPSALA LÄN</t>
        </is>
      </c>
      <c r="E238" t="inlineStr">
        <is>
          <t>ÖSTHAMMAR</t>
        </is>
      </c>
      <c r="G238" t="n">
        <v>6</v>
      </c>
      <c r="H238" t="n">
        <v>0</v>
      </c>
      <c r="I238" t="n">
        <v>0</v>
      </c>
      <c r="J238" t="n">
        <v>0</v>
      </c>
      <c r="K238" t="n">
        <v>0</v>
      </c>
      <c r="L238" t="n">
        <v>0</v>
      </c>
      <c r="M238" t="n">
        <v>0</v>
      </c>
      <c r="N238" t="n">
        <v>0</v>
      </c>
      <c r="O238" t="n">
        <v>0</v>
      </c>
      <c r="P238" t="n">
        <v>0</v>
      </c>
      <c r="Q238" t="n">
        <v>0</v>
      </c>
      <c r="R238" s="2" t="inlineStr"/>
    </row>
    <row r="239" ht="15" customHeight="1">
      <c r="A239" t="inlineStr">
        <is>
          <t>A 5931-2022</t>
        </is>
      </c>
      <c r="B239" s="1" t="n">
        <v>44598.82700231481</v>
      </c>
      <c r="C239" s="1" t="n">
        <v>46030</v>
      </c>
      <c r="D239" t="inlineStr">
        <is>
          <t>UPPSALA LÄN</t>
        </is>
      </c>
      <c r="E239" t="inlineStr">
        <is>
          <t>ÖSTHAMMAR</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61250-2025</t>
        </is>
      </c>
      <c r="B240" s="1" t="n">
        <v>46000.66645833333</v>
      </c>
      <c r="C240" s="1" t="n">
        <v>46030</v>
      </c>
      <c r="D240" t="inlineStr">
        <is>
          <t>UPPSALA LÄN</t>
        </is>
      </c>
      <c r="E240" t="inlineStr">
        <is>
          <t>ÖSTHAMMAR</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43683-2024</t>
        </is>
      </c>
      <c r="B241" s="1" t="n">
        <v>45569.57518518518</v>
      </c>
      <c r="C241" s="1" t="n">
        <v>46030</v>
      </c>
      <c r="D241" t="inlineStr">
        <is>
          <t>UPPSALA LÄN</t>
        </is>
      </c>
      <c r="E241" t="inlineStr">
        <is>
          <t>ÖSTHAMMAR</t>
        </is>
      </c>
      <c r="G241" t="n">
        <v>4.7</v>
      </c>
      <c r="H241" t="n">
        <v>0</v>
      </c>
      <c r="I241" t="n">
        <v>0</v>
      </c>
      <c r="J241" t="n">
        <v>0</v>
      </c>
      <c r="K241" t="n">
        <v>0</v>
      </c>
      <c r="L241" t="n">
        <v>0</v>
      </c>
      <c r="M241" t="n">
        <v>0</v>
      </c>
      <c r="N241" t="n">
        <v>0</v>
      </c>
      <c r="O241" t="n">
        <v>0</v>
      </c>
      <c r="P241" t="n">
        <v>0</v>
      </c>
      <c r="Q241" t="n">
        <v>0</v>
      </c>
      <c r="R241" s="2" t="inlineStr"/>
    </row>
    <row r="242" ht="15" customHeight="1">
      <c r="A242" t="inlineStr">
        <is>
          <t>A 55163-2025</t>
        </is>
      </c>
      <c r="B242" s="1" t="n">
        <v>45968.48032407407</v>
      </c>
      <c r="C242" s="1" t="n">
        <v>46030</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43993-2024</t>
        </is>
      </c>
      <c r="B243" s="1" t="n">
        <v>45572.52690972222</v>
      </c>
      <c r="C243" s="1" t="n">
        <v>46030</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55798-2025</t>
        </is>
      </c>
      <c r="B244" s="1" t="n">
        <v>45972.66209490741</v>
      </c>
      <c r="C244" s="1" t="n">
        <v>46030</v>
      </c>
      <c r="D244" t="inlineStr">
        <is>
          <t>UPPSALA LÄN</t>
        </is>
      </c>
      <c r="E244" t="inlineStr">
        <is>
          <t>ÖSTHAMMAR</t>
        </is>
      </c>
      <c r="F244" t="inlineStr">
        <is>
          <t>Bergvik skog öst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22492-2025</t>
        </is>
      </c>
      <c r="B245" s="1" t="n">
        <v>45786.65072916666</v>
      </c>
      <c r="C245" s="1" t="n">
        <v>46030</v>
      </c>
      <c r="D245" t="inlineStr">
        <is>
          <t>UPPSALA LÄN</t>
        </is>
      </c>
      <c r="E245" t="inlineStr">
        <is>
          <t>ÖSTHAMMAR</t>
        </is>
      </c>
      <c r="F245" t="inlineStr">
        <is>
          <t>Bergvik skog öst AB</t>
        </is>
      </c>
      <c r="G245" t="n">
        <v>16.6</v>
      </c>
      <c r="H245" t="n">
        <v>0</v>
      </c>
      <c r="I245" t="n">
        <v>0</v>
      </c>
      <c r="J245" t="n">
        <v>0</v>
      </c>
      <c r="K245" t="n">
        <v>0</v>
      </c>
      <c r="L245" t="n">
        <v>0</v>
      </c>
      <c r="M245" t="n">
        <v>0</v>
      </c>
      <c r="N245" t="n">
        <v>0</v>
      </c>
      <c r="O245" t="n">
        <v>0</v>
      </c>
      <c r="P245" t="n">
        <v>0</v>
      </c>
      <c r="Q245" t="n">
        <v>0</v>
      </c>
      <c r="R245" s="2" t="inlineStr"/>
    </row>
    <row r="246" ht="15" customHeight="1">
      <c r="A246" t="inlineStr">
        <is>
          <t>A 22483-2025</t>
        </is>
      </c>
      <c r="B246" s="1" t="n">
        <v>45786.64141203704</v>
      </c>
      <c r="C246" s="1" t="n">
        <v>46030</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59291-2023</t>
        </is>
      </c>
      <c r="B247" s="1" t="n">
        <v>45253.57559027777</v>
      </c>
      <c r="C247" s="1" t="n">
        <v>46030</v>
      </c>
      <c r="D247" t="inlineStr">
        <is>
          <t>UPPSALA LÄN</t>
        </is>
      </c>
      <c r="E247" t="inlineStr">
        <is>
          <t>ÖSTHAMMAR</t>
        </is>
      </c>
      <c r="G247" t="n">
        <v>1.7</v>
      </c>
      <c r="H247" t="n">
        <v>0</v>
      </c>
      <c r="I247" t="n">
        <v>0</v>
      </c>
      <c r="J247" t="n">
        <v>0</v>
      </c>
      <c r="K247" t="n">
        <v>0</v>
      </c>
      <c r="L247" t="n">
        <v>0</v>
      </c>
      <c r="M247" t="n">
        <v>0</v>
      </c>
      <c r="N247" t="n">
        <v>0</v>
      </c>
      <c r="O247" t="n">
        <v>0</v>
      </c>
      <c r="P247" t="n">
        <v>0</v>
      </c>
      <c r="Q247" t="n">
        <v>0</v>
      </c>
      <c r="R247" s="2" t="inlineStr"/>
    </row>
    <row r="248" ht="15" customHeight="1">
      <c r="A248" t="inlineStr">
        <is>
          <t>A 21522-2022</t>
        </is>
      </c>
      <c r="B248" s="1" t="n">
        <v>44706</v>
      </c>
      <c r="C248" s="1" t="n">
        <v>46030</v>
      </c>
      <c r="D248" t="inlineStr">
        <is>
          <t>UPPSALA LÄN</t>
        </is>
      </c>
      <c r="E248" t="inlineStr">
        <is>
          <t>ÖSTHAMMAR</t>
        </is>
      </c>
      <c r="G248" t="n">
        <v>1.8</v>
      </c>
      <c r="H248" t="n">
        <v>0</v>
      </c>
      <c r="I248" t="n">
        <v>0</v>
      </c>
      <c r="J248" t="n">
        <v>0</v>
      </c>
      <c r="K248" t="n">
        <v>0</v>
      </c>
      <c r="L248" t="n">
        <v>0</v>
      </c>
      <c r="M248" t="n">
        <v>0</v>
      </c>
      <c r="N248" t="n">
        <v>0</v>
      </c>
      <c r="O248" t="n">
        <v>0</v>
      </c>
      <c r="P248" t="n">
        <v>0</v>
      </c>
      <c r="Q248" t="n">
        <v>0</v>
      </c>
      <c r="R248" s="2" t="inlineStr"/>
    </row>
    <row r="249" ht="15" customHeight="1">
      <c r="A249" t="inlineStr">
        <is>
          <t>A 1567-2025</t>
        </is>
      </c>
      <c r="B249" s="1" t="n">
        <v>45670</v>
      </c>
      <c r="C249" s="1" t="n">
        <v>46030</v>
      </c>
      <c r="D249" t="inlineStr">
        <is>
          <t>UPPSALA LÄN</t>
        </is>
      </c>
      <c r="E249" t="inlineStr">
        <is>
          <t>ÖSTHAMMAR</t>
        </is>
      </c>
      <c r="G249" t="n">
        <v>2.8</v>
      </c>
      <c r="H249" t="n">
        <v>0</v>
      </c>
      <c r="I249" t="n">
        <v>0</v>
      </c>
      <c r="J249" t="n">
        <v>0</v>
      </c>
      <c r="K249" t="n">
        <v>0</v>
      </c>
      <c r="L249" t="n">
        <v>0</v>
      </c>
      <c r="M249" t="n">
        <v>0</v>
      </c>
      <c r="N249" t="n">
        <v>0</v>
      </c>
      <c r="O249" t="n">
        <v>0</v>
      </c>
      <c r="P249" t="n">
        <v>0</v>
      </c>
      <c r="Q249" t="n">
        <v>0</v>
      </c>
      <c r="R249" s="2" t="inlineStr"/>
    </row>
    <row r="250" ht="15" customHeight="1">
      <c r="A250" t="inlineStr">
        <is>
          <t>A 35474-2023</t>
        </is>
      </c>
      <c r="B250" s="1" t="n">
        <v>45146.68921296296</v>
      </c>
      <c r="C250" s="1" t="n">
        <v>46030</v>
      </c>
      <c r="D250" t="inlineStr">
        <is>
          <t>UPPSALA LÄN</t>
        </is>
      </c>
      <c r="E250" t="inlineStr">
        <is>
          <t>ÖSTHAMMAR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23305-2025</t>
        </is>
      </c>
      <c r="B251" s="1" t="n">
        <v>45791.60127314815</v>
      </c>
      <c r="C251" s="1" t="n">
        <v>46030</v>
      </c>
      <c r="D251" t="inlineStr">
        <is>
          <t>UPPSALA LÄN</t>
        </is>
      </c>
      <c r="E251" t="inlineStr">
        <is>
          <t>ÖSTHAMMAR</t>
        </is>
      </c>
      <c r="G251" t="n">
        <v>1.9</v>
      </c>
      <c r="H251" t="n">
        <v>0</v>
      </c>
      <c r="I251" t="n">
        <v>0</v>
      </c>
      <c r="J251" t="n">
        <v>0</v>
      </c>
      <c r="K251" t="n">
        <v>0</v>
      </c>
      <c r="L251" t="n">
        <v>0</v>
      </c>
      <c r="M251" t="n">
        <v>0</v>
      </c>
      <c r="N251" t="n">
        <v>0</v>
      </c>
      <c r="O251" t="n">
        <v>0</v>
      </c>
      <c r="P251" t="n">
        <v>0</v>
      </c>
      <c r="Q251" t="n">
        <v>0</v>
      </c>
      <c r="R251" s="2" t="inlineStr"/>
    </row>
    <row r="252" ht="15" customHeight="1">
      <c r="A252" t="inlineStr">
        <is>
          <t>A 31035-2022</t>
        </is>
      </c>
      <c r="B252" s="1" t="n">
        <v>44768.88685185185</v>
      </c>
      <c r="C252" s="1" t="n">
        <v>46030</v>
      </c>
      <c r="D252" t="inlineStr">
        <is>
          <t>UPPSALA LÄN</t>
        </is>
      </c>
      <c r="E252" t="inlineStr">
        <is>
          <t>ÖSTHAMMAR</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56518-2025</t>
        </is>
      </c>
      <c r="B253" s="1" t="n">
        <v>45975.4581712963</v>
      </c>
      <c r="C253" s="1" t="n">
        <v>46030</v>
      </c>
      <c r="D253" t="inlineStr">
        <is>
          <t>UPPSALA LÄN</t>
        </is>
      </c>
      <c r="E253" t="inlineStr">
        <is>
          <t>ÖSTHAMMAR</t>
        </is>
      </c>
      <c r="G253" t="n">
        <v>2.7</v>
      </c>
      <c r="H253" t="n">
        <v>0</v>
      </c>
      <c r="I253" t="n">
        <v>0</v>
      </c>
      <c r="J253" t="n">
        <v>0</v>
      </c>
      <c r="K253" t="n">
        <v>0</v>
      </c>
      <c r="L253" t="n">
        <v>0</v>
      </c>
      <c r="M253" t="n">
        <v>0</v>
      </c>
      <c r="N253" t="n">
        <v>0</v>
      </c>
      <c r="O253" t="n">
        <v>0</v>
      </c>
      <c r="P253" t="n">
        <v>0</v>
      </c>
      <c r="Q253" t="n">
        <v>0</v>
      </c>
      <c r="R253" s="2" t="inlineStr"/>
    </row>
    <row r="254" ht="15" customHeight="1">
      <c r="A254" t="inlineStr">
        <is>
          <t>A 14124-2022</t>
        </is>
      </c>
      <c r="B254" s="1" t="n">
        <v>44651.40924768519</v>
      </c>
      <c r="C254" s="1" t="n">
        <v>46030</v>
      </c>
      <c r="D254" t="inlineStr">
        <is>
          <t>UPPSALA LÄN</t>
        </is>
      </c>
      <c r="E254" t="inlineStr">
        <is>
          <t>ÖSTHAMMAR</t>
        </is>
      </c>
      <c r="F254" t="inlineStr">
        <is>
          <t>Bergvik skog öst AB</t>
        </is>
      </c>
      <c r="G254" t="n">
        <v>0.9</v>
      </c>
      <c r="H254" t="n">
        <v>0</v>
      </c>
      <c r="I254" t="n">
        <v>0</v>
      </c>
      <c r="J254" t="n">
        <v>0</v>
      </c>
      <c r="K254" t="n">
        <v>0</v>
      </c>
      <c r="L254" t="n">
        <v>0</v>
      </c>
      <c r="M254" t="n">
        <v>0</v>
      </c>
      <c r="N254" t="n">
        <v>0</v>
      </c>
      <c r="O254" t="n">
        <v>0</v>
      </c>
      <c r="P254" t="n">
        <v>0</v>
      </c>
      <c r="Q254" t="n">
        <v>0</v>
      </c>
      <c r="R254" s="2" t="inlineStr"/>
    </row>
    <row r="255" ht="15" customHeight="1">
      <c r="A255" t="inlineStr">
        <is>
          <t>A 58324-2023</t>
        </is>
      </c>
      <c r="B255" s="1" t="n">
        <v>45250.58635416667</v>
      </c>
      <c r="C255" s="1" t="n">
        <v>46030</v>
      </c>
      <c r="D255" t="inlineStr">
        <is>
          <t>UPPSALA LÄN</t>
        </is>
      </c>
      <c r="E255" t="inlineStr">
        <is>
          <t>ÖSTHAMMAR</t>
        </is>
      </c>
      <c r="G255" t="n">
        <v>5.1</v>
      </c>
      <c r="H255" t="n">
        <v>0</v>
      </c>
      <c r="I255" t="n">
        <v>0</v>
      </c>
      <c r="J255" t="n">
        <v>0</v>
      </c>
      <c r="K255" t="n">
        <v>0</v>
      </c>
      <c r="L255" t="n">
        <v>0</v>
      </c>
      <c r="M255" t="n">
        <v>0</v>
      </c>
      <c r="N255" t="n">
        <v>0</v>
      </c>
      <c r="O255" t="n">
        <v>0</v>
      </c>
      <c r="P255" t="n">
        <v>0</v>
      </c>
      <c r="Q255" t="n">
        <v>0</v>
      </c>
      <c r="R255" s="2" t="inlineStr"/>
    </row>
    <row r="256" ht="15" customHeight="1">
      <c r="A256" t="inlineStr">
        <is>
          <t>A 56682-2025</t>
        </is>
      </c>
      <c r="B256" s="1" t="n">
        <v>45975</v>
      </c>
      <c r="C256" s="1" t="n">
        <v>46030</v>
      </c>
      <c r="D256" t="inlineStr">
        <is>
          <t>UPPSALA LÄN</t>
        </is>
      </c>
      <c r="E256" t="inlineStr">
        <is>
          <t>ÖSTHAMMAR</t>
        </is>
      </c>
      <c r="G256" t="n">
        <v>3.9</v>
      </c>
      <c r="H256" t="n">
        <v>0</v>
      </c>
      <c r="I256" t="n">
        <v>0</v>
      </c>
      <c r="J256" t="n">
        <v>0</v>
      </c>
      <c r="K256" t="n">
        <v>0</v>
      </c>
      <c r="L256" t="n">
        <v>0</v>
      </c>
      <c r="M256" t="n">
        <v>0</v>
      </c>
      <c r="N256" t="n">
        <v>0</v>
      </c>
      <c r="O256" t="n">
        <v>0</v>
      </c>
      <c r="P256" t="n">
        <v>0</v>
      </c>
      <c r="Q256" t="n">
        <v>0</v>
      </c>
      <c r="R256" s="2" t="inlineStr"/>
    </row>
    <row r="257" ht="15" customHeight="1">
      <c r="A257" t="inlineStr">
        <is>
          <t>A 4099-2025</t>
        </is>
      </c>
      <c r="B257" s="1" t="n">
        <v>45684</v>
      </c>
      <c r="C257" s="1" t="n">
        <v>46030</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56582-2025</t>
        </is>
      </c>
      <c r="B258" s="1" t="n">
        <v>45975.54730324074</v>
      </c>
      <c r="C258" s="1" t="n">
        <v>46030</v>
      </c>
      <c r="D258" t="inlineStr">
        <is>
          <t>UPPSALA LÄN</t>
        </is>
      </c>
      <c r="E258" t="inlineStr">
        <is>
          <t>ÖSTHAMMAR</t>
        </is>
      </c>
      <c r="G258" t="n">
        <v>4.1</v>
      </c>
      <c r="H258" t="n">
        <v>0</v>
      </c>
      <c r="I258" t="n">
        <v>0</v>
      </c>
      <c r="J258" t="n">
        <v>0</v>
      </c>
      <c r="K258" t="n">
        <v>0</v>
      </c>
      <c r="L258" t="n">
        <v>0</v>
      </c>
      <c r="M258" t="n">
        <v>0</v>
      </c>
      <c r="N258" t="n">
        <v>0</v>
      </c>
      <c r="O258" t="n">
        <v>0</v>
      </c>
      <c r="P258" t="n">
        <v>0</v>
      </c>
      <c r="Q258" t="n">
        <v>0</v>
      </c>
      <c r="R258" s="2" t="inlineStr"/>
    </row>
    <row r="259" ht="15" customHeight="1">
      <c r="A259" t="inlineStr">
        <is>
          <t>A 56653-2025</t>
        </is>
      </c>
      <c r="B259" s="1" t="n">
        <v>45975.64628472222</v>
      </c>
      <c r="C259" s="1" t="n">
        <v>46030</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1584-2025</t>
        </is>
      </c>
      <c r="B260" s="1" t="n">
        <v>45670</v>
      </c>
      <c r="C260" s="1" t="n">
        <v>46030</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30972-2024</t>
        </is>
      </c>
      <c r="B261" s="1" t="n">
        <v>45499.47106481482</v>
      </c>
      <c r="C261" s="1" t="n">
        <v>46030</v>
      </c>
      <c r="D261" t="inlineStr">
        <is>
          <t>UPPSALA LÄN</t>
        </is>
      </c>
      <c r="E261" t="inlineStr">
        <is>
          <t>ÖSTHAMMAR</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24160-2024</t>
        </is>
      </c>
      <c r="B262" s="1" t="n">
        <v>45456</v>
      </c>
      <c r="C262" s="1" t="n">
        <v>46030</v>
      </c>
      <c r="D262" t="inlineStr">
        <is>
          <t>UPPSALA LÄN</t>
        </is>
      </c>
      <c r="E262" t="inlineStr">
        <is>
          <t>ÖSTHAMMAR</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24415-2025</t>
        </is>
      </c>
      <c r="B263" s="1" t="n">
        <v>45797.67381944445</v>
      </c>
      <c r="C263" s="1" t="n">
        <v>46030</v>
      </c>
      <c r="D263" t="inlineStr">
        <is>
          <t>UPPSALA LÄN</t>
        </is>
      </c>
      <c r="E263" t="inlineStr">
        <is>
          <t>ÖSTHAMMAR</t>
        </is>
      </c>
      <c r="G263" t="n">
        <v>0.8</v>
      </c>
      <c r="H263" t="n">
        <v>0</v>
      </c>
      <c r="I263" t="n">
        <v>0</v>
      </c>
      <c r="J263" t="n">
        <v>0</v>
      </c>
      <c r="K263" t="n">
        <v>0</v>
      </c>
      <c r="L263" t="n">
        <v>0</v>
      </c>
      <c r="M263" t="n">
        <v>0</v>
      </c>
      <c r="N263" t="n">
        <v>0</v>
      </c>
      <c r="O263" t="n">
        <v>0</v>
      </c>
      <c r="P263" t="n">
        <v>0</v>
      </c>
      <c r="Q263" t="n">
        <v>0</v>
      </c>
      <c r="R263" s="2" t="inlineStr"/>
    </row>
    <row r="264" ht="15" customHeight="1">
      <c r="A264" t="inlineStr">
        <is>
          <t>A 49097-2022</t>
        </is>
      </c>
      <c r="B264" s="1" t="n">
        <v>44860</v>
      </c>
      <c r="C264" s="1" t="n">
        <v>46030</v>
      </c>
      <c r="D264" t="inlineStr">
        <is>
          <t>UPPSALA LÄN</t>
        </is>
      </c>
      <c r="E264" t="inlineStr">
        <is>
          <t>ÖSTHAMMAR</t>
        </is>
      </c>
      <c r="G264" t="n">
        <v>6.9</v>
      </c>
      <c r="H264" t="n">
        <v>0</v>
      </c>
      <c r="I264" t="n">
        <v>0</v>
      </c>
      <c r="J264" t="n">
        <v>0</v>
      </c>
      <c r="K264" t="n">
        <v>0</v>
      </c>
      <c r="L264" t="n">
        <v>0</v>
      </c>
      <c r="M264" t="n">
        <v>0</v>
      </c>
      <c r="N264" t="n">
        <v>0</v>
      </c>
      <c r="O264" t="n">
        <v>0</v>
      </c>
      <c r="P264" t="n">
        <v>0</v>
      </c>
      <c r="Q264" t="n">
        <v>0</v>
      </c>
      <c r="R264" s="2" t="inlineStr"/>
    </row>
    <row r="265" ht="15" customHeight="1">
      <c r="A265" t="inlineStr">
        <is>
          <t>A 56658-2025</t>
        </is>
      </c>
      <c r="B265" s="1" t="n">
        <v>45975.65431712963</v>
      </c>
      <c r="C265" s="1" t="n">
        <v>46030</v>
      </c>
      <c r="D265" t="inlineStr">
        <is>
          <t>UPPSALA LÄN</t>
        </is>
      </c>
      <c r="E265" t="inlineStr">
        <is>
          <t>ÖSTHAMMAR</t>
        </is>
      </c>
      <c r="G265" t="n">
        <v>1.3</v>
      </c>
      <c r="H265" t="n">
        <v>0</v>
      </c>
      <c r="I265" t="n">
        <v>0</v>
      </c>
      <c r="J265" t="n">
        <v>0</v>
      </c>
      <c r="K265" t="n">
        <v>0</v>
      </c>
      <c r="L265" t="n">
        <v>0</v>
      </c>
      <c r="M265" t="n">
        <v>0</v>
      </c>
      <c r="N265" t="n">
        <v>0</v>
      </c>
      <c r="O265" t="n">
        <v>0</v>
      </c>
      <c r="P265" t="n">
        <v>0</v>
      </c>
      <c r="Q265" t="n">
        <v>0</v>
      </c>
      <c r="R265" s="2" t="inlineStr"/>
    </row>
    <row r="266" ht="15" customHeight="1">
      <c r="A266" t="inlineStr">
        <is>
          <t>A 23968-2025</t>
        </is>
      </c>
      <c r="B266" s="1" t="n">
        <v>45796</v>
      </c>
      <c r="C266" s="1" t="n">
        <v>46030</v>
      </c>
      <c r="D266" t="inlineStr">
        <is>
          <t>UPPSALA LÄN</t>
        </is>
      </c>
      <c r="E266" t="inlineStr">
        <is>
          <t>ÖSTHAMMAR</t>
        </is>
      </c>
      <c r="F266" t="inlineStr">
        <is>
          <t>Bergvik skog öst AB</t>
        </is>
      </c>
      <c r="G266" t="n">
        <v>7.5</v>
      </c>
      <c r="H266" t="n">
        <v>0</v>
      </c>
      <c r="I266" t="n">
        <v>0</v>
      </c>
      <c r="J266" t="n">
        <v>0</v>
      </c>
      <c r="K266" t="n">
        <v>0</v>
      </c>
      <c r="L266" t="n">
        <v>0</v>
      </c>
      <c r="M266" t="n">
        <v>0</v>
      </c>
      <c r="N266" t="n">
        <v>0</v>
      </c>
      <c r="O266" t="n">
        <v>0</v>
      </c>
      <c r="P266" t="n">
        <v>0</v>
      </c>
      <c r="Q266" t="n">
        <v>0</v>
      </c>
      <c r="R266" s="2" t="inlineStr"/>
    </row>
    <row r="267" ht="15" customHeight="1">
      <c r="A267" t="inlineStr">
        <is>
          <t>A 10449-2023</t>
        </is>
      </c>
      <c r="B267" s="1" t="n">
        <v>44987</v>
      </c>
      <c r="C267" s="1" t="n">
        <v>46030</v>
      </c>
      <c r="D267" t="inlineStr">
        <is>
          <t>UPPSALA LÄN</t>
        </is>
      </c>
      <c r="E267" t="inlineStr">
        <is>
          <t>ÖSTHAMMAR</t>
        </is>
      </c>
      <c r="G267" t="n">
        <v>3.1</v>
      </c>
      <c r="H267" t="n">
        <v>0</v>
      </c>
      <c r="I267" t="n">
        <v>0</v>
      </c>
      <c r="J267" t="n">
        <v>0</v>
      </c>
      <c r="K267" t="n">
        <v>0</v>
      </c>
      <c r="L267" t="n">
        <v>0</v>
      </c>
      <c r="M267" t="n">
        <v>0</v>
      </c>
      <c r="N267" t="n">
        <v>0</v>
      </c>
      <c r="O267" t="n">
        <v>0</v>
      </c>
      <c r="P267" t="n">
        <v>0</v>
      </c>
      <c r="Q267" t="n">
        <v>0</v>
      </c>
      <c r="R267" s="2" t="inlineStr"/>
    </row>
    <row r="268" ht="15" customHeight="1">
      <c r="A268" t="inlineStr">
        <is>
          <t>A 835-2025</t>
        </is>
      </c>
      <c r="B268" s="1" t="n">
        <v>45665.58465277778</v>
      </c>
      <c r="C268" s="1" t="n">
        <v>46030</v>
      </c>
      <c r="D268" t="inlineStr">
        <is>
          <t>UPPSALA LÄN</t>
        </is>
      </c>
      <c r="E268" t="inlineStr">
        <is>
          <t>ÖSTHAMMAR</t>
        </is>
      </c>
      <c r="F268" t="inlineStr">
        <is>
          <t>Övriga Aktiebolag</t>
        </is>
      </c>
      <c r="G268" t="n">
        <v>4.8</v>
      </c>
      <c r="H268" t="n">
        <v>0</v>
      </c>
      <c r="I268" t="n">
        <v>0</v>
      </c>
      <c r="J268" t="n">
        <v>0</v>
      </c>
      <c r="K268" t="n">
        <v>0</v>
      </c>
      <c r="L268" t="n">
        <v>0</v>
      </c>
      <c r="M268" t="n">
        <v>0</v>
      </c>
      <c r="N268" t="n">
        <v>0</v>
      </c>
      <c r="O268" t="n">
        <v>0</v>
      </c>
      <c r="P268" t="n">
        <v>0</v>
      </c>
      <c r="Q268" t="n">
        <v>0</v>
      </c>
      <c r="R268" s="2" t="inlineStr"/>
    </row>
    <row r="269" ht="15" customHeight="1">
      <c r="A269" t="inlineStr">
        <is>
          <t>A 40384-2025</t>
        </is>
      </c>
      <c r="B269" s="1" t="n">
        <v>45895.54085648148</v>
      </c>
      <c r="C269" s="1" t="n">
        <v>46030</v>
      </c>
      <c r="D269" t="inlineStr">
        <is>
          <t>UPPSALA LÄN</t>
        </is>
      </c>
      <c r="E269" t="inlineStr">
        <is>
          <t>ÖSTHAMMAR</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36904-2023</t>
        </is>
      </c>
      <c r="B270" s="1" t="n">
        <v>45154</v>
      </c>
      <c r="C270" s="1" t="n">
        <v>46030</v>
      </c>
      <c r="D270" t="inlineStr">
        <is>
          <t>UPPSALA LÄN</t>
        </is>
      </c>
      <c r="E270" t="inlineStr">
        <is>
          <t>ÖSTHAMMAR</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13248-2025</t>
        </is>
      </c>
      <c r="B271" s="1" t="n">
        <v>45735</v>
      </c>
      <c r="C271" s="1" t="n">
        <v>46030</v>
      </c>
      <c r="D271" t="inlineStr">
        <is>
          <t>UPPSALA LÄN</t>
        </is>
      </c>
      <c r="E271" t="inlineStr">
        <is>
          <t>ÖSTHAMMAR</t>
        </is>
      </c>
      <c r="F271" t="inlineStr">
        <is>
          <t>Kyrkan</t>
        </is>
      </c>
      <c r="G271" t="n">
        <v>12.2</v>
      </c>
      <c r="H271" t="n">
        <v>0</v>
      </c>
      <c r="I271" t="n">
        <v>0</v>
      </c>
      <c r="J271" t="n">
        <v>0</v>
      </c>
      <c r="K271" t="n">
        <v>0</v>
      </c>
      <c r="L271" t="n">
        <v>0</v>
      </c>
      <c r="M271" t="n">
        <v>0</v>
      </c>
      <c r="N271" t="n">
        <v>0</v>
      </c>
      <c r="O271" t="n">
        <v>0</v>
      </c>
      <c r="P271" t="n">
        <v>0</v>
      </c>
      <c r="Q271" t="n">
        <v>0</v>
      </c>
      <c r="R271" s="2" t="inlineStr"/>
    </row>
    <row r="272" ht="15" customHeight="1">
      <c r="A272" t="inlineStr">
        <is>
          <t>A 24174-2025</t>
        </is>
      </c>
      <c r="B272" s="1" t="n">
        <v>45796.69207175926</v>
      </c>
      <c r="C272" s="1" t="n">
        <v>46030</v>
      </c>
      <c r="D272" t="inlineStr">
        <is>
          <t>UPPSALA LÄN</t>
        </is>
      </c>
      <c r="E272" t="inlineStr">
        <is>
          <t>ÖSTHAMMAR</t>
        </is>
      </c>
      <c r="G272" t="n">
        <v>4.9</v>
      </c>
      <c r="H272" t="n">
        <v>0</v>
      </c>
      <c r="I272" t="n">
        <v>0</v>
      </c>
      <c r="J272" t="n">
        <v>0</v>
      </c>
      <c r="K272" t="n">
        <v>0</v>
      </c>
      <c r="L272" t="n">
        <v>0</v>
      </c>
      <c r="M272" t="n">
        <v>0</v>
      </c>
      <c r="N272" t="n">
        <v>0</v>
      </c>
      <c r="O272" t="n">
        <v>0</v>
      </c>
      <c r="P272" t="n">
        <v>0</v>
      </c>
      <c r="Q272" t="n">
        <v>0</v>
      </c>
      <c r="R272" s="2" t="inlineStr"/>
    </row>
    <row r="273" ht="15" customHeight="1">
      <c r="A273" t="inlineStr">
        <is>
          <t>A 40377-2025</t>
        </is>
      </c>
      <c r="B273" s="1" t="n">
        <v>45895.53020833333</v>
      </c>
      <c r="C273" s="1" t="n">
        <v>46030</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40382-2025</t>
        </is>
      </c>
      <c r="B274" s="1" t="n">
        <v>45895.53689814815</v>
      </c>
      <c r="C274" s="1" t="n">
        <v>46030</v>
      </c>
      <c r="D274" t="inlineStr">
        <is>
          <t>UPPSALA LÄN</t>
        </is>
      </c>
      <c r="E274" t="inlineStr">
        <is>
          <t>ÖSTHAMMAR</t>
        </is>
      </c>
      <c r="G274" t="n">
        <v>2.2</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46030</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1527-2025</t>
        </is>
      </c>
      <c r="B276" s="1" t="n">
        <v>45670</v>
      </c>
      <c r="C276" s="1" t="n">
        <v>46030</v>
      </c>
      <c r="D276" t="inlineStr">
        <is>
          <t>UPPSALA LÄN</t>
        </is>
      </c>
      <c r="E276" t="inlineStr">
        <is>
          <t>ÖSTHAMMAR</t>
        </is>
      </c>
      <c r="F276" t="inlineStr">
        <is>
          <t>Bergvik skog öst AB</t>
        </is>
      </c>
      <c r="G276" t="n">
        <v>7.7</v>
      </c>
      <c r="H276" t="n">
        <v>0</v>
      </c>
      <c r="I276" t="n">
        <v>0</v>
      </c>
      <c r="J276" t="n">
        <v>0</v>
      </c>
      <c r="K276" t="n">
        <v>0</v>
      </c>
      <c r="L276" t="n">
        <v>0</v>
      </c>
      <c r="M276" t="n">
        <v>0</v>
      </c>
      <c r="N276" t="n">
        <v>0</v>
      </c>
      <c r="O276" t="n">
        <v>0</v>
      </c>
      <c r="P276" t="n">
        <v>0</v>
      </c>
      <c r="Q276" t="n">
        <v>0</v>
      </c>
      <c r="R276" s="2" t="inlineStr"/>
    </row>
    <row r="277" ht="15" customHeight="1">
      <c r="A277" t="inlineStr">
        <is>
          <t>A 40462-2025</t>
        </is>
      </c>
      <c r="B277" s="1" t="n">
        <v>45895.65179398148</v>
      </c>
      <c r="C277" s="1" t="n">
        <v>46030</v>
      </c>
      <c r="D277" t="inlineStr">
        <is>
          <t>UPPSALA LÄN</t>
        </is>
      </c>
      <c r="E277" t="inlineStr">
        <is>
          <t>ÖSTHAMMAR</t>
        </is>
      </c>
      <c r="G277" t="n">
        <v>4.5</v>
      </c>
      <c r="H277" t="n">
        <v>0</v>
      </c>
      <c r="I277" t="n">
        <v>0</v>
      </c>
      <c r="J277" t="n">
        <v>0</v>
      </c>
      <c r="K277" t="n">
        <v>0</v>
      </c>
      <c r="L277" t="n">
        <v>0</v>
      </c>
      <c r="M277" t="n">
        <v>0</v>
      </c>
      <c r="N277" t="n">
        <v>0</v>
      </c>
      <c r="O277" t="n">
        <v>0</v>
      </c>
      <c r="P277" t="n">
        <v>0</v>
      </c>
      <c r="Q277" t="n">
        <v>0</v>
      </c>
      <c r="R277" s="2" t="inlineStr"/>
    </row>
    <row r="278" ht="15" customHeight="1">
      <c r="A278" t="inlineStr">
        <is>
          <t>A 4304-2025</t>
        </is>
      </c>
      <c r="B278" s="1" t="n">
        <v>45685.68193287037</v>
      </c>
      <c r="C278" s="1" t="n">
        <v>46030</v>
      </c>
      <c r="D278" t="inlineStr">
        <is>
          <t>UPPSALA LÄN</t>
        </is>
      </c>
      <c r="E278" t="inlineStr">
        <is>
          <t>ÖSTHAMMAR</t>
        </is>
      </c>
      <c r="G278" t="n">
        <v>1.2</v>
      </c>
      <c r="H278" t="n">
        <v>0</v>
      </c>
      <c r="I278" t="n">
        <v>0</v>
      </c>
      <c r="J278" t="n">
        <v>0</v>
      </c>
      <c r="K278" t="n">
        <v>0</v>
      </c>
      <c r="L278" t="n">
        <v>0</v>
      </c>
      <c r="M278" t="n">
        <v>0</v>
      </c>
      <c r="N278" t="n">
        <v>0</v>
      </c>
      <c r="O278" t="n">
        <v>0</v>
      </c>
      <c r="P278" t="n">
        <v>0</v>
      </c>
      <c r="Q278" t="n">
        <v>0</v>
      </c>
      <c r="R278" s="2" t="inlineStr"/>
    </row>
    <row r="279" ht="15" customHeight="1">
      <c r="A279" t="inlineStr">
        <is>
          <t>A 24606-2024</t>
        </is>
      </c>
      <c r="B279" s="1" t="n">
        <v>45460</v>
      </c>
      <c r="C279" s="1" t="n">
        <v>46030</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40016-2025</t>
        </is>
      </c>
      <c r="B280" s="1" t="n">
        <v>45894.34747685185</v>
      </c>
      <c r="C280" s="1" t="n">
        <v>46030</v>
      </c>
      <c r="D280" t="inlineStr">
        <is>
          <t>UPPSALA LÄN</t>
        </is>
      </c>
      <c r="E280" t="inlineStr">
        <is>
          <t>ÖSTHAMMAR</t>
        </is>
      </c>
      <c r="F280" t="inlineStr">
        <is>
          <t>Kyrkan</t>
        </is>
      </c>
      <c r="G280" t="n">
        <v>6.6</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46030</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56757-2025</t>
        </is>
      </c>
      <c r="B282" s="1" t="n">
        <v>45978.37162037037</v>
      </c>
      <c r="C282" s="1" t="n">
        <v>46030</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25049-2025</t>
        </is>
      </c>
      <c r="B283" s="1" t="n">
        <v>45799.66876157407</v>
      </c>
      <c r="C283" s="1" t="n">
        <v>46030</v>
      </c>
      <c r="D283" t="inlineStr">
        <is>
          <t>UPPSALA LÄN</t>
        </is>
      </c>
      <c r="E283" t="inlineStr">
        <is>
          <t>ÖSTHAMMAR</t>
        </is>
      </c>
      <c r="F283" t="inlineStr">
        <is>
          <t>Bergvik skog öst AB</t>
        </is>
      </c>
      <c r="G283" t="n">
        <v>3.8</v>
      </c>
      <c r="H283" t="n">
        <v>0</v>
      </c>
      <c r="I283" t="n">
        <v>0</v>
      </c>
      <c r="J283" t="n">
        <v>0</v>
      </c>
      <c r="K283" t="n">
        <v>0</v>
      </c>
      <c r="L283" t="n">
        <v>0</v>
      </c>
      <c r="M283" t="n">
        <v>0</v>
      </c>
      <c r="N283" t="n">
        <v>0</v>
      </c>
      <c r="O283" t="n">
        <v>0</v>
      </c>
      <c r="P283" t="n">
        <v>0</v>
      </c>
      <c r="Q283" t="n">
        <v>0</v>
      </c>
      <c r="R283" s="2" t="inlineStr"/>
    </row>
    <row r="284" ht="15" customHeight="1">
      <c r="A284" t="inlineStr">
        <is>
          <t>A 53735-2023</t>
        </is>
      </c>
      <c r="B284" s="1" t="n">
        <v>45230.77258101852</v>
      </c>
      <c r="C284" s="1" t="n">
        <v>46030</v>
      </c>
      <c r="D284" t="inlineStr">
        <is>
          <t>UPPSALA LÄN</t>
        </is>
      </c>
      <c r="E284" t="inlineStr">
        <is>
          <t>ÖSTHAMMAR</t>
        </is>
      </c>
      <c r="G284" t="n">
        <v>1.1</v>
      </c>
      <c r="H284" t="n">
        <v>0</v>
      </c>
      <c r="I284" t="n">
        <v>0</v>
      </c>
      <c r="J284" t="n">
        <v>0</v>
      </c>
      <c r="K284" t="n">
        <v>0</v>
      </c>
      <c r="L284" t="n">
        <v>0</v>
      </c>
      <c r="M284" t="n">
        <v>0</v>
      </c>
      <c r="N284" t="n">
        <v>0</v>
      </c>
      <c r="O284" t="n">
        <v>0</v>
      </c>
      <c r="P284" t="n">
        <v>0</v>
      </c>
      <c r="Q284" t="n">
        <v>0</v>
      </c>
      <c r="R284" s="2" t="inlineStr"/>
    </row>
    <row r="285" ht="15" customHeight="1">
      <c r="A285" t="inlineStr">
        <is>
          <t>A 38702-2022</t>
        </is>
      </c>
      <c r="B285" s="1" t="n">
        <v>44814.5991087963</v>
      </c>
      <c r="C285" s="1" t="n">
        <v>46030</v>
      </c>
      <c r="D285" t="inlineStr">
        <is>
          <t>UPPSALA LÄN</t>
        </is>
      </c>
      <c r="E285" t="inlineStr">
        <is>
          <t>ÖSTHAMMAR</t>
        </is>
      </c>
      <c r="G285" t="n">
        <v>1.2</v>
      </c>
      <c r="H285" t="n">
        <v>0</v>
      </c>
      <c r="I285" t="n">
        <v>0</v>
      </c>
      <c r="J285" t="n">
        <v>0</v>
      </c>
      <c r="K285" t="n">
        <v>0</v>
      </c>
      <c r="L285" t="n">
        <v>0</v>
      </c>
      <c r="M285" t="n">
        <v>0</v>
      </c>
      <c r="N285" t="n">
        <v>0</v>
      </c>
      <c r="O285" t="n">
        <v>0</v>
      </c>
      <c r="P285" t="n">
        <v>0</v>
      </c>
      <c r="Q285" t="n">
        <v>0</v>
      </c>
      <c r="R285" s="2" t="inlineStr"/>
    </row>
    <row r="286" ht="15" customHeight="1">
      <c r="A286" t="inlineStr">
        <is>
          <t>A 40416-2025</t>
        </is>
      </c>
      <c r="B286" s="1" t="n">
        <v>45895.57736111111</v>
      </c>
      <c r="C286" s="1" t="n">
        <v>46030</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1439-2025</t>
        </is>
      </c>
      <c r="B287" s="1" t="n">
        <v>45669.69075231482</v>
      </c>
      <c r="C287" s="1" t="n">
        <v>46030</v>
      </c>
      <c r="D287" t="inlineStr">
        <is>
          <t>UPPSALA LÄN</t>
        </is>
      </c>
      <c r="E287" t="inlineStr">
        <is>
          <t>ÖSTHAMMAR</t>
        </is>
      </c>
      <c r="G287" t="n">
        <v>1</v>
      </c>
      <c r="H287" t="n">
        <v>0</v>
      </c>
      <c r="I287" t="n">
        <v>0</v>
      </c>
      <c r="J287" t="n">
        <v>0</v>
      </c>
      <c r="K287" t="n">
        <v>0</v>
      </c>
      <c r="L287" t="n">
        <v>0</v>
      </c>
      <c r="M287" t="n">
        <v>0</v>
      </c>
      <c r="N287" t="n">
        <v>0</v>
      </c>
      <c r="O287" t="n">
        <v>0</v>
      </c>
      <c r="P287" t="n">
        <v>0</v>
      </c>
      <c r="Q287" t="n">
        <v>0</v>
      </c>
      <c r="R287" s="2" t="inlineStr"/>
    </row>
    <row r="288" ht="15" customHeight="1">
      <c r="A288" t="inlineStr">
        <is>
          <t>A 1575-2025</t>
        </is>
      </c>
      <c r="B288" s="1" t="n">
        <v>45670</v>
      </c>
      <c r="C288" s="1" t="n">
        <v>46030</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57156-2025</t>
        </is>
      </c>
      <c r="B289" s="1" t="n">
        <v>45979.51591435185</v>
      </c>
      <c r="C289" s="1" t="n">
        <v>46030</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40570-2025</t>
        </is>
      </c>
      <c r="B290" s="1" t="n">
        <v>45896.47878472223</v>
      </c>
      <c r="C290" s="1" t="n">
        <v>46030</v>
      </c>
      <c r="D290" t="inlineStr">
        <is>
          <t>UPPSALA LÄN</t>
        </is>
      </c>
      <c r="E290" t="inlineStr">
        <is>
          <t>ÖSTHAMMAR</t>
        </is>
      </c>
      <c r="F290" t="inlineStr">
        <is>
          <t>Övriga Aktiebolag</t>
        </is>
      </c>
      <c r="G290" t="n">
        <v>4.8</v>
      </c>
      <c r="H290" t="n">
        <v>0</v>
      </c>
      <c r="I290" t="n">
        <v>0</v>
      </c>
      <c r="J290" t="n">
        <v>0</v>
      </c>
      <c r="K290" t="n">
        <v>0</v>
      </c>
      <c r="L290" t="n">
        <v>0</v>
      </c>
      <c r="M290" t="n">
        <v>0</v>
      </c>
      <c r="N290" t="n">
        <v>0</v>
      </c>
      <c r="O290" t="n">
        <v>0</v>
      </c>
      <c r="P290" t="n">
        <v>0</v>
      </c>
      <c r="Q290" t="n">
        <v>0</v>
      </c>
      <c r="R290" s="2" t="inlineStr"/>
    </row>
    <row r="291" ht="15" customHeight="1">
      <c r="A291" t="inlineStr">
        <is>
          <t>A 24944-2025</t>
        </is>
      </c>
      <c r="B291" s="1" t="n">
        <v>45799.56347222222</v>
      </c>
      <c r="C291" s="1" t="n">
        <v>46030</v>
      </c>
      <c r="D291" t="inlineStr">
        <is>
          <t>UPPSALA LÄN</t>
        </is>
      </c>
      <c r="E291" t="inlineStr">
        <is>
          <t>ÖSTHAMMAR</t>
        </is>
      </c>
      <c r="G291" t="n">
        <v>7.3</v>
      </c>
      <c r="H291" t="n">
        <v>0</v>
      </c>
      <c r="I291" t="n">
        <v>0</v>
      </c>
      <c r="J291" t="n">
        <v>0</v>
      </c>
      <c r="K291" t="n">
        <v>0</v>
      </c>
      <c r="L291" t="n">
        <v>0</v>
      </c>
      <c r="M291" t="n">
        <v>0</v>
      </c>
      <c r="N291" t="n">
        <v>0</v>
      </c>
      <c r="O291" t="n">
        <v>0</v>
      </c>
      <c r="P291" t="n">
        <v>0</v>
      </c>
      <c r="Q291" t="n">
        <v>0</v>
      </c>
      <c r="R291" s="2" t="inlineStr"/>
    </row>
    <row r="292" ht="15" customHeight="1">
      <c r="A292" t="inlineStr">
        <is>
          <t>A 12945-2025</t>
        </is>
      </c>
      <c r="B292" s="1" t="n">
        <v>45734.38159722222</v>
      </c>
      <c r="C292" s="1" t="n">
        <v>46030</v>
      </c>
      <c r="D292" t="inlineStr">
        <is>
          <t>UPPSALA LÄN</t>
        </is>
      </c>
      <c r="E292" t="inlineStr">
        <is>
          <t>ÖSTHAMMAR</t>
        </is>
      </c>
      <c r="G292" t="n">
        <v>2.1</v>
      </c>
      <c r="H292" t="n">
        <v>0</v>
      </c>
      <c r="I292" t="n">
        <v>0</v>
      </c>
      <c r="J292" t="n">
        <v>0</v>
      </c>
      <c r="K292" t="n">
        <v>0</v>
      </c>
      <c r="L292" t="n">
        <v>0</v>
      </c>
      <c r="M292" t="n">
        <v>0</v>
      </c>
      <c r="N292" t="n">
        <v>0</v>
      </c>
      <c r="O292" t="n">
        <v>0</v>
      </c>
      <c r="P292" t="n">
        <v>0</v>
      </c>
      <c r="Q292" t="n">
        <v>0</v>
      </c>
      <c r="R292" s="2" t="inlineStr"/>
    </row>
    <row r="293" ht="15" customHeight="1">
      <c r="A293" t="inlineStr">
        <is>
          <t>A 34185-2024</t>
        </is>
      </c>
      <c r="B293" s="1" t="n">
        <v>45524</v>
      </c>
      <c r="C293" s="1" t="n">
        <v>46030</v>
      </c>
      <c r="D293" t="inlineStr">
        <is>
          <t>UPPSALA LÄN</t>
        </is>
      </c>
      <c r="E293" t="inlineStr">
        <is>
          <t>ÖSTHAMMAR</t>
        </is>
      </c>
      <c r="G293" t="n">
        <v>2.5</v>
      </c>
      <c r="H293" t="n">
        <v>0</v>
      </c>
      <c r="I293" t="n">
        <v>0</v>
      </c>
      <c r="J293" t="n">
        <v>0</v>
      </c>
      <c r="K293" t="n">
        <v>0</v>
      </c>
      <c r="L293" t="n">
        <v>0</v>
      </c>
      <c r="M293" t="n">
        <v>0</v>
      </c>
      <c r="N293" t="n">
        <v>0</v>
      </c>
      <c r="O293" t="n">
        <v>0</v>
      </c>
      <c r="P293" t="n">
        <v>0</v>
      </c>
      <c r="Q293" t="n">
        <v>0</v>
      </c>
      <c r="R293" s="2" t="inlineStr"/>
    </row>
    <row r="294" ht="15" customHeight="1">
      <c r="A294" t="inlineStr">
        <is>
          <t>A 16089-2025</t>
        </is>
      </c>
      <c r="B294" s="1" t="n">
        <v>45749.84232638889</v>
      </c>
      <c r="C294" s="1" t="n">
        <v>46030</v>
      </c>
      <c r="D294" t="inlineStr">
        <is>
          <t>UPPSALA LÄN</t>
        </is>
      </c>
      <c r="E294" t="inlineStr">
        <is>
          <t>ÖSTHAMMAR</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56942-2025</t>
        </is>
      </c>
      <c r="B295" s="1" t="n">
        <v>45978.62611111111</v>
      </c>
      <c r="C295" s="1" t="n">
        <v>46030</v>
      </c>
      <c r="D295" t="inlineStr">
        <is>
          <t>UPPSALA LÄN</t>
        </is>
      </c>
      <c r="E295" t="inlineStr">
        <is>
          <t>ÖSTHAMMAR</t>
        </is>
      </c>
      <c r="G295" t="n">
        <v>3.2</v>
      </c>
      <c r="H295" t="n">
        <v>0</v>
      </c>
      <c r="I295" t="n">
        <v>0</v>
      </c>
      <c r="J295" t="n">
        <v>0</v>
      </c>
      <c r="K295" t="n">
        <v>0</v>
      </c>
      <c r="L295" t="n">
        <v>0</v>
      </c>
      <c r="M295" t="n">
        <v>0</v>
      </c>
      <c r="N295" t="n">
        <v>0</v>
      </c>
      <c r="O295" t="n">
        <v>0</v>
      </c>
      <c r="P295" t="n">
        <v>0</v>
      </c>
      <c r="Q295" t="n">
        <v>0</v>
      </c>
      <c r="R295" s="2" t="inlineStr"/>
    </row>
    <row r="296" ht="15" customHeight="1">
      <c r="A296" t="inlineStr">
        <is>
          <t>A 38571-2023</t>
        </is>
      </c>
      <c r="B296" s="1" t="n">
        <v>45162.6177662037</v>
      </c>
      <c r="C296" s="1" t="n">
        <v>46030</v>
      </c>
      <c r="D296" t="inlineStr">
        <is>
          <t>UPPSALA LÄN</t>
        </is>
      </c>
      <c r="E296" t="inlineStr">
        <is>
          <t>ÖSTHAMMAR</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5884-2023</t>
        </is>
      </c>
      <c r="B297" s="1" t="n">
        <v>44963</v>
      </c>
      <c r="C297" s="1" t="n">
        <v>46030</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41519-2025</t>
        </is>
      </c>
      <c r="B298" s="1" t="n">
        <v>45901.54751157408</v>
      </c>
      <c r="C298" s="1" t="n">
        <v>46030</v>
      </c>
      <c r="D298" t="inlineStr">
        <is>
          <t>UPPSALA LÄN</t>
        </is>
      </c>
      <c r="E298" t="inlineStr">
        <is>
          <t>ÖSTHAMMAR</t>
        </is>
      </c>
      <c r="F298" t="inlineStr">
        <is>
          <t>Övriga Aktiebolag</t>
        </is>
      </c>
      <c r="G298" t="n">
        <v>17.1</v>
      </c>
      <c r="H298" t="n">
        <v>0</v>
      </c>
      <c r="I298" t="n">
        <v>0</v>
      </c>
      <c r="J298" t="n">
        <v>0</v>
      </c>
      <c r="K298" t="n">
        <v>0</v>
      </c>
      <c r="L298" t="n">
        <v>0</v>
      </c>
      <c r="M298" t="n">
        <v>0</v>
      </c>
      <c r="N298" t="n">
        <v>0</v>
      </c>
      <c r="O298" t="n">
        <v>0</v>
      </c>
      <c r="P298" t="n">
        <v>0</v>
      </c>
      <c r="Q298" t="n">
        <v>0</v>
      </c>
      <c r="R298" s="2" t="inlineStr"/>
    </row>
    <row r="299" ht="15" customHeight="1">
      <c r="A299" t="inlineStr">
        <is>
          <t>A 12654-2025</t>
        </is>
      </c>
      <c r="B299" s="1" t="n">
        <v>45733.41601851852</v>
      </c>
      <c r="C299" s="1" t="n">
        <v>46030</v>
      </c>
      <c r="D299" t="inlineStr">
        <is>
          <t>UPPSALA LÄN</t>
        </is>
      </c>
      <c r="E299" t="inlineStr">
        <is>
          <t>ÖSTHAMMAR</t>
        </is>
      </c>
      <c r="G299" t="n">
        <v>9.9</v>
      </c>
      <c r="H299" t="n">
        <v>0</v>
      </c>
      <c r="I299" t="n">
        <v>0</v>
      </c>
      <c r="J299" t="n">
        <v>0</v>
      </c>
      <c r="K299" t="n">
        <v>0</v>
      </c>
      <c r="L299" t="n">
        <v>0</v>
      </c>
      <c r="M299" t="n">
        <v>0</v>
      </c>
      <c r="N299" t="n">
        <v>0</v>
      </c>
      <c r="O299" t="n">
        <v>0</v>
      </c>
      <c r="P299" t="n">
        <v>0</v>
      </c>
      <c r="Q299" t="n">
        <v>0</v>
      </c>
      <c r="R299" s="2" t="inlineStr"/>
    </row>
    <row r="300" ht="15" customHeight="1">
      <c r="A300" t="inlineStr">
        <is>
          <t>A 14170-2025</t>
        </is>
      </c>
      <c r="B300" s="1" t="n">
        <v>45740.51895833333</v>
      </c>
      <c r="C300" s="1" t="n">
        <v>46030</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58297-2024</t>
        </is>
      </c>
      <c r="B301" s="1" t="n">
        <v>45632.59780092593</v>
      </c>
      <c r="C301" s="1" t="n">
        <v>46030</v>
      </c>
      <c r="D301" t="inlineStr">
        <is>
          <t>UPPSALA LÄN</t>
        </is>
      </c>
      <c r="E301" t="inlineStr">
        <is>
          <t>ÖSTHAMMAR</t>
        </is>
      </c>
      <c r="G301" t="n">
        <v>5.1</v>
      </c>
      <c r="H301" t="n">
        <v>0</v>
      </c>
      <c r="I301" t="n">
        <v>0</v>
      </c>
      <c r="J301" t="n">
        <v>0</v>
      </c>
      <c r="K301" t="n">
        <v>0</v>
      </c>
      <c r="L301" t="n">
        <v>0</v>
      </c>
      <c r="M301" t="n">
        <v>0</v>
      </c>
      <c r="N301" t="n">
        <v>0</v>
      </c>
      <c r="O301" t="n">
        <v>0</v>
      </c>
      <c r="P301" t="n">
        <v>0</v>
      </c>
      <c r="Q301" t="n">
        <v>0</v>
      </c>
      <c r="R301" s="2" t="inlineStr"/>
    </row>
    <row r="302" ht="15" customHeight="1">
      <c r="A302" t="inlineStr">
        <is>
          <t>A 8908-2025</t>
        </is>
      </c>
      <c r="B302" s="1" t="n">
        <v>45713.4196875</v>
      </c>
      <c r="C302" s="1" t="n">
        <v>46030</v>
      </c>
      <c r="D302" t="inlineStr">
        <is>
          <t>UPPSALA LÄN</t>
        </is>
      </c>
      <c r="E302" t="inlineStr">
        <is>
          <t>ÖSTHAMMAR</t>
        </is>
      </c>
      <c r="F302" t="inlineStr">
        <is>
          <t>Bergvik skog öst AB</t>
        </is>
      </c>
      <c r="G302" t="n">
        <v>3.3</v>
      </c>
      <c r="H302" t="n">
        <v>0</v>
      </c>
      <c r="I302" t="n">
        <v>0</v>
      </c>
      <c r="J302" t="n">
        <v>0</v>
      </c>
      <c r="K302" t="n">
        <v>0</v>
      </c>
      <c r="L302" t="n">
        <v>0</v>
      </c>
      <c r="M302" t="n">
        <v>0</v>
      </c>
      <c r="N302" t="n">
        <v>0</v>
      </c>
      <c r="O302" t="n">
        <v>0</v>
      </c>
      <c r="P302" t="n">
        <v>0</v>
      </c>
      <c r="Q302" t="n">
        <v>0</v>
      </c>
      <c r="R302" s="2" t="inlineStr"/>
    </row>
    <row r="303" ht="15" customHeight="1">
      <c r="A303" t="inlineStr">
        <is>
          <t>A 52650-2022</t>
        </is>
      </c>
      <c r="B303" s="1" t="n">
        <v>44874</v>
      </c>
      <c r="C303" s="1" t="n">
        <v>46030</v>
      </c>
      <c r="D303" t="inlineStr">
        <is>
          <t>UPPSALA LÄN</t>
        </is>
      </c>
      <c r="E303" t="inlineStr">
        <is>
          <t>ÖSTHAMMAR</t>
        </is>
      </c>
      <c r="F303" t="inlineStr">
        <is>
          <t>Bergvik skog öst AB</t>
        </is>
      </c>
      <c r="G303" t="n">
        <v>0.4</v>
      </c>
      <c r="H303" t="n">
        <v>0</v>
      </c>
      <c r="I303" t="n">
        <v>0</v>
      </c>
      <c r="J303" t="n">
        <v>0</v>
      </c>
      <c r="K303" t="n">
        <v>0</v>
      </c>
      <c r="L303" t="n">
        <v>0</v>
      </c>
      <c r="M303" t="n">
        <v>0</v>
      </c>
      <c r="N303" t="n">
        <v>0</v>
      </c>
      <c r="O303" t="n">
        <v>0</v>
      </c>
      <c r="P303" t="n">
        <v>0</v>
      </c>
      <c r="Q303" t="n">
        <v>0</v>
      </c>
      <c r="R303" s="2" t="inlineStr"/>
    </row>
    <row r="304" ht="15" customHeight="1">
      <c r="A304" t="inlineStr">
        <is>
          <t>A 26330-2025</t>
        </is>
      </c>
      <c r="B304" s="1" t="n">
        <v>45805.68263888889</v>
      </c>
      <c r="C304" s="1" t="n">
        <v>46030</v>
      </c>
      <c r="D304" t="inlineStr">
        <is>
          <t>UPPSALA LÄN</t>
        </is>
      </c>
      <c r="E304" t="inlineStr">
        <is>
          <t>ÖSTHAMMAR</t>
        </is>
      </c>
      <c r="G304" t="n">
        <v>0.5</v>
      </c>
      <c r="H304" t="n">
        <v>0</v>
      </c>
      <c r="I304" t="n">
        <v>0</v>
      </c>
      <c r="J304" t="n">
        <v>0</v>
      </c>
      <c r="K304" t="n">
        <v>0</v>
      </c>
      <c r="L304" t="n">
        <v>0</v>
      </c>
      <c r="M304" t="n">
        <v>0</v>
      </c>
      <c r="N304" t="n">
        <v>0</v>
      </c>
      <c r="O304" t="n">
        <v>0</v>
      </c>
      <c r="P304" t="n">
        <v>0</v>
      </c>
      <c r="Q304" t="n">
        <v>0</v>
      </c>
      <c r="R304" s="2" t="inlineStr"/>
    </row>
    <row r="305" ht="15" customHeight="1">
      <c r="A305" t="inlineStr">
        <is>
          <t>A 26319-2025</t>
        </is>
      </c>
      <c r="B305" s="1" t="n">
        <v>45805.65960648148</v>
      </c>
      <c r="C305" s="1" t="n">
        <v>46030</v>
      </c>
      <c r="D305" t="inlineStr">
        <is>
          <t>UPPSALA LÄN</t>
        </is>
      </c>
      <c r="E305" t="inlineStr">
        <is>
          <t>ÖSTHAMMAR</t>
        </is>
      </c>
      <c r="G305" t="n">
        <v>1</v>
      </c>
      <c r="H305" t="n">
        <v>0</v>
      </c>
      <c r="I305" t="n">
        <v>0</v>
      </c>
      <c r="J305" t="n">
        <v>0</v>
      </c>
      <c r="K305" t="n">
        <v>0</v>
      </c>
      <c r="L305" t="n">
        <v>0</v>
      </c>
      <c r="M305" t="n">
        <v>0</v>
      </c>
      <c r="N305" t="n">
        <v>0</v>
      </c>
      <c r="O305" t="n">
        <v>0</v>
      </c>
      <c r="P305" t="n">
        <v>0</v>
      </c>
      <c r="Q305" t="n">
        <v>0</v>
      </c>
      <c r="R305" s="2" t="inlineStr"/>
    </row>
    <row r="306" ht="15" customHeight="1">
      <c r="A306" t="inlineStr">
        <is>
          <t>A 56748-2025</t>
        </is>
      </c>
      <c r="B306" s="1" t="n">
        <v>45978.36412037037</v>
      </c>
      <c r="C306" s="1" t="n">
        <v>46030</v>
      </c>
      <c r="D306" t="inlineStr">
        <is>
          <t>UPPSALA LÄN</t>
        </is>
      </c>
      <c r="E306" t="inlineStr">
        <is>
          <t>ÖSTHAMMAR</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26055-2025</t>
        </is>
      </c>
      <c r="B307" s="1" t="n">
        <v>45804.77559027778</v>
      </c>
      <c r="C307" s="1" t="n">
        <v>46030</v>
      </c>
      <c r="D307" t="inlineStr">
        <is>
          <t>UPPSALA LÄN</t>
        </is>
      </c>
      <c r="E307" t="inlineStr">
        <is>
          <t>ÖSTHAMMAR</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24401-2025</t>
        </is>
      </c>
      <c r="B308" s="1" t="n">
        <v>45797.64908564815</v>
      </c>
      <c r="C308" s="1" t="n">
        <v>46030</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24408-2025</t>
        </is>
      </c>
      <c r="B309" s="1" t="n">
        <v>45797.65774305556</v>
      </c>
      <c r="C309" s="1" t="n">
        <v>46030</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56745-2025</t>
        </is>
      </c>
      <c r="B310" s="1" t="n">
        <v>45978.36157407407</v>
      </c>
      <c r="C310" s="1" t="n">
        <v>46030</v>
      </c>
      <c r="D310" t="inlineStr">
        <is>
          <t>UPPSALA LÄN</t>
        </is>
      </c>
      <c r="E310" t="inlineStr">
        <is>
          <t>ÖSTHAMMAR</t>
        </is>
      </c>
      <c r="G310" t="n">
        <v>2.6</v>
      </c>
      <c r="H310" t="n">
        <v>0</v>
      </c>
      <c r="I310" t="n">
        <v>0</v>
      </c>
      <c r="J310" t="n">
        <v>0</v>
      </c>
      <c r="K310" t="n">
        <v>0</v>
      </c>
      <c r="L310" t="n">
        <v>0</v>
      </c>
      <c r="M310" t="n">
        <v>0</v>
      </c>
      <c r="N310" t="n">
        <v>0</v>
      </c>
      <c r="O310" t="n">
        <v>0</v>
      </c>
      <c r="P310" t="n">
        <v>0</v>
      </c>
      <c r="Q310" t="n">
        <v>0</v>
      </c>
      <c r="R310" s="2" t="inlineStr"/>
    </row>
    <row r="311" ht="15" customHeight="1">
      <c r="A311" t="inlineStr">
        <is>
          <t>A 57257-2025</t>
        </is>
      </c>
      <c r="B311" s="1" t="n">
        <v>45979.65149305556</v>
      </c>
      <c r="C311" s="1" t="n">
        <v>46030</v>
      </c>
      <c r="D311" t="inlineStr">
        <is>
          <t>UPPSALA LÄN</t>
        </is>
      </c>
      <c r="E311" t="inlineStr">
        <is>
          <t>ÖSTHAMMAR</t>
        </is>
      </c>
      <c r="G311" t="n">
        <v>0.7</v>
      </c>
      <c r="H311" t="n">
        <v>0</v>
      </c>
      <c r="I311" t="n">
        <v>0</v>
      </c>
      <c r="J311" t="n">
        <v>0</v>
      </c>
      <c r="K311" t="n">
        <v>0</v>
      </c>
      <c r="L311" t="n">
        <v>0</v>
      </c>
      <c r="M311" t="n">
        <v>0</v>
      </c>
      <c r="N311" t="n">
        <v>0</v>
      </c>
      <c r="O311" t="n">
        <v>0</v>
      </c>
      <c r="P311" t="n">
        <v>0</v>
      </c>
      <c r="Q311" t="n">
        <v>0</v>
      </c>
      <c r="R311" s="2" t="inlineStr"/>
    </row>
    <row r="312" ht="15" customHeight="1">
      <c r="A312" t="inlineStr">
        <is>
          <t>A 44807-2024</t>
        </is>
      </c>
      <c r="B312" s="1" t="n">
        <v>45574.65427083334</v>
      </c>
      <c r="C312" s="1" t="n">
        <v>46030</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57248-2025</t>
        </is>
      </c>
      <c r="B313" s="1" t="n">
        <v>45979.635625</v>
      </c>
      <c r="C313" s="1" t="n">
        <v>46030</v>
      </c>
      <c r="D313" t="inlineStr">
        <is>
          <t>UPPSALA LÄN</t>
        </is>
      </c>
      <c r="E313" t="inlineStr">
        <is>
          <t>ÖSTHAMMAR</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56754-2025</t>
        </is>
      </c>
      <c r="B314" s="1" t="n">
        <v>45978.36700231482</v>
      </c>
      <c r="C314" s="1" t="n">
        <v>46030</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26521-2025</t>
        </is>
      </c>
      <c r="B315" s="1" t="n">
        <v>45807.56275462963</v>
      </c>
      <c r="C315" s="1" t="n">
        <v>46030</v>
      </c>
      <c r="D315" t="inlineStr">
        <is>
          <t>UPPSALA LÄN</t>
        </is>
      </c>
      <c r="E315" t="inlineStr">
        <is>
          <t>ÖSTHAMMAR</t>
        </is>
      </c>
      <c r="G315" t="n">
        <v>1.1</v>
      </c>
      <c r="H315" t="n">
        <v>0</v>
      </c>
      <c r="I315" t="n">
        <v>0</v>
      </c>
      <c r="J315" t="n">
        <v>0</v>
      </c>
      <c r="K315" t="n">
        <v>0</v>
      </c>
      <c r="L315" t="n">
        <v>0</v>
      </c>
      <c r="M315" t="n">
        <v>0</v>
      </c>
      <c r="N315" t="n">
        <v>0</v>
      </c>
      <c r="O315" t="n">
        <v>0</v>
      </c>
      <c r="P315" t="n">
        <v>0</v>
      </c>
      <c r="Q315" t="n">
        <v>0</v>
      </c>
      <c r="R315" s="2" t="inlineStr"/>
    </row>
    <row r="316" ht="15" customHeight="1">
      <c r="A316" t="inlineStr">
        <is>
          <t>A 26526-2025</t>
        </is>
      </c>
      <c r="B316" s="1" t="n">
        <v>45807.56612268519</v>
      </c>
      <c r="C316" s="1" t="n">
        <v>46030</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59731-2023</t>
        </is>
      </c>
      <c r="B317" s="1" t="n">
        <v>45257</v>
      </c>
      <c r="C317" s="1" t="n">
        <v>46030</v>
      </c>
      <c r="D317" t="inlineStr">
        <is>
          <t>UPPSALA LÄN</t>
        </is>
      </c>
      <c r="E317" t="inlineStr">
        <is>
          <t>ÖSTHAMMAR</t>
        </is>
      </c>
      <c r="G317" t="n">
        <v>0.7</v>
      </c>
      <c r="H317" t="n">
        <v>0</v>
      </c>
      <c r="I317" t="n">
        <v>0</v>
      </c>
      <c r="J317" t="n">
        <v>0</v>
      </c>
      <c r="K317" t="n">
        <v>0</v>
      </c>
      <c r="L317" t="n">
        <v>0</v>
      </c>
      <c r="M317" t="n">
        <v>0</v>
      </c>
      <c r="N317" t="n">
        <v>0</v>
      </c>
      <c r="O317" t="n">
        <v>0</v>
      </c>
      <c r="P317" t="n">
        <v>0</v>
      </c>
      <c r="Q317" t="n">
        <v>0</v>
      </c>
      <c r="R317" s="2" t="inlineStr"/>
    </row>
    <row r="318" ht="15" customHeight="1">
      <c r="A318" t="inlineStr">
        <is>
          <t>A 24389-2025</t>
        </is>
      </c>
      <c r="B318" s="1" t="n">
        <v>45797.63553240741</v>
      </c>
      <c r="C318" s="1" t="n">
        <v>46030</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27384-2025</t>
        </is>
      </c>
      <c r="B319" s="1" t="n">
        <v>45812.6672337963</v>
      </c>
      <c r="C319" s="1" t="n">
        <v>46030</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56753-2025</t>
        </is>
      </c>
      <c r="B320" s="1" t="n">
        <v>45978.36677083333</v>
      </c>
      <c r="C320" s="1" t="n">
        <v>46030</v>
      </c>
      <c r="D320" t="inlineStr">
        <is>
          <t>UPPSALA LÄN</t>
        </is>
      </c>
      <c r="E320" t="inlineStr">
        <is>
          <t>ÖSTHAMMAR</t>
        </is>
      </c>
      <c r="F320" t="inlineStr">
        <is>
          <t>Sveaskog</t>
        </is>
      </c>
      <c r="G320" t="n">
        <v>8.6</v>
      </c>
      <c r="H320" t="n">
        <v>0</v>
      </c>
      <c r="I320" t="n">
        <v>0</v>
      </c>
      <c r="J320" t="n">
        <v>0</v>
      </c>
      <c r="K320" t="n">
        <v>0</v>
      </c>
      <c r="L320" t="n">
        <v>0</v>
      </c>
      <c r="M320" t="n">
        <v>0</v>
      </c>
      <c r="N320" t="n">
        <v>0</v>
      </c>
      <c r="O320" t="n">
        <v>0</v>
      </c>
      <c r="P320" t="n">
        <v>0</v>
      </c>
      <c r="Q320" t="n">
        <v>0</v>
      </c>
      <c r="R320" s="2" t="inlineStr"/>
    </row>
    <row r="321" ht="15" customHeight="1">
      <c r="A321" t="inlineStr">
        <is>
          <t>A 27131-2025</t>
        </is>
      </c>
      <c r="B321" s="1" t="n">
        <v>45811</v>
      </c>
      <c r="C321" s="1" t="n">
        <v>46030</v>
      </c>
      <c r="D321" t="inlineStr">
        <is>
          <t>UPPSALA LÄN</t>
        </is>
      </c>
      <c r="E321" t="inlineStr">
        <is>
          <t>ÖSTHAMMAR</t>
        </is>
      </c>
      <c r="G321" t="n">
        <v>1.9</v>
      </c>
      <c r="H321" t="n">
        <v>0</v>
      </c>
      <c r="I321" t="n">
        <v>0</v>
      </c>
      <c r="J321" t="n">
        <v>0</v>
      </c>
      <c r="K321" t="n">
        <v>0</v>
      </c>
      <c r="L321" t="n">
        <v>0</v>
      </c>
      <c r="M321" t="n">
        <v>0</v>
      </c>
      <c r="N321" t="n">
        <v>0</v>
      </c>
      <c r="O321" t="n">
        <v>0</v>
      </c>
      <c r="P321" t="n">
        <v>0</v>
      </c>
      <c r="Q321" t="n">
        <v>0</v>
      </c>
      <c r="R321" s="2" t="inlineStr"/>
    </row>
    <row r="322" ht="15" customHeight="1">
      <c r="A322" t="inlineStr">
        <is>
          <t>A 28228-2022</t>
        </is>
      </c>
      <c r="B322" s="1" t="n">
        <v>44746.65873842593</v>
      </c>
      <c r="C322" s="1" t="n">
        <v>46030</v>
      </c>
      <c r="D322" t="inlineStr">
        <is>
          <t>UPPSALA LÄN</t>
        </is>
      </c>
      <c r="E322" t="inlineStr">
        <is>
          <t>ÖSTHAMMAR</t>
        </is>
      </c>
      <c r="G322" t="n">
        <v>2.7</v>
      </c>
      <c r="H322" t="n">
        <v>0</v>
      </c>
      <c r="I322" t="n">
        <v>0</v>
      </c>
      <c r="J322" t="n">
        <v>0</v>
      </c>
      <c r="K322" t="n">
        <v>0</v>
      </c>
      <c r="L322" t="n">
        <v>0</v>
      </c>
      <c r="M322" t="n">
        <v>0</v>
      </c>
      <c r="N322" t="n">
        <v>0</v>
      </c>
      <c r="O322" t="n">
        <v>0</v>
      </c>
      <c r="P322" t="n">
        <v>0</v>
      </c>
      <c r="Q322" t="n">
        <v>0</v>
      </c>
      <c r="R322" s="2" t="inlineStr"/>
    </row>
    <row r="323" ht="15" customHeight="1">
      <c r="A323" t="inlineStr">
        <is>
          <t>A 56823-2025</t>
        </is>
      </c>
      <c r="B323" s="1" t="n">
        <v>45978.46484953703</v>
      </c>
      <c r="C323" s="1" t="n">
        <v>46030</v>
      </c>
      <c r="D323" t="inlineStr">
        <is>
          <t>UPPSALA LÄN</t>
        </is>
      </c>
      <c r="E323" t="inlineStr">
        <is>
          <t>ÖSTHAMMAR</t>
        </is>
      </c>
      <c r="G323" t="n">
        <v>0.1</v>
      </c>
      <c r="H323" t="n">
        <v>0</v>
      </c>
      <c r="I323" t="n">
        <v>0</v>
      </c>
      <c r="J323" t="n">
        <v>0</v>
      </c>
      <c r="K323" t="n">
        <v>0</v>
      </c>
      <c r="L323" t="n">
        <v>0</v>
      </c>
      <c r="M323" t="n">
        <v>0</v>
      </c>
      <c r="N323" t="n">
        <v>0</v>
      </c>
      <c r="O323" t="n">
        <v>0</v>
      </c>
      <c r="P323" t="n">
        <v>0</v>
      </c>
      <c r="Q323" t="n">
        <v>0</v>
      </c>
      <c r="R323" s="2" t="inlineStr"/>
    </row>
    <row r="324" ht="15" customHeight="1">
      <c r="A324" t="inlineStr">
        <is>
          <t>A 49831-2023</t>
        </is>
      </c>
      <c r="B324" s="1" t="n">
        <v>45212.71241898148</v>
      </c>
      <c r="C324" s="1" t="n">
        <v>46030</v>
      </c>
      <c r="D324" t="inlineStr">
        <is>
          <t>UPPSALA LÄN</t>
        </is>
      </c>
      <c r="E324" t="inlineStr">
        <is>
          <t>ÖSTHAMMAR</t>
        </is>
      </c>
      <c r="F324" t="inlineStr">
        <is>
          <t>Bergvik skog öst AB</t>
        </is>
      </c>
      <c r="G324" t="n">
        <v>0.4</v>
      </c>
      <c r="H324" t="n">
        <v>0</v>
      </c>
      <c r="I324" t="n">
        <v>0</v>
      </c>
      <c r="J324" t="n">
        <v>0</v>
      </c>
      <c r="K324" t="n">
        <v>0</v>
      </c>
      <c r="L324" t="n">
        <v>0</v>
      </c>
      <c r="M324" t="n">
        <v>0</v>
      </c>
      <c r="N324" t="n">
        <v>0</v>
      </c>
      <c r="O324" t="n">
        <v>0</v>
      </c>
      <c r="P324" t="n">
        <v>0</v>
      </c>
      <c r="Q324" t="n">
        <v>0</v>
      </c>
      <c r="R324" s="2" t="inlineStr"/>
    </row>
    <row r="325" ht="15" customHeight="1">
      <c r="A325" t="inlineStr">
        <is>
          <t>A 35316-2024</t>
        </is>
      </c>
      <c r="B325" s="1" t="n">
        <v>45530.68873842592</v>
      </c>
      <c r="C325" s="1" t="n">
        <v>46030</v>
      </c>
      <c r="D325" t="inlineStr">
        <is>
          <t>UPPSALA LÄN</t>
        </is>
      </c>
      <c r="E325" t="inlineStr">
        <is>
          <t>ÖSTHAMMAR</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20072-2025</t>
        </is>
      </c>
      <c r="B326" s="1" t="n">
        <v>45772</v>
      </c>
      <c r="C326" s="1" t="n">
        <v>46030</v>
      </c>
      <c r="D326" t="inlineStr">
        <is>
          <t>UPPSALA LÄN</t>
        </is>
      </c>
      <c r="E326" t="inlineStr">
        <is>
          <t>ÖSTHAMMAR</t>
        </is>
      </c>
      <c r="G326" t="n">
        <v>3.1</v>
      </c>
      <c r="H326" t="n">
        <v>0</v>
      </c>
      <c r="I326" t="n">
        <v>0</v>
      </c>
      <c r="J326" t="n">
        <v>0</v>
      </c>
      <c r="K326" t="n">
        <v>0</v>
      </c>
      <c r="L326" t="n">
        <v>0</v>
      </c>
      <c r="M326" t="n">
        <v>0</v>
      </c>
      <c r="N326" t="n">
        <v>0</v>
      </c>
      <c r="O326" t="n">
        <v>0</v>
      </c>
      <c r="P326" t="n">
        <v>0</v>
      </c>
      <c r="Q326" t="n">
        <v>0</v>
      </c>
      <c r="R326" s="2" t="inlineStr"/>
    </row>
    <row r="327" ht="15" customHeight="1">
      <c r="A327" t="inlineStr">
        <is>
          <t>A 27132-2025</t>
        </is>
      </c>
      <c r="B327" s="1" t="n">
        <v>45811</v>
      </c>
      <c r="C327" s="1" t="n">
        <v>46030</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28099-2025</t>
        </is>
      </c>
      <c r="B328" s="1" t="n">
        <v>45817.82967592592</v>
      </c>
      <c r="C328" s="1" t="n">
        <v>46030</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45561-2023</t>
        </is>
      </c>
      <c r="B329" s="1" t="n">
        <v>45194.59335648148</v>
      </c>
      <c r="C329" s="1" t="n">
        <v>46030</v>
      </c>
      <c r="D329" t="inlineStr">
        <is>
          <t>UPPSALA LÄN</t>
        </is>
      </c>
      <c r="E329" t="inlineStr">
        <is>
          <t>ÖSTHAMMAR</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43011-2025</t>
        </is>
      </c>
      <c r="B330" s="1" t="n">
        <v>45909.48989583334</v>
      </c>
      <c r="C330" s="1" t="n">
        <v>46030</v>
      </c>
      <c r="D330" t="inlineStr">
        <is>
          <t>UPPSALA LÄN</t>
        </is>
      </c>
      <c r="E330" t="inlineStr">
        <is>
          <t>ÖSTHAMMAR</t>
        </is>
      </c>
      <c r="F330" t="inlineStr">
        <is>
          <t>Övriga Aktiebolag</t>
        </is>
      </c>
      <c r="G330" t="n">
        <v>4.7</v>
      </c>
      <c r="H330" t="n">
        <v>0</v>
      </c>
      <c r="I330" t="n">
        <v>0</v>
      </c>
      <c r="J330" t="n">
        <v>0</v>
      </c>
      <c r="K330" t="n">
        <v>0</v>
      </c>
      <c r="L330" t="n">
        <v>0</v>
      </c>
      <c r="M330" t="n">
        <v>0</v>
      </c>
      <c r="N330" t="n">
        <v>0</v>
      </c>
      <c r="O330" t="n">
        <v>0</v>
      </c>
      <c r="P330" t="n">
        <v>0</v>
      </c>
      <c r="Q330" t="n">
        <v>0</v>
      </c>
      <c r="R330" s="2" t="inlineStr"/>
    </row>
    <row r="331" ht="15" customHeight="1">
      <c r="A331" t="inlineStr">
        <is>
          <t>A 57154-2025</t>
        </is>
      </c>
      <c r="B331" s="1" t="n">
        <v>45979.51086805556</v>
      </c>
      <c r="C331" s="1" t="n">
        <v>46030</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27058-2025</t>
        </is>
      </c>
      <c r="B332" s="1" t="n">
        <v>45811.63436342592</v>
      </c>
      <c r="C332" s="1" t="n">
        <v>46030</v>
      </c>
      <c r="D332" t="inlineStr">
        <is>
          <t>UPPSALA LÄN</t>
        </is>
      </c>
      <c r="E332" t="inlineStr">
        <is>
          <t>ÖSTHAMMAR</t>
        </is>
      </c>
      <c r="F332" t="inlineStr">
        <is>
          <t>Bergvik skog öst AB</t>
        </is>
      </c>
      <c r="G332" t="n">
        <v>5.7</v>
      </c>
      <c r="H332" t="n">
        <v>0</v>
      </c>
      <c r="I332" t="n">
        <v>0</v>
      </c>
      <c r="J332" t="n">
        <v>0</v>
      </c>
      <c r="K332" t="n">
        <v>0</v>
      </c>
      <c r="L332" t="n">
        <v>0</v>
      </c>
      <c r="M332" t="n">
        <v>0</v>
      </c>
      <c r="N332" t="n">
        <v>0</v>
      </c>
      <c r="O332" t="n">
        <v>0</v>
      </c>
      <c r="P332" t="n">
        <v>0</v>
      </c>
      <c r="Q332" t="n">
        <v>0</v>
      </c>
      <c r="R332" s="2" t="inlineStr"/>
    </row>
    <row r="333" ht="15" customHeight="1">
      <c r="A333" t="inlineStr">
        <is>
          <t>A 5076-2025</t>
        </is>
      </c>
      <c r="B333" s="1" t="n">
        <v>45691</v>
      </c>
      <c r="C333" s="1" t="n">
        <v>46030</v>
      </c>
      <c r="D333" t="inlineStr">
        <is>
          <t>UPPSALA LÄN</t>
        </is>
      </c>
      <c r="E333" t="inlineStr">
        <is>
          <t>ÖSTHAMMAR</t>
        </is>
      </c>
      <c r="G333" t="n">
        <v>5.8</v>
      </c>
      <c r="H333" t="n">
        <v>0</v>
      </c>
      <c r="I333" t="n">
        <v>0</v>
      </c>
      <c r="J333" t="n">
        <v>0</v>
      </c>
      <c r="K333" t="n">
        <v>0</v>
      </c>
      <c r="L333" t="n">
        <v>0</v>
      </c>
      <c r="M333" t="n">
        <v>0</v>
      </c>
      <c r="N333" t="n">
        <v>0</v>
      </c>
      <c r="O333" t="n">
        <v>0</v>
      </c>
      <c r="P333" t="n">
        <v>0</v>
      </c>
      <c r="Q333" t="n">
        <v>0</v>
      </c>
      <c r="R333" s="2" t="inlineStr"/>
    </row>
    <row r="334" ht="15" customHeight="1">
      <c r="A334" t="inlineStr">
        <is>
          <t>A 16212-2021</t>
        </is>
      </c>
      <c r="B334" s="1" t="n">
        <v>44287</v>
      </c>
      <c r="C334" s="1" t="n">
        <v>46030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42940-2025</t>
        </is>
      </c>
      <c r="B335" s="1" t="n">
        <v>45909.33440972222</v>
      </c>
      <c r="C335" s="1" t="n">
        <v>46030</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27347-2025</t>
        </is>
      </c>
      <c r="B336" s="1" t="n">
        <v>45812.62390046296</v>
      </c>
      <c r="C336" s="1" t="n">
        <v>46030</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27392-2025</t>
        </is>
      </c>
      <c r="B337" s="1" t="n">
        <v>45812.68268518519</v>
      </c>
      <c r="C337" s="1" t="n">
        <v>46030</v>
      </c>
      <c r="D337" t="inlineStr">
        <is>
          <t>UPPSALA LÄN</t>
        </is>
      </c>
      <c r="E337" t="inlineStr">
        <is>
          <t>ÖSTHAMMAR</t>
        </is>
      </c>
      <c r="F337" t="inlineStr">
        <is>
          <t>Bergvik skog öst AB</t>
        </is>
      </c>
      <c r="G337" t="n">
        <v>2.1</v>
      </c>
      <c r="H337" t="n">
        <v>0</v>
      </c>
      <c r="I337" t="n">
        <v>0</v>
      </c>
      <c r="J337" t="n">
        <v>0</v>
      </c>
      <c r="K337" t="n">
        <v>0</v>
      </c>
      <c r="L337" t="n">
        <v>0</v>
      </c>
      <c r="M337" t="n">
        <v>0</v>
      </c>
      <c r="N337" t="n">
        <v>0</v>
      </c>
      <c r="O337" t="n">
        <v>0</v>
      </c>
      <c r="P337" t="n">
        <v>0</v>
      </c>
      <c r="Q337" t="n">
        <v>0</v>
      </c>
      <c r="R337" s="2" t="inlineStr"/>
    </row>
    <row r="338" ht="15" customHeight="1">
      <c r="A338" t="inlineStr">
        <is>
          <t>A 33927-2025</t>
        </is>
      </c>
      <c r="B338" s="1" t="n">
        <v>45842.62363425926</v>
      </c>
      <c r="C338" s="1" t="n">
        <v>46030</v>
      </c>
      <c r="D338" t="inlineStr">
        <is>
          <t>UPPSALA LÄN</t>
        </is>
      </c>
      <c r="E338" t="inlineStr">
        <is>
          <t>ÖSTHAMMAR</t>
        </is>
      </c>
      <c r="G338" t="n">
        <v>3.5</v>
      </c>
      <c r="H338" t="n">
        <v>0</v>
      </c>
      <c r="I338" t="n">
        <v>0</v>
      </c>
      <c r="J338" t="n">
        <v>0</v>
      </c>
      <c r="K338" t="n">
        <v>0</v>
      </c>
      <c r="L338" t="n">
        <v>0</v>
      </c>
      <c r="M338" t="n">
        <v>0</v>
      </c>
      <c r="N338" t="n">
        <v>0</v>
      </c>
      <c r="O338" t="n">
        <v>0</v>
      </c>
      <c r="P338" t="n">
        <v>0</v>
      </c>
      <c r="Q338" t="n">
        <v>0</v>
      </c>
      <c r="R338" s="2" t="inlineStr"/>
    </row>
    <row r="339" ht="15" customHeight="1">
      <c r="A339" t="inlineStr">
        <is>
          <t>A 27352-2025</t>
        </is>
      </c>
      <c r="B339" s="1" t="n">
        <v>45812.62694444445</v>
      </c>
      <c r="C339" s="1" t="n">
        <v>46030</v>
      </c>
      <c r="D339" t="inlineStr">
        <is>
          <t>UPPSALA LÄN</t>
        </is>
      </c>
      <c r="E339" t="inlineStr">
        <is>
          <t>ÖSTHAMMAR</t>
        </is>
      </c>
      <c r="G339" t="n">
        <v>2.5</v>
      </c>
      <c r="H339" t="n">
        <v>0</v>
      </c>
      <c r="I339" t="n">
        <v>0</v>
      </c>
      <c r="J339" t="n">
        <v>0</v>
      </c>
      <c r="K339" t="n">
        <v>0</v>
      </c>
      <c r="L339" t="n">
        <v>0</v>
      </c>
      <c r="M339" t="n">
        <v>0</v>
      </c>
      <c r="N339" t="n">
        <v>0</v>
      </c>
      <c r="O339" t="n">
        <v>0</v>
      </c>
      <c r="P339" t="n">
        <v>0</v>
      </c>
      <c r="Q339" t="n">
        <v>0</v>
      </c>
      <c r="R339" s="2" t="inlineStr"/>
    </row>
    <row r="340" ht="15" customHeight="1">
      <c r="A340" t="inlineStr">
        <is>
          <t>A 27350-2025</t>
        </is>
      </c>
      <c r="B340" s="1" t="n">
        <v>45812.62571759259</v>
      </c>
      <c r="C340" s="1" t="n">
        <v>46030</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46030</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27383-2025</t>
        </is>
      </c>
      <c r="B342" s="1" t="n">
        <v>45812.66628472223</v>
      </c>
      <c r="C342" s="1" t="n">
        <v>46030</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27385-2025</t>
        </is>
      </c>
      <c r="B343" s="1" t="n">
        <v>45812.66829861111</v>
      </c>
      <c r="C343" s="1" t="n">
        <v>46030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27395-2025</t>
        </is>
      </c>
      <c r="B344" s="1" t="n">
        <v>45812.6850462963</v>
      </c>
      <c r="C344" s="1" t="n">
        <v>46030</v>
      </c>
      <c r="D344" t="inlineStr">
        <is>
          <t>UPPSALA LÄN</t>
        </is>
      </c>
      <c r="E344" t="inlineStr">
        <is>
          <t>ÖSTHAMMAR</t>
        </is>
      </c>
      <c r="F344" t="inlineStr">
        <is>
          <t>Bergvik skog öst AB</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27563-2025</t>
        </is>
      </c>
      <c r="B345" s="1" t="n">
        <v>45813.48471064815</v>
      </c>
      <c r="C345" s="1" t="n">
        <v>46030</v>
      </c>
      <c r="D345" t="inlineStr">
        <is>
          <t>UPPSALA LÄN</t>
        </is>
      </c>
      <c r="E345" t="inlineStr">
        <is>
          <t>ÖSTHAMMAR</t>
        </is>
      </c>
      <c r="F345" t="inlineStr">
        <is>
          <t>Bergvik skog öst AB</t>
        </is>
      </c>
      <c r="G345" t="n">
        <v>4</v>
      </c>
      <c r="H345" t="n">
        <v>0</v>
      </c>
      <c r="I345" t="n">
        <v>0</v>
      </c>
      <c r="J345" t="n">
        <v>0</v>
      </c>
      <c r="K345" t="n">
        <v>0</v>
      </c>
      <c r="L345" t="n">
        <v>0</v>
      </c>
      <c r="M345" t="n">
        <v>0</v>
      </c>
      <c r="N345" t="n">
        <v>0</v>
      </c>
      <c r="O345" t="n">
        <v>0</v>
      </c>
      <c r="P345" t="n">
        <v>0</v>
      </c>
      <c r="Q345" t="n">
        <v>0</v>
      </c>
      <c r="R345" s="2" t="inlineStr"/>
    </row>
    <row r="346" ht="15" customHeight="1">
      <c r="A346" t="inlineStr">
        <is>
          <t>A 43622-2025</t>
        </is>
      </c>
      <c r="B346" s="1" t="n">
        <v>45911.68295138889</v>
      </c>
      <c r="C346" s="1" t="n">
        <v>46030</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11036-2023</t>
        </is>
      </c>
      <c r="B347" s="1" t="n">
        <v>44991.9321412037</v>
      </c>
      <c r="C347" s="1" t="n">
        <v>46030</v>
      </c>
      <c r="D347" t="inlineStr">
        <is>
          <t>UPPSALA LÄN</t>
        </is>
      </c>
      <c r="E347" t="inlineStr">
        <is>
          <t>ÖSTHAMMAR</t>
        </is>
      </c>
      <c r="F347" t="inlineStr">
        <is>
          <t>Bergvik skog öst AB</t>
        </is>
      </c>
      <c r="G347" t="n">
        <v>3</v>
      </c>
      <c r="H347" t="n">
        <v>0</v>
      </c>
      <c r="I347" t="n">
        <v>0</v>
      </c>
      <c r="J347" t="n">
        <v>0</v>
      </c>
      <c r="K347" t="n">
        <v>0</v>
      </c>
      <c r="L347" t="n">
        <v>0</v>
      </c>
      <c r="M347" t="n">
        <v>0</v>
      </c>
      <c r="N347" t="n">
        <v>0</v>
      </c>
      <c r="O347" t="n">
        <v>0</v>
      </c>
      <c r="P347" t="n">
        <v>0</v>
      </c>
      <c r="Q347" t="n">
        <v>0</v>
      </c>
      <c r="R347" s="2" t="inlineStr"/>
    </row>
    <row r="348" ht="15" customHeight="1">
      <c r="A348" t="inlineStr">
        <is>
          <t>A 27919-2025</t>
        </is>
      </c>
      <c r="B348" s="1" t="n">
        <v>45817.48384259259</v>
      </c>
      <c r="C348" s="1" t="n">
        <v>46030</v>
      </c>
      <c r="D348" t="inlineStr">
        <is>
          <t>UPPSALA LÄN</t>
        </is>
      </c>
      <c r="E348" t="inlineStr">
        <is>
          <t>ÖSTHAMMAR</t>
        </is>
      </c>
      <c r="F348" t="inlineStr">
        <is>
          <t>Bergvik skog öst AB</t>
        </is>
      </c>
      <c r="G348" t="n">
        <v>3.5</v>
      </c>
      <c r="H348" t="n">
        <v>0</v>
      </c>
      <c r="I348" t="n">
        <v>0</v>
      </c>
      <c r="J348" t="n">
        <v>0</v>
      </c>
      <c r="K348" t="n">
        <v>0</v>
      </c>
      <c r="L348" t="n">
        <v>0</v>
      </c>
      <c r="M348" t="n">
        <v>0</v>
      </c>
      <c r="N348" t="n">
        <v>0</v>
      </c>
      <c r="O348" t="n">
        <v>0</v>
      </c>
      <c r="P348" t="n">
        <v>0</v>
      </c>
      <c r="Q348" t="n">
        <v>0</v>
      </c>
      <c r="R348" s="2" t="inlineStr"/>
    </row>
    <row r="349" ht="15" customHeight="1">
      <c r="A349" t="inlineStr">
        <is>
          <t>A 32884-2024</t>
        </is>
      </c>
      <c r="B349" s="1" t="n">
        <v>45516.72097222223</v>
      </c>
      <c r="C349" s="1" t="n">
        <v>46030</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46030</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27853-2025</t>
        </is>
      </c>
      <c r="B351" s="1" t="n">
        <v>45817.40178240741</v>
      </c>
      <c r="C351" s="1" t="n">
        <v>46030</v>
      </c>
      <c r="D351" t="inlineStr">
        <is>
          <t>UPPSALA LÄN</t>
        </is>
      </c>
      <c r="E351" t="inlineStr">
        <is>
          <t>ÖSTHAMMAR</t>
        </is>
      </c>
      <c r="F351" t="inlineStr">
        <is>
          <t>Bergvik skog öst AB</t>
        </is>
      </c>
      <c r="G351" t="n">
        <v>1.4</v>
      </c>
      <c r="H351" t="n">
        <v>0</v>
      </c>
      <c r="I351" t="n">
        <v>0</v>
      </c>
      <c r="J351" t="n">
        <v>0</v>
      </c>
      <c r="K351" t="n">
        <v>0</v>
      </c>
      <c r="L351" t="n">
        <v>0</v>
      </c>
      <c r="M351" t="n">
        <v>0</v>
      </c>
      <c r="N351" t="n">
        <v>0</v>
      </c>
      <c r="O351" t="n">
        <v>0</v>
      </c>
      <c r="P351" t="n">
        <v>0</v>
      </c>
      <c r="Q351" t="n">
        <v>0</v>
      </c>
      <c r="R351" s="2" t="inlineStr"/>
    </row>
    <row r="352" ht="15" customHeight="1">
      <c r="A352" t="inlineStr">
        <is>
          <t>A 27812-2025</t>
        </is>
      </c>
      <c r="B352" s="1" t="n">
        <v>45817.32150462963</v>
      </c>
      <c r="C352" s="1" t="n">
        <v>46030</v>
      </c>
      <c r="D352" t="inlineStr">
        <is>
          <t>UPPSALA LÄN</t>
        </is>
      </c>
      <c r="E352" t="inlineStr">
        <is>
          <t>ÖSTHAMMAR</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6206-2022</t>
        </is>
      </c>
      <c r="B353" s="1" t="n">
        <v>44600.35755787037</v>
      </c>
      <c r="C353" s="1" t="n">
        <v>46030</v>
      </c>
      <c r="D353" t="inlineStr">
        <is>
          <t>UPPSALA LÄN</t>
        </is>
      </c>
      <c r="E353" t="inlineStr">
        <is>
          <t>ÖSTHAMMAR</t>
        </is>
      </c>
      <c r="G353" t="n">
        <v>7.4</v>
      </c>
      <c r="H353" t="n">
        <v>0</v>
      </c>
      <c r="I353" t="n">
        <v>0</v>
      </c>
      <c r="J353" t="n">
        <v>0</v>
      </c>
      <c r="K353" t="n">
        <v>0</v>
      </c>
      <c r="L353" t="n">
        <v>0</v>
      </c>
      <c r="M353" t="n">
        <v>0</v>
      </c>
      <c r="N353" t="n">
        <v>0</v>
      </c>
      <c r="O353" t="n">
        <v>0</v>
      </c>
      <c r="P353" t="n">
        <v>0</v>
      </c>
      <c r="Q353" t="n">
        <v>0</v>
      </c>
      <c r="R353" s="2" t="inlineStr"/>
    </row>
    <row r="354" ht="15" customHeight="1">
      <c r="A354" t="inlineStr">
        <is>
          <t>A 27920-2025</t>
        </is>
      </c>
      <c r="B354" s="1" t="n">
        <v>45817.48454861111</v>
      </c>
      <c r="C354" s="1" t="n">
        <v>46030</v>
      </c>
      <c r="D354" t="inlineStr">
        <is>
          <t>UPPSALA LÄN</t>
        </is>
      </c>
      <c r="E354" t="inlineStr">
        <is>
          <t>ÖSTHAMMAR</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8330-2025</t>
        </is>
      </c>
      <c r="B355" s="1" t="n">
        <v>45708</v>
      </c>
      <c r="C355" s="1" t="n">
        <v>46030</v>
      </c>
      <c r="D355" t="inlineStr">
        <is>
          <t>UPPSALA LÄN</t>
        </is>
      </c>
      <c r="E355" t="inlineStr">
        <is>
          <t>ÖSTHAMMAR</t>
        </is>
      </c>
      <c r="F355" t="inlineStr">
        <is>
          <t>Övriga Aktiebolag</t>
        </is>
      </c>
      <c r="G355" t="n">
        <v>2.4</v>
      </c>
      <c r="H355" t="n">
        <v>0</v>
      </c>
      <c r="I355" t="n">
        <v>0</v>
      </c>
      <c r="J355" t="n">
        <v>0</v>
      </c>
      <c r="K355" t="n">
        <v>0</v>
      </c>
      <c r="L355" t="n">
        <v>0</v>
      </c>
      <c r="M355" t="n">
        <v>0</v>
      </c>
      <c r="N355" t="n">
        <v>0</v>
      </c>
      <c r="O355" t="n">
        <v>0</v>
      </c>
      <c r="P355" t="n">
        <v>0</v>
      </c>
      <c r="Q355" t="n">
        <v>0</v>
      </c>
      <c r="R355" s="2" t="inlineStr"/>
    </row>
    <row r="356" ht="15" customHeight="1">
      <c r="A356" t="inlineStr">
        <is>
          <t>A 27509-2025</t>
        </is>
      </c>
      <c r="B356" s="1" t="n">
        <v>45813.4278125</v>
      </c>
      <c r="C356" s="1" t="n">
        <v>46030</v>
      </c>
      <c r="D356" t="inlineStr">
        <is>
          <t>UPPSALA LÄN</t>
        </is>
      </c>
      <c r="E356" t="inlineStr">
        <is>
          <t>ÖSTHAMMAR</t>
        </is>
      </c>
      <c r="F356" t="inlineStr">
        <is>
          <t>Bergvik skog öst AB</t>
        </is>
      </c>
      <c r="G356" t="n">
        <v>3.3</v>
      </c>
      <c r="H356" t="n">
        <v>0</v>
      </c>
      <c r="I356" t="n">
        <v>0</v>
      </c>
      <c r="J356" t="n">
        <v>0</v>
      </c>
      <c r="K356" t="n">
        <v>0</v>
      </c>
      <c r="L356" t="n">
        <v>0</v>
      </c>
      <c r="M356" t="n">
        <v>0</v>
      </c>
      <c r="N356" t="n">
        <v>0</v>
      </c>
      <c r="O356" t="n">
        <v>0</v>
      </c>
      <c r="P356" t="n">
        <v>0</v>
      </c>
      <c r="Q356" t="n">
        <v>0</v>
      </c>
      <c r="R356" s="2" t="inlineStr"/>
    </row>
    <row r="357" ht="15" customHeight="1">
      <c r="A357" t="inlineStr">
        <is>
          <t>A 28442-2025</t>
        </is>
      </c>
      <c r="B357" s="1" t="n">
        <v>45819</v>
      </c>
      <c r="C357" s="1" t="n">
        <v>46030</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70008-2021</t>
        </is>
      </c>
      <c r="B358" s="1" t="n">
        <v>44533.44887731481</v>
      </c>
      <c r="C358" s="1" t="n">
        <v>46030</v>
      </c>
      <c r="D358" t="inlineStr">
        <is>
          <t>UPPSALA LÄN</t>
        </is>
      </c>
      <c r="E358" t="inlineStr">
        <is>
          <t>ÖSTHAMMAR</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73982-2021</t>
        </is>
      </c>
      <c r="B359" s="1" t="n">
        <v>44555.80339120371</v>
      </c>
      <c r="C359" s="1" t="n">
        <v>46030</v>
      </c>
      <c r="D359" t="inlineStr">
        <is>
          <t>UPPSALA LÄN</t>
        </is>
      </c>
      <c r="E359" t="inlineStr">
        <is>
          <t>ÖSTHAMMAR</t>
        </is>
      </c>
      <c r="G359" t="n">
        <v>0.9</v>
      </c>
      <c r="H359" t="n">
        <v>0</v>
      </c>
      <c r="I359" t="n">
        <v>0</v>
      </c>
      <c r="J359" t="n">
        <v>0</v>
      </c>
      <c r="K359" t="n">
        <v>0</v>
      </c>
      <c r="L359" t="n">
        <v>0</v>
      </c>
      <c r="M359" t="n">
        <v>0</v>
      </c>
      <c r="N359" t="n">
        <v>0</v>
      </c>
      <c r="O359" t="n">
        <v>0</v>
      </c>
      <c r="P359" t="n">
        <v>0</v>
      </c>
      <c r="Q359" t="n">
        <v>0</v>
      </c>
      <c r="R359" s="2" t="inlineStr"/>
    </row>
    <row r="360" ht="15" customHeight="1">
      <c r="A360" t="inlineStr">
        <is>
          <t>A 4984-2024</t>
        </is>
      </c>
      <c r="B360" s="1" t="n">
        <v>45329</v>
      </c>
      <c r="C360" s="1" t="n">
        <v>46030</v>
      </c>
      <c r="D360" t="inlineStr">
        <is>
          <t>UPPSALA LÄN</t>
        </is>
      </c>
      <c r="E360" t="inlineStr">
        <is>
          <t>ÖSTHAMMAR</t>
        </is>
      </c>
      <c r="G360" t="n">
        <v>2.2</v>
      </c>
      <c r="H360" t="n">
        <v>0</v>
      </c>
      <c r="I360" t="n">
        <v>0</v>
      </c>
      <c r="J360" t="n">
        <v>0</v>
      </c>
      <c r="K360" t="n">
        <v>0</v>
      </c>
      <c r="L360" t="n">
        <v>0</v>
      </c>
      <c r="M360" t="n">
        <v>0</v>
      </c>
      <c r="N360" t="n">
        <v>0</v>
      </c>
      <c r="O360" t="n">
        <v>0</v>
      </c>
      <c r="P360" t="n">
        <v>0</v>
      </c>
      <c r="Q360" t="n">
        <v>0</v>
      </c>
      <c r="R360" s="2" t="inlineStr"/>
    </row>
    <row r="361" ht="15" customHeight="1">
      <c r="A361" t="inlineStr">
        <is>
          <t>A 21624-2023</t>
        </is>
      </c>
      <c r="B361" s="1" t="n">
        <v>45063.65543981481</v>
      </c>
      <c r="C361" s="1" t="n">
        <v>46030</v>
      </c>
      <c r="D361" t="inlineStr">
        <is>
          <t>UPPSALA LÄN</t>
        </is>
      </c>
      <c r="E361" t="inlineStr">
        <is>
          <t>ÖSTHAMMAR</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41996-2024</t>
        </is>
      </c>
      <c r="B362" s="1" t="n">
        <v>45561</v>
      </c>
      <c r="C362" s="1" t="n">
        <v>46030</v>
      </c>
      <c r="D362" t="inlineStr">
        <is>
          <t>UPPSALA LÄN</t>
        </is>
      </c>
      <c r="E362" t="inlineStr">
        <is>
          <t>ÖSTHAMMAR</t>
        </is>
      </c>
      <c r="F362" t="inlineStr">
        <is>
          <t>Bergvik skog öst AB</t>
        </is>
      </c>
      <c r="G362" t="n">
        <v>0.9</v>
      </c>
      <c r="H362" t="n">
        <v>0</v>
      </c>
      <c r="I362" t="n">
        <v>0</v>
      </c>
      <c r="J362" t="n">
        <v>0</v>
      </c>
      <c r="K362" t="n">
        <v>0</v>
      </c>
      <c r="L362" t="n">
        <v>0</v>
      </c>
      <c r="M362" t="n">
        <v>0</v>
      </c>
      <c r="N362" t="n">
        <v>0</v>
      </c>
      <c r="O362" t="n">
        <v>0</v>
      </c>
      <c r="P362" t="n">
        <v>0</v>
      </c>
      <c r="Q362" t="n">
        <v>0</v>
      </c>
      <c r="R362" s="2" t="inlineStr"/>
    </row>
    <row r="363" ht="15" customHeight="1">
      <c r="A363" t="inlineStr">
        <is>
          <t>A 20326-2021</t>
        </is>
      </c>
      <c r="B363" s="1" t="n">
        <v>44308</v>
      </c>
      <c r="C363" s="1" t="n">
        <v>46030</v>
      </c>
      <c r="D363" t="inlineStr">
        <is>
          <t>UPPSALA LÄN</t>
        </is>
      </c>
      <c r="E363" t="inlineStr">
        <is>
          <t>ÖSTHAMMAR</t>
        </is>
      </c>
      <c r="G363" t="n">
        <v>7</v>
      </c>
      <c r="H363" t="n">
        <v>0</v>
      </c>
      <c r="I363" t="n">
        <v>0</v>
      </c>
      <c r="J363" t="n">
        <v>0</v>
      </c>
      <c r="K363" t="n">
        <v>0</v>
      </c>
      <c r="L363" t="n">
        <v>0</v>
      </c>
      <c r="M363" t="n">
        <v>0</v>
      </c>
      <c r="N363" t="n">
        <v>0</v>
      </c>
      <c r="O363" t="n">
        <v>0</v>
      </c>
      <c r="P363" t="n">
        <v>0</v>
      </c>
      <c r="Q363" t="n">
        <v>0</v>
      </c>
      <c r="R363" s="2" t="inlineStr"/>
    </row>
    <row r="364" ht="15" customHeight="1">
      <c r="A364" t="inlineStr">
        <is>
          <t>A 23742-2024</t>
        </is>
      </c>
      <c r="B364" s="1" t="n">
        <v>45455</v>
      </c>
      <c r="C364" s="1" t="n">
        <v>46030</v>
      </c>
      <c r="D364" t="inlineStr">
        <is>
          <t>UPPSALA LÄN</t>
        </is>
      </c>
      <c r="E364" t="inlineStr">
        <is>
          <t>ÖSTHAMMAR</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23728-2025</t>
        </is>
      </c>
      <c r="B365" s="1" t="n">
        <v>45793.41719907407</v>
      </c>
      <c r="C365" s="1" t="n">
        <v>46030</v>
      </c>
      <c r="D365" t="inlineStr">
        <is>
          <t>UPPSALA LÄN</t>
        </is>
      </c>
      <c r="E365" t="inlineStr">
        <is>
          <t>ÖSTHAMMAR</t>
        </is>
      </c>
      <c r="G365" t="n">
        <v>1.1</v>
      </c>
      <c r="H365" t="n">
        <v>0</v>
      </c>
      <c r="I365" t="n">
        <v>0</v>
      </c>
      <c r="J365" t="n">
        <v>0</v>
      </c>
      <c r="K365" t="n">
        <v>0</v>
      </c>
      <c r="L365" t="n">
        <v>0</v>
      </c>
      <c r="M365" t="n">
        <v>0</v>
      </c>
      <c r="N365" t="n">
        <v>0</v>
      </c>
      <c r="O365" t="n">
        <v>0</v>
      </c>
      <c r="P365" t="n">
        <v>0</v>
      </c>
      <c r="Q365" t="n">
        <v>0</v>
      </c>
      <c r="R365" s="2" t="inlineStr"/>
    </row>
    <row r="366" ht="15" customHeight="1">
      <c r="A366" t="inlineStr">
        <is>
          <t>A 21478-2023</t>
        </is>
      </c>
      <c r="B366" s="1" t="n">
        <v>45063.47773148148</v>
      </c>
      <c r="C366" s="1" t="n">
        <v>46030</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28745-2025</t>
        </is>
      </c>
      <c r="B367" s="1" t="n">
        <v>45820.39076388889</v>
      </c>
      <c r="C367" s="1" t="n">
        <v>46030</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28748-2025</t>
        </is>
      </c>
      <c r="B368" s="1" t="n">
        <v>45820.39540509259</v>
      </c>
      <c r="C368" s="1" t="n">
        <v>46030</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29024-2025</t>
        </is>
      </c>
      <c r="B369" s="1" t="n">
        <v>45821.43233796296</v>
      </c>
      <c r="C369" s="1" t="n">
        <v>46030</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29031-2025</t>
        </is>
      </c>
      <c r="B370" s="1" t="n">
        <v>45821.44159722222</v>
      </c>
      <c r="C370" s="1" t="n">
        <v>46030</v>
      </c>
      <c r="D370" t="inlineStr">
        <is>
          <t>UPPSALA LÄN</t>
        </is>
      </c>
      <c r="E370" t="inlineStr">
        <is>
          <t>ÖSTHAMMAR</t>
        </is>
      </c>
      <c r="F370" t="inlineStr">
        <is>
          <t>Bergvik skog öst AB</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28739-2025</t>
        </is>
      </c>
      <c r="B371" s="1" t="n">
        <v>45820</v>
      </c>
      <c r="C371" s="1" t="n">
        <v>46030</v>
      </c>
      <c r="D371" t="inlineStr">
        <is>
          <t>UPPSALA LÄN</t>
        </is>
      </c>
      <c r="E371" t="inlineStr">
        <is>
          <t>ÖSTHAMMAR</t>
        </is>
      </c>
      <c r="G371" t="n">
        <v>1.4</v>
      </c>
      <c r="H371" t="n">
        <v>0</v>
      </c>
      <c r="I371" t="n">
        <v>0</v>
      </c>
      <c r="J371" t="n">
        <v>0</v>
      </c>
      <c r="K371" t="n">
        <v>0</v>
      </c>
      <c r="L371" t="n">
        <v>0</v>
      </c>
      <c r="M371" t="n">
        <v>0</v>
      </c>
      <c r="N371" t="n">
        <v>0</v>
      </c>
      <c r="O371" t="n">
        <v>0</v>
      </c>
      <c r="P371" t="n">
        <v>0</v>
      </c>
      <c r="Q371" t="n">
        <v>0</v>
      </c>
      <c r="R371" s="2" t="inlineStr"/>
    </row>
    <row r="372" ht="15" customHeight="1">
      <c r="A372" t="inlineStr">
        <is>
          <t>A 6106-2024</t>
        </is>
      </c>
      <c r="B372" s="1" t="n">
        <v>45337.36831018519</v>
      </c>
      <c r="C372" s="1" t="n">
        <v>46030</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29028-2025</t>
        </is>
      </c>
      <c r="B373" s="1" t="n">
        <v>45821.4384375</v>
      </c>
      <c r="C373" s="1" t="n">
        <v>46030</v>
      </c>
      <c r="D373" t="inlineStr">
        <is>
          <t>UPPSALA LÄN</t>
        </is>
      </c>
      <c r="E373" t="inlineStr">
        <is>
          <t>ÖSTHAMMAR</t>
        </is>
      </c>
      <c r="F373" t="inlineStr">
        <is>
          <t>Bergvik skog öst AB</t>
        </is>
      </c>
      <c r="G373" t="n">
        <v>1.7</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46030</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29029-2025</t>
        </is>
      </c>
      <c r="B375" s="1" t="n">
        <v>45821.43973379629</v>
      </c>
      <c r="C375" s="1" t="n">
        <v>46030</v>
      </c>
      <c r="D375" t="inlineStr">
        <is>
          <t>UPPSALA LÄN</t>
        </is>
      </c>
      <c r="E375" t="inlineStr">
        <is>
          <t>ÖSTHAMMAR</t>
        </is>
      </c>
      <c r="F375" t="inlineStr">
        <is>
          <t>Bergvik skog öst AB</t>
        </is>
      </c>
      <c r="G375" t="n">
        <v>4.2</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46030</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45102-2025</t>
        </is>
      </c>
      <c r="B377" s="1" t="n">
        <v>45919.39731481481</v>
      </c>
      <c r="C377" s="1" t="n">
        <v>46030</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44917-2025</t>
        </is>
      </c>
      <c r="B378" s="1" t="n">
        <v>45918.54903935185</v>
      </c>
      <c r="C378" s="1" t="n">
        <v>46030</v>
      </c>
      <c r="D378" t="inlineStr">
        <is>
          <t>UPPSALA LÄN</t>
        </is>
      </c>
      <c r="E378" t="inlineStr">
        <is>
          <t>ÖSTHAMMAR</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45105-2025</t>
        </is>
      </c>
      <c r="B379" s="1" t="n">
        <v>45919.40252314815</v>
      </c>
      <c r="C379" s="1" t="n">
        <v>46030</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27494-2025</t>
        </is>
      </c>
      <c r="B380" s="1" t="n">
        <v>45813.39756944445</v>
      </c>
      <c r="C380" s="1" t="n">
        <v>46030</v>
      </c>
      <c r="D380" t="inlineStr">
        <is>
          <t>UPPSALA LÄN</t>
        </is>
      </c>
      <c r="E380" t="inlineStr">
        <is>
          <t>ÖSTHAMMAR</t>
        </is>
      </c>
      <c r="F380" t="inlineStr">
        <is>
          <t>Bergvik skog öst AB</t>
        </is>
      </c>
      <c r="G380" t="n">
        <v>23.4</v>
      </c>
      <c r="H380" t="n">
        <v>0</v>
      </c>
      <c r="I380" t="n">
        <v>0</v>
      </c>
      <c r="J380" t="n">
        <v>0</v>
      </c>
      <c r="K380" t="n">
        <v>0</v>
      </c>
      <c r="L380" t="n">
        <v>0</v>
      </c>
      <c r="M380" t="n">
        <v>0</v>
      </c>
      <c r="N380" t="n">
        <v>0</v>
      </c>
      <c r="O380" t="n">
        <v>0</v>
      </c>
      <c r="P380" t="n">
        <v>0</v>
      </c>
      <c r="Q380" t="n">
        <v>0</v>
      </c>
      <c r="R380" s="2" t="inlineStr"/>
    </row>
    <row r="381" ht="15" customHeight="1">
      <c r="A381" t="inlineStr">
        <is>
          <t>A 29384-2025</t>
        </is>
      </c>
      <c r="B381" s="1" t="n">
        <v>45824</v>
      </c>
      <c r="C381" s="1" t="n">
        <v>46030</v>
      </c>
      <c r="D381" t="inlineStr">
        <is>
          <t>UPPSALA LÄN</t>
        </is>
      </c>
      <c r="E381" t="inlineStr">
        <is>
          <t>ÖSTHAMMAR</t>
        </is>
      </c>
      <c r="G381" t="n">
        <v>3.1</v>
      </c>
      <c r="H381" t="n">
        <v>0</v>
      </c>
      <c r="I381" t="n">
        <v>0</v>
      </c>
      <c r="J381" t="n">
        <v>0</v>
      </c>
      <c r="K381" t="n">
        <v>0</v>
      </c>
      <c r="L381" t="n">
        <v>0</v>
      </c>
      <c r="M381" t="n">
        <v>0</v>
      </c>
      <c r="N381" t="n">
        <v>0</v>
      </c>
      <c r="O381" t="n">
        <v>0</v>
      </c>
      <c r="P381" t="n">
        <v>0</v>
      </c>
      <c r="Q381" t="n">
        <v>0</v>
      </c>
      <c r="R381" s="2" t="inlineStr"/>
    </row>
    <row r="382" ht="15" customHeight="1">
      <c r="A382" t="inlineStr">
        <is>
          <t>A 27490-2025</t>
        </is>
      </c>
      <c r="B382" s="1" t="n">
        <v>45813.39273148148</v>
      </c>
      <c r="C382" s="1" t="n">
        <v>46030</v>
      </c>
      <c r="D382" t="inlineStr">
        <is>
          <t>UPPSALA LÄN</t>
        </is>
      </c>
      <c r="E382" t="inlineStr">
        <is>
          <t>ÖSTHAMMAR</t>
        </is>
      </c>
      <c r="F382" t="inlineStr">
        <is>
          <t>Bergvik skog öst AB</t>
        </is>
      </c>
      <c r="G382" t="n">
        <v>6.1</v>
      </c>
      <c r="H382" t="n">
        <v>0</v>
      </c>
      <c r="I382" t="n">
        <v>0</v>
      </c>
      <c r="J382" t="n">
        <v>0</v>
      </c>
      <c r="K382" t="n">
        <v>0</v>
      </c>
      <c r="L382" t="n">
        <v>0</v>
      </c>
      <c r="M382" t="n">
        <v>0</v>
      </c>
      <c r="N382" t="n">
        <v>0</v>
      </c>
      <c r="O382" t="n">
        <v>0</v>
      </c>
      <c r="P382" t="n">
        <v>0</v>
      </c>
      <c r="Q382" t="n">
        <v>0</v>
      </c>
      <c r="R382" s="2" t="inlineStr"/>
    </row>
    <row r="383" ht="15" customHeight="1">
      <c r="A383" t="inlineStr">
        <is>
          <t>A 29775-2025</t>
        </is>
      </c>
      <c r="B383" s="1" t="n">
        <v>45825.63803240741</v>
      </c>
      <c r="C383" s="1" t="n">
        <v>46030</v>
      </c>
      <c r="D383" t="inlineStr">
        <is>
          <t>UPPSALA LÄN</t>
        </is>
      </c>
      <c r="E383" t="inlineStr">
        <is>
          <t>ÖSTHAMMAR</t>
        </is>
      </c>
      <c r="G383" t="n">
        <v>0.9</v>
      </c>
      <c r="H383" t="n">
        <v>0</v>
      </c>
      <c r="I383" t="n">
        <v>0</v>
      </c>
      <c r="J383" t="n">
        <v>0</v>
      </c>
      <c r="K383" t="n">
        <v>0</v>
      </c>
      <c r="L383" t="n">
        <v>0</v>
      </c>
      <c r="M383" t="n">
        <v>0</v>
      </c>
      <c r="N383" t="n">
        <v>0</v>
      </c>
      <c r="O383" t="n">
        <v>0</v>
      </c>
      <c r="P383" t="n">
        <v>0</v>
      </c>
      <c r="Q383" t="n">
        <v>0</v>
      </c>
      <c r="R383" s="2" t="inlineStr"/>
    </row>
    <row r="384" ht="15" customHeight="1">
      <c r="A384" t="inlineStr">
        <is>
          <t>A 27486-2025</t>
        </is>
      </c>
      <c r="B384" s="1" t="n">
        <v>45813.38521990741</v>
      </c>
      <c r="C384" s="1" t="n">
        <v>46030</v>
      </c>
      <c r="D384" t="inlineStr">
        <is>
          <t>UPPSALA LÄN</t>
        </is>
      </c>
      <c r="E384" t="inlineStr">
        <is>
          <t>ÖSTHAMMAR</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57907-2025</t>
        </is>
      </c>
      <c r="B385" s="1" t="n">
        <v>45981.78840277778</v>
      </c>
      <c r="C385" s="1" t="n">
        <v>46030</v>
      </c>
      <c r="D385" t="inlineStr">
        <is>
          <t>UPPSALA LÄN</t>
        </is>
      </c>
      <c r="E385" t="inlineStr">
        <is>
          <t>ÖSTHAMMAR</t>
        </is>
      </c>
      <c r="F385" t="inlineStr">
        <is>
          <t>Bergvik skog öst AB</t>
        </is>
      </c>
      <c r="G385" t="n">
        <v>2.9</v>
      </c>
      <c r="H385" t="n">
        <v>0</v>
      </c>
      <c r="I385" t="n">
        <v>0</v>
      </c>
      <c r="J385" t="n">
        <v>0</v>
      </c>
      <c r="K385" t="n">
        <v>0</v>
      </c>
      <c r="L385" t="n">
        <v>0</v>
      </c>
      <c r="M385" t="n">
        <v>0</v>
      </c>
      <c r="N385" t="n">
        <v>0</v>
      </c>
      <c r="O385" t="n">
        <v>0</v>
      </c>
      <c r="P385" t="n">
        <v>0</v>
      </c>
      <c r="Q385" t="n">
        <v>0</v>
      </c>
      <c r="R385" s="2" t="inlineStr"/>
    </row>
    <row r="386" ht="15" customHeight="1">
      <c r="A386" t="inlineStr">
        <is>
          <t>A 285-2026</t>
        </is>
      </c>
      <c r="B386" s="1" t="n">
        <v>46027.49130787037</v>
      </c>
      <c r="C386" s="1" t="n">
        <v>46030</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30244-2025</t>
        </is>
      </c>
      <c r="B387" s="1" t="n">
        <v>45827.40902777778</v>
      </c>
      <c r="C387" s="1" t="n">
        <v>46030</v>
      </c>
      <c r="D387" t="inlineStr">
        <is>
          <t>UPPSALA LÄN</t>
        </is>
      </c>
      <c r="E387" t="inlineStr">
        <is>
          <t>ÖSTHAMMAR</t>
        </is>
      </c>
      <c r="G387" t="n">
        <v>1.4</v>
      </c>
      <c r="H387" t="n">
        <v>0</v>
      </c>
      <c r="I387" t="n">
        <v>0</v>
      </c>
      <c r="J387" t="n">
        <v>0</v>
      </c>
      <c r="K387" t="n">
        <v>0</v>
      </c>
      <c r="L387" t="n">
        <v>0</v>
      </c>
      <c r="M387" t="n">
        <v>0</v>
      </c>
      <c r="N387" t="n">
        <v>0</v>
      </c>
      <c r="O387" t="n">
        <v>0</v>
      </c>
      <c r="P387" t="n">
        <v>0</v>
      </c>
      <c r="Q387" t="n">
        <v>0</v>
      </c>
      <c r="R387" s="2" t="inlineStr"/>
    </row>
    <row r="388" ht="15" customHeight="1">
      <c r="A388" t="inlineStr">
        <is>
          <t>A 57908-2025</t>
        </is>
      </c>
      <c r="B388" s="1" t="n">
        <v>45981.78886574074</v>
      </c>
      <c r="C388" s="1" t="n">
        <v>46030</v>
      </c>
      <c r="D388" t="inlineStr">
        <is>
          <t>UPPSALA LÄN</t>
        </is>
      </c>
      <c r="E388" t="inlineStr">
        <is>
          <t>ÖSTHAMMAR</t>
        </is>
      </c>
      <c r="F388" t="inlineStr">
        <is>
          <t>Bergvik skog öst AB</t>
        </is>
      </c>
      <c r="G388" t="n">
        <v>2</v>
      </c>
      <c r="H388" t="n">
        <v>0</v>
      </c>
      <c r="I388" t="n">
        <v>0</v>
      </c>
      <c r="J388" t="n">
        <v>0</v>
      </c>
      <c r="K388" t="n">
        <v>0</v>
      </c>
      <c r="L388" t="n">
        <v>0</v>
      </c>
      <c r="M388" t="n">
        <v>0</v>
      </c>
      <c r="N388" t="n">
        <v>0</v>
      </c>
      <c r="O388" t="n">
        <v>0</v>
      </c>
      <c r="P388" t="n">
        <v>0</v>
      </c>
      <c r="Q388" t="n">
        <v>0</v>
      </c>
      <c r="R388" s="2" t="inlineStr"/>
    </row>
    <row r="389" ht="15" customHeight="1">
      <c r="A389" t="inlineStr">
        <is>
          <t>A 45720-2025</t>
        </is>
      </c>
      <c r="B389" s="1" t="n">
        <v>45923.44583333333</v>
      </c>
      <c r="C389" s="1" t="n">
        <v>46030</v>
      </c>
      <c r="D389" t="inlineStr">
        <is>
          <t>UPPSALA LÄN</t>
        </is>
      </c>
      <c r="E389" t="inlineStr">
        <is>
          <t>ÖSTHAMMAR</t>
        </is>
      </c>
      <c r="F389" t="inlineStr">
        <is>
          <t>Övriga Aktiebolag</t>
        </is>
      </c>
      <c r="G389" t="n">
        <v>2.8</v>
      </c>
      <c r="H389" t="n">
        <v>0</v>
      </c>
      <c r="I389" t="n">
        <v>0</v>
      </c>
      <c r="J389" t="n">
        <v>0</v>
      </c>
      <c r="K389" t="n">
        <v>0</v>
      </c>
      <c r="L389" t="n">
        <v>0</v>
      </c>
      <c r="M389" t="n">
        <v>0</v>
      </c>
      <c r="N389" t="n">
        <v>0</v>
      </c>
      <c r="O389" t="n">
        <v>0</v>
      </c>
      <c r="P389" t="n">
        <v>0</v>
      </c>
      <c r="Q389" t="n">
        <v>0</v>
      </c>
      <c r="R389" s="2" t="inlineStr"/>
    </row>
    <row r="390" ht="15" customHeight="1">
      <c r="A390" t="inlineStr">
        <is>
          <t>A 45721-2025</t>
        </is>
      </c>
      <c r="B390" s="1" t="n">
        <v>45923.44844907407</v>
      </c>
      <c r="C390" s="1" t="n">
        <v>46030</v>
      </c>
      <c r="D390" t="inlineStr">
        <is>
          <t>UPPSALA LÄN</t>
        </is>
      </c>
      <c r="E390" t="inlineStr">
        <is>
          <t>ÖSTHAMMAR</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1238-2022</t>
        </is>
      </c>
      <c r="B391" s="1" t="n">
        <v>44572.5827662037</v>
      </c>
      <c r="C391" s="1" t="n">
        <v>46030</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38003-2024</t>
        </is>
      </c>
      <c r="B392" s="1" t="n">
        <v>45544</v>
      </c>
      <c r="C392" s="1" t="n">
        <v>46030</v>
      </c>
      <c r="D392" t="inlineStr">
        <is>
          <t>UPPSALA LÄN</t>
        </is>
      </c>
      <c r="E392" t="inlineStr">
        <is>
          <t>ÖSTHAMMAR</t>
        </is>
      </c>
      <c r="F392" t="inlineStr">
        <is>
          <t>Naturvårdsverket</t>
        </is>
      </c>
      <c r="G392" t="n">
        <v>4.2</v>
      </c>
      <c r="H392" t="n">
        <v>0</v>
      </c>
      <c r="I392" t="n">
        <v>0</v>
      </c>
      <c r="J392" t="n">
        <v>0</v>
      </c>
      <c r="K392" t="n">
        <v>0</v>
      </c>
      <c r="L392" t="n">
        <v>0</v>
      </c>
      <c r="M392" t="n">
        <v>0</v>
      </c>
      <c r="N392" t="n">
        <v>0</v>
      </c>
      <c r="O392" t="n">
        <v>0</v>
      </c>
      <c r="P392" t="n">
        <v>0</v>
      </c>
      <c r="Q392" t="n">
        <v>0</v>
      </c>
      <c r="R392" s="2" t="inlineStr"/>
    </row>
    <row r="393" ht="15" customHeight="1">
      <c r="A393" t="inlineStr">
        <is>
          <t>A 45715-2025</t>
        </is>
      </c>
      <c r="B393" s="1" t="n">
        <v>45923.44094907407</v>
      </c>
      <c r="C393" s="1" t="n">
        <v>46030</v>
      </c>
      <c r="D393" t="inlineStr">
        <is>
          <t>UPPSALA LÄN</t>
        </is>
      </c>
      <c r="E393" t="inlineStr">
        <is>
          <t>ÖSTHAMMAR</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25252-2024</t>
        </is>
      </c>
      <c r="B394" s="1" t="n">
        <v>45462</v>
      </c>
      <c r="C394" s="1" t="n">
        <v>46030</v>
      </c>
      <c r="D394" t="inlineStr">
        <is>
          <t>UPPSALA LÄN</t>
        </is>
      </c>
      <c r="E394" t="inlineStr">
        <is>
          <t>ÖSTHAMMAR</t>
        </is>
      </c>
      <c r="G394" t="n">
        <v>4.3</v>
      </c>
      <c r="H394" t="n">
        <v>0</v>
      </c>
      <c r="I394" t="n">
        <v>0</v>
      </c>
      <c r="J394" t="n">
        <v>0</v>
      </c>
      <c r="K394" t="n">
        <v>0</v>
      </c>
      <c r="L394" t="n">
        <v>0</v>
      </c>
      <c r="M394" t="n">
        <v>0</v>
      </c>
      <c r="N394" t="n">
        <v>0</v>
      </c>
      <c r="O394" t="n">
        <v>0</v>
      </c>
      <c r="P394" t="n">
        <v>0</v>
      </c>
      <c r="Q394" t="n">
        <v>0</v>
      </c>
      <c r="R394" s="2" t="inlineStr"/>
    </row>
    <row r="395" ht="15" customHeight="1">
      <c r="A395" t="inlineStr">
        <is>
          <t>A 16531-2025</t>
        </is>
      </c>
      <c r="B395" s="1" t="n">
        <v>45751</v>
      </c>
      <c r="C395" s="1" t="n">
        <v>46030</v>
      </c>
      <c r="D395" t="inlineStr">
        <is>
          <t>UPPSALA LÄN</t>
        </is>
      </c>
      <c r="E395" t="inlineStr">
        <is>
          <t>ÖSTHAMMAR</t>
        </is>
      </c>
      <c r="G395" t="n">
        <v>3.3</v>
      </c>
      <c r="H395" t="n">
        <v>0</v>
      </c>
      <c r="I395" t="n">
        <v>0</v>
      </c>
      <c r="J395" t="n">
        <v>0</v>
      </c>
      <c r="K395" t="n">
        <v>0</v>
      </c>
      <c r="L395" t="n">
        <v>0</v>
      </c>
      <c r="M395" t="n">
        <v>0</v>
      </c>
      <c r="N395" t="n">
        <v>0</v>
      </c>
      <c r="O395" t="n">
        <v>0</v>
      </c>
      <c r="P395" t="n">
        <v>0</v>
      </c>
      <c r="Q395" t="n">
        <v>0</v>
      </c>
      <c r="R395" s="2" t="inlineStr"/>
    </row>
    <row r="396" ht="15" customHeight="1">
      <c r="A396" t="inlineStr">
        <is>
          <t>A 30610-2025</t>
        </is>
      </c>
      <c r="B396" s="1" t="n">
        <v>45831.45965277778</v>
      </c>
      <c r="C396" s="1" t="n">
        <v>46030</v>
      </c>
      <c r="D396" t="inlineStr">
        <is>
          <t>UPPSALA LÄN</t>
        </is>
      </c>
      <c r="E396" t="inlineStr">
        <is>
          <t>ÖSTHAMMAR</t>
        </is>
      </c>
      <c r="G396" t="n">
        <v>0.2</v>
      </c>
      <c r="H396" t="n">
        <v>0</v>
      </c>
      <c r="I396" t="n">
        <v>0</v>
      </c>
      <c r="J396" t="n">
        <v>0</v>
      </c>
      <c r="K396" t="n">
        <v>0</v>
      </c>
      <c r="L396" t="n">
        <v>0</v>
      </c>
      <c r="M396" t="n">
        <v>0</v>
      </c>
      <c r="N396" t="n">
        <v>0</v>
      </c>
      <c r="O396" t="n">
        <v>0</v>
      </c>
      <c r="P396" t="n">
        <v>0</v>
      </c>
      <c r="Q396" t="n">
        <v>0</v>
      </c>
      <c r="R396" s="2" t="inlineStr"/>
    </row>
    <row r="397" ht="15" customHeight="1">
      <c r="A397" t="inlineStr">
        <is>
          <t>A 223-2026</t>
        </is>
      </c>
      <c r="B397" s="1" t="n">
        <v>46026.84339120371</v>
      </c>
      <c r="C397" s="1" t="n">
        <v>46030</v>
      </c>
      <c r="D397" t="inlineStr">
        <is>
          <t>UPPSALA LÄN</t>
        </is>
      </c>
      <c r="E397" t="inlineStr">
        <is>
          <t>ÖSTHAMMAR</t>
        </is>
      </c>
      <c r="G397" t="n">
        <v>39.2</v>
      </c>
      <c r="H397" t="n">
        <v>0</v>
      </c>
      <c r="I397" t="n">
        <v>0</v>
      </c>
      <c r="J397" t="n">
        <v>0</v>
      </c>
      <c r="K397" t="n">
        <v>0</v>
      </c>
      <c r="L397" t="n">
        <v>0</v>
      </c>
      <c r="M397" t="n">
        <v>0</v>
      </c>
      <c r="N397" t="n">
        <v>0</v>
      </c>
      <c r="O397" t="n">
        <v>0</v>
      </c>
      <c r="P397" t="n">
        <v>0</v>
      </c>
      <c r="Q397" t="n">
        <v>0</v>
      </c>
      <c r="R397" s="2" t="inlineStr"/>
    </row>
    <row r="398" ht="15" customHeight="1">
      <c r="A398" t="inlineStr">
        <is>
          <t>A 30504-2025</t>
        </is>
      </c>
      <c r="B398" s="1" t="n">
        <v>45830.8558912037</v>
      </c>
      <c r="C398" s="1" t="n">
        <v>46030</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45993-2025</t>
        </is>
      </c>
      <c r="B399" s="1" t="n">
        <v>45924.39706018518</v>
      </c>
      <c r="C399" s="1" t="n">
        <v>46030</v>
      </c>
      <c r="D399" t="inlineStr">
        <is>
          <t>UPPSALA LÄN</t>
        </is>
      </c>
      <c r="E399" t="inlineStr">
        <is>
          <t>ÖSTHAMMAR</t>
        </is>
      </c>
      <c r="G399" t="n">
        <v>0.5</v>
      </c>
      <c r="H399" t="n">
        <v>0</v>
      </c>
      <c r="I399" t="n">
        <v>0</v>
      </c>
      <c r="J399" t="n">
        <v>0</v>
      </c>
      <c r="K399" t="n">
        <v>0</v>
      </c>
      <c r="L399" t="n">
        <v>0</v>
      </c>
      <c r="M399" t="n">
        <v>0</v>
      </c>
      <c r="N399" t="n">
        <v>0</v>
      </c>
      <c r="O399" t="n">
        <v>0</v>
      </c>
      <c r="P399" t="n">
        <v>0</v>
      </c>
      <c r="Q399" t="n">
        <v>0</v>
      </c>
      <c r="R399" s="2" t="inlineStr"/>
    </row>
    <row r="400" ht="15" customHeight="1">
      <c r="A400" t="inlineStr">
        <is>
          <t>A 31137-2022</t>
        </is>
      </c>
      <c r="B400" s="1" t="n">
        <v>44770.42166666667</v>
      </c>
      <c r="C400" s="1" t="n">
        <v>46030</v>
      </c>
      <c r="D400" t="inlineStr">
        <is>
          <t>UPPSALA LÄN</t>
        </is>
      </c>
      <c r="E400" t="inlineStr">
        <is>
          <t>ÖSTHAMMAR</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30503-2025</t>
        </is>
      </c>
      <c r="B401" s="1" t="n">
        <v>45830.8500462963</v>
      </c>
      <c r="C401" s="1" t="n">
        <v>46030</v>
      </c>
      <c r="D401" t="inlineStr">
        <is>
          <t>UPPSALA LÄN</t>
        </is>
      </c>
      <c r="E401" t="inlineStr">
        <is>
          <t>ÖSTHAMMAR</t>
        </is>
      </c>
      <c r="G401" t="n">
        <v>0.8</v>
      </c>
      <c r="H401" t="n">
        <v>0</v>
      </c>
      <c r="I401" t="n">
        <v>0</v>
      </c>
      <c r="J401" t="n">
        <v>0</v>
      </c>
      <c r="K401" t="n">
        <v>0</v>
      </c>
      <c r="L401" t="n">
        <v>0</v>
      </c>
      <c r="M401" t="n">
        <v>0</v>
      </c>
      <c r="N401" t="n">
        <v>0</v>
      </c>
      <c r="O401" t="n">
        <v>0</v>
      </c>
      <c r="P401" t="n">
        <v>0</v>
      </c>
      <c r="Q401" t="n">
        <v>0</v>
      </c>
      <c r="R401" s="2" t="inlineStr"/>
    </row>
    <row r="402" ht="15" customHeight="1">
      <c r="A402" t="inlineStr">
        <is>
          <t>A 46089-2025</t>
        </is>
      </c>
      <c r="B402" s="1" t="n">
        <v>45924.52100694444</v>
      </c>
      <c r="C402" s="1" t="n">
        <v>46030</v>
      </c>
      <c r="D402" t="inlineStr">
        <is>
          <t>UPPSALA LÄN</t>
        </is>
      </c>
      <c r="E402" t="inlineStr">
        <is>
          <t>ÖSTHAMMAR</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46088-2025</t>
        </is>
      </c>
      <c r="B403" s="1" t="n">
        <v>45924.52010416667</v>
      </c>
      <c r="C403" s="1" t="n">
        <v>46030</v>
      </c>
      <c r="D403" t="inlineStr">
        <is>
          <t>UPPSALA LÄN</t>
        </is>
      </c>
      <c r="E403" t="inlineStr">
        <is>
          <t>ÖSTHAMMAR</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74429-2021</t>
        </is>
      </c>
      <c r="B404" s="1" t="n">
        <v>44560.43136574074</v>
      </c>
      <c r="C404" s="1" t="n">
        <v>46030</v>
      </c>
      <c r="D404" t="inlineStr">
        <is>
          <t>UPPSALA LÄN</t>
        </is>
      </c>
      <c r="E404" t="inlineStr">
        <is>
          <t>ÖSTHAMMAR</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31249-2025</t>
        </is>
      </c>
      <c r="B405" s="1" t="n">
        <v>45832.89476851852</v>
      </c>
      <c r="C405" s="1" t="n">
        <v>46030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46826-2025</t>
        </is>
      </c>
      <c r="B406" s="1" t="n">
        <v>45927.00606481481</v>
      </c>
      <c r="C406" s="1" t="n">
        <v>46030</v>
      </c>
      <c r="D406" t="inlineStr">
        <is>
          <t>UPPSALA LÄN</t>
        </is>
      </c>
      <c r="E406" t="inlineStr">
        <is>
          <t>ÖSTHAMMAR</t>
        </is>
      </c>
      <c r="G406" t="n">
        <v>9</v>
      </c>
      <c r="H406" t="n">
        <v>0</v>
      </c>
      <c r="I406" t="n">
        <v>0</v>
      </c>
      <c r="J406" t="n">
        <v>0</v>
      </c>
      <c r="K406" t="n">
        <v>0</v>
      </c>
      <c r="L406" t="n">
        <v>0</v>
      </c>
      <c r="M406" t="n">
        <v>0</v>
      </c>
      <c r="N406" t="n">
        <v>0</v>
      </c>
      <c r="O406" t="n">
        <v>0</v>
      </c>
      <c r="P406" t="n">
        <v>0</v>
      </c>
      <c r="Q406" t="n">
        <v>0</v>
      </c>
      <c r="R406" s="2" t="inlineStr"/>
    </row>
    <row r="407" ht="15" customHeight="1">
      <c r="A407" t="inlineStr">
        <is>
          <t>A 30931-2021</t>
        </is>
      </c>
      <c r="B407" s="1" t="n">
        <v>44365</v>
      </c>
      <c r="C407" s="1" t="n">
        <v>46030</v>
      </c>
      <c r="D407" t="inlineStr">
        <is>
          <t>UPPSALA LÄN</t>
        </is>
      </c>
      <c r="E407" t="inlineStr">
        <is>
          <t>ÖSTHAMMAR</t>
        </is>
      </c>
      <c r="F407" t="inlineStr">
        <is>
          <t>Bergvik skog öst AB</t>
        </is>
      </c>
      <c r="G407" t="n">
        <v>2.3</v>
      </c>
      <c r="H407" t="n">
        <v>0</v>
      </c>
      <c r="I407" t="n">
        <v>0</v>
      </c>
      <c r="J407" t="n">
        <v>0</v>
      </c>
      <c r="K407" t="n">
        <v>0</v>
      </c>
      <c r="L407" t="n">
        <v>0</v>
      </c>
      <c r="M407" t="n">
        <v>0</v>
      </c>
      <c r="N407" t="n">
        <v>0</v>
      </c>
      <c r="O407" t="n">
        <v>0</v>
      </c>
      <c r="P407" t="n">
        <v>0</v>
      </c>
      <c r="Q407" t="n">
        <v>0</v>
      </c>
      <c r="R407" s="2" t="inlineStr"/>
    </row>
    <row r="408" ht="15" customHeight="1">
      <c r="A408" t="inlineStr">
        <is>
          <t>A 31579-2025</t>
        </is>
      </c>
      <c r="B408" s="1" t="n">
        <v>45833.68211805556</v>
      </c>
      <c r="C408" s="1" t="n">
        <v>46030</v>
      </c>
      <c r="D408" t="inlineStr">
        <is>
          <t>UPPSALA LÄN</t>
        </is>
      </c>
      <c r="E408" t="inlineStr">
        <is>
          <t>ÖSTHAMMAR</t>
        </is>
      </c>
      <c r="G408" t="n">
        <v>1.5</v>
      </c>
      <c r="H408" t="n">
        <v>0</v>
      </c>
      <c r="I408" t="n">
        <v>0</v>
      </c>
      <c r="J408" t="n">
        <v>0</v>
      </c>
      <c r="K408" t="n">
        <v>0</v>
      </c>
      <c r="L408" t="n">
        <v>0</v>
      </c>
      <c r="M408" t="n">
        <v>0</v>
      </c>
      <c r="N408" t="n">
        <v>0</v>
      </c>
      <c r="O408" t="n">
        <v>0</v>
      </c>
      <c r="P408" t="n">
        <v>0</v>
      </c>
      <c r="Q408" t="n">
        <v>0</v>
      </c>
      <c r="R408" s="2" t="inlineStr"/>
    </row>
    <row r="409" ht="15" customHeight="1">
      <c r="A409" t="inlineStr">
        <is>
          <t>A 31360-2025</t>
        </is>
      </c>
      <c r="B409" s="1" t="n">
        <v>45833.43527777777</v>
      </c>
      <c r="C409" s="1" t="n">
        <v>46030</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17867-2024</t>
        </is>
      </c>
      <c r="B410" s="1" t="n">
        <v>45419.44106481481</v>
      </c>
      <c r="C410" s="1" t="n">
        <v>46030</v>
      </c>
      <c r="D410" t="inlineStr">
        <is>
          <t>UPPSALA LÄN</t>
        </is>
      </c>
      <c r="E410" t="inlineStr">
        <is>
          <t>ÖSTHAMMAR</t>
        </is>
      </c>
      <c r="G410" t="n">
        <v>7.2</v>
      </c>
      <c r="H410" t="n">
        <v>0</v>
      </c>
      <c r="I410" t="n">
        <v>0</v>
      </c>
      <c r="J410" t="n">
        <v>0</v>
      </c>
      <c r="K410" t="n">
        <v>0</v>
      </c>
      <c r="L410" t="n">
        <v>0</v>
      </c>
      <c r="M410" t="n">
        <v>0</v>
      </c>
      <c r="N410" t="n">
        <v>0</v>
      </c>
      <c r="O410" t="n">
        <v>0</v>
      </c>
      <c r="P410" t="n">
        <v>0</v>
      </c>
      <c r="Q410" t="n">
        <v>0</v>
      </c>
      <c r="R410" s="2" t="inlineStr"/>
    </row>
    <row r="411" ht="15" customHeight="1">
      <c r="A411" t="inlineStr">
        <is>
          <t>A 4228-2023</t>
        </is>
      </c>
      <c r="B411" s="1" t="n">
        <v>44953.48179398148</v>
      </c>
      <c r="C411" s="1" t="n">
        <v>46030</v>
      </c>
      <c r="D411" t="inlineStr">
        <is>
          <t>UPPSALA LÄN</t>
        </is>
      </c>
      <c r="E411" t="inlineStr">
        <is>
          <t>ÖSTHAMMAR</t>
        </is>
      </c>
      <c r="G411" t="n">
        <v>1</v>
      </c>
      <c r="H411" t="n">
        <v>0</v>
      </c>
      <c r="I411" t="n">
        <v>0</v>
      </c>
      <c r="J411" t="n">
        <v>0</v>
      </c>
      <c r="K411" t="n">
        <v>0</v>
      </c>
      <c r="L411" t="n">
        <v>0</v>
      </c>
      <c r="M411" t="n">
        <v>0</v>
      </c>
      <c r="N411" t="n">
        <v>0</v>
      </c>
      <c r="O411" t="n">
        <v>0</v>
      </c>
      <c r="P411" t="n">
        <v>0</v>
      </c>
      <c r="Q411" t="n">
        <v>0</v>
      </c>
      <c r="R411" s="2" t="inlineStr"/>
    </row>
    <row r="412" ht="15" customHeight="1">
      <c r="A412" t="inlineStr">
        <is>
          <t>A 47338-2025</t>
        </is>
      </c>
      <c r="B412" s="1" t="n">
        <v>45930.56626157407</v>
      </c>
      <c r="C412" s="1" t="n">
        <v>46030</v>
      </c>
      <c r="D412" t="inlineStr">
        <is>
          <t>UPPSALA LÄN</t>
        </is>
      </c>
      <c r="E412" t="inlineStr">
        <is>
          <t>ÖSTHAMMAR</t>
        </is>
      </c>
      <c r="G412" t="n">
        <v>2.4</v>
      </c>
      <c r="H412" t="n">
        <v>0</v>
      </c>
      <c r="I412" t="n">
        <v>0</v>
      </c>
      <c r="J412" t="n">
        <v>0</v>
      </c>
      <c r="K412" t="n">
        <v>0</v>
      </c>
      <c r="L412" t="n">
        <v>0</v>
      </c>
      <c r="M412" t="n">
        <v>0</v>
      </c>
      <c r="N412" t="n">
        <v>0</v>
      </c>
      <c r="O412" t="n">
        <v>0</v>
      </c>
      <c r="P412" t="n">
        <v>0</v>
      </c>
      <c r="Q412" t="n">
        <v>0</v>
      </c>
      <c r="R412" s="2" t="inlineStr"/>
    </row>
    <row r="413" ht="15" customHeight="1">
      <c r="A413" t="inlineStr">
        <is>
          <t>A 36301-2023</t>
        </is>
      </c>
      <c r="B413" s="1" t="n">
        <v>45152.37296296296</v>
      </c>
      <c r="C413" s="1" t="n">
        <v>46030</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31896-2025</t>
        </is>
      </c>
      <c r="B414" s="1" t="n">
        <v>45834.67556712963</v>
      </c>
      <c r="C414" s="1" t="n">
        <v>46030</v>
      </c>
      <c r="D414" t="inlineStr">
        <is>
          <t>UPPSALA LÄN</t>
        </is>
      </c>
      <c r="E414" t="inlineStr">
        <is>
          <t>ÖSTHAMMAR</t>
        </is>
      </c>
      <c r="G414" t="n">
        <v>4.1</v>
      </c>
      <c r="H414" t="n">
        <v>0</v>
      </c>
      <c r="I414" t="n">
        <v>0</v>
      </c>
      <c r="J414" t="n">
        <v>0</v>
      </c>
      <c r="K414" t="n">
        <v>0</v>
      </c>
      <c r="L414" t="n">
        <v>0</v>
      </c>
      <c r="M414" t="n">
        <v>0</v>
      </c>
      <c r="N414" t="n">
        <v>0</v>
      </c>
      <c r="O414" t="n">
        <v>0</v>
      </c>
      <c r="P414" t="n">
        <v>0</v>
      </c>
      <c r="Q414" t="n">
        <v>0</v>
      </c>
      <c r="R414" s="2" t="inlineStr"/>
    </row>
    <row r="415" ht="15" customHeight="1">
      <c r="A415" t="inlineStr">
        <is>
          <t>A 7195-2023</t>
        </is>
      </c>
      <c r="B415" s="1" t="n">
        <v>44970</v>
      </c>
      <c r="C415" s="1" t="n">
        <v>46030</v>
      </c>
      <c r="D415" t="inlineStr">
        <is>
          <t>UPPSALA LÄN</t>
        </is>
      </c>
      <c r="E415" t="inlineStr">
        <is>
          <t>ÖSTHAMMAR</t>
        </is>
      </c>
      <c r="G415" t="n">
        <v>1.3</v>
      </c>
      <c r="H415" t="n">
        <v>0</v>
      </c>
      <c r="I415" t="n">
        <v>0</v>
      </c>
      <c r="J415" t="n">
        <v>0</v>
      </c>
      <c r="K415" t="n">
        <v>0</v>
      </c>
      <c r="L415" t="n">
        <v>0</v>
      </c>
      <c r="M415" t="n">
        <v>0</v>
      </c>
      <c r="N415" t="n">
        <v>0</v>
      </c>
      <c r="O415" t="n">
        <v>0</v>
      </c>
      <c r="P415" t="n">
        <v>0</v>
      </c>
      <c r="Q415" t="n">
        <v>0</v>
      </c>
      <c r="R415" s="2" t="inlineStr"/>
    </row>
    <row r="416" ht="15" customHeight="1">
      <c r="A416" t="inlineStr">
        <is>
          <t>A 47336-2025</t>
        </is>
      </c>
      <c r="B416" s="1" t="n">
        <v>45930.56592592593</v>
      </c>
      <c r="C416" s="1" t="n">
        <v>46030</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47337-2025</t>
        </is>
      </c>
      <c r="B417" s="1" t="n">
        <v>45930.56607638889</v>
      </c>
      <c r="C417" s="1" t="n">
        <v>46030</v>
      </c>
      <c r="D417" t="inlineStr">
        <is>
          <t>UPPSALA LÄN</t>
        </is>
      </c>
      <c r="E417" t="inlineStr">
        <is>
          <t>ÖSTHAMMAR</t>
        </is>
      </c>
      <c r="G417" t="n">
        <v>1.3</v>
      </c>
      <c r="H417" t="n">
        <v>0</v>
      </c>
      <c r="I417" t="n">
        <v>0</v>
      </c>
      <c r="J417" t="n">
        <v>0</v>
      </c>
      <c r="K417" t="n">
        <v>0</v>
      </c>
      <c r="L417" t="n">
        <v>0</v>
      </c>
      <c r="M417" t="n">
        <v>0</v>
      </c>
      <c r="N417" t="n">
        <v>0</v>
      </c>
      <c r="O417" t="n">
        <v>0</v>
      </c>
      <c r="P417" t="n">
        <v>0</v>
      </c>
      <c r="Q417" t="n">
        <v>0</v>
      </c>
      <c r="R417" s="2" t="inlineStr"/>
    </row>
    <row r="418" ht="15" customHeight="1">
      <c r="A418" t="inlineStr">
        <is>
          <t>A 26774-2023</t>
        </is>
      </c>
      <c r="B418" s="1" t="n">
        <v>45093.47947916666</v>
      </c>
      <c r="C418" s="1" t="n">
        <v>46030</v>
      </c>
      <c r="D418" t="inlineStr">
        <is>
          <t>UPPSALA LÄN</t>
        </is>
      </c>
      <c r="E418" t="inlineStr">
        <is>
          <t>ÖSTHAMMAR</t>
        </is>
      </c>
      <c r="F418" t="inlineStr">
        <is>
          <t>Bergvik skog öst AB</t>
        </is>
      </c>
      <c r="G418" t="n">
        <v>2.1</v>
      </c>
      <c r="H418" t="n">
        <v>0</v>
      </c>
      <c r="I418" t="n">
        <v>0</v>
      </c>
      <c r="J418" t="n">
        <v>0</v>
      </c>
      <c r="K418" t="n">
        <v>0</v>
      </c>
      <c r="L418" t="n">
        <v>0</v>
      </c>
      <c r="M418" t="n">
        <v>0</v>
      </c>
      <c r="N418" t="n">
        <v>0</v>
      </c>
      <c r="O418" t="n">
        <v>0</v>
      </c>
      <c r="P418" t="n">
        <v>0</v>
      </c>
      <c r="Q418" t="n">
        <v>0</v>
      </c>
      <c r="R418" s="2" t="inlineStr"/>
    </row>
    <row r="419" ht="15" customHeight="1">
      <c r="A419" t="inlineStr">
        <is>
          <t>A 31956-2025</t>
        </is>
      </c>
      <c r="B419" s="1" t="n">
        <v>45835.34184027778</v>
      </c>
      <c r="C419" s="1" t="n">
        <v>46030</v>
      </c>
      <c r="D419" t="inlineStr">
        <is>
          <t>UPPSALA LÄN</t>
        </is>
      </c>
      <c r="E419" t="inlineStr">
        <is>
          <t>ÖSTHAMMAR</t>
        </is>
      </c>
      <c r="F419" t="inlineStr">
        <is>
          <t>Övriga Aktiebolag</t>
        </is>
      </c>
      <c r="G419" t="n">
        <v>4.2</v>
      </c>
      <c r="H419" t="n">
        <v>0</v>
      </c>
      <c r="I419" t="n">
        <v>0</v>
      </c>
      <c r="J419" t="n">
        <v>0</v>
      </c>
      <c r="K419" t="n">
        <v>0</v>
      </c>
      <c r="L419" t="n">
        <v>0</v>
      </c>
      <c r="M419" t="n">
        <v>0</v>
      </c>
      <c r="N419" t="n">
        <v>0</v>
      </c>
      <c r="O419" t="n">
        <v>0</v>
      </c>
      <c r="P419" t="n">
        <v>0</v>
      </c>
      <c r="Q419" t="n">
        <v>0</v>
      </c>
      <c r="R419" s="2" t="inlineStr"/>
    </row>
    <row r="420" ht="15" customHeight="1">
      <c r="A420" t="inlineStr">
        <is>
          <t>A 31977-2025</t>
        </is>
      </c>
      <c r="B420" s="1" t="n">
        <v>45835.3554050926</v>
      </c>
      <c r="C420" s="1" t="n">
        <v>46030</v>
      </c>
      <c r="D420" t="inlineStr">
        <is>
          <t>UPPSALA LÄN</t>
        </is>
      </c>
      <c r="E420" t="inlineStr">
        <is>
          <t>ÖSTHAMMAR</t>
        </is>
      </c>
      <c r="F420" t="inlineStr">
        <is>
          <t>Övriga Aktiebolag</t>
        </is>
      </c>
      <c r="G420" t="n">
        <v>35.3</v>
      </c>
      <c r="H420" t="n">
        <v>0</v>
      </c>
      <c r="I420" t="n">
        <v>0</v>
      </c>
      <c r="J420" t="n">
        <v>0</v>
      </c>
      <c r="K420" t="n">
        <v>0</v>
      </c>
      <c r="L420" t="n">
        <v>0</v>
      </c>
      <c r="M420" t="n">
        <v>0</v>
      </c>
      <c r="N420" t="n">
        <v>0</v>
      </c>
      <c r="O420" t="n">
        <v>0</v>
      </c>
      <c r="P420" t="n">
        <v>0</v>
      </c>
      <c r="Q420" t="n">
        <v>0</v>
      </c>
      <c r="R420" s="2" t="inlineStr"/>
    </row>
    <row r="421" ht="15" customHeight="1">
      <c r="A421" t="inlineStr">
        <is>
          <t>A 27476-2025</t>
        </is>
      </c>
      <c r="B421" s="1" t="n">
        <v>45813.37517361111</v>
      </c>
      <c r="C421" s="1" t="n">
        <v>46030</v>
      </c>
      <c r="D421" t="inlineStr">
        <is>
          <t>UPPSALA LÄN</t>
        </is>
      </c>
      <c r="E421" t="inlineStr">
        <is>
          <t>ÖSTHAMMAR</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47614-2025</t>
        </is>
      </c>
      <c r="B422" s="1" t="n">
        <v>45931.47211805556</v>
      </c>
      <c r="C422" s="1" t="n">
        <v>46030</v>
      </c>
      <c r="D422" t="inlineStr">
        <is>
          <t>UPPSALA LÄN</t>
        </is>
      </c>
      <c r="E422" t="inlineStr">
        <is>
          <t>ÖSTHAMMAR</t>
        </is>
      </c>
      <c r="G422" t="n">
        <v>22.8</v>
      </c>
      <c r="H422" t="n">
        <v>0</v>
      </c>
      <c r="I422" t="n">
        <v>0</v>
      </c>
      <c r="J422" t="n">
        <v>0</v>
      </c>
      <c r="K422" t="n">
        <v>0</v>
      </c>
      <c r="L422" t="n">
        <v>0</v>
      </c>
      <c r="M422" t="n">
        <v>0</v>
      </c>
      <c r="N422" t="n">
        <v>0</v>
      </c>
      <c r="O422" t="n">
        <v>0</v>
      </c>
      <c r="P422" t="n">
        <v>0</v>
      </c>
      <c r="Q422" t="n">
        <v>0</v>
      </c>
      <c r="R422" s="2" t="inlineStr"/>
    </row>
    <row r="423" ht="15" customHeight="1">
      <c r="A423" t="inlineStr">
        <is>
          <t>A 47615-2025</t>
        </is>
      </c>
      <c r="B423" s="1" t="n">
        <v>45931.47542824074</v>
      </c>
      <c r="C423" s="1" t="n">
        <v>46030</v>
      </c>
      <c r="D423" t="inlineStr">
        <is>
          <t>UPPSALA LÄN</t>
        </is>
      </c>
      <c r="E423" t="inlineStr">
        <is>
          <t>ÖSTHAMMAR</t>
        </is>
      </c>
      <c r="G423" t="n">
        <v>7</v>
      </c>
      <c r="H423" t="n">
        <v>0</v>
      </c>
      <c r="I423" t="n">
        <v>0</v>
      </c>
      <c r="J423" t="n">
        <v>0</v>
      </c>
      <c r="K423" t="n">
        <v>0</v>
      </c>
      <c r="L423" t="n">
        <v>0</v>
      </c>
      <c r="M423" t="n">
        <v>0</v>
      </c>
      <c r="N423" t="n">
        <v>0</v>
      </c>
      <c r="O423" t="n">
        <v>0</v>
      </c>
      <c r="P423" t="n">
        <v>0</v>
      </c>
      <c r="Q423" t="n">
        <v>0</v>
      </c>
      <c r="R423" s="2" t="inlineStr"/>
    </row>
    <row r="424" ht="15" customHeight="1">
      <c r="A424" t="inlineStr">
        <is>
          <t>A 17644-2025</t>
        </is>
      </c>
      <c r="B424" s="1" t="n">
        <v>45758.32645833334</v>
      </c>
      <c r="C424" s="1" t="n">
        <v>46030</v>
      </c>
      <c r="D424" t="inlineStr">
        <is>
          <t>UPPSALA LÄN</t>
        </is>
      </c>
      <c r="E424" t="inlineStr">
        <is>
          <t>ÖSTHAMMAR</t>
        </is>
      </c>
      <c r="F424" t="inlineStr">
        <is>
          <t>Bergvik skog väst AB</t>
        </is>
      </c>
      <c r="G424" t="n">
        <v>6.1</v>
      </c>
      <c r="H424" t="n">
        <v>0</v>
      </c>
      <c r="I424" t="n">
        <v>0</v>
      </c>
      <c r="J424" t="n">
        <v>0</v>
      </c>
      <c r="K424" t="n">
        <v>0</v>
      </c>
      <c r="L424" t="n">
        <v>0</v>
      </c>
      <c r="M424" t="n">
        <v>0</v>
      </c>
      <c r="N424" t="n">
        <v>0</v>
      </c>
      <c r="O424" t="n">
        <v>0</v>
      </c>
      <c r="P424" t="n">
        <v>0</v>
      </c>
      <c r="Q424" t="n">
        <v>0</v>
      </c>
      <c r="R424" s="2" t="inlineStr"/>
    </row>
    <row r="425" ht="15" customHeight="1">
      <c r="A425" t="inlineStr">
        <is>
          <t>A 58399-2025</t>
        </is>
      </c>
      <c r="B425" s="1" t="n">
        <v>45985.56244212963</v>
      </c>
      <c r="C425" s="1" t="n">
        <v>46030</v>
      </c>
      <c r="D425" t="inlineStr">
        <is>
          <t>UPPSALA LÄN</t>
        </is>
      </c>
      <c r="E425" t="inlineStr">
        <is>
          <t>ÖSTHAMMAR</t>
        </is>
      </c>
      <c r="G425" t="n">
        <v>2.6</v>
      </c>
      <c r="H425" t="n">
        <v>0</v>
      </c>
      <c r="I425" t="n">
        <v>0</v>
      </c>
      <c r="J425" t="n">
        <v>0</v>
      </c>
      <c r="K425" t="n">
        <v>0</v>
      </c>
      <c r="L425" t="n">
        <v>0</v>
      </c>
      <c r="M425" t="n">
        <v>0</v>
      </c>
      <c r="N425" t="n">
        <v>0</v>
      </c>
      <c r="O425" t="n">
        <v>0</v>
      </c>
      <c r="P425" t="n">
        <v>0</v>
      </c>
      <c r="Q425" t="n">
        <v>0</v>
      </c>
      <c r="R425" s="2" t="inlineStr"/>
    </row>
    <row r="426" ht="15" customHeight="1">
      <c r="A426" t="inlineStr">
        <is>
          <t>A 32718-2025</t>
        </is>
      </c>
      <c r="B426" s="1" t="n">
        <v>45839.37740740741</v>
      </c>
      <c r="C426" s="1" t="n">
        <v>46030</v>
      </c>
      <c r="D426" t="inlineStr">
        <is>
          <t>UPPSALA LÄN</t>
        </is>
      </c>
      <c r="E426" t="inlineStr">
        <is>
          <t>ÖSTHAMMAR</t>
        </is>
      </c>
      <c r="G426" t="n">
        <v>10.4</v>
      </c>
      <c r="H426" t="n">
        <v>0</v>
      </c>
      <c r="I426" t="n">
        <v>0</v>
      </c>
      <c r="J426" t="n">
        <v>0</v>
      </c>
      <c r="K426" t="n">
        <v>0</v>
      </c>
      <c r="L426" t="n">
        <v>0</v>
      </c>
      <c r="M426" t="n">
        <v>0</v>
      </c>
      <c r="N426" t="n">
        <v>0</v>
      </c>
      <c r="O426" t="n">
        <v>0</v>
      </c>
      <c r="P426" t="n">
        <v>0</v>
      </c>
      <c r="Q426" t="n">
        <v>0</v>
      </c>
      <c r="R426" s="2" t="inlineStr"/>
    </row>
    <row r="427" ht="15" customHeight="1">
      <c r="A427" t="inlineStr">
        <is>
          <t>A 20324-2021</t>
        </is>
      </c>
      <c r="B427" s="1" t="n">
        <v>44308</v>
      </c>
      <c r="C427" s="1" t="n">
        <v>46030</v>
      </c>
      <c r="D427" t="inlineStr">
        <is>
          <t>UPPSALA LÄN</t>
        </is>
      </c>
      <c r="E427" t="inlineStr">
        <is>
          <t>ÖSTHAMMAR</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17652-2025</t>
        </is>
      </c>
      <c r="B428" s="1" t="n">
        <v>45758.33583333333</v>
      </c>
      <c r="C428" s="1" t="n">
        <v>46030</v>
      </c>
      <c r="D428" t="inlineStr">
        <is>
          <t>UPPSALA LÄN</t>
        </is>
      </c>
      <c r="E428" t="inlineStr">
        <is>
          <t>ÖSTHAMMAR</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6120-2024</t>
        </is>
      </c>
      <c r="B429" s="1" t="n">
        <v>45337.41784722222</v>
      </c>
      <c r="C429" s="1" t="n">
        <v>46030</v>
      </c>
      <c r="D429" t="inlineStr">
        <is>
          <t>UPPSALA LÄN</t>
        </is>
      </c>
      <c r="E429" t="inlineStr">
        <is>
          <t>ÖSTHAMMAR</t>
        </is>
      </c>
      <c r="G429" t="n">
        <v>0.7</v>
      </c>
      <c r="H429" t="n">
        <v>0</v>
      </c>
      <c r="I429" t="n">
        <v>0</v>
      </c>
      <c r="J429" t="n">
        <v>0</v>
      </c>
      <c r="K429" t="n">
        <v>0</v>
      </c>
      <c r="L429" t="n">
        <v>0</v>
      </c>
      <c r="M429" t="n">
        <v>0</v>
      </c>
      <c r="N429" t="n">
        <v>0</v>
      </c>
      <c r="O429" t="n">
        <v>0</v>
      </c>
      <c r="P429" t="n">
        <v>0</v>
      </c>
      <c r="Q429" t="n">
        <v>0</v>
      </c>
      <c r="R429" s="2" t="inlineStr"/>
    </row>
    <row r="430" ht="15" customHeight="1">
      <c r="A430" t="inlineStr">
        <is>
          <t>A 12528-2024</t>
        </is>
      </c>
      <c r="B430" s="1" t="n">
        <v>45379.61878472222</v>
      </c>
      <c r="C430" s="1" t="n">
        <v>46030</v>
      </c>
      <c r="D430" t="inlineStr">
        <is>
          <t>UPPSALA LÄN</t>
        </is>
      </c>
      <c r="E430" t="inlineStr">
        <is>
          <t>ÖSTHAMMAR</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33529-2025</t>
        </is>
      </c>
      <c r="B431" s="1" t="n">
        <v>45841.55199074074</v>
      </c>
      <c r="C431" s="1" t="n">
        <v>46030</v>
      </c>
      <c r="D431" t="inlineStr">
        <is>
          <t>UPPSALA LÄN</t>
        </is>
      </c>
      <c r="E431" t="inlineStr">
        <is>
          <t>ÖSTHAMMAR</t>
        </is>
      </c>
      <c r="F431" t="inlineStr">
        <is>
          <t>Bergvik skog öst AB</t>
        </is>
      </c>
      <c r="G431" t="n">
        <v>11.8</v>
      </c>
      <c r="H431" t="n">
        <v>0</v>
      </c>
      <c r="I431" t="n">
        <v>0</v>
      </c>
      <c r="J431" t="n">
        <v>0</v>
      </c>
      <c r="K431" t="n">
        <v>0</v>
      </c>
      <c r="L431" t="n">
        <v>0</v>
      </c>
      <c r="M431" t="n">
        <v>0</v>
      </c>
      <c r="N431" t="n">
        <v>0</v>
      </c>
      <c r="O431" t="n">
        <v>0</v>
      </c>
      <c r="P431" t="n">
        <v>0</v>
      </c>
      <c r="Q431" t="n">
        <v>0</v>
      </c>
      <c r="R431" s="2" t="inlineStr"/>
    </row>
    <row r="432" ht="15" customHeight="1">
      <c r="A432" t="inlineStr">
        <is>
          <t>A 33048-2025</t>
        </is>
      </c>
      <c r="B432" s="1" t="n">
        <v>45840.41451388889</v>
      </c>
      <c r="C432" s="1" t="n">
        <v>46030</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33271-2025</t>
        </is>
      </c>
      <c r="B433" s="1" t="n">
        <v>45840.68381944444</v>
      </c>
      <c r="C433" s="1" t="n">
        <v>46030</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48654-2025</t>
        </is>
      </c>
      <c r="B434" s="1" t="n">
        <v>45936.55887731481</v>
      </c>
      <c r="C434" s="1" t="n">
        <v>46030</v>
      </c>
      <c r="D434" t="inlineStr">
        <is>
          <t>UPPSALA LÄN</t>
        </is>
      </c>
      <c r="E434" t="inlineStr">
        <is>
          <t>ÖSTHAMMAR</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357-2025</t>
        </is>
      </c>
      <c r="B435" s="1" t="n">
        <v>45659</v>
      </c>
      <c r="C435" s="1" t="n">
        <v>46030</v>
      </c>
      <c r="D435" t="inlineStr">
        <is>
          <t>UPPSALA LÄN</t>
        </is>
      </c>
      <c r="E435" t="inlineStr">
        <is>
          <t>ÖSTHAMMAR</t>
        </is>
      </c>
      <c r="G435" t="n">
        <v>15.8</v>
      </c>
      <c r="H435" t="n">
        <v>0</v>
      </c>
      <c r="I435" t="n">
        <v>0</v>
      </c>
      <c r="J435" t="n">
        <v>0</v>
      </c>
      <c r="K435" t="n">
        <v>0</v>
      </c>
      <c r="L435" t="n">
        <v>0</v>
      </c>
      <c r="M435" t="n">
        <v>0</v>
      </c>
      <c r="N435" t="n">
        <v>0</v>
      </c>
      <c r="O435" t="n">
        <v>0</v>
      </c>
      <c r="P435" t="n">
        <v>0</v>
      </c>
      <c r="Q435" t="n">
        <v>0</v>
      </c>
      <c r="R435" s="2" t="inlineStr"/>
    </row>
    <row r="436" ht="15" customHeight="1">
      <c r="A436" t="inlineStr">
        <is>
          <t>A 48977-2025</t>
        </is>
      </c>
      <c r="B436" s="1" t="n">
        <v>45936</v>
      </c>
      <c r="C436" s="1" t="n">
        <v>46030</v>
      </c>
      <c r="D436" t="inlineStr">
        <is>
          <t>UPPSALA LÄN</t>
        </is>
      </c>
      <c r="E436" t="inlineStr">
        <is>
          <t>ÖSTHAMMAR</t>
        </is>
      </c>
      <c r="G436" t="n">
        <v>21.1</v>
      </c>
      <c r="H436" t="n">
        <v>0</v>
      </c>
      <c r="I436" t="n">
        <v>0</v>
      </c>
      <c r="J436" t="n">
        <v>0</v>
      </c>
      <c r="K436" t="n">
        <v>0</v>
      </c>
      <c r="L436" t="n">
        <v>0</v>
      </c>
      <c r="M436" t="n">
        <v>0</v>
      </c>
      <c r="N436" t="n">
        <v>0</v>
      </c>
      <c r="O436" t="n">
        <v>0</v>
      </c>
      <c r="P436" t="n">
        <v>0</v>
      </c>
      <c r="Q436" t="n">
        <v>0</v>
      </c>
      <c r="R436" s="2" t="inlineStr"/>
    </row>
    <row r="437" ht="15" customHeight="1">
      <c r="A437" t="inlineStr">
        <is>
          <t>A 9267-2024</t>
        </is>
      </c>
      <c r="B437" s="1" t="n">
        <v>45358</v>
      </c>
      <c r="C437" s="1" t="n">
        <v>46030</v>
      </c>
      <c r="D437" t="inlineStr">
        <is>
          <t>UPPSALA LÄN</t>
        </is>
      </c>
      <c r="E437" t="inlineStr">
        <is>
          <t>ÖSTHAMMAR</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33601-2024</t>
        </is>
      </c>
      <c r="B438" s="1" t="n">
        <v>45520</v>
      </c>
      <c r="C438" s="1" t="n">
        <v>46030</v>
      </c>
      <c r="D438" t="inlineStr">
        <is>
          <t>UPPSALA LÄN</t>
        </is>
      </c>
      <c r="E438" t="inlineStr">
        <is>
          <t>ÖSTHAMMAR</t>
        </is>
      </c>
      <c r="F438" t="inlineStr">
        <is>
          <t>Övriga Aktiebolag</t>
        </is>
      </c>
      <c r="G438" t="n">
        <v>2.5</v>
      </c>
      <c r="H438" t="n">
        <v>0</v>
      </c>
      <c r="I438" t="n">
        <v>0</v>
      </c>
      <c r="J438" t="n">
        <v>0</v>
      </c>
      <c r="K438" t="n">
        <v>0</v>
      </c>
      <c r="L438" t="n">
        <v>0</v>
      </c>
      <c r="M438" t="n">
        <v>0</v>
      </c>
      <c r="N438" t="n">
        <v>0</v>
      </c>
      <c r="O438" t="n">
        <v>0</v>
      </c>
      <c r="P438" t="n">
        <v>0</v>
      </c>
      <c r="Q438" t="n">
        <v>0</v>
      </c>
      <c r="R438" s="2" t="inlineStr"/>
    </row>
    <row r="439" ht="15" customHeight="1">
      <c r="A439" t="inlineStr">
        <is>
          <t>A 26395-2025</t>
        </is>
      </c>
      <c r="B439" s="1" t="n">
        <v>45807</v>
      </c>
      <c r="C439" s="1" t="n">
        <v>46030</v>
      </c>
      <c r="D439" t="inlineStr">
        <is>
          <t>UPPSALA LÄN</t>
        </is>
      </c>
      <c r="E439" t="inlineStr">
        <is>
          <t>ÖSTHAMMAR</t>
        </is>
      </c>
      <c r="G439" t="n">
        <v>7</v>
      </c>
      <c r="H439" t="n">
        <v>0</v>
      </c>
      <c r="I439" t="n">
        <v>0</v>
      </c>
      <c r="J439" t="n">
        <v>0</v>
      </c>
      <c r="K439" t="n">
        <v>0</v>
      </c>
      <c r="L439" t="n">
        <v>0</v>
      </c>
      <c r="M439" t="n">
        <v>0</v>
      </c>
      <c r="N439" t="n">
        <v>0</v>
      </c>
      <c r="O439" t="n">
        <v>0</v>
      </c>
      <c r="P439" t="n">
        <v>0</v>
      </c>
      <c r="Q439" t="n">
        <v>0</v>
      </c>
      <c r="R439" s="2" t="inlineStr"/>
    </row>
    <row r="440" ht="15" customHeight="1">
      <c r="A440" t="inlineStr">
        <is>
          <t>A 33972-2025</t>
        </is>
      </c>
      <c r="B440" s="1" t="n">
        <v>45842.97236111111</v>
      </c>
      <c r="C440" s="1" t="n">
        <v>46030</v>
      </c>
      <c r="D440" t="inlineStr">
        <is>
          <t>UPPSALA LÄN</t>
        </is>
      </c>
      <c r="E440" t="inlineStr">
        <is>
          <t>ÖSTHAMMAR</t>
        </is>
      </c>
      <c r="G440" t="n">
        <v>0.8</v>
      </c>
      <c r="H440" t="n">
        <v>0</v>
      </c>
      <c r="I440" t="n">
        <v>0</v>
      </c>
      <c r="J440" t="n">
        <v>0</v>
      </c>
      <c r="K440" t="n">
        <v>0</v>
      </c>
      <c r="L440" t="n">
        <v>0</v>
      </c>
      <c r="M440" t="n">
        <v>0</v>
      </c>
      <c r="N440" t="n">
        <v>0</v>
      </c>
      <c r="O440" t="n">
        <v>0</v>
      </c>
      <c r="P440" t="n">
        <v>0</v>
      </c>
      <c r="Q440" t="n">
        <v>0</v>
      </c>
      <c r="R440" s="2" t="inlineStr"/>
    </row>
    <row r="441" ht="15" customHeight="1">
      <c r="A441" t="inlineStr">
        <is>
          <t>A 48857-2025</t>
        </is>
      </c>
      <c r="B441" s="1" t="n">
        <v>45937.43621527778</v>
      </c>
      <c r="C441" s="1" t="n">
        <v>46030</v>
      </c>
      <c r="D441" t="inlineStr">
        <is>
          <t>UPPSALA LÄN</t>
        </is>
      </c>
      <c r="E441" t="inlineStr">
        <is>
          <t>ÖSTHAMMAR</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33973-2025</t>
        </is>
      </c>
      <c r="B442" s="1" t="n">
        <v>45842.98429398148</v>
      </c>
      <c r="C442" s="1" t="n">
        <v>46030</v>
      </c>
      <c r="D442" t="inlineStr">
        <is>
          <t>UPPSALA LÄN</t>
        </is>
      </c>
      <c r="E442" t="inlineStr">
        <is>
          <t>ÖSTHAMMAR</t>
        </is>
      </c>
      <c r="G442" t="n">
        <v>1.9</v>
      </c>
      <c r="H442" t="n">
        <v>0</v>
      </c>
      <c r="I442" t="n">
        <v>0</v>
      </c>
      <c r="J442" t="n">
        <v>0</v>
      </c>
      <c r="K442" t="n">
        <v>0</v>
      </c>
      <c r="L442" t="n">
        <v>0</v>
      </c>
      <c r="M442" t="n">
        <v>0</v>
      </c>
      <c r="N442" t="n">
        <v>0</v>
      </c>
      <c r="O442" t="n">
        <v>0</v>
      </c>
      <c r="P442" t="n">
        <v>0</v>
      </c>
      <c r="Q442" t="n">
        <v>0</v>
      </c>
      <c r="R442" s="2" t="inlineStr"/>
    </row>
    <row r="443" ht="15" customHeight="1">
      <c r="A443" t="inlineStr">
        <is>
          <t>A 23197-2023</t>
        </is>
      </c>
      <c r="B443" s="1" t="n">
        <v>45075</v>
      </c>
      <c r="C443" s="1" t="n">
        <v>46030</v>
      </c>
      <c r="D443" t="inlineStr">
        <is>
          <t>UPPSALA LÄN</t>
        </is>
      </c>
      <c r="E443" t="inlineStr">
        <is>
          <t>ÖSTHAMMAR</t>
        </is>
      </c>
      <c r="G443" t="n">
        <v>0.5</v>
      </c>
      <c r="H443" t="n">
        <v>0</v>
      </c>
      <c r="I443" t="n">
        <v>0</v>
      </c>
      <c r="J443" t="n">
        <v>0</v>
      </c>
      <c r="K443" t="n">
        <v>0</v>
      </c>
      <c r="L443" t="n">
        <v>0</v>
      </c>
      <c r="M443" t="n">
        <v>0</v>
      </c>
      <c r="N443" t="n">
        <v>0</v>
      </c>
      <c r="O443" t="n">
        <v>0</v>
      </c>
      <c r="P443" t="n">
        <v>0</v>
      </c>
      <c r="Q443" t="n">
        <v>0</v>
      </c>
      <c r="R443" s="2" t="inlineStr"/>
    </row>
    <row r="444" ht="15" customHeight="1">
      <c r="A444" t="inlineStr">
        <is>
          <t>A 48854-2025</t>
        </is>
      </c>
      <c r="B444" s="1" t="n">
        <v>45937.43274305556</v>
      </c>
      <c r="C444" s="1" t="n">
        <v>46030</v>
      </c>
      <c r="D444" t="inlineStr">
        <is>
          <t>UPPSALA LÄN</t>
        </is>
      </c>
      <c r="E444" t="inlineStr">
        <is>
          <t>ÖSTHAMMAR</t>
        </is>
      </c>
      <c r="F444" t="inlineStr">
        <is>
          <t>Övriga Aktiebolag</t>
        </is>
      </c>
      <c r="G444" t="n">
        <v>18.9</v>
      </c>
      <c r="H444" t="n">
        <v>0</v>
      </c>
      <c r="I444" t="n">
        <v>0</v>
      </c>
      <c r="J444" t="n">
        <v>0</v>
      </c>
      <c r="K444" t="n">
        <v>0</v>
      </c>
      <c r="L444" t="n">
        <v>0</v>
      </c>
      <c r="M444" t="n">
        <v>0</v>
      </c>
      <c r="N444" t="n">
        <v>0</v>
      </c>
      <c r="O444" t="n">
        <v>0</v>
      </c>
      <c r="P444" t="n">
        <v>0</v>
      </c>
      <c r="Q444" t="n">
        <v>0</v>
      </c>
      <c r="R444" s="2" t="inlineStr"/>
    </row>
    <row r="445" ht="15" customHeight="1">
      <c r="A445" t="inlineStr">
        <is>
          <t>A 52478-2024</t>
        </is>
      </c>
      <c r="B445" s="1" t="n">
        <v>45609.55065972222</v>
      </c>
      <c r="C445" s="1" t="n">
        <v>46030</v>
      </c>
      <c r="D445" t="inlineStr">
        <is>
          <t>UPPSALA LÄN</t>
        </is>
      </c>
      <c r="E445" t="inlineStr">
        <is>
          <t>ÖSTHAMMAR</t>
        </is>
      </c>
      <c r="G445" t="n">
        <v>0.7</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46030</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46030</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2947-2025</t>
        </is>
      </c>
      <c r="B448" s="1" t="n">
        <v>45678</v>
      </c>
      <c r="C448" s="1" t="n">
        <v>46030</v>
      </c>
      <c r="D448" t="inlineStr">
        <is>
          <t>UPPSALA LÄN</t>
        </is>
      </c>
      <c r="E448" t="inlineStr">
        <is>
          <t>ÖSTHAMMAR</t>
        </is>
      </c>
      <c r="G448" t="n">
        <v>3.6</v>
      </c>
      <c r="H448" t="n">
        <v>0</v>
      </c>
      <c r="I448" t="n">
        <v>0</v>
      </c>
      <c r="J448" t="n">
        <v>0</v>
      </c>
      <c r="K448" t="n">
        <v>0</v>
      </c>
      <c r="L448" t="n">
        <v>0</v>
      </c>
      <c r="M448" t="n">
        <v>0</v>
      </c>
      <c r="N448" t="n">
        <v>0</v>
      </c>
      <c r="O448" t="n">
        <v>0</v>
      </c>
      <c r="P448" t="n">
        <v>0</v>
      </c>
      <c r="Q448" t="n">
        <v>0</v>
      </c>
      <c r="R448" s="2" t="inlineStr"/>
    </row>
    <row r="449" ht="15" customHeight="1">
      <c r="A449" t="inlineStr">
        <is>
          <t>A 362-2026</t>
        </is>
      </c>
      <c r="B449" s="1" t="n">
        <v>46027.6659375</v>
      </c>
      <c r="C449" s="1" t="n">
        <v>46030</v>
      </c>
      <c r="D449" t="inlineStr">
        <is>
          <t>UPPSALA LÄN</t>
        </is>
      </c>
      <c r="E449" t="inlineStr">
        <is>
          <t>ÖSTHAMMAR</t>
        </is>
      </c>
      <c r="F449" t="inlineStr">
        <is>
          <t>Bergvik skog öst AB</t>
        </is>
      </c>
      <c r="G449" t="n">
        <v>1.1</v>
      </c>
      <c r="H449" t="n">
        <v>0</v>
      </c>
      <c r="I449" t="n">
        <v>0</v>
      </c>
      <c r="J449" t="n">
        <v>0</v>
      </c>
      <c r="K449" t="n">
        <v>0</v>
      </c>
      <c r="L449" t="n">
        <v>0</v>
      </c>
      <c r="M449" t="n">
        <v>0</v>
      </c>
      <c r="N449" t="n">
        <v>0</v>
      </c>
      <c r="O449" t="n">
        <v>0</v>
      </c>
      <c r="P449" t="n">
        <v>0</v>
      </c>
      <c r="Q449" t="n">
        <v>0</v>
      </c>
      <c r="R449" s="2" t="inlineStr"/>
    </row>
    <row r="450" ht="15" customHeight="1">
      <c r="A450" t="inlineStr">
        <is>
          <t>A 17433-2025</t>
        </is>
      </c>
      <c r="B450" s="1" t="n">
        <v>45757.40733796296</v>
      </c>
      <c r="C450" s="1" t="n">
        <v>46030</v>
      </c>
      <c r="D450" t="inlineStr">
        <is>
          <t>UPPSALA LÄN</t>
        </is>
      </c>
      <c r="E450" t="inlineStr">
        <is>
          <t>ÖSTHAMMAR</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47020-2025</t>
        </is>
      </c>
      <c r="B451" s="1" t="n">
        <v>45929.5775</v>
      </c>
      <c r="C451" s="1" t="n">
        <v>46030</v>
      </c>
      <c r="D451" t="inlineStr">
        <is>
          <t>UPPSALA LÄN</t>
        </is>
      </c>
      <c r="E451" t="inlineStr">
        <is>
          <t>ÖSTHAMMAR</t>
        </is>
      </c>
      <c r="G451" t="n">
        <v>2.1</v>
      </c>
      <c r="H451" t="n">
        <v>0</v>
      </c>
      <c r="I451" t="n">
        <v>0</v>
      </c>
      <c r="J451" t="n">
        <v>0</v>
      </c>
      <c r="K451" t="n">
        <v>0</v>
      </c>
      <c r="L451" t="n">
        <v>0</v>
      </c>
      <c r="M451" t="n">
        <v>0</v>
      </c>
      <c r="N451" t="n">
        <v>0</v>
      </c>
      <c r="O451" t="n">
        <v>0</v>
      </c>
      <c r="P451" t="n">
        <v>0</v>
      </c>
      <c r="Q451" t="n">
        <v>0</v>
      </c>
      <c r="R451" s="2" t="inlineStr"/>
    </row>
    <row r="452" ht="15" customHeight="1">
      <c r="A452" t="inlineStr">
        <is>
          <t>A 12756-2024</t>
        </is>
      </c>
      <c r="B452" s="1" t="n">
        <v>45384</v>
      </c>
      <c r="C452" s="1" t="n">
        <v>46030</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15928-2022</t>
        </is>
      </c>
      <c r="B453" s="1" t="n">
        <v>44664</v>
      </c>
      <c r="C453" s="1" t="n">
        <v>46030</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44613.77238425926</v>
      </c>
      <c r="C454" s="1" t="n">
        <v>46030</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25859-2024</t>
        </is>
      </c>
      <c r="B455" s="1" t="n">
        <v>45467</v>
      </c>
      <c r="C455" s="1" t="n">
        <v>46030</v>
      </c>
      <c r="D455" t="inlineStr">
        <is>
          <t>UPPSALA LÄN</t>
        </is>
      </c>
      <c r="E455" t="inlineStr">
        <is>
          <t>ÖSTHAMMAR</t>
        </is>
      </c>
      <c r="G455" t="n">
        <v>7.9</v>
      </c>
      <c r="H455" t="n">
        <v>0</v>
      </c>
      <c r="I455" t="n">
        <v>0</v>
      </c>
      <c r="J455" t="n">
        <v>0</v>
      </c>
      <c r="K455" t="n">
        <v>0</v>
      </c>
      <c r="L455" t="n">
        <v>0</v>
      </c>
      <c r="M455" t="n">
        <v>0</v>
      </c>
      <c r="N455" t="n">
        <v>0</v>
      </c>
      <c r="O455" t="n">
        <v>0</v>
      </c>
      <c r="P455" t="n">
        <v>0</v>
      </c>
      <c r="Q455" t="n">
        <v>0</v>
      </c>
      <c r="R455" s="2" t="inlineStr"/>
    </row>
    <row r="456" ht="15" customHeight="1">
      <c r="A456" t="inlineStr">
        <is>
          <t>A 10117-2025</t>
        </is>
      </c>
      <c r="B456" s="1" t="n">
        <v>45719.59866898148</v>
      </c>
      <c r="C456" s="1" t="n">
        <v>46030</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49773-2025</t>
        </is>
      </c>
      <c r="B457" s="1" t="n">
        <v>45940.37303240741</v>
      </c>
      <c r="C457" s="1" t="n">
        <v>46030</v>
      </c>
      <c r="D457" t="inlineStr">
        <is>
          <t>UPPSALA LÄN</t>
        </is>
      </c>
      <c r="E457" t="inlineStr">
        <is>
          <t>ÖSTHAMMAR</t>
        </is>
      </c>
      <c r="G457" t="n">
        <v>3.5</v>
      </c>
      <c r="H457" t="n">
        <v>0</v>
      </c>
      <c r="I457" t="n">
        <v>0</v>
      </c>
      <c r="J457" t="n">
        <v>0</v>
      </c>
      <c r="K457" t="n">
        <v>0</v>
      </c>
      <c r="L457" t="n">
        <v>0</v>
      </c>
      <c r="M457" t="n">
        <v>0</v>
      </c>
      <c r="N457" t="n">
        <v>0</v>
      </c>
      <c r="O457" t="n">
        <v>0</v>
      </c>
      <c r="P457" t="n">
        <v>0</v>
      </c>
      <c r="Q457" t="n">
        <v>0</v>
      </c>
      <c r="R457" s="2" t="inlineStr"/>
    </row>
    <row r="458" ht="15" customHeight="1">
      <c r="A458" t="inlineStr">
        <is>
          <t>A 26328-2025</t>
        </is>
      </c>
      <c r="B458" s="1" t="n">
        <v>45805.67305555556</v>
      </c>
      <c r="C458" s="1" t="n">
        <v>46030</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19640-2025</t>
        </is>
      </c>
      <c r="B459" s="1" t="n">
        <v>45770.65739583333</v>
      </c>
      <c r="C459" s="1" t="n">
        <v>46030</v>
      </c>
      <c r="D459" t="inlineStr">
        <is>
          <t>UPPSALA LÄN</t>
        </is>
      </c>
      <c r="E459" t="inlineStr">
        <is>
          <t>ÖSTHAMMAR</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1063-2025</t>
        </is>
      </c>
      <c r="B460" s="1" t="n">
        <v>45666</v>
      </c>
      <c r="C460" s="1" t="n">
        <v>46030</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33760-2024</t>
        </is>
      </c>
      <c r="B461" s="1" t="n">
        <v>45520</v>
      </c>
      <c r="C461" s="1" t="n">
        <v>46030</v>
      </c>
      <c r="D461" t="inlineStr">
        <is>
          <t>UPPSALA LÄN</t>
        </is>
      </c>
      <c r="E461" t="inlineStr">
        <is>
          <t>ÖSTHAMMAR</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46030</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52629-2023</t>
        </is>
      </c>
      <c r="B463" s="1" t="n">
        <v>45225</v>
      </c>
      <c r="C463" s="1" t="n">
        <v>46030</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35918-2023</t>
        </is>
      </c>
      <c r="B464" s="1" t="n">
        <v>45148.64976851852</v>
      </c>
      <c r="C464" s="1" t="n">
        <v>46030</v>
      </c>
      <c r="D464" t="inlineStr">
        <is>
          <t>UPPSALA LÄN</t>
        </is>
      </c>
      <c r="E464" t="inlineStr">
        <is>
          <t>ÖSTHAMMAR</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4292-2025</t>
        </is>
      </c>
      <c r="B465" s="1" t="n">
        <v>45685.66459490741</v>
      </c>
      <c r="C465" s="1" t="n">
        <v>46030</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4356-2025</t>
        </is>
      </c>
      <c r="B466" s="1" t="n">
        <v>45686</v>
      </c>
      <c r="C466" s="1" t="n">
        <v>46030</v>
      </c>
      <c r="D466" t="inlineStr">
        <is>
          <t>UPPSALA LÄN</t>
        </is>
      </c>
      <c r="E466" t="inlineStr">
        <is>
          <t>ÖSTHAMMAR</t>
        </is>
      </c>
      <c r="F466" t="inlineStr">
        <is>
          <t>Övriga Aktiebolag</t>
        </is>
      </c>
      <c r="G466" t="n">
        <v>24.6</v>
      </c>
      <c r="H466" t="n">
        <v>0</v>
      </c>
      <c r="I466" t="n">
        <v>0</v>
      </c>
      <c r="J466" t="n">
        <v>0</v>
      </c>
      <c r="K466" t="n">
        <v>0</v>
      </c>
      <c r="L466" t="n">
        <v>0</v>
      </c>
      <c r="M466" t="n">
        <v>0</v>
      </c>
      <c r="N466" t="n">
        <v>0</v>
      </c>
      <c r="O466" t="n">
        <v>0</v>
      </c>
      <c r="P466" t="n">
        <v>0</v>
      </c>
      <c r="Q466" t="n">
        <v>0</v>
      </c>
      <c r="R466" s="2" t="inlineStr"/>
    </row>
    <row r="467" ht="15" customHeight="1">
      <c r="A467" t="inlineStr">
        <is>
          <t>A 6661-2024</t>
        </is>
      </c>
      <c r="B467" s="1" t="n">
        <v>45341.70582175926</v>
      </c>
      <c r="C467" s="1" t="n">
        <v>46030</v>
      </c>
      <c r="D467" t="inlineStr">
        <is>
          <t>UPPSALA LÄN</t>
        </is>
      </c>
      <c r="E467" t="inlineStr">
        <is>
          <t>ÖSTHAMMAR</t>
        </is>
      </c>
      <c r="G467" t="n">
        <v>0.2</v>
      </c>
      <c r="H467" t="n">
        <v>0</v>
      </c>
      <c r="I467" t="n">
        <v>0</v>
      </c>
      <c r="J467" t="n">
        <v>0</v>
      </c>
      <c r="K467" t="n">
        <v>0</v>
      </c>
      <c r="L467" t="n">
        <v>0</v>
      </c>
      <c r="M467" t="n">
        <v>0</v>
      </c>
      <c r="N467" t="n">
        <v>0</v>
      </c>
      <c r="O467" t="n">
        <v>0</v>
      </c>
      <c r="P467" t="n">
        <v>0</v>
      </c>
      <c r="Q467" t="n">
        <v>0</v>
      </c>
      <c r="R467" s="2" t="inlineStr"/>
    </row>
    <row r="468" ht="15" customHeight="1">
      <c r="A468" t="inlineStr">
        <is>
          <t>A 17646-2025</t>
        </is>
      </c>
      <c r="B468" s="1" t="n">
        <v>45758.32872685185</v>
      </c>
      <c r="C468" s="1" t="n">
        <v>46030</v>
      </c>
      <c r="D468" t="inlineStr">
        <is>
          <t>UPPSALA LÄN</t>
        </is>
      </c>
      <c r="E468" t="inlineStr">
        <is>
          <t>ÖSTHAMMAR</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17648-2025</t>
        </is>
      </c>
      <c r="B469" s="1" t="n">
        <v>45758.33064814815</v>
      </c>
      <c r="C469" s="1" t="n">
        <v>46030</v>
      </c>
      <c r="D469" t="inlineStr">
        <is>
          <t>UPPSALA LÄN</t>
        </is>
      </c>
      <c r="E469" t="inlineStr">
        <is>
          <t>ÖSTHAMMAR</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56903-2023</t>
        </is>
      </c>
      <c r="B470" s="1" t="n">
        <v>45244.56943287037</v>
      </c>
      <c r="C470" s="1" t="n">
        <v>46030</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51156-2025</t>
        </is>
      </c>
      <c r="B471" s="1" t="n">
        <v>45947.57833333333</v>
      </c>
      <c r="C471" s="1" t="n">
        <v>46030</v>
      </c>
      <c r="D471" t="inlineStr">
        <is>
          <t>UPPSALA LÄN</t>
        </is>
      </c>
      <c r="E471" t="inlineStr">
        <is>
          <t>ÖSTHAMMAR</t>
        </is>
      </c>
      <c r="F471" t="inlineStr">
        <is>
          <t>Allmännings- och besparingsskogar</t>
        </is>
      </c>
      <c r="G471" t="n">
        <v>2.8</v>
      </c>
      <c r="H471" t="n">
        <v>0</v>
      </c>
      <c r="I471" t="n">
        <v>0</v>
      </c>
      <c r="J471" t="n">
        <v>0</v>
      </c>
      <c r="K471" t="n">
        <v>0</v>
      </c>
      <c r="L471" t="n">
        <v>0</v>
      </c>
      <c r="M471" t="n">
        <v>0</v>
      </c>
      <c r="N471" t="n">
        <v>0</v>
      </c>
      <c r="O471" t="n">
        <v>0</v>
      </c>
      <c r="P471" t="n">
        <v>0</v>
      </c>
      <c r="Q471" t="n">
        <v>0</v>
      </c>
      <c r="R471" s="2" t="inlineStr"/>
    </row>
    <row r="472" ht="15" customHeight="1">
      <c r="A472" t="inlineStr">
        <is>
          <t>A 28420-2023</t>
        </is>
      </c>
      <c r="B472" s="1" t="n">
        <v>45102.33054398148</v>
      </c>
      <c r="C472" s="1" t="n">
        <v>46030</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28432-2023</t>
        </is>
      </c>
      <c r="B473" s="1" t="n">
        <v>45102.59896990741</v>
      </c>
      <c r="C473" s="1" t="n">
        <v>46030</v>
      </c>
      <c r="D473" t="inlineStr">
        <is>
          <t>UPPSALA LÄN</t>
        </is>
      </c>
      <c r="E473" t="inlineStr">
        <is>
          <t>ÖSTHAMMAR</t>
        </is>
      </c>
      <c r="F473" t="inlineStr">
        <is>
          <t>Bergvik skog öst AB</t>
        </is>
      </c>
      <c r="G473" t="n">
        <v>3.9</v>
      </c>
      <c r="H473" t="n">
        <v>0</v>
      </c>
      <c r="I473" t="n">
        <v>0</v>
      </c>
      <c r="J473" t="n">
        <v>0</v>
      </c>
      <c r="K473" t="n">
        <v>0</v>
      </c>
      <c r="L473" t="n">
        <v>0</v>
      </c>
      <c r="M473" t="n">
        <v>0</v>
      </c>
      <c r="N473" t="n">
        <v>0</v>
      </c>
      <c r="O473" t="n">
        <v>0</v>
      </c>
      <c r="P473" t="n">
        <v>0</v>
      </c>
      <c r="Q473" t="n">
        <v>0</v>
      </c>
      <c r="R473" s="2" t="inlineStr"/>
    </row>
    <row r="474" ht="15" customHeight="1">
      <c r="A474" t="inlineStr">
        <is>
          <t>A 56969-2022</t>
        </is>
      </c>
      <c r="B474" s="1" t="n">
        <v>44894.68043981482</v>
      </c>
      <c r="C474" s="1" t="n">
        <v>46030</v>
      </c>
      <c r="D474" t="inlineStr">
        <is>
          <t>UPPSALA LÄN</t>
        </is>
      </c>
      <c r="E474" t="inlineStr">
        <is>
          <t>ÖSTHAMMAR</t>
        </is>
      </c>
      <c r="G474" t="n">
        <v>5.5</v>
      </c>
      <c r="H474" t="n">
        <v>0</v>
      </c>
      <c r="I474" t="n">
        <v>0</v>
      </c>
      <c r="J474" t="n">
        <v>0</v>
      </c>
      <c r="K474" t="n">
        <v>0</v>
      </c>
      <c r="L474" t="n">
        <v>0</v>
      </c>
      <c r="M474" t="n">
        <v>0</v>
      </c>
      <c r="N474" t="n">
        <v>0</v>
      </c>
      <c r="O474" t="n">
        <v>0</v>
      </c>
      <c r="P474" t="n">
        <v>0</v>
      </c>
      <c r="Q474" t="n">
        <v>0</v>
      </c>
      <c r="R474" s="2" t="inlineStr"/>
    </row>
    <row r="475" ht="15" customHeight="1">
      <c r="A475" t="inlineStr">
        <is>
          <t>A 36092-2025</t>
        </is>
      </c>
      <c r="B475" s="1" t="n">
        <v>45866.48244212963</v>
      </c>
      <c r="C475" s="1" t="n">
        <v>46030</v>
      </c>
      <c r="D475" t="inlineStr">
        <is>
          <t>UPPSALA LÄN</t>
        </is>
      </c>
      <c r="E475" t="inlineStr">
        <is>
          <t>ÖSTHAMMAR</t>
        </is>
      </c>
      <c r="G475" t="n">
        <v>1.2</v>
      </c>
      <c r="H475" t="n">
        <v>0</v>
      </c>
      <c r="I475" t="n">
        <v>0</v>
      </c>
      <c r="J475" t="n">
        <v>0</v>
      </c>
      <c r="K475" t="n">
        <v>0</v>
      </c>
      <c r="L475" t="n">
        <v>0</v>
      </c>
      <c r="M475" t="n">
        <v>0</v>
      </c>
      <c r="N475" t="n">
        <v>0</v>
      </c>
      <c r="O475" t="n">
        <v>0</v>
      </c>
      <c r="P475" t="n">
        <v>0</v>
      </c>
      <c r="Q475" t="n">
        <v>0</v>
      </c>
      <c r="R475" s="2" t="inlineStr"/>
    </row>
    <row r="476" ht="15" customHeight="1">
      <c r="A476" t="inlineStr">
        <is>
          <t>A 17929-2025</t>
        </is>
      </c>
      <c r="B476" s="1" t="n">
        <v>45759.56462962963</v>
      </c>
      <c r="C476" s="1" t="n">
        <v>46030</v>
      </c>
      <c r="D476" t="inlineStr">
        <is>
          <t>UPPSALA LÄN</t>
        </is>
      </c>
      <c r="E476" t="inlineStr">
        <is>
          <t>ÖSTHAMMAR</t>
        </is>
      </c>
      <c r="G476" t="n">
        <v>3.4</v>
      </c>
      <c r="H476" t="n">
        <v>0</v>
      </c>
      <c r="I476" t="n">
        <v>0</v>
      </c>
      <c r="J476" t="n">
        <v>0</v>
      </c>
      <c r="K476" t="n">
        <v>0</v>
      </c>
      <c r="L476" t="n">
        <v>0</v>
      </c>
      <c r="M476" t="n">
        <v>0</v>
      </c>
      <c r="N476" t="n">
        <v>0</v>
      </c>
      <c r="O476" t="n">
        <v>0</v>
      </c>
      <c r="P476" t="n">
        <v>0</v>
      </c>
      <c r="Q476" t="n">
        <v>0</v>
      </c>
      <c r="R476" s="2" t="inlineStr"/>
    </row>
    <row r="477" ht="15" customHeight="1">
      <c r="A477" t="inlineStr">
        <is>
          <t>A 60584-2021</t>
        </is>
      </c>
      <c r="B477" s="1" t="n">
        <v>44496</v>
      </c>
      <c r="C477" s="1" t="n">
        <v>46030</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360-2026</t>
        </is>
      </c>
      <c r="B478" s="1" t="n">
        <v>46027.66442129629</v>
      </c>
      <c r="C478" s="1" t="n">
        <v>46030</v>
      </c>
      <c r="D478" t="inlineStr">
        <is>
          <t>UPPSALA LÄN</t>
        </is>
      </c>
      <c r="E478" t="inlineStr">
        <is>
          <t>ÖSTHAMMAR</t>
        </is>
      </c>
      <c r="F478" t="inlineStr">
        <is>
          <t>Bergvik skog öst AB</t>
        </is>
      </c>
      <c r="G478" t="n">
        <v>7.9</v>
      </c>
      <c r="H478" t="n">
        <v>0</v>
      </c>
      <c r="I478" t="n">
        <v>0</v>
      </c>
      <c r="J478" t="n">
        <v>0</v>
      </c>
      <c r="K478" t="n">
        <v>0</v>
      </c>
      <c r="L478" t="n">
        <v>0</v>
      </c>
      <c r="M478" t="n">
        <v>0</v>
      </c>
      <c r="N478" t="n">
        <v>0</v>
      </c>
      <c r="O478" t="n">
        <v>0</v>
      </c>
      <c r="P478" t="n">
        <v>0</v>
      </c>
      <c r="Q478" t="n">
        <v>0</v>
      </c>
      <c r="R478" s="2" t="inlineStr"/>
    </row>
    <row r="479" ht="15" customHeight="1">
      <c r="A479" t="inlineStr">
        <is>
          <t>A 44152-2024</t>
        </is>
      </c>
      <c r="B479" s="1" t="n">
        <v>45572</v>
      </c>
      <c r="C479" s="1" t="n">
        <v>46030</v>
      </c>
      <c r="D479" t="inlineStr">
        <is>
          <t>UPPSALA LÄN</t>
        </is>
      </c>
      <c r="E479" t="inlineStr">
        <is>
          <t>ÖSTHAMMAR</t>
        </is>
      </c>
      <c r="G479" t="n">
        <v>1.6</v>
      </c>
      <c r="H479" t="n">
        <v>0</v>
      </c>
      <c r="I479" t="n">
        <v>0</v>
      </c>
      <c r="J479" t="n">
        <v>0</v>
      </c>
      <c r="K479" t="n">
        <v>0</v>
      </c>
      <c r="L479" t="n">
        <v>0</v>
      </c>
      <c r="M479" t="n">
        <v>0</v>
      </c>
      <c r="N479" t="n">
        <v>0</v>
      </c>
      <c r="O479" t="n">
        <v>0</v>
      </c>
      <c r="P479" t="n">
        <v>0</v>
      </c>
      <c r="Q479" t="n">
        <v>0</v>
      </c>
      <c r="R479" s="2" t="inlineStr"/>
    </row>
    <row r="480" ht="15" customHeight="1">
      <c r="A480" t="inlineStr">
        <is>
          <t>A 48856-2024</t>
        </is>
      </c>
      <c r="B480" s="1" t="n">
        <v>45593</v>
      </c>
      <c r="C480" s="1" t="n">
        <v>46030</v>
      </c>
      <c r="D480" t="inlineStr">
        <is>
          <t>UPPSALA LÄN</t>
        </is>
      </c>
      <c r="E480" t="inlineStr">
        <is>
          <t>ÖSTHAMMAR</t>
        </is>
      </c>
      <c r="G480" t="n">
        <v>1.5</v>
      </c>
      <c r="H480" t="n">
        <v>0</v>
      </c>
      <c r="I480" t="n">
        <v>0</v>
      </c>
      <c r="J480" t="n">
        <v>0</v>
      </c>
      <c r="K480" t="n">
        <v>0</v>
      </c>
      <c r="L480" t="n">
        <v>0</v>
      </c>
      <c r="M480" t="n">
        <v>0</v>
      </c>
      <c r="N480" t="n">
        <v>0</v>
      </c>
      <c r="O480" t="n">
        <v>0</v>
      </c>
      <c r="P480" t="n">
        <v>0</v>
      </c>
      <c r="Q480" t="n">
        <v>0</v>
      </c>
      <c r="R480" s="2" t="inlineStr"/>
    </row>
    <row r="481" ht="15" customHeight="1">
      <c r="A481" t="inlineStr">
        <is>
          <t>A 36451-2025</t>
        </is>
      </c>
      <c r="B481" s="1" t="n">
        <v>45869.4290625</v>
      </c>
      <c r="C481" s="1" t="n">
        <v>46030</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51379-2025</t>
        </is>
      </c>
      <c r="B482" s="1" t="n">
        <v>45950.45677083333</v>
      </c>
      <c r="C482" s="1" t="n">
        <v>46030</v>
      </c>
      <c r="D482" t="inlineStr">
        <is>
          <t>UPPSALA LÄN</t>
        </is>
      </c>
      <c r="E482" t="inlineStr">
        <is>
          <t>ÖSTHAMMAR</t>
        </is>
      </c>
      <c r="G482" t="n">
        <v>2.1</v>
      </c>
      <c r="H482" t="n">
        <v>0</v>
      </c>
      <c r="I482" t="n">
        <v>0</v>
      </c>
      <c r="J482" t="n">
        <v>0</v>
      </c>
      <c r="K482" t="n">
        <v>0</v>
      </c>
      <c r="L482" t="n">
        <v>0</v>
      </c>
      <c r="M482" t="n">
        <v>0</v>
      </c>
      <c r="N482" t="n">
        <v>0</v>
      </c>
      <c r="O482" t="n">
        <v>0</v>
      </c>
      <c r="P482" t="n">
        <v>0</v>
      </c>
      <c r="Q482" t="n">
        <v>0</v>
      </c>
      <c r="R482" s="2" t="inlineStr"/>
    </row>
    <row r="483" ht="15" customHeight="1">
      <c r="A483" t="inlineStr">
        <is>
          <t>A 51255-2025</t>
        </is>
      </c>
      <c r="B483" s="1" t="n">
        <v>45949.00917824074</v>
      </c>
      <c r="C483" s="1" t="n">
        <v>46030</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47390-2023</t>
        </is>
      </c>
      <c r="B484" s="1" t="n">
        <v>45202</v>
      </c>
      <c r="C484" s="1" t="n">
        <v>46030</v>
      </c>
      <c r="D484" t="inlineStr">
        <is>
          <t>UPPSALA LÄN</t>
        </is>
      </c>
      <c r="E484" t="inlineStr">
        <is>
          <t>ÖSTHAMMAR</t>
        </is>
      </c>
      <c r="G484" t="n">
        <v>3.7</v>
      </c>
      <c r="H484" t="n">
        <v>0</v>
      </c>
      <c r="I484" t="n">
        <v>0</v>
      </c>
      <c r="J484" t="n">
        <v>0</v>
      </c>
      <c r="K484" t="n">
        <v>0</v>
      </c>
      <c r="L484" t="n">
        <v>0</v>
      </c>
      <c r="M484" t="n">
        <v>0</v>
      </c>
      <c r="N484" t="n">
        <v>0</v>
      </c>
      <c r="O484" t="n">
        <v>0</v>
      </c>
      <c r="P484" t="n">
        <v>0</v>
      </c>
      <c r="Q484" t="n">
        <v>0</v>
      </c>
      <c r="R484" s="2" t="inlineStr"/>
    </row>
    <row r="485" ht="15" customHeight="1">
      <c r="A485" t="inlineStr">
        <is>
          <t>A 51708-2025</t>
        </is>
      </c>
      <c r="B485" s="1" t="n">
        <v>45951.56679398148</v>
      </c>
      <c r="C485" s="1" t="n">
        <v>46030</v>
      </c>
      <c r="D485" t="inlineStr">
        <is>
          <t>UPPSALA LÄN</t>
        </is>
      </c>
      <c r="E485" t="inlineStr">
        <is>
          <t>ÖSTHAMMAR</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51266-2025</t>
        </is>
      </c>
      <c r="B486" s="1" t="n">
        <v>45949.71568287037</v>
      </c>
      <c r="C486" s="1" t="n">
        <v>46030</v>
      </c>
      <c r="D486" t="inlineStr">
        <is>
          <t>UPPSALA LÄN</t>
        </is>
      </c>
      <c r="E486" t="inlineStr">
        <is>
          <t>ÖSTHAMMAR</t>
        </is>
      </c>
      <c r="F486" t="inlineStr">
        <is>
          <t>Bergvik skog öst AB</t>
        </is>
      </c>
      <c r="G486" t="n">
        <v>4.7</v>
      </c>
      <c r="H486" t="n">
        <v>0</v>
      </c>
      <c r="I486" t="n">
        <v>0</v>
      </c>
      <c r="J486" t="n">
        <v>0</v>
      </c>
      <c r="K486" t="n">
        <v>0</v>
      </c>
      <c r="L486" t="n">
        <v>0</v>
      </c>
      <c r="M486" t="n">
        <v>0</v>
      </c>
      <c r="N486" t="n">
        <v>0</v>
      </c>
      <c r="O486" t="n">
        <v>0</v>
      </c>
      <c r="P486" t="n">
        <v>0</v>
      </c>
      <c r="Q486" t="n">
        <v>0</v>
      </c>
      <c r="R486" s="2" t="inlineStr"/>
    </row>
    <row r="487" ht="15" customHeight="1">
      <c r="A487" t="inlineStr">
        <is>
          <t>A 59745-2025</t>
        </is>
      </c>
      <c r="B487" s="1" t="n">
        <v>45992.57708333333</v>
      </c>
      <c r="C487" s="1" t="n">
        <v>46030</v>
      </c>
      <c r="D487" t="inlineStr">
        <is>
          <t>UPPSALA LÄN</t>
        </is>
      </c>
      <c r="E487" t="inlineStr">
        <is>
          <t>ÖSTHAMMAR</t>
        </is>
      </c>
      <c r="F487" t="inlineStr">
        <is>
          <t>Bergvik skog öst AB</t>
        </is>
      </c>
      <c r="G487" t="n">
        <v>3.3</v>
      </c>
      <c r="H487" t="n">
        <v>0</v>
      </c>
      <c r="I487" t="n">
        <v>0</v>
      </c>
      <c r="J487" t="n">
        <v>0</v>
      </c>
      <c r="K487" t="n">
        <v>0</v>
      </c>
      <c r="L487" t="n">
        <v>0</v>
      </c>
      <c r="M487" t="n">
        <v>0</v>
      </c>
      <c r="N487" t="n">
        <v>0</v>
      </c>
      <c r="O487" t="n">
        <v>0</v>
      </c>
      <c r="P487" t="n">
        <v>0</v>
      </c>
      <c r="Q487" t="n">
        <v>0</v>
      </c>
      <c r="R487" s="2" t="inlineStr"/>
    </row>
    <row r="488" ht="15" customHeight="1">
      <c r="A488" t="inlineStr">
        <is>
          <t>A 5877-2023</t>
        </is>
      </c>
      <c r="B488" s="1" t="n">
        <v>44963.62001157407</v>
      </c>
      <c r="C488" s="1" t="n">
        <v>46030</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36643-2025</t>
        </is>
      </c>
      <c r="B489" s="1" t="n">
        <v>45872.47782407407</v>
      </c>
      <c r="C489" s="1" t="n">
        <v>46030</v>
      </c>
      <c r="D489" t="inlineStr">
        <is>
          <t>UPPSALA LÄN</t>
        </is>
      </c>
      <c r="E489" t="inlineStr">
        <is>
          <t>ÖSTHAMMAR</t>
        </is>
      </c>
      <c r="F489" t="inlineStr">
        <is>
          <t>Bergvik skog öst AB</t>
        </is>
      </c>
      <c r="G489" t="n">
        <v>15.1</v>
      </c>
      <c r="H489" t="n">
        <v>0</v>
      </c>
      <c r="I489" t="n">
        <v>0</v>
      </c>
      <c r="J489" t="n">
        <v>0</v>
      </c>
      <c r="K489" t="n">
        <v>0</v>
      </c>
      <c r="L489" t="n">
        <v>0</v>
      </c>
      <c r="M489" t="n">
        <v>0</v>
      </c>
      <c r="N489" t="n">
        <v>0</v>
      </c>
      <c r="O489" t="n">
        <v>0</v>
      </c>
      <c r="P489" t="n">
        <v>0</v>
      </c>
      <c r="Q489" t="n">
        <v>0</v>
      </c>
      <c r="R489" s="2" t="inlineStr"/>
    </row>
    <row r="490" ht="15" customHeight="1">
      <c r="A490" t="inlineStr">
        <is>
          <t>A 52389-2022</t>
        </is>
      </c>
      <c r="B490" s="1" t="n">
        <v>44874.38325231482</v>
      </c>
      <c r="C490" s="1" t="n">
        <v>46030</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51254-2025</t>
        </is>
      </c>
      <c r="B491" s="1" t="n">
        <v>45948.99313657408</v>
      </c>
      <c r="C491" s="1" t="n">
        <v>46030</v>
      </c>
      <c r="D491" t="inlineStr">
        <is>
          <t>UPPSALA LÄN</t>
        </is>
      </c>
      <c r="E491" t="inlineStr">
        <is>
          <t>ÖSTHAMMAR</t>
        </is>
      </c>
      <c r="G491" t="n">
        <v>8.9</v>
      </c>
      <c r="H491" t="n">
        <v>0</v>
      </c>
      <c r="I491" t="n">
        <v>0</v>
      </c>
      <c r="J491" t="n">
        <v>0</v>
      </c>
      <c r="K491" t="n">
        <v>0</v>
      </c>
      <c r="L491" t="n">
        <v>0</v>
      </c>
      <c r="M491" t="n">
        <v>0</v>
      </c>
      <c r="N491" t="n">
        <v>0</v>
      </c>
      <c r="O491" t="n">
        <v>0</v>
      </c>
      <c r="P491" t="n">
        <v>0</v>
      </c>
      <c r="Q491" t="n">
        <v>0</v>
      </c>
      <c r="R491" s="2" t="inlineStr"/>
    </row>
    <row r="492" ht="15" customHeight="1">
      <c r="A492" t="inlineStr">
        <is>
          <t>A 25033-2021</t>
        </is>
      </c>
      <c r="B492" s="1" t="n">
        <v>44341.590625</v>
      </c>
      <c r="C492" s="1" t="n">
        <v>46030</v>
      </c>
      <c r="D492" t="inlineStr">
        <is>
          <t>UPPSALA LÄN</t>
        </is>
      </c>
      <c r="E492" t="inlineStr">
        <is>
          <t>ÖSTHAMMAR</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36645-2025</t>
        </is>
      </c>
      <c r="B493" s="1" t="n">
        <v>45872</v>
      </c>
      <c r="C493" s="1" t="n">
        <v>46030</v>
      </c>
      <c r="D493" t="inlineStr">
        <is>
          <t>UPPSALA LÄN</t>
        </is>
      </c>
      <c r="E493" t="inlineStr">
        <is>
          <t>ÖSTHAMMAR</t>
        </is>
      </c>
      <c r="F493" t="inlineStr">
        <is>
          <t>Bergvik skog öst AB</t>
        </is>
      </c>
      <c r="G493" t="n">
        <v>1.8</v>
      </c>
      <c r="H493" t="n">
        <v>0</v>
      </c>
      <c r="I493" t="n">
        <v>0</v>
      </c>
      <c r="J493" t="n">
        <v>0</v>
      </c>
      <c r="K493" t="n">
        <v>0</v>
      </c>
      <c r="L493" t="n">
        <v>0</v>
      </c>
      <c r="M493" t="n">
        <v>0</v>
      </c>
      <c r="N493" t="n">
        <v>0</v>
      </c>
      <c r="O493" t="n">
        <v>0</v>
      </c>
      <c r="P493" t="n">
        <v>0</v>
      </c>
      <c r="Q493" t="n">
        <v>0</v>
      </c>
      <c r="R493" s="2" t="inlineStr"/>
    </row>
    <row r="494" ht="15" customHeight="1">
      <c r="A494" t="inlineStr">
        <is>
          <t>A 36644-2025</t>
        </is>
      </c>
      <c r="B494" s="1" t="n">
        <v>45872.48738425926</v>
      </c>
      <c r="C494" s="1" t="n">
        <v>46030</v>
      </c>
      <c r="D494" t="inlineStr">
        <is>
          <t>UPPSALA LÄN</t>
        </is>
      </c>
      <c r="E494" t="inlineStr">
        <is>
          <t>ÖSTHAMMAR</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59743-2025</t>
        </is>
      </c>
      <c r="B495" s="1" t="n">
        <v>45992.57668981481</v>
      </c>
      <c r="C495" s="1" t="n">
        <v>46030</v>
      </c>
      <c r="D495" t="inlineStr">
        <is>
          <t>UPPSALA LÄN</t>
        </is>
      </c>
      <c r="E495" t="inlineStr">
        <is>
          <t>ÖSTHAMMAR</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59708-2025</t>
        </is>
      </c>
      <c r="B496" s="1" t="n">
        <v>45992.50802083333</v>
      </c>
      <c r="C496" s="1" t="n">
        <v>46030</v>
      </c>
      <c r="D496" t="inlineStr">
        <is>
          <t>UPPSALA LÄN</t>
        </is>
      </c>
      <c r="E496" t="inlineStr">
        <is>
          <t>ÖSTHAMMAR</t>
        </is>
      </c>
      <c r="F496" t="inlineStr">
        <is>
          <t>Bergvik skog öst AB</t>
        </is>
      </c>
      <c r="G496" t="n">
        <v>3.2</v>
      </c>
      <c r="H496" t="n">
        <v>0</v>
      </c>
      <c r="I496" t="n">
        <v>0</v>
      </c>
      <c r="J496" t="n">
        <v>0</v>
      </c>
      <c r="K496" t="n">
        <v>0</v>
      </c>
      <c r="L496" t="n">
        <v>0</v>
      </c>
      <c r="M496" t="n">
        <v>0</v>
      </c>
      <c r="N496" t="n">
        <v>0</v>
      </c>
      <c r="O496" t="n">
        <v>0</v>
      </c>
      <c r="P496" t="n">
        <v>0</v>
      </c>
      <c r="Q496" t="n">
        <v>0</v>
      </c>
      <c r="R496" s="2" t="inlineStr"/>
    </row>
    <row r="497" ht="15" customHeight="1">
      <c r="A497" t="inlineStr">
        <is>
          <t>A 36646-2025</t>
        </is>
      </c>
      <c r="B497" s="1" t="n">
        <v>45872</v>
      </c>
      <c r="C497" s="1" t="n">
        <v>46030</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57453-2022</t>
        </is>
      </c>
      <c r="B498" s="1" t="n">
        <v>44896.56266203704</v>
      </c>
      <c r="C498" s="1" t="n">
        <v>46030</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57462-2022</t>
        </is>
      </c>
      <c r="B499" s="1" t="n">
        <v>44896.57527777777</v>
      </c>
      <c r="C499" s="1" t="n">
        <v>46030</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59706-2025</t>
        </is>
      </c>
      <c r="B500" s="1" t="n">
        <v>45992.50333333333</v>
      </c>
      <c r="C500" s="1" t="n">
        <v>46030</v>
      </c>
      <c r="D500" t="inlineStr">
        <is>
          <t>UPPSALA LÄN</t>
        </is>
      </c>
      <c r="E500" t="inlineStr">
        <is>
          <t>ÖSTHAMMAR</t>
        </is>
      </c>
      <c r="F500" t="inlineStr">
        <is>
          <t>Bergvik skog öst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51265-2025</t>
        </is>
      </c>
      <c r="B501" s="1" t="n">
        <v>45949.70971064815</v>
      </c>
      <c r="C501" s="1" t="n">
        <v>46030</v>
      </c>
      <c r="D501" t="inlineStr">
        <is>
          <t>UPPSALA LÄN</t>
        </is>
      </c>
      <c r="E501" t="inlineStr">
        <is>
          <t>ÖSTHAMMAR</t>
        </is>
      </c>
      <c r="F501" t="inlineStr">
        <is>
          <t>Bergvik skog öst AB</t>
        </is>
      </c>
      <c r="G501" t="n">
        <v>0.3</v>
      </c>
      <c r="H501" t="n">
        <v>0</v>
      </c>
      <c r="I501" t="n">
        <v>0</v>
      </c>
      <c r="J501" t="n">
        <v>0</v>
      </c>
      <c r="K501" t="n">
        <v>0</v>
      </c>
      <c r="L501" t="n">
        <v>0</v>
      </c>
      <c r="M501" t="n">
        <v>0</v>
      </c>
      <c r="N501" t="n">
        <v>0</v>
      </c>
      <c r="O501" t="n">
        <v>0</v>
      </c>
      <c r="P501" t="n">
        <v>0</v>
      </c>
      <c r="Q501" t="n">
        <v>0</v>
      </c>
      <c r="R501" s="2" t="inlineStr"/>
    </row>
    <row r="502" ht="15" customHeight="1">
      <c r="A502" t="inlineStr">
        <is>
          <t>A 6039-2025</t>
        </is>
      </c>
      <c r="B502" s="1" t="n">
        <v>45695</v>
      </c>
      <c r="C502" s="1" t="n">
        <v>46030</v>
      </c>
      <c r="D502" t="inlineStr">
        <is>
          <t>UPPSALA LÄN</t>
        </is>
      </c>
      <c r="E502" t="inlineStr">
        <is>
          <t>ÖSTHAMMAR</t>
        </is>
      </c>
      <c r="G502" t="n">
        <v>2.3</v>
      </c>
      <c r="H502" t="n">
        <v>0</v>
      </c>
      <c r="I502" t="n">
        <v>0</v>
      </c>
      <c r="J502" t="n">
        <v>0</v>
      </c>
      <c r="K502" t="n">
        <v>0</v>
      </c>
      <c r="L502" t="n">
        <v>0</v>
      </c>
      <c r="M502" t="n">
        <v>0</v>
      </c>
      <c r="N502" t="n">
        <v>0</v>
      </c>
      <c r="O502" t="n">
        <v>0</v>
      </c>
      <c r="P502" t="n">
        <v>0</v>
      </c>
      <c r="Q502" t="n">
        <v>0</v>
      </c>
      <c r="R502" s="2" t="inlineStr"/>
    </row>
    <row r="503" ht="15" customHeight="1">
      <c r="A503" t="inlineStr">
        <is>
          <t>A 52332-2025</t>
        </is>
      </c>
      <c r="B503" s="1" t="n">
        <v>45953.67853009259</v>
      </c>
      <c r="C503" s="1" t="n">
        <v>46030</v>
      </c>
      <c r="D503" t="inlineStr">
        <is>
          <t>UPPSALA LÄN</t>
        </is>
      </c>
      <c r="E503" t="inlineStr">
        <is>
          <t>ÖSTHAMMAR</t>
        </is>
      </c>
      <c r="F503" t="inlineStr">
        <is>
          <t>Bergvik skog öst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42213-2025</t>
        </is>
      </c>
      <c r="B504" s="1" t="n">
        <v>45904.50652777778</v>
      </c>
      <c r="C504" s="1" t="n">
        <v>46030</v>
      </c>
      <c r="D504" t="inlineStr">
        <is>
          <t>UPPSALA LÄN</t>
        </is>
      </c>
      <c r="E504" t="inlineStr">
        <is>
          <t>ÖSTHAMMAR</t>
        </is>
      </c>
      <c r="G504" t="n">
        <v>0.8</v>
      </c>
      <c r="H504" t="n">
        <v>0</v>
      </c>
      <c r="I504" t="n">
        <v>0</v>
      </c>
      <c r="J504" t="n">
        <v>0</v>
      </c>
      <c r="K504" t="n">
        <v>0</v>
      </c>
      <c r="L504" t="n">
        <v>0</v>
      </c>
      <c r="M504" t="n">
        <v>0</v>
      </c>
      <c r="N504" t="n">
        <v>0</v>
      </c>
      <c r="O504" t="n">
        <v>0</v>
      </c>
      <c r="P504" t="n">
        <v>0</v>
      </c>
      <c r="Q504" t="n">
        <v>0</v>
      </c>
      <c r="R504" s="2" t="inlineStr"/>
    </row>
    <row r="505" ht="15" customHeight="1">
      <c r="A505" t="inlineStr">
        <is>
          <t>A 51364-2021</t>
        </is>
      </c>
      <c r="B505" s="1" t="n">
        <v>44461</v>
      </c>
      <c r="C505" s="1" t="n">
        <v>46030</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653-2026</t>
        </is>
      </c>
      <c r="B506" s="1" t="n">
        <v>46029.57829861111</v>
      </c>
      <c r="C506" s="1" t="n">
        <v>46030</v>
      </c>
      <c r="D506" t="inlineStr">
        <is>
          <t>UPPSALA LÄN</t>
        </is>
      </c>
      <c r="E506" t="inlineStr">
        <is>
          <t>ÖSTHAMMAR</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37656-2025</t>
        </is>
      </c>
      <c r="B507" s="1" t="n">
        <v>45880</v>
      </c>
      <c r="C507" s="1" t="n">
        <v>46030</v>
      </c>
      <c r="D507" t="inlineStr">
        <is>
          <t>UPPSALA LÄN</t>
        </is>
      </c>
      <c r="E507" t="inlineStr">
        <is>
          <t>ÖSTHAMMAR</t>
        </is>
      </c>
      <c r="G507" t="n">
        <v>4.3</v>
      </c>
      <c r="H507" t="n">
        <v>0</v>
      </c>
      <c r="I507" t="n">
        <v>0</v>
      </c>
      <c r="J507" t="n">
        <v>0</v>
      </c>
      <c r="K507" t="n">
        <v>0</v>
      </c>
      <c r="L507" t="n">
        <v>0</v>
      </c>
      <c r="M507" t="n">
        <v>0</v>
      </c>
      <c r="N507" t="n">
        <v>0</v>
      </c>
      <c r="O507" t="n">
        <v>0</v>
      </c>
      <c r="P507" t="n">
        <v>0</v>
      </c>
      <c r="Q507" t="n">
        <v>0</v>
      </c>
      <c r="R507" s="2" t="inlineStr"/>
    </row>
    <row r="508" ht="15" customHeight="1">
      <c r="A508" t="inlineStr">
        <is>
          <t>A 43915-2023</t>
        </is>
      </c>
      <c r="B508" s="1" t="n">
        <v>45187.71274305556</v>
      </c>
      <c r="C508" s="1" t="n">
        <v>46030</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37764-2025</t>
        </is>
      </c>
      <c r="B509" s="1" t="n">
        <v>45880.70917824074</v>
      </c>
      <c r="C509" s="1" t="n">
        <v>46030</v>
      </c>
      <c r="D509" t="inlineStr">
        <is>
          <t>UPPSALA LÄN</t>
        </is>
      </c>
      <c r="E509" t="inlineStr">
        <is>
          <t>ÖSTHAMMAR</t>
        </is>
      </c>
      <c r="G509" t="n">
        <v>4.6</v>
      </c>
      <c r="H509" t="n">
        <v>0</v>
      </c>
      <c r="I509" t="n">
        <v>0</v>
      </c>
      <c r="J509" t="n">
        <v>0</v>
      </c>
      <c r="K509" t="n">
        <v>0</v>
      </c>
      <c r="L509" t="n">
        <v>0</v>
      </c>
      <c r="M509" t="n">
        <v>0</v>
      </c>
      <c r="N509" t="n">
        <v>0</v>
      </c>
      <c r="O509" t="n">
        <v>0</v>
      </c>
      <c r="P509" t="n">
        <v>0</v>
      </c>
      <c r="Q509" t="n">
        <v>0</v>
      </c>
      <c r="R509" s="2" t="inlineStr"/>
    </row>
    <row r="510" ht="15" customHeight="1">
      <c r="A510" t="inlineStr">
        <is>
          <t>A 19501-2025</t>
        </is>
      </c>
      <c r="B510" s="1" t="n">
        <v>45770.4015625</v>
      </c>
      <c r="C510" s="1" t="n">
        <v>46030</v>
      </c>
      <c r="D510" t="inlineStr">
        <is>
          <t>UPPSALA LÄN</t>
        </is>
      </c>
      <c r="E510" t="inlineStr">
        <is>
          <t>ÖSTHAMMAR</t>
        </is>
      </c>
      <c r="F510" t="inlineStr">
        <is>
          <t>Övriga Aktiebolag</t>
        </is>
      </c>
      <c r="G510" t="n">
        <v>17.3</v>
      </c>
      <c r="H510" t="n">
        <v>0</v>
      </c>
      <c r="I510" t="n">
        <v>0</v>
      </c>
      <c r="J510" t="n">
        <v>0</v>
      </c>
      <c r="K510" t="n">
        <v>0</v>
      </c>
      <c r="L510" t="n">
        <v>0</v>
      </c>
      <c r="M510" t="n">
        <v>0</v>
      </c>
      <c r="N510" t="n">
        <v>0</v>
      </c>
      <c r="O510" t="n">
        <v>0</v>
      </c>
      <c r="P510" t="n">
        <v>0</v>
      </c>
      <c r="Q510" t="n">
        <v>0</v>
      </c>
      <c r="R510" s="2" t="inlineStr"/>
    </row>
    <row r="511" ht="15" customHeight="1">
      <c r="A511" t="inlineStr">
        <is>
          <t>A 37770-2025</t>
        </is>
      </c>
      <c r="B511" s="1" t="n">
        <v>45880.7505787037</v>
      </c>
      <c r="C511" s="1" t="n">
        <v>46030</v>
      </c>
      <c r="D511" t="inlineStr">
        <is>
          <t>UPPSALA LÄN</t>
        </is>
      </c>
      <c r="E511" t="inlineStr">
        <is>
          <t>ÖSTHAMMAR</t>
        </is>
      </c>
      <c r="G511" t="n">
        <v>2.9</v>
      </c>
      <c r="H511" t="n">
        <v>0</v>
      </c>
      <c r="I511" t="n">
        <v>0</v>
      </c>
      <c r="J511" t="n">
        <v>0</v>
      </c>
      <c r="K511" t="n">
        <v>0</v>
      </c>
      <c r="L511" t="n">
        <v>0</v>
      </c>
      <c r="M511" t="n">
        <v>0</v>
      </c>
      <c r="N511" t="n">
        <v>0</v>
      </c>
      <c r="O511" t="n">
        <v>0</v>
      </c>
      <c r="P511" t="n">
        <v>0</v>
      </c>
      <c r="Q511" t="n">
        <v>0</v>
      </c>
      <c r="R511" s="2" t="inlineStr"/>
    </row>
    <row r="512" ht="15" customHeight="1">
      <c r="A512" t="inlineStr">
        <is>
          <t>A 3119-2025</t>
        </is>
      </c>
      <c r="B512" s="1" t="n">
        <v>45678</v>
      </c>
      <c r="C512" s="1" t="n">
        <v>46030</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5189-2025</t>
        </is>
      </c>
      <c r="B513" s="1" t="n">
        <v>45691</v>
      </c>
      <c r="C513" s="1" t="n">
        <v>46030</v>
      </c>
      <c r="D513" t="inlineStr">
        <is>
          <t>UPPSALA LÄN</t>
        </is>
      </c>
      <c r="E513" t="inlineStr">
        <is>
          <t>ÖSTHAMMAR</t>
        </is>
      </c>
      <c r="F513" t="inlineStr">
        <is>
          <t>Bergvik skog öst AB</t>
        </is>
      </c>
      <c r="G513" t="n">
        <v>24.4</v>
      </c>
      <c r="H513" t="n">
        <v>0</v>
      </c>
      <c r="I513" t="n">
        <v>0</v>
      </c>
      <c r="J513" t="n">
        <v>0</v>
      </c>
      <c r="K513" t="n">
        <v>0</v>
      </c>
      <c r="L513" t="n">
        <v>0</v>
      </c>
      <c r="M513" t="n">
        <v>0</v>
      </c>
      <c r="N513" t="n">
        <v>0</v>
      </c>
      <c r="O513" t="n">
        <v>0</v>
      </c>
      <c r="P513" t="n">
        <v>0</v>
      </c>
      <c r="Q513" t="n">
        <v>0</v>
      </c>
      <c r="R513" s="2" t="inlineStr"/>
    </row>
    <row r="514" ht="15" customHeight="1">
      <c r="A514" t="inlineStr">
        <is>
          <t>A 60603-2025</t>
        </is>
      </c>
      <c r="B514" s="1" t="n">
        <v>45996.3543287037</v>
      </c>
      <c r="C514" s="1" t="n">
        <v>46030</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638-2026</t>
        </is>
      </c>
      <c r="B515" s="1" t="n">
        <v>46029.56026620371</v>
      </c>
      <c r="C515" s="1" t="n">
        <v>46030</v>
      </c>
      <c r="D515" t="inlineStr">
        <is>
          <t>UPPSALA LÄN</t>
        </is>
      </c>
      <c r="E515" t="inlineStr">
        <is>
          <t>ÖSTHAMMAR</t>
        </is>
      </c>
      <c r="F515" t="inlineStr">
        <is>
          <t>Bergvik skog öst AB</t>
        </is>
      </c>
      <c r="G515" t="n">
        <v>6.1</v>
      </c>
      <c r="H515" t="n">
        <v>0</v>
      </c>
      <c r="I515" t="n">
        <v>0</v>
      </c>
      <c r="J515" t="n">
        <v>0</v>
      </c>
      <c r="K515" t="n">
        <v>0</v>
      </c>
      <c r="L515" t="n">
        <v>0</v>
      </c>
      <c r="M515" t="n">
        <v>0</v>
      </c>
      <c r="N515" t="n">
        <v>0</v>
      </c>
      <c r="O515" t="n">
        <v>0</v>
      </c>
      <c r="P515" t="n">
        <v>0</v>
      </c>
      <c r="Q515" t="n">
        <v>0</v>
      </c>
      <c r="R515" s="2" t="inlineStr"/>
    </row>
    <row r="516" ht="15" customHeight="1">
      <c r="A516" t="inlineStr">
        <is>
          <t>A 28421-2023</t>
        </is>
      </c>
      <c r="B516" s="1" t="n">
        <v>45102</v>
      </c>
      <c r="C516" s="1" t="n">
        <v>46030</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17931-2025</t>
        </is>
      </c>
      <c r="B517" s="1" t="n">
        <v>45759.56894675926</v>
      </c>
      <c r="C517" s="1" t="n">
        <v>46030</v>
      </c>
      <c r="D517" t="inlineStr">
        <is>
          <t>UPPSALA LÄN</t>
        </is>
      </c>
      <c r="E517" t="inlineStr">
        <is>
          <t>ÖSTHAMMAR</t>
        </is>
      </c>
      <c r="G517" t="n">
        <v>2.1</v>
      </c>
      <c r="H517" t="n">
        <v>0</v>
      </c>
      <c r="I517" t="n">
        <v>0</v>
      </c>
      <c r="J517" t="n">
        <v>0</v>
      </c>
      <c r="K517" t="n">
        <v>0</v>
      </c>
      <c r="L517" t="n">
        <v>0</v>
      </c>
      <c r="M517" t="n">
        <v>0</v>
      </c>
      <c r="N517" t="n">
        <v>0</v>
      </c>
      <c r="O517" t="n">
        <v>0</v>
      </c>
      <c r="P517" t="n">
        <v>0</v>
      </c>
      <c r="Q517" t="n">
        <v>0</v>
      </c>
      <c r="R517" s="2" t="inlineStr"/>
    </row>
    <row r="518" ht="15" customHeight="1">
      <c r="A518" t="inlineStr">
        <is>
          <t>A 17938-2025</t>
        </is>
      </c>
      <c r="B518" s="1" t="n">
        <v>45760.55626157407</v>
      </c>
      <c r="C518" s="1" t="n">
        <v>46030</v>
      </c>
      <c r="D518" t="inlineStr">
        <is>
          <t>UPPSALA LÄN</t>
        </is>
      </c>
      <c r="E518" t="inlineStr">
        <is>
          <t>ÖSTHAMMAR</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7118-2023</t>
        </is>
      </c>
      <c r="B519" s="1" t="n">
        <v>44970.39591435185</v>
      </c>
      <c r="C519" s="1" t="n">
        <v>46030</v>
      </c>
      <c r="D519" t="inlineStr">
        <is>
          <t>UPPSALA LÄN</t>
        </is>
      </c>
      <c r="E519" t="inlineStr">
        <is>
          <t>ÖSTHAMMAR</t>
        </is>
      </c>
      <c r="G519" t="n">
        <v>2.1</v>
      </c>
      <c r="H519" t="n">
        <v>0</v>
      </c>
      <c r="I519" t="n">
        <v>0</v>
      </c>
      <c r="J519" t="n">
        <v>0</v>
      </c>
      <c r="K519" t="n">
        <v>0</v>
      </c>
      <c r="L519" t="n">
        <v>0</v>
      </c>
      <c r="M519" t="n">
        <v>0</v>
      </c>
      <c r="N519" t="n">
        <v>0</v>
      </c>
      <c r="O519" t="n">
        <v>0</v>
      </c>
      <c r="P519" t="n">
        <v>0</v>
      </c>
      <c r="Q519" t="n">
        <v>0</v>
      </c>
      <c r="R519" s="2" t="inlineStr"/>
    </row>
    <row r="520" ht="15" customHeight="1">
      <c r="A520" t="inlineStr">
        <is>
          <t>A 8763-2025</t>
        </is>
      </c>
      <c r="B520" s="1" t="n">
        <v>45712.57872685185</v>
      </c>
      <c r="C520" s="1" t="n">
        <v>46030</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60910-2025</t>
        </is>
      </c>
      <c r="B521" s="1" t="n">
        <v>45999.59837962963</v>
      </c>
      <c r="C521" s="1" t="n">
        <v>46030</v>
      </c>
      <c r="D521" t="inlineStr">
        <is>
          <t>UPPSALA LÄN</t>
        </is>
      </c>
      <c r="E521" t="inlineStr">
        <is>
          <t>ÖSTHAMMAR</t>
        </is>
      </c>
      <c r="G521" t="n">
        <v>3.5</v>
      </c>
      <c r="H521" t="n">
        <v>0</v>
      </c>
      <c r="I521" t="n">
        <v>0</v>
      </c>
      <c r="J521" t="n">
        <v>0</v>
      </c>
      <c r="K521" t="n">
        <v>0</v>
      </c>
      <c r="L521" t="n">
        <v>0</v>
      </c>
      <c r="M521" t="n">
        <v>0</v>
      </c>
      <c r="N521" t="n">
        <v>0</v>
      </c>
      <c r="O521" t="n">
        <v>0</v>
      </c>
      <c r="P521" t="n">
        <v>0</v>
      </c>
      <c r="Q521" t="n">
        <v>0</v>
      </c>
      <c r="R521" s="2" t="inlineStr"/>
    </row>
    <row r="522" ht="15" customHeight="1">
      <c r="A522" t="inlineStr">
        <is>
          <t>A 60738-2025</t>
        </is>
      </c>
      <c r="B522" s="1" t="n">
        <v>45996.83506944445</v>
      </c>
      <c r="C522" s="1" t="n">
        <v>46030</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54368-2023</t>
        </is>
      </c>
      <c r="B523" s="1" t="n">
        <v>45233.33221064815</v>
      </c>
      <c r="C523" s="1" t="n">
        <v>46030</v>
      </c>
      <c r="D523" t="inlineStr">
        <is>
          <t>UPPSALA LÄN</t>
        </is>
      </c>
      <c r="E523" t="inlineStr">
        <is>
          <t>ÖSTHAMMAR</t>
        </is>
      </c>
      <c r="F523" t="inlineStr">
        <is>
          <t>Bergvik skog öst AB</t>
        </is>
      </c>
      <c r="G523" t="n">
        <v>3</v>
      </c>
      <c r="H523" t="n">
        <v>0</v>
      </c>
      <c r="I523" t="n">
        <v>0</v>
      </c>
      <c r="J523" t="n">
        <v>0</v>
      </c>
      <c r="K523" t="n">
        <v>0</v>
      </c>
      <c r="L523" t="n">
        <v>0</v>
      </c>
      <c r="M523" t="n">
        <v>0</v>
      </c>
      <c r="N523" t="n">
        <v>0</v>
      </c>
      <c r="O523" t="n">
        <v>0</v>
      </c>
      <c r="P523" t="n">
        <v>0</v>
      </c>
      <c r="Q523" t="n">
        <v>0</v>
      </c>
      <c r="R523" s="2" t="inlineStr"/>
    </row>
    <row r="524" ht="15" customHeight="1">
      <c r="A524" t="inlineStr">
        <is>
          <t>A 32815-2024</t>
        </is>
      </c>
      <c r="B524" s="1" t="n">
        <v>45516.57682870371</v>
      </c>
      <c r="C524" s="1" t="n">
        <v>46030</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38886-2025</t>
        </is>
      </c>
      <c r="B525" s="1" t="n">
        <v>45887.58370370371</v>
      </c>
      <c r="C525" s="1" t="n">
        <v>46030</v>
      </c>
      <c r="D525" t="inlineStr">
        <is>
          <t>UPPSALA LÄN</t>
        </is>
      </c>
      <c r="E525" t="inlineStr">
        <is>
          <t>ÖSTHAMMAR</t>
        </is>
      </c>
      <c r="F525" t="inlineStr">
        <is>
          <t>Bergvik skog öst AB</t>
        </is>
      </c>
      <c r="G525" t="n">
        <v>4.7</v>
      </c>
      <c r="H525" t="n">
        <v>0</v>
      </c>
      <c r="I525" t="n">
        <v>0</v>
      </c>
      <c r="J525" t="n">
        <v>0</v>
      </c>
      <c r="K525" t="n">
        <v>0</v>
      </c>
      <c r="L525" t="n">
        <v>0</v>
      </c>
      <c r="M525" t="n">
        <v>0</v>
      </c>
      <c r="N525" t="n">
        <v>0</v>
      </c>
      <c r="O525" t="n">
        <v>0</v>
      </c>
      <c r="P525" t="n">
        <v>0</v>
      </c>
      <c r="Q525" t="n">
        <v>0</v>
      </c>
      <c r="R525" s="2" t="inlineStr"/>
    </row>
    <row r="526" ht="15" customHeight="1">
      <c r="A526" t="inlineStr">
        <is>
          <t>A 5429-2023</t>
        </is>
      </c>
      <c r="B526" s="1" t="n">
        <v>44959.83037037037</v>
      </c>
      <c r="C526" s="1" t="n">
        <v>46030</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11008-2023</t>
        </is>
      </c>
      <c r="B527" s="1" t="n">
        <v>44991</v>
      </c>
      <c r="C527" s="1" t="n">
        <v>46030</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5344-2025</t>
        </is>
      </c>
      <c r="B528" s="1" t="n">
        <v>45692</v>
      </c>
      <c r="C528" s="1" t="n">
        <v>46030</v>
      </c>
      <c r="D528" t="inlineStr">
        <is>
          <t>UPPSALA LÄN</t>
        </is>
      </c>
      <c r="E528" t="inlineStr">
        <is>
          <t>ÖSTHAMMAR</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60047-2021</t>
        </is>
      </c>
      <c r="B529" s="1" t="n">
        <v>44495</v>
      </c>
      <c r="C529" s="1" t="n">
        <v>46030</v>
      </c>
      <c r="D529" t="inlineStr">
        <is>
          <t>UPPSALA LÄN</t>
        </is>
      </c>
      <c r="E529" t="inlineStr">
        <is>
          <t>ÖSTHAMMAR</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8623-2025</t>
        </is>
      </c>
      <c r="B530" s="1" t="n">
        <v>45711.51902777778</v>
      </c>
      <c r="C530" s="1" t="n">
        <v>46030</v>
      </c>
      <c r="D530" t="inlineStr">
        <is>
          <t>UPPSALA LÄN</t>
        </is>
      </c>
      <c r="E530" t="inlineStr">
        <is>
          <t>ÖSTHAMMAR</t>
        </is>
      </c>
      <c r="F530" t="inlineStr">
        <is>
          <t>Bergvik skog väst AB</t>
        </is>
      </c>
      <c r="G530" t="n">
        <v>3.5</v>
      </c>
      <c r="H530" t="n">
        <v>0</v>
      </c>
      <c r="I530" t="n">
        <v>0</v>
      </c>
      <c r="J530" t="n">
        <v>0</v>
      </c>
      <c r="K530" t="n">
        <v>0</v>
      </c>
      <c r="L530" t="n">
        <v>0</v>
      </c>
      <c r="M530" t="n">
        <v>0</v>
      </c>
      <c r="N530" t="n">
        <v>0</v>
      </c>
      <c r="O530" t="n">
        <v>0</v>
      </c>
      <c r="P530" t="n">
        <v>0</v>
      </c>
      <c r="Q530" t="n">
        <v>0</v>
      </c>
      <c r="R530" s="2" t="inlineStr"/>
    </row>
    <row r="531" ht="15" customHeight="1">
      <c r="A531" t="inlineStr">
        <is>
          <t>A 8626-2025</t>
        </is>
      </c>
      <c r="B531" s="1" t="n">
        <v>45711.53565972222</v>
      </c>
      <c r="C531" s="1" t="n">
        <v>46030</v>
      </c>
      <c r="D531" t="inlineStr">
        <is>
          <t>UPPSALA LÄN</t>
        </is>
      </c>
      <c r="E531" t="inlineStr">
        <is>
          <t>ÖSTHAMMAR</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61143-2025</t>
        </is>
      </c>
      <c r="B532" s="1" t="n">
        <v>46000.53084490741</v>
      </c>
      <c r="C532" s="1" t="n">
        <v>46030</v>
      </c>
      <c r="D532" t="inlineStr">
        <is>
          <t>UPPSALA LÄN</t>
        </is>
      </c>
      <c r="E532" t="inlineStr">
        <is>
          <t>ÖSTHAMMAR</t>
        </is>
      </c>
      <c r="F532" t="inlineStr">
        <is>
          <t>Bergvik skog öst AB</t>
        </is>
      </c>
      <c r="G532" t="n">
        <v>3.3</v>
      </c>
      <c r="H532" t="n">
        <v>0</v>
      </c>
      <c r="I532" t="n">
        <v>0</v>
      </c>
      <c r="J532" t="n">
        <v>0</v>
      </c>
      <c r="K532" t="n">
        <v>0</v>
      </c>
      <c r="L532" t="n">
        <v>0</v>
      </c>
      <c r="M532" t="n">
        <v>0</v>
      </c>
      <c r="N532" t="n">
        <v>0</v>
      </c>
      <c r="O532" t="n">
        <v>0</v>
      </c>
      <c r="P532" t="n">
        <v>0</v>
      </c>
      <c r="Q532" t="n">
        <v>0</v>
      </c>
      <c r="R532" s="2" t="inlineStr"/>
    </row>
    <row r="533" ht="15" customHeight="1">
      <c r="A533" t="inlineStr">
        <is>
          <t>A 3514-2023</t>
        </is>
      </c>
      <c r="B533" s="1" t="n">
        <v>44950</v>
      </c>
      <c r="C533" s="1" t="n">
        <v>46030</v>
      </c>
      <c r="D533" t="inlineStr">
        <is>
          <t>UPPSALA LÄN</t>
        </is>
      </c>
      <c r="E533" t="inlineStr">
        <is>
          <t>ÖSTHAMMAR</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61400-2025</t>
        </is>
      </c>
      <c r="B534" s="1" t="n">
        <v>46001.47858796296</v>
      </c>
      <c r="C534" s="1" t="n">
        <v>46030</v>
      </c>
      <c r="D534" t="inlineStr">
        <is>
          <t>UPPSALA LÄN</t>
        </is>
      </c>
      <c r="E534" t="inlineStr">
        <is>
          <t>ÖSTHAMMAR</t>
        </is>
      </c>
      <c r="F534" t="inlineStr">
        <is>
          <t>Naturvårdsverket</t>
        </is>
      </c>
      <c r="G534" t="n">
        <v>10.9</v>
      </c>
      <c r="H534" t="n">
        <v>0</v>
      </c>
      <c r="I534" t="n">
        <v>0</v>
      </c>
      <c r="J534" t="n">
        <v>0</v>
      </c>
      <c r="K534" t="n">
        <v>0</v>
      </c>
      <c r="L534" t="n">
        <v>0</v>
      </c>
      <c r="M534" t="n">
        <v>0</v>
      </c>
      <c r="N534" t="n">
        <v>0</v>
      </c>
      <c r="O534" t="n">
        <v>0</v>
      </c>
      <c r="P534" t="n">
        <v>0</v>
      </c>
      <c r="Q534" t="n">
        <v>0</v>
      </c>
      <c r="R534" s="2" t="inlineStr"/>
    </row>
    <row r="535" ht="15" customHeight="1">
      <c r="A535" t="inlineStr">
        <is>
          <t>A 61838-2025</t>
        </is>
      </c>
      <c r="B535" s="1" t="n">
        <v>46003.35675925926</v>
      </c>
      <c r="C535" s="1" t="n">
        <v>46030</v>
      </c>
      <c r="D535" t="inlineStr">
        <is>
          <t>UPPSALA LÄN</t>
        </is>
      </c>
      <c r="E535" t="inlineStr">
        <is>
          <t>ÖSTHAMMAR</t>
        </is>
      </c>
      <c r="G535" t="n">
        <v>1.2</v>
      </c>
      <c r="H535" t="n">
        <v>0</v>
      </c>
      <c r="I535" t="n">
        <v>0</v>
      </c>
      <c r="J535" t="n">
        <v>0</v>
      </c>
      <c r="K535" t="n">
        <v>0</v>
      </c>
      <c r="L535" t="n">
        <v>0</v>
      </c>
      <c r="M535" t="n">
        <v>0</v>
      </c>
      <c r="N535" t="n">
        <v>0</v>
      </c>
      <c r="O535" t="n">
        <v>0</v>
      </c>
      <c r="P535" t="n">
        <v>0</v>
      </c>
      <c r="Q535" t="n">
        <v>0</v>
      </c>
      <c r="R535" s="2" t="inlineStr"/>
    </row>
    <row r="536" ht="15" customHeight="1">
      <c r="A536" t="inlineStr">
        <is>
          <t>A 24128-2023</t>
        </is>
      </c>
      <c r="B536" s="1" t="n">
        <v>45079.50289351852</v>
      </c>
      <c r="C536" s="1" t="n">
        <v>46030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33552-2024</t>
        </is>
      </c>
      <c r="B537" s="1" t="n">
        <v>45519</v>
      </c>
      <c r="C537" s="1" t="n">
        <v>46030</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33553-2024</t>
        </is>
      </c>
      <c r="B538" s="1" t="n">
        <v>45519</v>
      </c>
      <c r="C538" s="1" t="n">
        <v>46030</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24181-2022</t>
        </is>
      </c>
      <c r="B539" s="1" t="n">
        <v>44725</v>
      </c>
      <c r="C539" s="1" t="n">
        <v>46030</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53567-2025</t>
        </is>
      </c>
      <c r="B540" s="1" t="n">
        <v>45960</v>
      </c>
      <c r="C540" s="1" t="n">
        <v>46030</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53656-2025</t>
        </is>
      </c>
      <c r="B541" s="1" t="n">
        <v>45960</v>
      </c>
      <c r="C541" s="1" t="n">
        <v>46030</v>
      </c>
      <c r="D541" t="inlineStr">
        <is>
          <t>UPPSALA LÄN</t>
        </is>
      </c>
      <c r="E541" t="inlineStr">
        <is>
          <t>ÖSTHAMMAR</t>
        </is>
      </c>
      <c r="G541" t="n">
        <v>3.1</v>
      </c>
      <c r="H541" t="n">
        <v>0</v>
      </c>
      <c r="I541" t="n">
        <v>0</v>
      </c>
      <c r="J541" t="n">
        <v>0</v>
      </c>
      <c r="K541" t="n">
        <v>0</v>
      </c>
      <c r="L541" t="n">
        <v>0</v>
      </c>
      <c r="M541" t="n">
        <v>0</v>
      </c>
      <c r="N541" t="n">
        <v>0</v>
      </c>
      <c r="O541" t="n">
        <v>0</v>
      </c>
      <c r="P541" t="n">
        <v>0</v>
      </c>
      <c r="Q541" t="n">
        <v>0</v>
      </c>
      <c r="R541" s="2" t="inlineStr"/>
    </row>
    <row r="542" ht="15" customHeight="1">
      <c r="A542" t="inlineStr">
        <is>
          <t>A 19947-2024</t>
        </is>
      </c>
      <c r="B542" s="1" t="n">
        <v>45433</v>
      </c>
      <c r="C542" s="1" t="n">
        <v>46030</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53557-2025</t>
        </is>
      </c>
      <c r="B543" s="1" t="n">
        <v>45960</v>
      </c>
      <c r="C543" s="1" t="n">
        <v>46030</v>
      </c>
      <c r="D543" t="inlineStr">
        <is>
          <t>UPPSALA LÄN</t>
        </is>
      </c>
      <c r="E543" t="inlineStr">
        <is>
          <t>ÖSTHAMMAR</t>
        </is>
      </c>
      <c r="G543" t="n">
        <v>1.9</v>
      </c>
      <c r="H543" t="n">
        <v>0</v>
      </c>
      <c r="I543" t="n">
        <v>0</v>
      </c>
      <c r="J543" t="n">
        <v>0</v>
      </c>
      <c r="K543" t="n">
        <v>0</v>
      </c>
      <c r="L543" t="n">
        <v>0</v>
      </c>
      <c r="M543" t="n">
        <v>0</v>
      </c>
      <c r="N543" t="n">
        <v>0</v>
      </c>
      <c r="O543" t="n">
        <v>0</v>
      </c>
      <c r="P543" t="n">
        <v>0</v>
      </c>
      <c r="Q543" t="n">
        <v>0</v>
      </c>
      <c r="R543" s="2" t="inlineStr"/>
    </row>
    <row r="544" ht="15" customHeight="1">
      <c r="A544" t="inlineStr">
        <is>
          <t>A 53961-2025</t>
        </is>
      </c>
      <c r="B544" s="1" t="n">
        <v>45961</v>
      </c>
      <c r="C544" s="1" t="n">
        <v>46030</v>
      </c>
      <c r="D544" t="inlineStr">
        <is>
          <t>UPPSALA LÄN</t>
        </is>
      </c>
      <c r="E544" t="inlineStr">
        <is>
          <t>ÖSTHAMMAR</t>
        </is>
      </c>
      <c r="G544" t="n">
        <v>0.7</v>
      </c>
      <c r="H544" t="n">
        <v>0</v>
      </c>
      <c r="I544" t="n">
        <v>0</v>
      </c>
      <c r="J544" t="n">
        <v>0</v>
      </c>
      <c r="K544" t="n">
        <v>0</v>
      </c>
      <c r="L544" t="n">
        <v>0</v>
      </c>
      <c r="M544" t="n">
        <v>0</v>
      </c>
      <c r="N544" t="n">
        <v>0</v>
      </c>
      <c r="O544" t="n">
        <v>0</v>
      </c>
      <c r="P544" t="n">
        <v>0</v>
      </c>
      <c r="Q544" t="n">
        <v>0</v>
      </c>
      <c r="R544" s="2" t="inlineStr"/>
    </row>
    <row r="545" ht="15" customHeight="1">
      <c r="A545" t="inlineStr">
        <is>
          <t>A 16240-2025</t>
        </is>
      </c>
      <c r="B545" s="1" t="n">
        <v>45746</v>
      </c>
      <c r="C545" s="1" t="n">
        <v>46030</v>
      </c>
      <c r="D545" t="inlineStr">
        <is>
          <t>UPPSALA LÄN</t>
        </is>
      </c>
      <c r="E545" t="inlineStr">
        <is>
          <t>ÖSTHAMMAR</t>
        </is>
      </c>
      <c r="G545" t="n">
        <v>1.4</v>
      </c>
      <c r="H545" t="n">
        <v>0</v>
      </c>
      <c r="I545" t="n">
        <v>0</v>
      </c>
      <c r="J545" t="n">
        <v>0</v>
      </c>
      <c r="K545" t="n">
        <v>0</v>
      </c>
      <c r="L545" t="n">
        <v>0</v>
      </c>
      <c r="M545" t="n">
        <v>0</v>
      </c>
      <c r="N545" t="n">
        <v>0</v>
      </c>
      <c r="O545" t="n">
        <v>0</v>
      </c>
      <c r="P545" t="n">
        <v>0</v>
      </c>
      <c r="Q545" t="n">
        <v>0</v>
      </c>
      <c r="R545" s="2" t="inlineStr"/>
    </row>
    <row r="546" ht="15" customHeight="1">
      <c r="A546" t="inlineStr">
        <is>
          <t>A 53735-2025</t>
        </is>
      </c>
      <c r="B546" s="1" t="n">
        <v>45960.64431712963</v>
      </c>
      <c r="C546" s="1" t="n">
        <v>46030</v>
      </c>
      <c r="D546" t="inlineStr">
        <is>
          <t>UPPSALA LÄN</t>
        </is>
      </c>
      <c r="E546" t="inlineStr">
        <is>
          <t>ÖSTHAMMAR</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53737-2025</t>
        </is>
      </c>
      <c r="B547" s="1" t="n">
        <v>45960.64520833334</v>
      </c>
      <c r="C547" s="1" t="n">
        <v>46030</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54242-2025</t>
        </is>
      </c>
      <c r="B548" s="1" t="n">
        <v>45964.63251157408</v>
      </c>
      <c r="C548" s="1" t="n">
        <v>46030</v>
      </c>
      <c r="D548" t="inlineStr">
        <is>
          <t>UPPSALA LÄN</t>
        </is>
      </c>
      <c r="E548" t="inlineStr">
        <is>
          <t>ÖSTHAMMAR</t>
        </is>
      </c>
      <c r="G548" t="n">
        <v>4.7</v>
      </c>
      <c r="H548" t="n">
        <v>0</v>
      </c>
      <c r="I548" t="n">
        <v>0</v>
      </c>
      <c r="J548" t="n">
        <v>0</v>
      </c>
      <c r="K548" t="n">
        <v>0</v>
      </c>
      <c r="L548" t="n">
        <v>0</v>
      </c>
      <c r="M548" t="n">
        <v>0</v>
      </c>
      <c r="N548" t="n">
        <v>0</v>
      </c>
      <c r="O548" t="n">
        <v>0</v>
      </c>
      <c r="P548" t="n">
        <v>0</v>
      </c>
      <c r="Q548" t="n">
        <v>0</v>
      </c>
      <c r="R548" s="2" t="inlineStr"/>
    </row>
    <row r="549" ht="15" customHeight="1">
      <c r="A549" t="inlineStr">
        <is>
          <t>A 57-2023</t>
        </is>
      </c>
      <c r="B549" s="1" t="n">
        <v>44928.40917824074</v>
      </c>
      <c r="C549" s="1" t="n">
        <v>46030</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59-2023</t>
        </is>
      </c>
      <c r="B550" s="1" t="n">
        <v>44928.41822916667</v>
      </c>
      <c r="C550" s="1" t="n">
        <v>46030</v>
      </c>
      <c r="D550" t="inlineStr">
        <is>
          <t>UPPSALA LÄN</t>
        </is>
      </c>
      <c r="E550" t="inlineStr">
        <is>
          <t>ÖSTHAMMAR</t>
        </is>
      </c>
      <c r="G550" t="n">
        <v>1.5</v>
      </c>
      <c r="H550" t="n">
        <v>0</v>
      </c>
      <c r="I550" t="n">
        <v>0</v>
      </c>
      <c r="J550" t="n">
        <v>0</v>
      </c>
      <c r="K550" t="n">
        <v>0</v>
      </c>
      <c r="L550" t="n">
        <v>0</v>
      </c>
      <c r="M550" t="n">
        <v>0</v>
      </c>
      <c r="N550" t="n">
        <v>0</v>
      </c>
      <c r="O550" t="n">
        <v>0</v>
      </c>
      <c r="P550" t="n">
        <v>0</v>
      </c>
      <c r="Q550" t="n">
        <v>0</v>
      </c>
      <c r="R550" s="2" t="inlineStr"/>
    </row>
    <row r="551" ht="15" customHeight="1">
      <c r="A551" t="inlineStr">
        <is>
          <t>A 55079-2024</t>
        </is>
      </c>
      <c r="B551" s="1" t="n">
        <v>45621.42747685185</v>
      </c>
      <c r="C551" s="1" t="n">
        <v>46030</v>
      </c>
      <c r="D551" t="inlineStr">
        <is>
          <t>UPPSALA LÄN</t>
        </is>
      </c>
      <c r="E551" t="inlineStr">
        <is>
          <t>ÖSTHAMMAR</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54592-2025</t>
        </is>
      </c>
      <c r="B552" s="1" t="n">
        <v>45965.74545138889</v>
      </c>
      <c r="C552" s="1" t="n">
        <v>46030</v>
      </c>
      <c r="D552" t="inlineStr">
        <is>
          <t>UPPSALA LÄN</t>
        </is>
      </c>
      <c r="E552" t="inlineStr">
        <is>
          <t>ÖSTHAMMAR</t>
        </is>
      </c>
      <c r="F552" t="inlineStr">
        <is>
          <t>Bergvik skog öst AB</t>
        </is>
      </c>
      <c r="G552" t="n">
        <v>5</v>
      </c>
      <c r="H552" t="n">
        <v>0</v>
      </c>
      <c r="I552" t="n">
        <v>0</v>
      </c>
      <c r="J552" t="n">
        <v>0</v>
      </c>
      <c r="K552" t="n">
        <v>0</v>
      </c>
      <c r="L552" t="n">
        <v>0</v>
      </c>
      <c r="M552" t="n">
        <v>0</v>
      </c>
      <c r="N552" t="n">
        <v>0</v>
      </c>
      <c r="O552" t="n">
        <v>0</v>
      </c>
      <c r="P552" t="n">
        <v>0</v>
      </c>
      <c r="Q552" t="n">
        <v>0</v>
      </c>
      <c r="R552" s="2" t="inlineStr"/>
    </row>
    <row r="553" ht="15" customHeight="1">
      <c r="A553" t="inlineStr">
        <is>
          <t>A 33680-2024</t>
        </is>
      </c>
      <c r="B553" s="1" t="n">
        <v>45520.50712962963</v>
      </c>
      <c r="C553" s="1" t="n">
        <v>46030</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33550-2024</t>
        </is>
      </c>
      <c r="B554" s="1" t="n">
        <v>45519.81043981481</v>
      </c>
      <c r="C554" s="1" t="n">
        <v>46030</v>
      </c>
      <c r="D554" t="inlineStr">
        <is>
          <t>UPPSALA LÄN</t>
        </is>
      </c>
      <c r="E554" t="inlineStr">
        <is>
          <t>ÖSTHAMMAR</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30811-2023</t>
        </is>
      </c>
      <c r="B555" s="1" t="n">
        <v>45112.86422453704</v>
      </c>
      <c r="C555" s="1" t="n">
        <v>46030</v>
      </c>
      <c r="D555" t="inlineStr">
        <is>
          <t>UPPSALA LÄN</t>
        </is>
      </c>
      <c r="E555" t="inlineStr">
        <is>
          <t>ÖSTHAMMAR</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55646-2021</t>
        </is>
      </c>
      <c r="B556" s="1" t="n">
        <v>44476.3632175926</v>
      </c>
      <c r="C556" s="1" t="n">
        <v>46030</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61443-2024</t>
        </is>
      </c>
      <c r="B557" s="1" t="n">
        <v>45646.47936342593</v>
      </c>
      <c r="C557" s="1" t="n">
        <v>46030</v>
      </c>
      <c r="D557" t="inlineStr">
        <is>
          <t>UPPSALA LÄN</t>
        </is>
      </c>
      <c r="E557" t="inlineStr">
        <is>
          <t>ÖSTHAMMAR</t>
        </is>
      </c>
      <c r="G557" t="n">
        <v>0.4</v>
      </c>
      <c r="H557" t="n">
        <v>0</v>
      </c>
      <c r="I557" t="n">
        <v>0</v>
      </c>
      <c r="J557" t="n">
        <v>0</v>
      </c>
      <c r="K557" t="n">
        <v>0</v>
      </c>
      <c r="L557" t="n">
        <v>0</v>
      </c>
      <c r="M557" t="n">
        <v>0</v>
      </c>
      <c r="N557" t="n">
        <v>0</v>
      </c>
      <c r="O557" t="n">
        <v>0</v>
      </c>
      <c r="P557" t="n">
        <v>0</v>
      </c>
      <c r="Q557" t="n">
        <v>0</v>
      </c>
      <c r="R557" s="2" t="inlineStr"/>
    </row>
    <row r="558" ht="15" customHeight="1">
      <c r="A558" t="inlineStr">
        <is>
          <t>A 13279-2022</t>
        </is>
      </c>
      <c r="B558" s="1" t="n">
        <v>44644</v>
      </c>
      <c r="C558" s="1" t="n">
        <v>46030</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6046-2025</t>
        </is>
      </c>
      <c r="B559" s="1" t="n">
        <v>45695</v>
      </c>
      <c r="C559" s="1" t="n">
        <v>46030</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c r="U559">
        <f>HYPERLINK("https://klasma.github.io/Logging_0382/knärot/A 6046-2025 karta knärot.png", "A 6046-2025")</f>
        <v/>
      </c>
      <c r="V559">
        <f>HYPERLINK("https://klasma.github.io/Logging_0382/klagomål/A 6046-2025 FSC-klagomål.docx", "A 6046-2025")</f>
        <v/>
      </c>
      <c r="W559">
        <f>HYPERLINK("https://klasma.github.io/Logging_0382/klagomålsmail/A 6046-2025 FSC-klagomål mail.docx", "A 6046-2025")</f>
        <v/>
      </c>
      <c r="X559">
        <f>HYPERLINK("https://klasma.github.io/Logging_0382/tillsyn/A 6046-2025 tillsynsbegäran.docx", "A 6046-2025")</f>
        <v/>
      </c>
      <c r="Y559">
        <f>HYPERLINK("https://klasma.github.io/Logging_0382/tillsynsmail/A 6046-2025 tillsynsbegäran mail.docx", "A 6046-2025")</f>
        <v/>
      </c>
    </row>
    <row r="560" ht="15" customHeight="1">
      <c r="A560" t="inlineStr">
        <is>
          <t>A 61251-2025</t>
        </is>
      </c>
      <c r="B560" s="1" t="n">
        <v>46000.6669675926</v>
      </c>
      <c r="C560" s="1" t="n">
        <v>46030</v>
      </c>
      <c r="D560" t="inlineStr">
        <is>
          <t>UPPSALA LÄN</t>
        </is>
      </c>
      <c r="E560" t="inlineStr">
        <is>
          <t>ÖSTHAMMAR</t>
        </is>
      </c>
      <c r="F560" t="inlineStr">
        <is>
          <t>Bergvik skog öst AB</t>
        </is>
      </c>
      <c r="G560" t="n">
        <v>22.2</v>
      </c>
      <c r="H560" t="n">
        <v>0</v>
      </c>
      <c r="I560" t="n">
        <v>0</v>
      </c>
      <c r="J560" t="n">
        <v>0</v>
      </c>
      <c r="K560" t="n">
        <v>0</v>
      </c>
      <c r="L560" t="n">
        <v>0</v>
      </c>
      <c r="M560" t="n">
        <v>0</v>
      </c>
      <c r="N560" t="n">
        <v>0</v>
      </c>
      <c r="O560" t="n">
        <v>0</v>
      </c>
      <c r="P560" t="n">
        <v>0</v>
      </c>
      <c r="Q560" t="n">
        <v>0</v>
      </c>
      <c r="R560" s="2" t="inlineStr"/>
    </row>
    <row r="561" ht="15" customHeight="1">
      <c r="A561" t="inlineStr">
        <is>
          <t>A 45102-2024</t>
        </is>
      </c>
      <c r="B561" s="1" t="n">
        <v>45575.58836805556</v>
      </c>
      <c r="C561" s="1" t="n">
        <v>46030</v>
      </c>
      <c r="D561" t="inlineStr">
        <is>
          <t>UPPSALA LÄN</t>
        </is>
      </c>
      <c r="E561" t="inlineStr">
        <is>
          <t>ÖSTHAMMAR</t>
        </is>
      </c>
      <c r="G561" t="n">
        <v>8.6</v>
      </c>
      <c r="H561" t="n">
        <v>0</v>
      </c>
      <c r="I561" t="n">
        <v>0</v>
      </c>
      <c r="J561" t="n">
        <v>0</v>
      </c>
      <c r="K561" t="n">
        <v>0</v>
      </c>
      <c r="L561" t="n">
        <v>0</v>
      </c>
      <c r="M561" t="n">
        <v>0</v>
      </c>
      <c r="N561" t="n">
        <v>0</v>
      </c>
      <c r="O561" t="n">
        <v>0</v>
      </c>
      <c r="P561" t="n">
        <v>0</v>
      </c>
      <c r="Q561" t="n">
        <v>0</v>
      </c>
      <c r="R561" s="2" t="inlineStr"/>
    </row>
    <row r="562" ht="15" customHeight="1">
      <c r="A562" t="inlineStr">
        <is>
          <t>A 62745-2025</t>
        </is>
      </c>
      <c r="B562" s="1" t="n">
        <v>46008.57596064815</v>
      </c>
      <c r="C562" s="1" t="n">
        <v>46030</v>
      </c>
      <c r="D562" t="inlineStr">
        <is>
          <t>UPPSALA LÄN</t>
        </is>
      </c>
      <c r="E562" t="inlineStr">
        <is>
          <t>ÖSTHAMMAR</t>
        </is>
      </c>
      <c r="G562" t="n">
        <v>2</v>
      </c>
      <c r="H562" t="n">
        <v>0</v>
      </c>
      <c r="I562" t="n">
        <v>0</v>
      </c>
      <c r="J562" t="n">
        <v>0</v>
      </c>
      <c r="K562" t="n">
        <v>0</v>
      </c>
      <c r="L562" t="n">
        <v>0</v>
      </c>
      <c r="M562" t="n">
        <v>0</v>
      </c>
      <c r="N562" t="n">
        <v>0</v>
      </c>
      <c r="O562" t="n">
        <v>0</v>
      </c>
      <c r="P562" t="n">
        <v>0</v>
      </c>
      <c r="Q562" t="n">
        <v>0</v>
      </c>
      <c r="R562" s="2" t="inlineStr"/>
    </row>
    <row r="563" ht="15" customHeight="1">
      <c r="A563" t="inlineStr">
        <is>
          <t>A 18731-2022</t>
        </is>
      </c>
      <c r="B563" s="1" t="n">
        <v>44687.78673611111</v>
      </c>
      <c r="C563" s="1" t="n">
        <v>46030</v>
      </c>
      <c r="D563" t="inlineStr">
        <is>
          <t>UPPSALA LÄN</t>
        </is>
      </c>
      <c r="E563" t="inlineStr">
        <is>
          <t>ÖSTHAMMAR</t>
        </is>
      </c>
      <c r="G563" t="n">
        <v>4.9</v>
      </c>
      <c r="H563" t="n">
        <v>0</v>
      </c>
      <c r="I563" t="n">
        <v>0</v>
      </c>
      <c r="J563" t="n">
        <v>0</v>
      </c>
      <c r="K563" t="n">
        <v>0</v>
      </c>
      <c r="L563" t="n">
        <v>0</v>
      </c>
      <c r="M563" t="n">
        <v>0</v>
      </c>
      <c r="N563" t="n">
        <v>0</v>
      </c>
      <c r="O563" t="n">
        <v>0</v>
      </c>
      <c r="P563" t="n">
        <v>0</v>
      </c>
      <c r="Q563" t="n">
        <v>0</v>
      </c>
      <c r="R563" s="2" t="inlineStr"/>
    </row>
    <row r="564" ht="15" customHeight="1">
      <c r="A564" t="inlineStr">
        <is>
          <t>A 11385-2024</t>
        </is>
      </c>
      <c r="B564" s="1" t="n">
        <v>45372</v>
      </c>
      <c r="C564" s="1" t="n">
        <v>46030</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9642-2024</t>
        </is>
      </c>
      <c r="B565" s="1" t="n">
        <v>45362.36296296296</v>
      </c>
      <c r="C565" s="1" t="n">
        <v>46030</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54647-2025</t>
        </is>
      </c>
      <c r="B566" s="1" t="n">
        <v>45966.37258101852</v>
      </c>
      <c r="C566" s="1" t="n">
        <v>46030</v>
      </c>
      <c r="D566" t="inlineStr">
        <is>
          <t>UPPSALA LÄN</t>
        </is>
      </c>
      <c r="E566" t="inlineStr">
        <is>
          <t>ÖSTHAMMAR</t>
        </is>
      </c>
      <c r="G566" t="n">
        <v>4.3</v>
      </c>
      <c r="H566" t="n">
        <v>0</v>
      </c>
      <c r="I566" t="n">
        <v>0</v>
      </c>
      <c r="J566" t="n">
        <v>0</v>
      </c>
      <c r="K566" t="n">
        <v>0</v>
      </c>
      <c r="L566" t="n">
        <v>0</v>
      </c>
      <c r="M566" t="n">
        <v>0</v>
      </c>
      <c r="N566" t="n">
        <v>0</v>
      </c>
      <c r="O566" t="n">
        <v>0</v>
      </c>
      <c r="P566" t="n">
        <v>0</v>
      </c>
      <c r="Q566" t="n">
        <v>0</v>
      </c>
      <c r="R566" s="2" t="inlineStr"/>
    </row>
    <row r="567" ht="15" customHeight="1">
      <c r="A567" t="inlineStr">
        <is>
          <t>A 61147-2025</t>
        </is>
      </c>
      <c r="B567" s="1" t="n">
        <v>46000.53493055556</v>
      </c>
      <c r="C567" s="1" t="n">
        <v>46030</v>
      </c>
      <c r="D567" t="inlineStr">
        <is>
          <t>UPPSALA LÄN</t>
        </is>
      </c>
      <c r="E567" t="inlineStr">
        <is>
          <t>ÖSTHAMMAR</t>
        </is>
      </c>
      <c r="F567" t="inlineStr">
        <is>
          <t>Bergvik skog öst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18401-2025</t>
        </is>
      </c>
      <c r="B568" s="1" t="n">
        <v>45762.5966087963</v>
      </c>
      <c r="C568" s="1" t="n">
        <v>46030</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54649-2025</t>
        </is>
      </c>
      <c r="B569" s="1" t="n">
        <v>45966.37548611111</v>
      </c>
      <c r="C569" s="1" t="n">
        <v>46030</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28429-2023</t>
        </is>
      </c>
      <c r="B570" s="1" t="n">
        <v>45102.58728009259</v>
      </c>
      <c r="C570" s="1" t="n">
        <v>46030</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46030</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30755-2024</t>
        </is>
      </c>
      <c r="B572" s="1" t="n">
        <v>45496</v>
      </c>
      <c r="C572" s="1" t="n">
        <v>46030</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4562-2022</t>
        </is>
      </c>
      <c r="B573" s="1" t="n">
        <v>44591</v>
      </c>
      <c r="C573" s="1" t="n">
        <v>46030</v>
      </c>
      <c r="D573" t="inlineStr">
        <is>
          <t>UPPSALA LÄN</t>
        </is>
      </c>
      <c r="E573" t="inlineStr">
        <is>
          <t>ÖSTHAMMAR</t>
        </is>
      </c>
      <c r="G573" t="n">
        <v>3.4</v>
      </c>
      <c r="H573" t="n">
        <v>0</v>
      </c>
      <c r="I573" t="n">
        <v>0</v>
      </c>
      <c r="J573" t="n">
        <v>0</v>
      </c>
      <c r="K573" t="n">
        <v>0</v>
      </c>
      <c r="L573" t="n">
        <v>0</v>
      </c>
      <c r="M573" t="n">
        <v>0</v>
      </c>
      <c r="N573" t="n">
        <v>0</v>
      </c>
      <c r="O573" t="n">
        <v>0</v>
      </c>
      <c r="P573" t="n">
        <v>0</v>
      </c>
      <c r="Q573" t="n">
        <v>0</v>
      </c>
      <c r="R573" s="2" t="inlineStr"/>
    </row>
    <row r="574" ht="15" customHeight="1">
      <c r="A574" t="inlineStr">
        <is>
          <t>A 55298-2025</t>
        </is>
      </c>
      <c r="B574" s="1" t="n">
        <v>45969.76908564815</v>
      </c>
      <c r="C574" s="1" t="n">
        <v>46030</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53733-2023</t>
        </is>
      </c>
      <c r="B575" s="1" t="n">
        <v>45230.76862268519</v>
      </c>
      <c r="C575" s="1" t="n">
        <v>46030</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41308-2023</t>
        </is>
      </c>
      <c r="B576" s="1" t="n">
        <v>45174.62788194444</v>
      </c>
      <c r="C576" s="1" t="n">
        <v>46030</v>
      </c>
      <c r="D576" t="inlineStr">
        <is>
          <t>UPPSALA LÄN</t>
        </is>
      </c>
      <c r="E576" t="inlineStr">
        <is>
          <t>ÖSTHAMMAR</t>
        </is>
      </c>
      <c r="F576" t="inlineStr">
        <is>
          <t>Övriga Aktiebolag</t>
        </is>
      </c>
      <c r="G576" t="n">
        <v>2.8</v>
      </c>
      <c r="H576" t="n">
        <v>0</v>
      </c>
      <c r="I576" t="n">
        <v>0</v>
      </c>
      <c r="J576" t="n">
        <v>0</v>
      </c>
      <c r="K576" t="n">
        <v>0</v>
      </c>
      <c r="L576" t="n">
        <v>0</v>
      </c>
      <c r="M576" t="n">
        <v>0</v>
      </c>
      <c r="N576" t="n">
        <v>0</v>
      </c>
      <c r="O576" t="n">
        <v>0</v>
      </c>
      <c r="P576" t="n">
        <v>0</v>
      </c>
      <c r="Q576" t="n">
        <v>0</v>
      </c>
      <c r="R576" s="2" t="inlineStr"/>
    </row>
    <row r="577" ht="15" customHeight="1">
      <c r="A577" t="inlineStr">
        <is>
          <t>A 17969-2023</t>
        </is>
      </c>
      <c r="B577" s="1" t="n">
        <v>45040.47081018519</v>
      </c>
      <c r="C577" s="1" t="n">
        <v>46030</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25969-2023</t>
        </is>
      </c>
      <c r="B578" s="1" t="n">
        <v>45090</v>
      </c>
      <c r="C578" s="1" t="n">
        <v>46030</v>
      </c>
      <c r="D578" t="inlineStr">
        <is>
          <t>UPPSALA LÄN</t>
        </is>
      </c>
      <c r="E578" t="inlineStr">
        <is>
          <t>ÖSTHAMMAR</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50998-2023</t>
        </is>
      </c>
      <c r="B579" s="1" t="n">
        <v>45218.5586574074</v>
      </c>
      <c r="C579" s="1" t="n">
        <v>46030</v>
      </c>
      <c r="D579" t="inlineStr">
        <is>
          <t>UPPSALA LÄN</t>
        </is>
      </c>
      <c r="E579" t="inlineStr">
        <is>
          <t>ÖSTHAMMAR</t>
        </is>
      </c>
      <c r="G579" t="n">
        <v>3.6</v>
      </c>
      <c r="H579" t="n">
        <v>0</v>
      </c>
      <c r="I579" t="n">
        <v>0</v>
      </c>
      <c r="J579" t="n">
        <v>0</v>
      </c>
      <c r="K579" t="n">
        <v>0</v>
      </c>
      <c r="L579" t="n">
        <v>0</v>
      </c>
      <c r="M579" t="n">
        <v>0</v>
      </c>
      <c r="N579" t="n">
        <v>0</v>
      </c>
      <c r="O579" t="n">
        <v>0</v>
      </c>
      <c r="P579" t="n">
        <v>0</v>
      </c>
      <c r="Q579" t="n">
        <v>0</v>
      </c>
      <c r="R579" s="2" t="inlineStr"/>
    </row>
    <row r="580" ht="15" customHeight="1">
      <c r="A580" t="inlineStr">
        <is>
          <t>A 55837-2023</t>
        </is>
      </c>
      <c r="B580" s="1" t="n">
        <v>45239</v>
      </c>
      <c r="C580" s="1" t="n">
        <v>46030</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18838-2023</t>
        </is>
      </c>
      <c r="B581" s="1" t="n">
        <v>45044</v>
      </c>
      <c r="C581" s="1" t="n">
        <v>46030</v>
      </c>
      <c r="D581" t="inlineStr">
        <is>
          <t>UPPSALA LÄN</t>
        </is>
      </c>
      <c r="E581" t="inlineStr">
        <is>
          <t>ÖSTHAMMAR</t>
        </is>
      </c>
      <c r="G581" t="n">
        <v>2.8</v>
      </c>
      <c r="H581" t="n">
        <v>0</v>
      </c>
      <c r="I581" t="n">
        <v>0</v>
      </c>
      <c r="J581" t="n">
        <v>0</v>
      </c>
      <c r="K581" t="n">
        <v>0</v>
      </c>
      <c r="L581" t="n">
        <v>0</v>
      </c>
      <c r="M581" t="n">
        <v>0</v>
      </c>
      <c r="N581" t="n">
        <v>0</v>
      </c>
      <c r="O581" t="n">
        <v>0</v>
      </c>
      <c r="P581" t="n">
        <v>0</v>
      </c>
      <c r="Q581" t="n">
        <v>0</v>
      </c>
      <c r="R581" s="2" t="inlineStr"/>
    </row>
    <row r="582" ht="15" customHeight="1">
      <c r="A582" t="inlineStr">
        <is>
          <t>A 59382-2022</t>
        </is>
      </c>
      <c r="B582" s="1" t="n">
        <v>44905.50363425926</v>
      </c>
      <c r="C582" s="1" t="n">
        <v>46030</v>
      </c>
      <c r="D582" t="inlineStr">
        <is>
          <t>UPPSALA LÄN</t>
        </is>
      </c>
      <c r="E582" t="inlineStr">
        <is>
          <t>ÖSTHAMMAR</t>
        </is>
      </c>
      <c r="G582" t="n">
        <v>2.9</v>
      </c>
      <c r="H582" t="n">
        <v>0</v>
      </c>
      <c r="I582" t="n">
        <v>0</v>
      </c>
      <c r="J582" t="n">
        <v>0</v>
      </c>
      <c r="K582" t="n">
        <v>0</v>
      </c>
      <c r="L582" t="n">
        <v>0</v>
      </c>
      <c r="M582" t="n">
        <v>0</v>
      </c>
      <c r="N582" t="n">
        <v>0</v>
      </c>
      <c r="O582" t="n">
        <v>0</v>
      </c>
      <c r="P582" t="n">
        <v>0</v>
      </c>
      <c r="Q582" t="n">
        <v>0</v>
      </c>
      <c r="R582" s="2" t="inlineStr"/>
    </row>
    <row r="583" ht="15" customHeight="1">
      <c r="A583" t="inlineStr">
        <is>
          <t>A 17085-2025</t>
        </is>
      </c>
      <c r="B583" s="1" t="n">
        <v>45755.64612268518</v>
      </c>
      <c r="C583" s="1" t="n">
        <v>46030</v>
      </c>
      <c r="D583" t="inlineStr">
        <is>
          <t>UPPSALA LÄN</t>
        </is>
      </c>
      <c r="E583" t="inlineStr">
        <is>
          <t>ÖSTHAMMAR</t>
        </is>
      </c>
      <c r="F583" t="inlineStr">
        <is>
          <t>Bergvik skog öst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29231-2024</t>
        </is>
      </c>
      <c r="B584" s="1" t="n">
        <v>45482</v>
      </c>
      <c r="C584" s="1" t="n">
        <v>46030</v>
      </c>
      <c r="D584" t="inlineStr">
        <is>
          <t>UPPSALA LÄN</t>
        </is>
      </c>
      <c r="E584" t="inlineStr">
        <is>
          <t>ÖSTHAMMAR</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44184-2024</t>
        </is>
      </c>
      <c r="B585" s="1" t="n">
        <v>45572</v>
      </c>
      <c r="C585" s="1" t="n">
        <v>46030</v>
      </c>
      <c r="D585" t="inlineStr">
        <is>
          <t>UPPSALA LÄN</t>
        </is>
      </c>
      <c r="E585" t="inlineStr">
        <is>
          <t>ÖSTHAMMAR</t>
        </is>
      </c>
      <c r="G585" t="n">
        <v>0.6</v>
      </c>
      <c r="H585" t="n">
        <v>0</v>
      </c>
      <c r="I585" t="n">
        <v>0</v>
      </c>
      <c r="J585" t="n">
        <v>0</v>
      </c>
      <c r="K585" t="n">
        <v>0</v>
      </c>
      <c r="L585" t="n">
        <v>0</v>
      </c>
      <c r="M585" t="n">
        <v>0</v>
      </c>
      <c r="N585" t="n">
        <v>0</v>
      </c>
      <c r="O585" t="n">
        <v>0</v>
      </c>
      <c r="P585" t="n">
        <v>0</v>
      </c>
      <c r="Q585" t="n">
        <v>0</v>
      </c>
      <c r="R585" s="2" t="inlineStr"/>
    </row>
    <row r="586" ht="15" customHeight="1">
      <c r="A586" t="inlineStr">
        <is>
          <t>A 9264-2024</t>
        </is>
      </c>
      <c r="B586" s="1" t="n">
        <v>45358</v>
      </c>
      <c r="C586" s="1" t="n">
        <v>46030</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33784-2024</t>
        </is>
      </c>
      <c r="B587" s="1" t="n">
        <v>45520</v>
      </c>
      <c r="C587" s="1" t="n">
        <v>46030</v>
      </c>
      <c r="D587" t="inlineStr">
        <is>
          <t>UPPSALA LÄN</t>
        </is>
      </c>
      <c r="E587" t="inlineStr">
        <is>
          <t>ÖSTHAMMAR</t>
        </is>
      </c>
      <c r="F587" t="inlineStr">
        <is>
          <t>Naturvårdsverket</t>
        </is>
      </c>
      <c r="G587" t="n">
        <v>0.6</v>
      </c>
      <c r="H587" t="n">
        <v>0</v>
      </c>
      <c r="I587" t="n">
        <v>0</v>
      </c>
      <c r="J587" t="n">
        <v>0</v>
      </c>
      <c r="K587" t="n">
        <v>0</v>
      </c>
      <c r="L587" t="n">
        <v>0</v>
      </c>
      <c r="M587" t="n">
        <v>0</v>
      </c>
      <c r="N587" t="n">
        <v>0</v>
      </c>
      <c r="O587" t="n">
        <v>0</v>
      </c>
      <c r="P587" t="n">
        <v>0</v>
      </c>
      <c r="Q587" t="n">
        <v>0</v>
      </c>
      <c r="R587" s="2" t="inlineStr"/>
    </row>
    <row r="588" ht="15" customHeight="1">
      <c r="A588" t="inlineStr">
        <is>
          <t>A 11643-2022</t>
        </is>
      </c>
      <c r="B588" s="1" t="n">
        <v>44631.92662037037</v>
      </c>
      <c r="C588" s="1" t="n">
        <v>46030</v>
      </c>
      <c r="D588" t="inlineStr">
        <is>
          <t>UPPSALA LÄN</t>
        </is>
      </c>
      <c r="E588" t="inlineStr">
        <is>
          <t>ÖSTHAMMAR</t>
        </is>
      </c>
      <c r="F588" t="inlineStr">
        <is>
          <t>Bergvik skog öst AB</t>
        </is>
      </c>
      <c r="G588" t="n">
        <v>1.1</v>
      </c>
      <c r="H588" t="n">
        <v>0</v>
      </c>
      <c r="I588" t="n">
        <v>0</v>
      </c>
      <c r="J588" t="n">
        <v>0</v>
      </c>
      <c r="K588" t="n">
        <v>0</v>
      </c>
      <c r="L588" t="n">
        <v>0</v>
      </c>
      <c r="M588" t="n">
        <v>0</v>
      </c>
      <c r="N588" t="n">
        <v>0</v>
      </c>
      <c r="O588" t="n">
        <v>0</v>
      </c>
      <c r="P588" t="n">
        <v>0</v>
      </c>
      <c r="Q588" t="n">
        <v>0</v>
      </c>
      <c r="R588" s="2" t="inlineStr"/>
    </row>
    <row r="589" ht="15" customHeight="1">
      <c r="A589" t="inlineStr">
        <is>
          <t>A 37865-2023</t>
        </is>
      </c>
      <c r="B589" s="1" t="n">
        <v>45160</v>
      </c>
      <c r="C589" s="1" t="n">
        <v>46030</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34607-2023</t>
        </is>
      </c>
      <c r="B590" s="1" t="n">
        <v>45138</v>
      </c>
      <c r="C590" s="1" t="n">
        <v>46030</v>
      </c>
      <c r="D590" t="inlineStr">
        <is>
          <t>UPPSALA LÄN</t>
        </is>
      </c>
      <c r="E590" t="inlineStr">
        <is>
          <t>ÖSTHAMMAR</t>
        </is>
      </c>
      <c r="G590" t="n">
        <v>4.7</v>
      </c>
      <c r="H590" t="n">
        <v>0</v>
      </c>
      <c r="I590" t="n">
        <v>0</v>
      </c>
      <c r="J590" t="n">
        <v>0</v>
      </c>
      <c r="K590" t="n">
        <v>0</v>
      </c>
      <c r="L590" t="n">
        <v>0</v>
      </c>
      <c r="M590" t="n">
        <v>0</v>
      </c>
      <c r="N590" t="n">
        <v>0</v>
      </c>
      <c r="O590" t="n">
        <v>0</v>
      </c>
      <c r="P590" t="n">
        <v>0</v>
      </c>
      <c r="Q590" t="n">
        <v>0</v>
      </c>
      <c r="R590" s="2" t="inlineStr"/>
    </row>
    <row r="591" ht="15" customHeight="1">
      <c r="A591" t="inlineStr">
        <is>
          <t>A 5215-2025</t>
        </is>
      </c>
      <c r="B591" s="1" t="n">
        <v>45691</v>
      </c>
      <c r="C591" s="1" t="n">
        <v>46030</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2733-2023</t>
        </is>
      </c>
      <c r="B592" s="1" t="n">
        <v>44943</v>
      </c>
      <c r="C592" s="1" t="n">
        <v>46030</v>
      </c>
      <c r="D592" t="inlineStr">
        <is>
          <t>UPPSALA LÄN</t>
        </is>
      </c>
      <c r="E592" t="inlineStr">
        <is>
          <t>ÖSTHAMMAR</t>
        </is>
      </c>
      <c r="G592" t="n">
        <v>2.6</v>
      </c>
      <c r="H592" t="n">
        <v>0</v>
      </c>
      <c r="I592" t="n">
        <v>0</v>
      </c>
      <c r="J592" t="n">
        <v>0</v>
      </c>
      <c r="K592" t="n">
        <v>0</v>
      </c>
      <c r="L592" t="n">
        <v>0</v>
      </c>
      <c r="M592" t="n">
        <v>0</v>
      </c>
      <c r="N592" t="n">
        <v>0</v>
      </c>
      <c r="O592" t="n">
        <v>0</v>
      </c>
      <c r="P592" t="n">
        <v>0</v>
      </c>
      <c r="Q592" t="n">
        <v>0</v>
      </c>
      <c r="R592" s="2" t="inlineStr"/>
    </row>
    <row r="593" ht="15" customHeight="1">
      <c r="A593" t="inlineStr">
        <is>
          <t>A 8769-2025</t>
        </is>
      </c>
      <c r="B593" s="1" t="n">
        <v>45712.59412037037</v>
      </c>
      <c r="C593" s="1" t="n">
        <v>46030</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34971-2022</t>
        </is>
      </c>
      <c r="B594" s="1" t="n">
        <v>44796.66613425926</v>
      </c>
      <c r="C594" s="1" t="n">
        <v>46030</v>
      </c>
      <c r="D594" t="inlineStr">
        <is>
          <t>UPPSALA LÄN</t>
        </is>
      </c>
      <c r="E594" t="inlineStr">
        <is>
          <t>ÖSTHAMMAR</t>
        </is>
      </c>
      <c r="F594" t="inlineStr">
        <is>
          <t>Bergvik skog öst AB</t>
        </is>
      </c>
      <c r="G594" t="n">
        <v>2.3</v>
      </c>
      <c r="H594" t="n">
        <v>0</v>
      </c>
      <c r="I594" t="n">
        <v>0</v>
      </c>
      <c r="J594" t="n">
        <v>0</v>
      </c>
      <c r="K594" t="n">
        <v>0</v>
      </c>
      <c r="L594" t="n">
        <v>0</v>
      </c>
      <c r="M594" t="n">
        <v>0</v>
      </c>
      <c r="N594" t="n">
        <v>0</v>
      </c>
      <c r="O594" t="n">
        <v>0</v>
      </c>
      <c r="P594" t="n">
        <v>0</v>
      </c>
      <c r="Q594" t="n">
        <v>0</v>
      </c>
      <c r="R594" s="2" t="inlineStr"/>
    </row>
    <row r="595" ht="15" customHeight="1">
      <c r="A595" t="inlineStr">
        <is>
          <t>A 3725-2022</t>
        </is>
      </c>
      <c r="B595" s="1" t="n">
        <v>44586</v>
      </c>
      <c r="C595" s="1" t="n">
        <v>46030</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12812-2024</t>
        </is>
      </c>
      <c r="B596" s="1" t="n">
        <v>45384.65465277778</v>
      </c>
      <c r="C596" s="1" t="n">
        <v>46030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28170-2023</t>
        </is>
      </c>
      <c r="B597" s="1" t="n">
        <v>45093</v>
      </c>
      <c r="C597" s="1" t="n">
        <v>46030</v>
      </c>
      <c r="D597" t="inlineStr">
        <is>
          <t>UPPSALA LÄN</t>
        </is>
      </c>
      <c r="E597" t="inlineStr">
        <is>
          <t>ÖSTHAMMAR</t>
        </is>
      </c>
      <c r="G597" t="n">
        <v>7.2</v>
      </c>
      <c r="H597" t="n">
        <v>0</v>
      </c>
      <c r="I597" t="n">
        <v>0</v>
      </c>
      <c r="J597" t="n">
        <v>0</v>
      </c>
      <c r="K597" t="n">
        <v>0</v>
      </c>
      <c r="L597" t="n">
        <v>0</v>
      </c>
      <c r="M597" t="n">
        <v>0</v>
      </c>
      <c r="N597" t="n">
        <v>0</v>
      </c>
      <c r="O597" t="n">
        <v>0</v>
      </c>
      <c r="P597" t="n">
        <v>0</v>
      </c>
      <c r="Q597" t="n">
        <v>0</v>
      </c>
      <c r="R597" s="2" t="inlineStr"/>
    </row>
    <row r="598" ht="15" customHeight="1">
      <c r="A598" t="inlineStr">
        <is>
          <t>A 7876-2023</t>
        </is>
      </c>
      <c r="B598" s="1" t="n">
        <v>44973.57263888889</v>
      </c>
      <c r="C598" s="1" t="n">
        <v>46030</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14433-2024</t>
        </is>
      </c>
      <c r="B599" s="1" t="n">
        <v>45394.46115740741</v>
      </c>
      <c r="C599" s="1" t="n">
        <v>46030</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20038-2023</t>
        </is>
      </c>
      <c r="B600" s="1" t="n">
        <v>45054.65834490741</v>
      </c>
      <c r="C600" s="1" t="n">
        <v>46030</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15031-2025</t>
        </is>
      </c>
      <c r="B601" s="1" t="n">
        <v>45743.67333333333</v>
      </c>
      <c r="C601" s="1" t="n">
        <v>46030</v>
      </c>
      <c r="D601" t="inlineStr">
        <is>
          <t>UPPSALA LÄN</t>
        </is>
      </c>
      <c r="E601" t="inlineStr">
        <is>
          <t>ÖSTHAMMAR</t>
        </is>
      </c>
      <c r="G601" t="n">
        <v>9.6</v>
      </c>
      <c r="H601" t="n">
        <v>0</v>
      </c>
      <c r="I601" t="n">
        <v>0</v>
      </c>
      <c r="J601" t="n">
        <v>0</v>
      </c>
      <c r="K601" t="n">
        <v>0</v>
      </c>
      <c r="L601" t="n">
        <v>0</v>
      </c>
      <c r="M601" t="n">
        <v>0</v>
      </c>
      <c r="N601" t="n">
        <v>0</v>
      </c>
      <c r="O601" t="n">
        <v>0</v>
      </c>
      <c r="P601" t="n">
        <v>0</v>
      </c>
      <c r="Q601" t="n">
        <v>0</v>
      </c>
      <c r="R601" s="2" t="inlineStr"/>
    </row>
    <row r="602" ht="15" customHeight="1">
      <c r="A602" t="inlineStr">
        <is>
          <t>A 13738-2023</t>
        </is>
      </c>
      <c r="B602" s="1" t="n">
        <v>45007.37081018519</v>
      </c>
      <c r="C602" s="1" t="n">
        <v>46030</v>
      </c>
      <c r="D602" t="inlineStr">
        <is>
          <t>UPPSALA LÄN</t>
        </is>
      </c>
      <c r="E602" t="inlineStr">
        <is>
          <t>ÖSTHAMMAR</t>
        </is>
      </c>
      <c r="G602" t="n">
        <v>0.7</v>
      </c>
      <c r="H602" t="n">
        <v>0</v>
      </c>
      <c r="I602" t="n">
        <v>0</v>
      </c>
      <c r="J602" t="n">
        <v>0</v>
      </c>
      <c r="K602" t="n">
        <v>0</v>
      </c>
      <c r="L602" t="n">
        <v>0</v>
      </c>
      <c r="M602" t="n">
        <v>0</v>
      </c>
      <c r="N602" t="n">
        <v>0</v>
      </c>
      <c r="O602" t="n">
        <v>0</v>
      </c>
      <c r="P602" t="n">
        <v>0</v>
      </c>
      <c r="Q602" t="n">
        <v>0</v>
      </c>
      <c r="R602" s="2" t="inlineStr"/>
    </row>
    <row r="603" ht="15" customHeight="1">
      <c r="A603" t="inlineStr">
        <is>
          <t>A 43439-2024</t>
        </is>
      </c>
      <c r="B603" s="1" t="n">
        <v>45568</v>
      </c>
      <c r="C603" s="1" t="n">
        <v>46030</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10290-2025</t>
        </is>
      </c>
      <c r="B604" s="1" t="n">
        <v>45720.41847222222</v>
      </c>
      <c r="C604" s="1" t="n">
        <v>46030</v>
      </c>
      <c r="D604" t="inlineStr">
        <is>
          <t>UPPSALA LÄN</t>
        </is>
      </c>
      <c r="E604" t="inlineStr">
        <is>
          <t>ÖSTHAMMAR</t>
        </is>
      </c>
      <c r="G604" t="n">
        <v>8.6</v>
      </c>
      <c r="H604" t="n">
        <v>0</v>
      </c>
      <c r="I604" t="n">
        <v>0</v>
      </c>
      <c r="J604" t="n">
        <v>0</v>
      </c>
      <c r="K604" t="n">
        <v>0</v>
      </c>
      <c r="L604" t="n">
        <v>0</v>
      </c>
      <c r="M604" t="n">
        <v>0</v>
      </c>
      <c r="N604" t="n">
        <v>0</v>
      </c>
      <c r="O604" t="n">
        <v>0</v>
      </c>
      <c r="P604" t="n">
        <v>0</v>
      </c>
      <c r="Q604" t="n">
        <v>0</v>
      </c>
      <c r="R604" s="2" t="inlineStr"/>
    </row>
    <row r="605" ht="15" customHeight="1">
      <c r="A605" t="inlineStr">
        <is>
          <t>A 17022-2021</t>
        </is>
      </c>
      <c r="B605" s="1" t="n">
        <v>44295.65875</v>
      </c>
      <c r="C605" s="1" t="n">
        <v>46030</v>
      </c>
      <c r="D605" t="inlineStr">
        <is>
          <t>UPPSALA LÄN</t>
        </is>
      </c>
      <c r="E605" t="inlineStr">
        <is>
          <t>ÖSTHAMMAR</t>
        </is>
      </c>
      <c r="F605" t="inlineStr">
        <is>
          <t>Bergvik skog öst AB</t>
        </is>
      </c>
      <c r="G605" t="n">
        <v>0.3</v>
      </c>
      <c r="H605" t="n">
        <v>0</v>
      </c>
      <c r="I605" t="n">
        <v>0</v>
      </c>
      <c r="J605" t="n">
        <v>0</v>
      </c>
      <c r="K605" t="n">
        <v>0</v>
      </c>
      <c r="L605" t="n">
        <v>0</v>
      </c>
      <c r="M605" t="n">
        <v>0</v>
      </c>
      <c r="N605" t="n">
        <v>0</v>
      </c>
      <c r="O605" t="n">
        <v>0</v>
      </c>
      <c r="P605" t="n">
        <v>0</v>
      </c>
      <c r="Q605" t="n">
        <v>0</v>
      </c>
      <c r="R605" s="2" t="inlineStr"/>
    </row>
    <row r="606" ht="15" customHeight="1">
      <c r="A606" t="inlineStr">
        <is>
          <t>A 11469-2023</t>
        </is>
      </c>
      <c r="B606" s="1" t="n">
        <v>44993.60099537037</v>
      </c>
      <c r="C606" s="1" t="n">
        <v>46030</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25418-2022</t>
        </is>
      </c>
      <c r="B607" s="1" t="n">
        <v>44732.464375</v>
      </c>
      <c r="C607" s="1" t="n">
        <v>46030</v>
      </c>
      <c r="D607" t="inlineStr">
        <is>
          <t>UPPSALA LÄN</t>
        </is>
      </c>
      <c r="E607" t="inlineStr">
        <is>
          <t>ÖSTHAMMAR</t>
        </is>
      </c>
      <c r="G607" t="n">
        <v>2.8</v>
      </c>
      <c r="H607" t="n">
        <v>0</v>
      </c>
      <c r="I607" t="n">
        <v>0</v>
      </c>
      <c r="J607" t="n">
        <v>0</v>
      </c>
      <c r="K607" t="n">
        <v>0</v>
      </c>
      <c r="L607" t="n">
        <v>0</v>
      </c>
      <c r="M607" t="n">
        <v>0</v>
      </c>
      <c r="N607" t="n">
        <v>0</v>
      </c>
      <c r="O607" t="n">
        <v>0</v>
      </c>
      <c r="P607" t="n">
        <v>0</v>
      </c>
      <c r="Q607" t="n">
        <v>0</v>
      </c>
      <c r="R607" s="2" t="inlineStr"/>
    </row>
    <row r="608" ht="15" customHeight="1">
      <c r="A608" t="inlineStr">
        <is>
          <t>A 14859-2025</t>
        </is>
      </c>
      <c r="B608" s="1" t="n">
        <v>45743.42427083333</v>
      </c>
      <c r="C608" s="1" t="n">
        <v>46030</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14671-2022</t>
        </is>
      </c>
      <c r="B609" s="1" t="n">
        <v>44655.80475694445</v>
      </c>
      <c r="C609" s="1" t="n">
        <v>46030</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46399-2023</t>
        </is>
      </c>
      <c r="B610" s="1" t="n">
        <v>45197.49262731482</v>
      </c>
      <c r="C610" s="1" t="n">
        <v>46030</v>
      </c>
      <c r="D610" t="inlineStr">
        <is>
          <t>UPPSALA LÄN</t>
        </is>
      </c>
      <c r="E610" t="inlineStr">
        <is>
          <t>ÖSTHAMMAR</t>
        </is>
      </c>
      <c r="G610" t="n">
        <v>5.8</v>
      </c>
      <c r="H610" t="n">
        <v>0</v>
      </c>
      <c r="I610" t="n">
        <v>0</v>
      </c>
      <c r="J610" t="n">
        <v>0</v>
      </c>
      <c r="K610" t="n">
        <v>0</v>
      </c>
      <c r="L610" t="n">
        <v>0</v>
      </c>
      <c r="M610" t="n">
        <v>0</v>
      </c>
      <c r="N610" t="n">
        <v>0</v>
      </c>
      <c r="O610" t="n">
        <v>0</v>
      </c>
      <c r="P610" t="n">
        <v>0</v>
      </c>
      <c r="Q610" t="n">
        <v>0</v>
      </c>
      <c r="R610" s="2" t="inlineStr"/>
    </row>
    <row r="611" ht="15" customHeight="1">
      <c r="A611" t="inlineStr">
        <is>
          <t>A 45550-2023</t>
        </is>
      </c>
      <c r="B611" s="1" t="n">
        <v>45194.57125</v>
      </c>
      <c r="C611" s="1" t="n">
        <v>46030</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15445-2022</t>
        </is>
      </c>
      <c r="B612" s="1" t="n">
        <v>44660.4987962963</v>
      </c>
      <c r="C612" s="1" t="n">
        <v>46030</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20634-2024</t>
        </is>
      </c>
      <c r="B613" s="1" t="n">
        <v>45436</v>
      </c>
      <c r="C613" s="1" t="n">
        <v>46030</v>
      </c>
      <c r="D613" t="inlineStr">
        <is>
          <t>UPPSALA LÄN</t>
        </is>
      </c>
      <c r="E613" t="inlineStr">
        <is>
          <t>ÖSTHAMMAR</t>
        </is>
      </c>
      <c r="G613" t="n">
        <v>6.5</v>
      </c>
      <c r="H613" t="n">
        <v>0</v>
      </c>
      <c r="I613" t="n">
        <v>0</v>
      </c>
      <c r="J613" t="n">
        <v>0</v>
      </c>
      <c r="K613" t="n">
        <v>0</v>
      </c>
      <c r="L613" t="n">
        <v>0</v>
      </c>
      <c r="M613" t="n">
        <v>0</v>
      </c>
      <c r="N613" t="n">
        <v>0</v>
      </c>
      <c r="O613" t="n">
        <v>0</v>
      </c>
      <c r="P613" t="n">
        <v>0</v>
      </c>
      <c r="Q613" t="n">
        <v>0</v>
      </c>
      <c r="R613" s="2" t="inlineStr"/>
    </row>
    <row r="614" ht="15" customHeight="1">
      <c r="A614" t="inlineStr">
        <is>
          <t>A 18088-2025</t>
        </is>
      </c>
      <c r="B614" s="1" t="n">
        <v>45761.53104166667</v>
      </c>
      <c r="C614" s="1" t="n">
        <v>46030</v>
      </c>
      <c r="D614" t="inlineStr">
        <is>
          <t>UPPSALA LÄN</t>
        </is>
      </c>
      <c r="E614" t="inlineStr">
        <is>
          <t>ÖSTHAMMAR</t>
        </is>
      </c>
      <c r="F614" t="inlineStr">
        <is>
          <t>Bergvik skog öst AB</t>
        </is>
      </c>
      <c r="G614" t="n">
        <v>1.9</v>
      </c>
      <c r="H614" t="n">
        <v>0</v>
      </c>
      <c r="I614" t="n">
        <v>0</v>
      </c>
      <c r="J614" t="n">
        <v>0</v>
      </c>
      <c r="K614" t="n">
        <v>0</v>
      </c>
      <c r="L614" t="n">
        <v>0</v>
      </c>
      <c r="M614" t="n">
        <v>0</v>
      </c>
      <c r="N614" t="n">
        <v>0</v>
      </c>
      <c r="O614" t="n">
        <v>0</v>
      </c>
      <c r="P614" t="n">
        <v>0</v>
      </c>
      <c r="Q614" t="n">
        <v>0</v>
      </c>
      <c r="R614" s="2" t="inlineStr"/>
    </row>
    <row r="615" ht="15" customHeight="1">
      <c r="A615" t="inlineStr">
        <is>
          <t>A 18095-2025</t>
        </is>
      </c>
      <c r="B615" s="1" t="n">
        <v>45761.54925925926</v>
      </c>
      <c r="C615" s="1" t="n">
        <v>46030</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61257-2022</t>
        </is>
      </c>
      <c r="B616" s="1" t="n">
        <v>44915.59418981482</v>
      </c>
      <c r="C616" s="1" t="n">
        <v>46030</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32778-2023</t>
        </is>
      </c>
      <c r="B617" s="1" t="n">
        <v>45123.88789351852</v>
      </c>
      <c r="C617" s="1" t="n">
        <v>46030</v>
      </c>
      <c r="D617" t="inlineStr">
        <is>
          <t>UPPSALA LÄN</t>
        </is>
      </c>
      <c r="E617" t="inlineStr">
        <is>
          <t>ÖSTHAMMAR</t>
        </is>
      </c>
      <c r="F617" t="inlineStr">
        <is>
          <t>Bergvik skog öst AB</t>
        </is>
      </c>
      <c r="G617" t="n">
        <v>1</v>
      </c>
      <c r="H617" t="n">
        <v>0</v>
      </c>
      <c r="I617" t="n">
        <v>0</v>
      </c>
      <c r="J617" t="n">
        <v>0</v>
      </c>
      <c r="K617" t="n">
        <v>0</v>
      </c>
      <c r="L617" t="n">
        <v>0</v>
      </c>
      <c r="M617" t="n">
        <v>0</v>
      </c>
      <c r="N617" t="n">
        <v>0</v>
      </c>
      <c r="O617" t="n">
        <v>0</v>
      </c>
      <c r="P617" t="n">
        <v>0</v>
      </c>
      <c r="Q617" t="n">
        <v>0</v>
      </c>
      <c r="R617" s="2" t="inlineStr"/>
    </row>
    <row r="618" ht="15" customHeight="1">
      <c r="A618" t="inlineStr">
        <is>
          <t>A 1436-2025</t>
        </is>
      </c>
      <c r="B618" s="1" t="n">
        <v>45669.67625</v>
      </c>
      <c r="C618" s="1" t="n">
        <v>46030</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1525-2025</t>
        </is>
      </c>
      <c r="B619" s="1" t="n">
        <v>45670.47300925926</v>
      </c>
      <c r="C619" s="1" t="n">
        <v>46030</v>
      </c>
      <c r="D619" t="inlineStr">
        <is>
          <t>UPPSALA LÄN</t>
        </is>
      </c>
      <c r="E619" t="inlineStr">
        <is>
          <t>ÖSTHAMMAR</t>
        </is>
      </c>
      <c r="F619" t="inlineStr">
        <is>
          <t>Bergvik skog öst AB</t>
        </is>
      </c>
      <c r="G619" t="n">
        <v>2</v>
      </c>
      <c r="H619" t="n">
        <v>0</v>
      </c>
      <c r="I619" t="n">
        <v>0</v>
      </c>
      <c r="J619" t="n">
        <v>0</v>
      </c>
      <c r="K619" t="n">
        <v>0</v>
      </c>
      <c r="L619" t="n">
        <v>0</v>
      </c>
      <c r="M619" t="n">
        <v>0</v>
      </c>
      <c r="N619" t="n">
        <v>0</v>
      </c>
      <c r="O619" t="n">
        <v>0</v>
      </c>
      <c r="P619" t="n">
        <v>0</v>
      </c>
      <c r="Q619" t="n">
        <v>0</v>
      </c>
      <c r="R619" s="2" t="inlineStr"/>
    </row>
    <row r="620" ht="15" customHeight="1">
      <c r="A620" t="inlineStr">
        <is>
          <t>A 24367-2022</t>
        </is>
      </c>
      <c r="B620" s="1" t="n">
        <v>44726.42716435185</v>
      </c>
      <c r="C620" s="1" t="n">
        <v>46030</v>
      </c>
      <c r="D620" t="inlineStr">
        <is>
          <t>UPPSALA LÄN</t>
        </is>
      </c>
      <c r="E620" t="inlineStr">
        <is>
          <t>ÖSTHAMMAR</t>
        </is>
      </c>
      <c r="G620" t="n">
        <v>2.7</v>
      </c>
      <c r="H620" t="n">
        <v>0</v>
      </c>
      <c r="I620" t="n">
        <v>0</v>
      </c>
      <c r="J620" t="n">
        <v>0</v>
      </c>
      <c r="K620" t="n">
        <v>0</v>
      </c>
      <c r="L620" t="n">
        <v>0</v>
      </c>
      <c r="M620" t="n">
        <v>0</v>
      </c>
      <c r="N620" t="n">
        <v>0</v>
      </c>
      <c r="O620" t="n">
        <v>0</v>
      </c>
      <c r="P620" t="n">
        <v>0</v>
      </c>
      <c r="Q620" t="n">
        <v>0</v>
      </c>
      <c r="R620" s="2" t="inlineStr"/>
    </row>
    <row r="621" ht="15" customHeight="1">
      <c r="A621" t="inlineStr">
        <is>
          <t>A 5933-2022</t>
        </is>
      </c>
      <c r="B621" s="1" t="n">
        <v>44598.82957175926</v>
      </c>
      <c r="C621" s="1" t="n">
        <v>46030</v>
      </c>
      <c r="D621" t="inlineStr">
        <is>
          <t>UPPSALA LÄN</t>
        </is>
      </c>
      <c r="E621" t="inlineStr">
        <is>
          <t>ÖSTHAMMAR</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64774-2023</t>
        </is>
      </c>
      <c r="B622" s="1" t="n">
        <v>45282</v>
      </c>
      <c r="C622" s="1" t="n">
        <v>46030</v>
      </c>
      <c r="D622" t="inlineStr">
        <is>
          <t>UPPSALA LÄN</t>
        </is>
      </c>
      <c r="E622" t="inlineStr">
        <is>
          <t>ÖSTHAMMAR</t>
        </is>
      </c>
      <c r="F622" t="inlineStr">
        <is>
          <t>Övriga Aktiebolag</t>
        </is>
      </c>
      <c r="G622" t="n">
        <v>3.7</v>
      </c>
      <c r="H622" t="n">
        <v>0</v>
      </c>
      <c r="I622" t="n">
        <v>0</v>
      </c>
      <c r="J622" t="n">
        <v>0</v>
      </c>
      <c r="K622" t="n">
        <v>0</v>
      </c>
      <c r="L622" t="n">
        <v>0</v>
      </c>
      <c r="M622" t="n">
        <v>0</v>
      </c>
      <c r="N622" t="n">
        <v>0</v>
      </c>
      <c r="O622" t="n">
        <v>0</v>
      </c>
      <c r="P622" t="n">
        <v>0</v>
      </c>
      <c r="Q622" t="n">
        <v>0</v>
      </c>
      <c r="R622" s="2" t="inlineStr"/>
    </row>
    <row r="623" ht="15" customHeight="1">
      <c r="A623" t="inlineStr">
        <is>
          <t>A 27308-2023</t>
        </is>
      </c>
      <c r="B623" s="1" t="n">
        <v>45096.65381944444</v>
      </c>
      <c r="C623" s="1" t="n">
        <v>46030</v>
      </c>
      <c r="D623" t="inlineStr">
        <is>
          <t>UPPSALA LÄN</t>
        </is>
      </c>
      <c r="E623" t="inlineStr">
        <is>
          <t>ÖSTHAMMAR</t>
        </is>
      </c>
      <c r="F623" t="inlineStr">
        <is>
          <t>Bergvik skog öst AB</t>
        </is>
      </c>
      <c r="G623" t="n">
        <v>2.4</v>
      </c>
      <c r="H623" t="n">
        <v>0</v>
      </c>
      <c r="I623" t="n">
        <v>0</v>
      </c>
      <c r="J623" t="n">
        <v>0</v>
      </c>
      <c r="K623" t="n">
        <v>0</v>
      </c>
      <c r="L623" t="n">
        <v>0</v>
      </c>
      <c r="M623" t="n">
        <v>0</v>
      </c>
      <c r="N623" t="n">
        <v>0</v>
      </c>
      <c r="O623" t="n">
        <v>0</v>
      </c>
      <c r="P623" t="n">
        <v>0</v>
      </c>
      <c r="Q623" t="n">
        <v>0</v>
      </c>
      <c r="R623" s="2" t="inlineStr"/>
    </row>
    <row r="624" ht="15" customHeight="1">
      <c r="A624" t="inlineStr">
        <is>
          <t>A 5254-2025</t>
        </is>
      </c>
      <c r="B624" s="1" t="n">
        <v>45692</v>
      </c>
      <c r="C624" s="1" t="n">
        <v>46030</v>
      </c>
      <c r="D624" t="inlineStr">
        <is>
          <t>UPPSALA LÄN</t>
        </is>
      </c>
      <c r="E624" t="inlineStr">
        <is>
          <t>ÖSTHAMMAR</t>
        </is>
      </c>
      <c r="G624" t="n">
        <v>5</v>
      </c>
      <c r="H624" t="n">
        <v>0</v>
      </c>
      <c r="I624" t="n">
        <v>0</v>
      </c>
      <c r="J624" t="n">
        <v>0</v>
      </c>
      <c r="K624" t="n">
        <v>0</v>
      </c>
      <c r="L624" t="n">
        <v>0</v>
      </c>
      <c r="M624" t="n">
        <v>0</v>
      </c>
      <c r="N624" t="n">
        <v>0</v>
      </c>
      <c r="O624" t="n">
        <v>0</v>
      </c>
      <c r="P624" t="n">
        <v>0</v>
      </c>
      <c r="Q624" t="n">
        <v>0</v>
      </c>
      <c r="R624" s="2" t="inlineStr"/>
    </row>
    <row r="625" ht="15" customHeight="1">
      <c r="A625" t="inlineStr">
        <is>
          <t>A 29873-2023</t>
        </is>
      </c>
      <c r="B625" s="1" t="n">
        <v>45107</v>
      </c>
      <c r="C625" s="1" t="n">
        <v>46030</v>
      </c>
      <c r="D625" t="inlineStr">
        <is>
          <t>UPPSALA LÄN</t>
        </is>
      </c>
      <c r="E625" t="inlineStr">
        <is>
          <t>ÖSTHAMMAR</t>
        </is>
      </c>
      <c r="F625" t="inlineStr">
        <is>
          <t>Naturvårdsverket</t>
        </is>
      </c>
      <c r="G625" t="n">
        <v>7.8</v>
      </c>
      <c r="H625" t="n">
        <v>0</v>
      </c>
      <c r="I625" t="n">
        <v>0</v>
      </c>
      <c r="J625" t="n">
        <v>0</v>
      </c>
      <c r="K625" t="n">
        <v>0</v>
      </c>
      <c r="L625" t="n">
        <v>0</v>
      </c>
      <c r="M625" t="n">
        <v>0</v>
      </c>
      <c r="N625" t="n">
        <v>0</v>
      </c>
      <c r="O625" t="n">
        <v>0</v>
      </c>
      <c r="P625" t="n">
        <v>0</v>
      </c>
      <c r="Q625" t="n">
        <v>0</v>
      </c>
      <c r="R625" s="2" t="inlineStr"/>
    </row>
    <row r="626" ht="15" customHeight="1">
      <c r="A626" t="inlineStr">
        <is>
          <t>A 61062-2023</t>
        </is>
      </c>
      <c r="B626" s="1" t="n">
        <v>45259</v>
      </c>
      <c r="C626" s="1" t="n">
        <v>46030</v>
      </c>
      <c r="D626" t="inlineStr">
        <is>
          <t>UPPSALA LÄN</t>
        </is>
      </c>
      <c r="E626" t="inlineStr">
        <is>
          <t>ÖSTHAMMAR</t>
        </is>
      </c>
      <c r="G626" t="n">
        <v>5.3</v>
      </c>
      <c r="H626" t="n">
        <v>0</v>
      </c>
      <c r="I626" t="n">
        <v>0</v>
      </c>
      <c r="J626" t="n">
        <v>0</v>
      </c>
      <c r="K626" t="n">
        <v>0</v>
      </c>
      <c r="L626" t="n">
        <v>0</v>
      </c>
      <c r="M626" t="n">
        <v>0</v>
      </c>
      <c r="N626" t="n">
        <v>0</v>
      </c>
      <c r="O626" t="n">
        <v>0</v>
      </c>
      <c r="P626" t="n">
        <v>0</v>
      </c>
      <c r="Q626" t="n">
        <v>0</v>
      </c>
      <c r="R626" s="2" t="inlineStr"/>
    </row>
    <row r="627" ht="15" customHeight="1">
      <c r="A627" t="inlineStr">
        <is>
          <t>A 55100-2024</t>
        </is>
      </c>
      <c r="B627" s="1" t="n">
        <v>45621.4405787037</v>
      </c>
      <c r="C627" s="1" t="n">
        <v>46030</v>
      </c>
      <c r="D627" t="inlineStr">
        <is>
          <t>UPPSALA LÄN</t>
        </is>
      </c>
      <c r="E627" t="inlineStr">
        <is>
          <t>ÖSTHAMMAR</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31669-2022</t>
        </is>
      </c>
      <c r="B628" s="1" t="n">
        <v>44775</v>
      </c>
      <c r="C628" s="1" t="n">
        <v>46030</v>
      </c>
      <c r="D628" t="inlineStr">
        <is>
          <t>UPPSALA LÄN</t>
        </is>
      </c>
      <c r="E628" t="inlineStr">
        <is>
          <t>ÖSTHAMMAR</t>
        </is>
      </c>
      <c r="G628" t="n">
        <v>6</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46030</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67151-2021</t>
        </is>
      </c>
      <c r="B630" s="1" t="n">
        <v>44523</v>
      </c>
      <c r="C630" s="1" t="n">
        <v>46030</v>
      </c>
      <c r="D630" t="inlineStr">
        <is>
          <t>UPPSALA LÄN</t>
        </is>
      </c>
      <c r="E630" t="inlineStr">
        <is>
          <t>ÖSTHAMMAR</t>
        </is>
      </c>
      <c r="G630" t="n">
        <v>2.4</v>
      </c>
      <c r="H630" t="n">
        <v>0</v>
      </c>
      <c r="I630" t="n">
        <v>0</v>
      </c>
      <c r="J630" t="n">
        <v>0</v>
      </c>
      <c r="K630" t="n">
        <v>0</v>
      </c>
      <c r="L630" t="n">
        <v>0</v>
      </c>
      <c r="M630" t="n">
        <v>0</v>
      </c>
      <c r="N630" t="n">
        <v>0</v>
      </c>
      <c r="O630" t="n">
        <v>0</v>
      </c>
      <c r="P630" t="n">
        <v>0</v>
      </c>
      <c r="Q630" t="n">
        <v>0</v>
      </c>
      <c r="R630" s="2" t="inlineStr"/>
    </row>
    <row r="631" ht="15" customHeight="1">
      <c r="A631" t="inlineStr">
        <is>
          <t>A 9542-2023</t>
        </is>
      </c>
      <c r="B631" s="1" t="n">
        <v>44981</v>
      </c>
      <c r="C631" s="1" t="n">
        <v>46030</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36343-2022</t>
        </is>
      </c>
      <c r="B632" s="1" t="n">
        <v>44803.78524305556</v>
      </c>
      <c r="C632" s="1" t="n">
        <v>46030</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16933-2022</t>
        </is>
      </c>
      <c r="B633" s="1" t="n">
        <v>44676</v>
      </c>
      <c r="C633" s="1" t="n">
        <v>46030</v>
      </c>
      <c r="D633" t="inlineStr">
        <is>
          <t>UPPSALA LÄN</t>
        </is>
      </c>
      <c r="E633" t="inlineStr">
        <is>
          <t>ÖSTHAMMAR</t>
        </is>
      </c>
      <c r="G633" t="n">
        <v>1.3</v>
      </c>
      <c r="H633" t="n">
        <v>0</v>
      </c>
      <c r="I633" t="n">
        <v>0</v>
      </c>
      <c r="J633" t="n">
        <v>0</v>
      </c>
      <c r="K633" t="n">
        <v>0</v>
      </c>
      <c r="L633" t="n">
        <v>0</v>
      </c>
      <c r="M633" t="n">
        <v>0</v>
      </c>
      <c r="N633" t="n">
        <v>0</v>
      </c>
      <c r="O633" t="n">
        <v>0</v>
      </c>
      <c r="P633" t="n">
        <v>0</v>
      </c>
      <c r="Q633" t="n">
        <v>0</v>
      </c>
      <c r="R633" s="2" t="inlineStr"/>
    </row>
    <row r="634" ht="15" customHeight="1">
      <c r="A634" t="inlineStr">
        <is>
          <t>A 48083-2024</t>
        </is>
      </c>
      <c r="B634" s="1" t="n">
        <v>45589.58766203704</v>
      </c>
      <c r="C634" s="1" t="n">
        <v>46030</v>
      </c>
      <c r="D634" t="inlineStr">
        <is>
          <t>UPPSALA LÄN</t>
        </is>
      </c>
      <c r="E634" t="inlineStr">
        <is>
          <t>ÖSTHAMMAR</t>
        </is>
      </c>
      <c r="G634" t="n">
        <v>3</v>
      </c>
      <c r="H634" t="n">
        <v>0</v>
      </c>
      <c r="I634" t="n">
        <v>0</v>
      </c>
      <c r="J634" t="n">
        <v>0</v>
      </c>
      <c r="K634" t="n">
        <v>0</v>
      </c>
      <c r="L634" t="n">
        <v>0</v>
      </c>
      <c r="M634" t="n">
        <v>0</v>
      </c>
      <c r="N634" t="n">
        <v>0</v>
      </c>
      <c r="O634" t="n">
        <v>0</v>
      </c>
      <c r="P634" t="n">
        <v>0</v>
      </c>
      <c r="Q634" t="n">
        <v>0</v>
      </c>
      <c r="R634" s="2" t="inlineStr"/>
    </row>
    <row r="635" ht="15" customHeight="1">
      <c r="A635" t="inlineStr">
        <is>
          <t>A 14269-2025</t>
        </is>
      </c>
      <c r="B635" s="1" t="n">
        <v>45740.64078703704</v>
      </c>
      <c r="C635" s="1" t="n">
        <v>46030</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5855-2022</t>
        </is>
      </c>
      <c r="B636" s="1" t="n">
        <v>44596.63290509259</v>
      </c>
      <c r="C636" s="1" t="n">
        <v>46030</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13622-2025</t>
        </is>
      </c>
      <c r="B637" s="1" t="n">
        <v>45736</v>
      </c>
      <c r="C637" s="1" t="n">
        <v>46030</v>
      </c>
      <c r="D637" t="inlineStr">
        <is>
          <t>UPPSALA LÄN</t>
        </is>
      </c>
      <c r="E637" t="inlineStr">
        <is>
          <t>ÖSTHAMMAR</t>
        </is>
      </c>
      <c r="G637" t="n">
        <v>2.6</v>
      </c>
      <c r="H637" t="n">
        <v>0</v>
      </c>
      <c r="I637" t="n">
        <v>0</v>
      </c>
      <c r="J637" t="n">
        <v>0</v>
      </c>
      <c r="K637" t="n">
        <v>0</v>
      </c>
      <c r="L637" t="n">
        <v>0</v>
      </c>
      <c r="M637" t="n">
        <v>0</v>
      </c>
      <c r="N637" t="n">
        <v>0</v>
      </c>
      <c r="O637" t="n">
        <v>0</v>
      </c>
      <c r="P637" t="n">
        <v>0</v>
      </c>
      <c r="Q637" t="n">
        <v>0</v>
      </c>
      <c r="R637" s="2" t="inlineStr"/>
    </row>
    <row r="638" ht="15" customHeight="1">
      <c r="A638" t="inlineStr">
        <is>
          <t>A 56759-2024</t>
        </is>
      </c>
      <c r="B638" s="1" t="n">
        <v>45628.39877314815</v>
      </c>
      <c r="C638" s="1" t="n">
        <v>46030</v>
      </c>
      <c r="D638" t="inlineStr">
        <is>
          <t>UPPSALA LÄN</t>
        </is>
      </c>
      <c r="E638" t="inlineStr">
        <is>
          <t>ÖSTHAMMAR</t>
        </is>
      </c>
      <c r="G638" t="n">
        <v>4.7</v>
      </c>
      <c r="H638" t="n">
        <v>0</v>
      </c>
      <c r="I638" t="n">
        <v>0</v>
      </c>
      <c r="J638" t="n">
        <v>0</v>
      </c>
      <c r="K638" t="n">
        <v>0</v>
      </c>
      <c r="L638" t="n">
        <v>0</v>
      </c>
      <c r="M638" t="n">
        <v>0</v>
      </c>
      <c r="N638" t="n">
        <v>0</v>
      </c>
      <c r="O638" t="n">
        <v>0</v>
      </c>
      <c r="P638" t="n">
        <v>0</v>
      </c>
      <c r="Q638" t="n">
        <v>0</v>
      </c>
      <c r="R638" s="2" t="inlineStr"/>
    </row>
    <row r="639" ht="15" customHeight="1">
      <c r="A639" t="inlineStr">
        <is>
          <t>A 10275-2025</t>
        </is>
      </c>
      <c r="B639" s="1" t="n">
        <v>45720.39715277778</v>
      </c>
      <c r="C639" s="1" t="n">
        <v>46030</v>
      </c>
      <c r="D639" t="inlineStr">
        <is>
          <t>UPPSALA LÄN</t>
        </is>
      </c>
      <c r="E639" t="inlineStr">
        <is>
          <t>ÖSTHAMMAR</t>
        </is>
      </c>
      <c r="G639" t="n">
        <v>6.2</v>
      </c>
      <c r="H639" t="n">
        <v>0</v>
      </c>
      <c r="I639" t="n">
        <v>0</v>
      </c>
      <c r="J639" t="n">
        <v>0</v>
      </c>
      <c r="K639" t="n">
        <v>0</v>
      </c>
      <c r="L639" t="n">
        <v>0</v>
      </c>
      <c r="M639" t="n">
        <v>0</v>
      </c>
      <c r="N639" t="n">
        <v>0</v>
      </c>
      <c r="O639" t="n">
        <v>0</v>
      </c>
      <c r="P639" t="n">
        <v>0</v>
      </c>
      <c r="Q639" t="n">
        <v>0</v>
      </c>
      <c r="R639" s="2" t="inlineStr"/>
    </row>
    <row r="640" ht="15" customHeight="1">
      <c r="A640" t="inlineStr">
        <is>
          <t>A 24493-2023</t>
        </is>
      </c>
      <c r="B640" s="1" t="n">
        <v>45082.62603009259</v>
      </c>
      <c r="C640" s="1" t="n">
        <v>46030</v>
      </c>
      <c r="D640" t="inlineStr">
        <is>
          <t>UPPSALA LÄN</t>
        </is>
      </c>
      <c r="E640" t="inlineStr">
        <is>
          <t>ÖSTHAMMAR</t>
        </is>
      </c>
      <c r="G640" t="n">
        <v>1.9</v>
      </c>
      <c r="H640" t="n">
        <v>0</v>
      </c>
      <c r="I640" t="n">
        <v>0</v>
      </c>
      <c r="J640" t="n">
        <v>0</v>
      </c>
      <c r="K640" t="n">
        <v>0</v>
      </c>
      <c r="L640" t="n">
        <v>0</v>
      </c>
      <c r="M640" t="n">
        <v>0</v>
      </c>
      <c r="N640" t="n">
        <v>0</v>
      </c>
      <c r="O640" t="n">
        <v>0</v>
      </c>
      <c r="P640" t="n">
        <v>0</v>
      </c>
      <c r="Q640" t="n">
        <v>0</v>
      </c>
      <c r="R640" s="2" t="inlineStr"/>
    </row>
    <row r="641" ht="15" customHeight="1">
      <c r="A641" t="inlineStr">
        <is>
          <t>A 7560-2023</t>
        </is>
      </c>
      <c r="B641" s="1" t="n">
        <v>44972.34811342593</v>
      </c>
      <c r="C641" s="1" t="n">
        <v>46030</v>
      </c>
      <c r="D641" t="inlineStr">
        <is>
          <t>UPPSALA LÄN</t>
        </is>
      </c>
      <c r="E641" t="inlineStr">
        <is>
          <t>ÖSTHAMMAR</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19040-2023</t>
        </is>
      </c>
      <c r="B642" s="1" t="n">
        <v>45047</v>
      </c>
      <c r="C642" s="1" t="n">
        <v>46030</v>
      </c>
      <c r="D642" t="inlineStr">
        <is>
          <t>UPPSALA LÄN</t>
        </is>
      </c>
      <c r="E642" t="inlineStr">
        <is>
          <t>ÖSTHAMMAR</t>
        </is>
      </c>
      <c r="F642" t="inlineStr">
        <is>
          <t>Bergvik skog öst AB</t>
        </is>
      </c>
      <c r="G642" t="n">
        <v>1.7</v>
      </c>
      <c r="H642" t="n">
        <v>0</v>
      </c>
      <c r="I642" t="n">
        <v>0</v>
      </c>
      <c r="J642" t="n">
        <v>0</v>
      </c>
      <c r="K642" t="n">
        <v>0</v>
      </c>
      <c r="L642" t="n">
        <v>0</v>
      </c>
      <c r="M642" t="n">
        <v>0</v>
      </c>
      <c r="N642" t="n">
        <v>0</v>
      </c>
      <c r="O642" t="n">
        <v>0</v>
      </c>
      <c r="P642" t="n">
        <v>0</v>
      </c>
      <c r="Q642" t="n">
        <v>0</v>
      </c>
      <c r="R642" s="2" t="inlineStr"/>
    </row>
    <row r="643" ht="15" customHeight="1">
      <c r="A643" t="inlineStr">
        <is>
          <t>A 4004-2023</t>
        </is>
      </c>
      <c r="B643" s="1" t="n">
        <v>44952</v>
      </c>
      <c r="C643" s="1" t="n">
        <v>46030</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31549-2022</t>
        </is>
      </c>
      <c r="B644" s="1" t="n">
        <v>44775.400625</v>
      </c>
      <c r="C644" s="1" t="n">
        <v>46030</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36857-2023</t>
        </is>
      </c>
      <c r="B645" s="1" t="n">
        <v>45154.55175925926</v>
      </c>
      <c r="C645" s="1" t="n">
        <v>46030</v>
      </c>
      <c r="D645" t="inlineStr">
        <is>
          <t>UPPSALA LÄN</t>
        </is>
      </c>
      <c r="E645" t="inlineStr">
        <is>
          <t>ÖSTHAMMAR</t>
        </is>
      </c>
      <c r="G645" t="n">
        <v>0.5</v>
      </c>
      <c r="H645" t="n">
        <v>0</v>
      </c>
      <c r="I645" t="n">
        <v>0</v>
      </c>
      <c r="J645" t="n">
        <v>0</v>
      </c>
      <c r="K645" t="n">
        <v>0</v>
      </c>
      <c r="L645" t="n">
        <v>0</v>
      </c>
      <c r="M645" t="n">
        <v>0</v>
      </c>
      <c r="N645" t="n">
        <v>0</v>
      </c>
      <c r="O645" t="n">
        <v>0</v>
      </c>
      <c r="P645" t="n">
        <v>0</v>
      </c>
      <c r="Q645" t="n">
        <v>0</v>
      </c>
      <c r="R645" s="2" t="inlineStr"/>
    </row>
    <row r="646" ht="15" customHeight="1">
      <c r="A646" t="inlineStr">
        <is>
          <t>A 1800-2023</t>
        </is>
      </c>
      <c r="B646" s="1" t="n">
        <v>44938</v>
      </c>
      <c r="C646" s="1" t="n">
        <v>46030</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8699-2025</t>
        </is>
      </c>
      <c r="B647" s="1" t="n">
        <v>45712.47983796296</v>
      </c>
      <c r="C647" s="1" t="n">
        <v>46030</v>
      </c>
      <c r="D647" t="inlineStr">
        <is>
          <t>UPPSALA LÄN</t>
        </is>
      </c>
      <c r="E647" t="inlineStr">
        <is>
          <t>ÖSTHAMMAR</t>
        </is>
      </c>
      <c r="G647" t="n">
        <v>5.6</v>
      </c>
      <c r="H647" t="n">
        <v>0</v>
      </c>
      <c r="I647" t="n">
        <v>0</v>
      </c>
      <c r="J647" t="n">
        <v>0</v>
      </c>
      <c r="K647" t="n">
        <v>0</v>
      </c>
      <c r="L647" t="n">
        <v>0</v>
      </c>
      <c r="M647" t="n">
        <v>0</v>
      </c>
      <c r="N647" t="n">
        <v>0</v>
      </c>
      <c r="O647" t="n">
        <v>0</v>
      </c>
      <c r="P647" t="n">
        <v>0</v>
      </c>
      <c r="Q647" t="n">
        <v>0</v>
      </c>
      <c r="R647" s="2" t="inlineStr"/>
    </row>
    <row r="648" ht="15" customHeight="1">
      <c r="A648" t="inlineStr">
        <is>
          <t>A 8791-2025</t>
        </is>
      </c>
      <c r="B648" s="1" t="n">
        <v>45712</v>
      </c>
      <c r="C648" s="1" t="n">
        <v>46030</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31485-2023</t>
        </is>
      </c>
      <c r="B649" s="1" t="n">
        <v>45114</v>
      </c>
      <c r="C649" s="1" t="n">
        <v>46030</v>
      </c>
      <c r="D649" t="inlineStr">
        <is>
          <t>UPPSALA LÄN</t>
        </is>
      </c>
      <c r="E649" t="inlineStr">
        <is>
          <t>ÖSTHAMMAR</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25897-2023</t>
        </is>
      </c>
      <c r="B650" s="1" t="n">
        <v>45090.63300925926</v>
      </c>
      <c r="C650" s="1" t="n">
        <v>46030</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4101-2022</t>
        </is>
      </c>
      <c r="B651" s="1" t="n">
        <v>44588</v>
      </c>
      <c r="C651" s="1" t="n">
        <v>46030</v>
      </c>
      <c r="D651" t="inlineStr">
        <is>
          <t>UPPSALA LÄN</t>
        </is>
      </c>
      <c r="E651" t="inlineStr">
        <is>
          <t>ÖSTHAMMAR</t>
        </is>
      </c>
      <c r="G651" t="n">
        <v>4.4</v>
      </c>
      <c r="H651" t="n">
        <v>0</v>
      </c>
      <c r="I651" t="n">
        <v>0</v>
      </c>
      <c r="J651" t="n">
        <v>0</v>
      </c>
      <c r="K651" t="n">
        <v>0</v>
      </c>
      <c r="L651" t="n">
        <v>0</v>
      </c>
      <c r="M651" t="n">
        <v>0</v>
      </c>
      <c r="N651" t="n">
        <v>0</v>
      </c>
      <c r="O651" t="n">
        <v>0</v>
      </c>
      <c r="P651" t="n">
        <v>0</v>
      </c>
      <c r="Q651" t="n">
        <v>0</v>
      </c>
      <c r="R651" s="2" t="inlineStr"/>
    </row>
    <row r="652" ht="15" customHeight="1">
      <c r="A652" t="inlineStr">
        <is>
          <t>A 2839-2025</t>
        </is>
      </c>
      <c r="B652" s="1" t="n">
        <v>45677</v>
      </c>
      <c r="C652" s="1" t="n">
        <v>46030</v>
      </c>
      <c r="D652" t="inlineStr">
        <is>
          <t>UPPSALA LÄN</t>
        </is>
      </c>
      <c r="E652" t="inlineStr">
        <is>
          <t>ÖSTHAMMAR</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67848-2021</t>
        </is>
      </c>
      <c r="B653" s="1" t="n">
        <v>44525</v>
      </c>
      <c r="C653" s="1" t="n">
        <v>46030</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38600-2023</t>
        </is>
      </c>
      <c r="B654" s="1" t="n">
        <v>45162</v>
      </c>
      <c r="C654" s="1" t="n">
        <v>46030</v>
      </c>
      <c r="D654" t="inlineStr">
        <is>
          <t>UPPSALA LÄN</t>
        </is>
      </c>
      <c r="E654" t="inlineStr">
        <is>
          <t>ÖSTHAMMAR</t>
        </is>
      </c>
      <c r="F654" t="inlineStr">
        <is>
          <t>Bergvik skog väst AB</t>
        </is>
      </c>
      <c r="G654" t="n">
        <v>0.1</v>
      </c>
      <c r="H654" t="n">
        <v>0</v>
      </c>
      <c r="I654" t="n">
        <v>0</v>
      </c>
      <c r="J654" t="n">
        <v>0</v>
      </c>
      <c r="K654" t="n">
        <v>0</v>
      </c>
      <c r="L654" t="n">
        <v>0</v>
      </c>
      <c r="M654" t="n">
        <v>0</v>
      </c>
      <c r="N654" t="n">
        <v>0</v>
      </c>
      <c r="O654" t="n">
        <v>0</v>
      </c>
      <c r="P654" t="n">
        <v>0</v>
      </c>
      <c r="Q654" t="n">
        <v>0</v>
      </c>
      <c r="R654" s="2" t="inlineStr"/>
    </row>
    <row r="655" ht="15" customHeight="1">
      <c r="A655" t="inlineStr">
        <is>
          <t>A 64811-2021</t>
        </is>
      </c>
      <c r="B655" s="1" t="n">
        <v>44512</v>
      </c>
      <c r="C655" s="1" t="n">
        <v>46030</v>
      </c>
      <c r="D655" t="inlineStr">
        <is>
          <t>UPPSALA LÄN</t>
        </is>
      </c>
      <c r="E655" t="inlineStr">
        <is>
          <t>ÖSTHAMMAR</t>
        </is>
      </c>
      <c r="G655" t="n">
        <v>4.2</v>
      </c>
      <c r="H655" t="n">
        <v>0</v>
      </c>
      <c r="I655" t="n">
        <v>0</v>
      </c>
      <c r="J655" t="n">
        <v>0</v>
      </c>
      <c r="K655" t="n">
        <v>0</v>
      </c>
      <c r="L655" t="n">
        <v>0</v>
      </c>
      <c r="M655" t="n">
        <v>0</v>
      </c>
      <c r="N655" t="n">
        <v>0</v>
      </c>
      <c r="O655" t="n">
        <v>0</v>
      </c>
      <c r="P655" t="n">
        <v>0</v>
      </c>
      <c r="Q655" t="n">
        <v>0</v>
      </c>
      <c r="R655" s="2" t="inlineStr"/>
    </row>
    <row r="656" ht="15" customHeight="1">
      <c r="A656" t="inlineStr">
        <is>
          <t>A 56382-2022</t>
        </is>
      </c>
      <c r="B656" s="1" t="n">
        <v>44890.75795138889</v>
      </c>
      <c r="C656" s="1" t="n">
        <v>46030</v>
      </c>
      <c r="D656" t="inlineStr">
        <is>
          <t>UPPSALA LÄN</t>
        </is>
      </c>
      <c r="E656" t="inlineStr">
        <is>
          <t>ÖSTHAMMAR</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57043-2022</t>
        </is>
      </c>
      <c r="B657" s="1" t="n">
        <v>44895.36748842592</v>
      </c>
      <c r="C657" s="1" t="n">
        <v>46030</v>
      </c>
      <c r="D657" t="inlineStr">
        <is>
          <t>UPPSALA LÄN</t>
        </is>
      </c>
      <c r="E657" t="inlineStr">
        <is>
          <t>ÖSTHAMMAR</t>
        </is>
      </c>
      <c r="F657" t="inlineStr">
        <is>
          <t>Bergvik skog öst AB</t>
        </is>
      </c>
      <c r="G657" t="n">
        <v>5.7</v>
      </c>
      <c r="H657" t="n">
        <v>0</v>
      </c>
      <c r="I657" t="n">
        <v>0</v>
      </c>
      <c r="J657" t="n">
        <v>0</v>
      </c>
      <c r="K657" t="n">
        <v>0</v>
      </c>
      <c r="L657" t="n">
        <v>0</v>
      </c>
      <c r="M657" t="n">
        <v>0</v>
      </c>
      <c r="N657" t="n">
        <v>0</v>
      </c>
      <c r="O657" t="n">
        <v>0</v>
      </c>
      <c r="P657" t="n">
        <v>0</v>
      </c>
      <c r="Q657" t="n">
        <v>0</v>
      </c>
      <c r="R657" s="2" t="inlineStr"/>
    </row>
    <row r="658" ht="15" customHeight="1">
      <c r="A658" t="inlineStr">
        <is>
          <t>A 59880-2022</t>
        </is>
      </c>
      <c r="B658" s="1" t="n">
        <v>44908.69575231482</v>
      </c>
      <c r="C658" s="1" t="n">
        <v>46030</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44973.66458333333</v>
      </c>
      <c r="C659" s="1" t="n">
        <v>46030</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52659-2021</t>
        </is>
      </c>
      <c r="B660" s="1" t="n">
        <v>44466</v>
      </c>
      <c r="C660" s="1" t="n">
        <v>46030</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7216-2025</t>
        </is>
      </c>
      <c r="B661" s="1" t="n">
        <v>45702.47630787037</v>
      </c>
      <c r="C661" s="1" t="n">
        <v>46030</v>
      </c>
      <c r="D661" t="inlineStr">
        <is>
          <t>UPPSALA LÄN</t>
        </is>
      </c>
      <c r="E661" t="inlineStr">
        <is>
          <t>ÖSTHAMMAR</t>
        </is>
      </c>
      <c r="F661" t="inlineStr">
        <is>
          <t>Övriga Aktiebolag</t>
        </is>
      </c>
      <c r="G661" t="n">
        <v>12.5</v>
      </c>
      <c r="H661" t="n">
        <v>0</v>
      </c>
      <c r="I661" t="n">
        <v>0</v>
      </c>
      <c r="J661" t="n">
        <v>0</v>
      </c>
      <c r="K661" t="n">
        <v>0</v>
      </c>
      <c r="L661" t="n">
        <v>0</v>
      </c>
      <c r="M661" t="n">
        <v>0</v>
      </c>
      <c r="N661" t="n">
        <v>0</v>
      </c>
      <c r="O661" t="n">
        <v>0</v>
      </c>
      <c r="P661" t="n">
        <v>0</v>
      </c>
      <c r="Q661" t="n">
        <v>0</v>
      </c>
      <c r="R661" s="2" t="inlineStr"/>
    </row>
    <row r="662" ht="15" customHeight="1">
      <c r="A662" t="inlineStr">
        <is>
          <t>A 73965-2021</t>
        </is>
      </c>
      <c r="B662" s="1" t="n">
        <v>44553.80824074074</v>
      </c>
      <c r="C662" s="1" t="n">
        <v>46030</v>
      </c>
      <c r="D662" t="inlineStr">
        <is>
          <t>UPPSALA LÄN</t>
        </is>
      </c>
      <c r="E662" t="inlineStr">
        <is>
          <t>ÖSTHAMMAR</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3418-2025</t>
        </is>
      </c>
      <c r="B663" s="1" t="n">
        <v>45680</v>
      </c>
      <c r="C663" s="1" t="n">
        <v>46030</v>
      </c>
      <c r="D663" t="inlineStr">
        <is>
          <t>UPPSALA LÄN</t>
        </is>
      </c>
      <c r="E663" t="inlineStr">
        <is>
          <t>ÖSTHAMMAR</t>
        </is>
      </c>
      <c r="F663" t="inlineStr">
        <is>
          <t>Bergvik skog väst AB</t>
        </is>
      </c>
      <c r="G663" t="n">
        <v>0.4</v>
      </c>
      <c r="H663" t="n">
        <v>0</v>
      </c>
      <c r="I663" t="n">
        <v>0</v>
      </c>
      <c r="J663" t="n">
        <v>0</v>
      </c>
      <c r="K663" t="n">
        <v>0</v>
      </c>
      <c r="L663" t="n">
        <v>0</v>
      </c>
      <c r="M663" t="n">
        <v>0</v>
      </c>
      <c r="N663" t="n">
        <v>0</v>
      </c>
      <c r="O663" t="n">
        <v>0</v>
      </c>
      <c r="P663" t="n">
        <v>0</v>
      </c>
      <c r="Q663" t="n">
        <v>0</v>
      </c>
      <c r="R663" s="2" t="inlineStr"/>
    </row>
    <row r="664" ht="15" customHeight="1">
      <c r="A664" t="inlineStr">
        <is>
          <t>A 3420-2025</t>
        </is>
      </c>
      <c r="B664" s="1" t="n">
        <v>45680</v>
      </c>
      <c r="C664" s="1" t="n">
        <v>46030</v>
      </c>
      <c r="D664" t="inlineStr">
        <is>
          <t>UPPSALA LÄN</t>
        </is>
      </c>
      <c r="E664" t="inlineStr">
        <is>
          <t>ÖSTHAMMAR</t>
        </is>
      </c>
      <c r="F664" t="inlineStr">
        <is>
          <t>Bergvik skog väst AB</t>
        </is>
      </c>
      <c r="G664" t="n">
        <v>3.6</v>
      </c>
      <c r="H664" t="n">
        <v>0</v>
      </c>
      <c r="I664" t="n">
        <v>0</v>
      </c>
      <c r="J664" t="n">
        <v>0</v>
      </c>
      <c r="K664" t="n">
        <v>0</v>
      </c>
      <c r="L664" t="n">
        <v>0</v>
      </c>
      <c r="M664" t="n">
        <v>0</v>
      </c>
      <c r="N664" t="n">
        <v>0</v>
      </c>
      <c r="O664" t="n">
        <v>0</v>
      </c>
      <c r="P664" t="n">
        <v>0</v>
      </c>
      <c r="Q664" t="n">
        <v>0</v>
      </c>
      <c r="R664" s="2" t="inlineStr"/>
    </row>
    <row r="665" ht="15" customHeight="1">
      <c r="A665" t="inlineStr">
        <is>
          <t>A 5303-2025</t>
        </is>
      </c>
      <c r="B665" s="1" t="n">
        <v>45692</v>
      </c>
      <c r="C665" s="1" t="n">
        <v>46030</v>
      </c>
      <c r="D665" t="inlineStr">
        <is>
          <t>UPPSALA LÄN</t>
        </is>
      </c>
      <c r="E665" t="inlineStr">
        <is>
          <t>ÖSTHAMMAR</t>
        </is>
      </c>
      <c r="G665" t="n">
        <v>5</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46030</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65028-2021</t>
        </is>
      </c>
      <c r="B667" s="1" t="n">
        <v>44515</v>
      </c>
      <c r="C667" s="1" t="n">
        <v>46030</v>
      </c>
      <c r="D667" t="inlineStr">
        <is>
          <t>UPPSALA LÄN</t>
        </is>
      </c>
      <c r="E667" t="inlineStr">
        <is>
          <t>ÖSTHAMMAR</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40547-2023</t>
        </is>
      </c>
      <c r="B668" s="1" t="n">
        <v>45170.45050925926</v>
      </c>
      <c r="C668" s="1" t="n">
        <v>46030</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8874-2025</t>
        </is>
      </c>
      <c r="B669" s="1" t="n">
        <v>45713</v>
      </c>
      <c r="C669" s="1" t="n">
        <v>46030</v>
      </c>
      <c r="D669" t="inlineStr">
        <is>
          <t>UPPSALA LÄN</t>
        </is>
      </c>
      <c r="E669" t="inlineStr">
        <is>
          <t>ÖSTHAMMAR</t>
        </is>
      </c>
      <c r="G669" t="n">
        <v>6.3</v>
      </c>
      <c r="H669" t="n">
        <v>0</v>
      </c>
      <c r="I669" t="n">
        <v>0</v>
      </c>
      <c r="J669" t="n">
        <v>0</v>
      </c>
      <c r="K669" t="n">
        <v>0</v>
      </c>
      <c r="L669" t="n">
        <v>0</v>
      </c>
      <c r="M669" t="n">
        <v>0</v>
      </c>
      <c r="N669" t="n">
        <v>0</v>
      </c>
      <c r="O669" t="n">
        <v>0</v>
      </c>
      <c r="P669" t="n">
        <v>0</v>
      </c>
      <c r="Q669" t="n">
        <v>0</v>
      </c>
      <c r="R669" s="2" t="inlineStr"/>
    </row>
    <row r="670" ht="15" customHeight="1">
      <c r="A670" t="inlineStr">
        <is>
          <t>A 14505-2023</t>
        </is>
      </c>
      <c r="B670" s="1" t="n">
        <v>45012.7975</v>
      </c>
      <c r="C670" s="1" t="n">
        <v>46030</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47341-2023</t>
        </is>
      </c>
      <c r="B671" s="1" t="n">
        <v>45202.55721064815</v>
      </c>
      <c r="C671" s="1" t="n">
        <v>46030</v>
      </c>
      <c r="D671" t="inlineStr">
        <is>
          <t>UPPSALA LÄN</t>
        </is>
      </c>
      <c r="E671" t="inlineStr">
        <is>
          <t>ÖSTHAMMAR</t>
        </is>
      </c>
      <c r="G671" t="n">
        <v>4.9</v>
      </c>
      <c r="H671" t="n">
        <v>0</v>
      </c>
      <c r="I671" t="n">
        <v>0</v>
      </c>
      <c r="J671" t="n">
        <v>0</v>
      </c>
      <c r="K671" t="n">
        <v>0</v>
      </c>
      <c r="L671" t="n">
        <v>0</v>
      </c>
      <c r="M671" t="n">
        <v>0</v>
      </c>
      <c r="N671" t="n">
        <v>0</v>
      </c>
      <c r="O671" t="n">
        <v>0</v>
      </c>
      <c r="P671" t="n">
        <v>0</v>
      </c>
      <c r="Q671" t="n">
        <v>0</v>
      </c>
      <c r="R671" s="2" t="inlineStr"/>
    </row>
    <row r="672" ht="15" customHeight="1">
      <c r="A672" t="inlineStr">
        <is>
          <t>A 3732-2022</t>
        </is>
      </c>
      <c r="B672" s="1" t="n">
        <v>44586.64851851852</v>
      </c>
      <c r="C672" s="1" t="n">
        <v>46030</v>
      </c>
      <c r="D672" t="inlineStr">
        <is>
          <t>UPPSALA LÄN</t>
        </is>
      </c>
      <c r="E672" t="inlineStr">
        <is>
          <t>ÖSTHAMMAR</t>
        </is>
      </c>
      <c r="F672" t="inlineStr">
        <is>
          <t>Bergvik skog öst AB</t>
        </is>
      </c>
      <c r="G672" t="n">
        <v>3.6</v>
      </c>
      <c r="H672" t="n">
        <v>0</v>
      </c>
      <c r="I672" t="n">
        <v>0</v>
      </c>
      <c r="J672" t="n">
        <v>0</v>
      </c>
      <c r="K672" t="n">
        <v>0</v>
      </c>
      <c r="L672" t="n">
        <v>0</v>
      </c>
      <c r="M672" t="n">
        <v>0</v>
      </c>
      <c r="N672" t="n">
        <v>0</v>
      </c>
      <c r="O672" t="n">
        <v>0</v>
      </c>
      <c r="P672" t="n">
        <v>0</v>
      </c>
      <c r="Q672" t="n">
        <v>0</v>
      </c>
      <c r="R672" s="2" t="inlineStr"/>
    </row>
    <row r="673" ht="15" customHeight="1">
      <c r="A673" t="inlineStr">
        <is>
          <t>A 33056-2021</t>
        </is>
      </c>
      <c r="B673" s="1" t="n">
        <v>44376.52438657408</v>
      </c>
      <c r="C673" s="1" t="n">
        <v>46030</v>
      </c>
      <c r="D673" t="inlineStr">
        <is>
          <t>UPPSALA LÄN</t>
        </is>
      </c>
      <c r="E673" t="inlineStr">
        <is>
          <t>ÖSTHAMMAR</t>
        </is>
      </c>
      <c r="G673" t="n">
        <v>0.6</v>
      </c>
      <c r="H673" t="n">
        <v>0</v>
      </c>
      <c r="I673" t="n">
        <v>0</v>
      </c>
      <c r="J673" t="n">
        <v>0</v>
      </c>
      <c r="K673" t="n">
        <v>0</v>
      </c>
      <c r="L673" t="n">
        <v>0</v>
      </c>
      <c r="M673" t="n">
        <v>0</v>
      </c>
      <c r="N673" t="n">
        <v>0</v>
      </c>
      <c r="O673" t="n">
        <v>0</v>
      </c>
      <c r="P673" t="n">
        <v>0</v>
      </c>
      <c r="Q673" t="n">
        <v>0</v>
      </c>
      <c r="R673" s="2" t="inlineStr"/>
    </row>
    <row r="674" ht="15" customHeight="1">
      <c r="A674" t="inlineStr">
        <is>
          <t>A 25269-2024</t>
        </is>
      </c>
      <c r="B674" s="1" t="n">
        <v>45462</v>
      </c>
      <c r="C674" s="1" t="n">
        <v>46030</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13352-2023</t>
        </is>
      </c>
      <c r="B675" s="1" t="n">
        <v>45005</v>
      </c>
      <c r="C675" s="1" t="n">
        <v>46030</v>
      </c>
      <c r="D675" t="inlineStr">
        <is>
          <t>UPPSALA LÄN</t>
        </is>
      </c>
      <c r="E675" t="inlineStr">
        <is>
          <t>ÖSTHAMMAR</t>
        </is>
      </c>
      <c r="G675" t="n">
        <v>1.8</v>
      </c>
      <c r="H675" t="n">
        <v>0</v>
      </c>
      <c r="I675" t="n">
        <v>0</v>
      </c>
      <c r="J675" t="n">
        <v>0</v>
      </c>
      <c r="K675" t="n">
        <v>0</v>
      </c>
      <c r="L675" t="n">
        <v>0</v>
      </c>
      <c r="M675" t="n">
        <v>0</v>
      </c>
      <c r="N675" t="n">
        <v>0</v>
      </c>
      <c r="O675" t="n">
        <v>0</v>
      </c>
      <c r="P675" t="n">
        <v>0</v>
      </c>
      <c r="Q675" t="n">
        <v>0</v>
      </c>
      <c r="R675" s="2" t="inlineStr"/>
    </row>
    <row r="676" ht="15" customHeight="1">
      <c r="A676" t="inlineStr">
        <is>
          <t>A 22804-2022</t>
        </is>
      </c>
      <c r="B676" s="1" t="n">
        <v>44715</v>
      </c>
      <c r="C676" s="1" t="n">
        <v>46030</v>
      </c>
      <c r="D676" t="inlineStr">
        <is>
          <t>UPPSALA LÄN</t>
        </is>
      </c>
      <c r="E676" t="inlineStr">
        <is>
          <t>ÖSTHAMMAR</t>
        </is>
      </c>
      <c r="G676" t="n">
        <v>2.7</v>
      </c>
      <c r="H676" t="n">
        <v>0</v>
      </c>
      <c r="I676" t="n">
        <v>0</v>
      </c>
      <c r="J676" t="n">
        <v>0</v>
      </c>
      <c r="K676" t="n">
        <v>0</v>
      </c>
      <c r="L676" t="n">
        <v>0</v>
      </c>
      <c r="M676" t="n">
        <v>0</v>
      </c>
      <c r="N676" t="n">
        <v>0</v>
      </c>
      <c r="O676" t="n">
        <v>0</v>
      </c>
      <c r="P676" t="n">
        <v>0</v>
      </c>
      <c r="Q676" t="n">
        <v>0</v>
      </c>
      <c r="R676" s="2" t="inlineStr"/>
    </row>
    <row r="677" ht="15" customHeight="1">
      <c r="A677" t="inlineStr">
        <is>
          <t>A 45795-2023</t>
        </is>
      </c>
      <c r="B677" s="1" t="n">
        <v>45195</v>
      </c>
      <c r="C677" s="1" t="n">
        <v>46030</v>
      </c>
      <c r="D677" t="inlineStr">
        <is>
          <t>UPPSALA LÄN</t>
        </is>
      </c>
      <c r="E677" t="inlineStr">
        <is>
          <t>ÖSTHAMMAR</t>
        </is>
      </c>
      <c r="G677" t="n">
        <v>4</v>
      </c>
      <c r="H677" t="n">
        <v>0</v>
      </c>
      <c r="I677" t="n">
        <v>0</v>
      </c>
      <c r="J677" t="n">
        <v>0</v>
      </c>
      <c r="K677" t="n">
        <v>0</v>
      </c>
      <c r="L677" t="n">
        <v>0</v>
      </c>
      <c r="M677" t="n">
        <v>0</v>
      </c>
      <c r="N677" t="n">
        <v>0</v>
      </c>
      <c r="O677" t="n">
        <v>0</v>
      </c>
      <c r="P677" t="n">
        <v>0</v>
      </c>
      <c r="Q677" t="n">
        <v>0</v>
      </c>
      <c r="R677" s="2" t="inlineStr"/>
    </row>
    <row r="678" ht="15" customHeight="1">
      <c r="A678" t="inlineStr">
        <is>
          <t>A 7997-2022</t>
        </is>
      </c>
      <c r="B678" s="1" t="n">
        <v>44609</v>
      </c>
      <c r="C678" s="1" t="n">
        <v>46030</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67199-2021</t>
        </is>
      </c>
      <c r="B679" s="1" t="n">
        <v>44523.46197916667</v>
      </c>
      <c r="C679" s="1" t="n">
        <v>46030</v>
      </c>
      <c r="D679" t="inlineStr">
        <is>
          <t>UPPSALA LÄN</t>
        </is>
      </c>
      <c r="E679" t="inlineStr">
        <is>
          <t>ÖSTHAMMAR</t>
        </is>
      </c>
      <c r="G679" t="n">
        <v>2.3</v>
      </c>
      <c r="H679" t="n">
        <v>0</v>
      </c>
      <c r="I679" t="n">
        <v>0</v>
      </c>
      <c r="J679" t="n">
        <v>0</v>
      </c>
      <c r="K679" t="n">
        <v>0</v>
      </c>
      <c r="L679" t="n">
        <v>0</v>
      </c>
      <c r="M679" t="n">
        <v>0</v>
      </c>
      <c r="N679" t="n">
        <v>0</v>
      </c>
      <c r="O679" t="n">
        <v>0</v>
      </c>
      <c r="P679" t="n">
        <v>0</v>
      </c>
      <c r="Q679" t="n">
        <v>0</v>
      </c>
      <c r="R679" s="2" t="inlineStr"/>
    </row>
    <row r="680" ht="15" customHeight="1">
      <c r="A680" t="inlineStr">
        <is>
          <t>A 15449-2022</t>
        </is>
      </c>
      <c r="B680" s="1" t="n">
        <v>44660.91659722223</v>
      </c>
      <c r="C680" s="1" t="n">
        <v>46030</v>
      </c>
      <c r="D680" t="inlineStr">
        <is>
          <t>UPPSALA LÄN</t>
        </is>
      </c>
      <c r="E680" t="inlineStr">
        <is>
          <t>ÖSTHAMMAR</t>
        </is>
      </c>
      <c r="F680" t="inlineStr">
        <is>
          <t>Bergvik skog öst AB</t>
        </is>
      </c>
      <c r="G680" t="n">
        <v>2</v>
      </c>
      <c r="H680" t="n">
        <v>0</v>
      </c>
      <c r="I680" t="n">
        <v>0</v>
      </c>
      <c r="J680" t="n">
        <v>0</v>
      </c>
      <c r="K680" t="n">
        <v>0</v>
      </c>
      <c r="L680" t="n">
        <v>0</v>
      </c>
      <c r="M680" t="n">
        <v>0</v>
      </c>
      <c r="N680" t="n">
        <v>0</v>
      </c>
      <c r="O680" t="n">
        <v>0</v>
      </c>
      <c r="P680" t="n">
        <v>0</v>
      </c>
      <c r="Q680" t="n">
        <v>0</v>
      </c>
      <c r="R680" s="2" t="inlineStr"/>
    </row>
    <row r="681" ht="15" customHeight="1">
      <c r="A681" t="inlineStr">
        <is>
          <t>A 18183-2022</t>
        </is>
      </c>
      <c r="B681" s="1" t="n">
        <v>44684</v>
      </c>
      <c r="C681" s="1" t="n">
        <v>46030</v>
      </c>
      <c r="D681" t="inlineStr">
        <is>
          <t>UPPSALA LÄN</t>
        </is>
      </c>
      <c r="E681" t="inlineStr">
        <is>
          <t>ÖSTHAMMAR</t>
        </is>
      </c>
      <c r="G681" t="n">
        <v>0.2</v>
      </c>
      <c r="H681" t="n">
        <v>0</v>
      </c>
      <c r="I681" t="n">
        <v>0</v>
      </c>
      <c r="J681" t="n">
        <v>0</v>
      </c>
      <c r="K681" t="n">
        <v>0</v>
      </c>
      <c r="L681" t="n">
        <v>0</v>
      </c>
      <c r="M681" t="n">
        <v>0</v>
      </c>
      <c r="N681" t="n">
        <v>0</v>
      </c>
      <c r="O681" t="n">
        <v>0</v>
      </c>
      <c r="P681" t="n">
        <v>0</v>
      </c>
      <c r="Q681" t="n">
        <v>0</v>
      </c>
      <c r="R681" s="2" t="inlineStr"/>
    </row>
    <row r="682" ht="15" customHeight="1">
      <c r="A682" t="inlineStr">
        <is>
          <t>A 6892-2022</t>
        </is>
      </c>
      <c r="B682" s="1" t="n">
        <v>44602</v>
      </c>
      <c r="C682" s="1" t="n">
        <v>46030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62295-2022</t>
        </is>
      </c>
      <c r="B683" s="1" t="n">
        <v>44916</v>
      </c>
      <c r="C683" s="1" t="n">
        <v>46030</v>
      </c>
      <c r="D683" t="inlineStr">
        <is>
          <t>UPPSALA LÄN</t>
        </is>
      </c>
      <c r="E683" t="inlineStr">
        <is>
          <t>ÖSTHAMMAR</t>
        </is>
      </c>
      <c r="G683" t="n">
        <v>3.3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46030</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18091-2023</t>
        </is>
      </c>
      <c r="B685" s="1" t="n">
        <v>45040</v>
      </c>
      <c r="C685" s="1" t="n">
        <v>46030</v>
      </c>
      <c r="D685" t="inlineStr">
        <is>
          <t>UPPSALA LÄN</t>
        </is>
      </c>
      <c r="E685" t="inlineStr">
        <is>
          <t>ÖSTHAMMAR</t>
        </is>
      </c>
      <c r="G685" t="n">
        <v>2.4</v>
      </c>
      <c r="H685" t="n">
        <v>0</v>
      </c>
      <c r="I685" t="n">
        <v>0</v>
      </c>
      <c r="J685" t="n">
        <v>0</v>
      </c>
      <c r="K685" t="n">
        <v>0</v>
      </c>
      <c r="L685" t="n">
        <v>0</v>
      </c>
      <c r="M685" t="n">
        <v>0</v>
      </c>
      <c r="N685" t="n">
        <v>0</v>
      </c>
      <c r="O685" t="n">
        <v>0</v>
      </c>
      <c r="P685" t="n">
        <v>0</v>
      </c>
      <c r="Q685" t="n">
        <v>0</v>
      </c>
      <c r="R685" s="2" t="inlineStr"/>
    </row>
    <row r="686" ht="15" customHeight="1">
      <c r="A686" t="inlineStr">
        <is>
          <t>A 47522-2023</t>
        </is>
      </c>
      <c r="B686" s="1" t="n">
        <v>45203</v>
      </c>
      <c r="C686" s="1" t="n">
        <v>46030</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13358-2024</t>
        </is>
      </c>
      <c r="B687" s="1" t="n">
        <v>45387.3503125</v>
      </c>
      <c r="C687" s="1" t="n">
        <v>46030</v>
      </c>
      <c r="D687" t="inlineStr">
        <is>
          <t>UPPSALA LÄN</t>
        </is>
      </c>
      <c r="E687" t="inlineStr">
        <is>
          <t>ÖSTHAMMAR</t>
        </is>
      </c>
      <c r="G687" t="n">
        <v>2.2</v>
      </c>
      <c r="H687" t="n">
        <v>0</v>
      </c>
      <c r="I687" t="n">
        <v>0</v>
      </c>
      <c r="J687" t="n">
        <v>0</v>
      </c>
      <c r="K687" t="n">
        <v>0</v>
      </c>
      <c r="L687" t="n">
        <v>0</v>
      </c>
      <c r="M687" t="n">
        <v>0</v>
      </c>
      <c r="N687" t="n">
        <v>0</v>
      </c>
      <c r="O687" t="n">
        <v>0</v>
      </c>
      <c r="P687" t="n">
        <v>0</v>
      </c>
      <c r="Q687" t="n">
        <v>0</v>
      </c>
      <c r="R687" s="2" t="inlineStr"/>
    </row>
    <row r="688" ht="15" customHeight="1">
      <c r="A688" t="inlineStr">
        <is>
          <t>A 29282-2021</t>
        </is>
      </c>
      <c r="B688" s="1" t="n">
        <v>44361</v>
      </c>
      <c r="C688" s="1" t="n">
        <v>46030</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54366-2023</t>
        </is>
      </c>
      <c r="B689" s="1" t="n">
        <v>45233</v>
      </c>
      <c r="C689" s="1" t="n">
        <v>46030</v>
      </c>
      <c r="D689" t="inlineStr">
        <is>
          <t>UPPSALA LÄN</t>
        </is>
      </c>
      <c r="E689" t="inlineStr">
        <is>
          <t>ÖSTHAMMAR</t>
        </is>
      </c>
      <c r="F689" t="inlineStr">
        <is>
          <t>Bergvik skog öst AB</t>
        </is>
      </c>
      <c r="G689" t="n">
        <v>2.9</v>
      </c>
      <c r="H689" t="n">
        <v>0</v>
      </c>
      <c r="I689" t="n">
        <v>0</v>
      </c>
      <c r="J689" t="n">
        <v>0</v>
      </c>
      <c r="K689" t="n">
        <v>0</v>
      </c>
      <c r="L689" t="n">
        <v>0</v>
      </c>
      <c r="M689" t="n">
        <v>0</v>
      </c>
      <c r="N689" t="n">
        <v>0</v>
      </c>
      <c r="O689" t="n">
        <v>0</v>
      </c>
      <c r="P689" t="n">
        <v>0</v>
      </c>
      <c r="Q689" t="n">
        <v>0</v>
      </c>
      <c r="R689" s="2" t="inlineStr"/>
    </row>
    <row r="690" ht="15" customHeight="1">
      <c r="A690" t="inlineStr">
        <is>
          <t>A 52694-2023</t>
        </is>
      </c>
      <c r="B690" s="1" t="n">
        <v>45225.76836805556</v>
      </c>
      <c r="C690" s="1" t="n">
        <v>46030</v>
      </c>
      <c r="D690" t="inlineStr">
        <is>
          <t>UPPSALA LÄN</t>
        </is>
      </c>
      <c r="E690" t="inlineStr">
        <is>
          <t>ÖSTHAMMAR</t>
        </is>
      </c>
      <c r="G690" t="n">
        <v>0.8</v>
      </c>
      <c r="H690" t="n">
        <v>0</v>
      </c>
      <c r="I690" t="n">
        <v>0</v>
      </c>
      <c r="J690" t="n">
        <v>0</v>
      </c>
      <c r="K690" t="n">
        <v>0</v>
      </c>
      <c r="L690" t="n">
        <v>0</v>
      </c>
      <c r="M690" t="n">
        <v>0</v>
      </c>
      <c r="N690" t="n">
        <v>0</v>
      </c>
      <c r="O690" t="n">
        <v>0</v>
      </c>
      <c r="P690" t="n">
        <v>0</v>
      </c>
      <c r="Q690" t="n">
        <v>0</v>
      </c>
      <c r="R690" s="2" t="inlineStr"/>
    </row>
    <row r="691" ht="15" customHeight="1">
      <c r="A691" t="inlineStr">
        <is>
          <t>A 23120-2021</t>
        </is>
      </c>
      <c r="B691" s="1" t="n">
        <v>44330</v>
      </c>
      <c r="C691" s="1" t="n">
        <v>46030</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36873-2022</t>
        </is>
      </c>
      <c r="B692" s="1" t="n">
        <v>44805.63708333333</v>
      </c>
      <c r="C692" s="1" t="n">
        <v>46030</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54666-2022</t>
        </is>
      </c>
      <c r="B693" s="1" t="n">
        <v>44883</v>
      </c>
      <c r="C693" s="1" t="n">
        <v>46030</v>
      </c>
      <c r="D693" t="inlineStr">
        <is>
          <t>UPPSALA LÄN</t>
        </is>
      </c>
      <c r="E693" t="inlineStr">
        <is>
          <t>ÖSTHAMMAR</t>
        </is>
      </c>
      <c r="G693" t="n">
        <v>14.3</v>
      </c>
      <c r="H693" t="n">
        <v>0</v>
      </c>
      <c r="I693" t="n">
        <v>0</v>
      </c>
      <c r="J693" t="n">
        <v>0</v>
      </c>
      <c r="K693" t="n">
        <v>0</v>
      </c>
      <c r="L693" t="n">
        <v>0</v>
      </c>
      <c r="M693" t="n">
        <v>0</v>
      </c>
      <c r="N693" t="n">
        <v>0</v>
      </c>
      <c r="O693" t="n">
        <v>0</v>
      </c>
      <c r="P693" t="n">
        <v>0</v>
      </c>
      <c r="Q693" t="n">
        <v>0</v>
      </c>
      <c r="R693" s="2" t="inlineStr"/>
    </row>
    <row r="694" ht="15" customHeight="1">
      <c r="A694" t="inlineStr">
        <is>
          <t>A 61817-2021</t>
        </is>
      </c>
      <c r="B694" s="1" t="n">
        <v>44501.76855324074</v>
      </c>
      <c r="C694" s="1" t="n">
        <v>46030</v>
      </c>
      <c r="D694" t="inlineStr">
        <is>
          <t>UPPSALA LÄN</t>
        </is>
      </c>
      <c r="E694" t="inlineStr">
        <is>
          <t>ÖSTHAMMAR</t>
        </is>
      </c>
      <c r="F694" t="inlineStr">
        <is>
          <t>Bergvik skog öst AB</t>
        </is>
      </c>
      <c r="G694" t="n">
        <v>2.3</v>
      </c>
      <c r="H694" t="n">
        <v>0</v>
      </c>
      <c r="I694" t="n">
        <v>0</v>
      </c>
      <c r="J694" t="n">
        <v>0</v>
      </c>
      <c r="K694" t="n">
        <v>0</v>
      </c>
      <c r="L694" t="n">
        <v>0</v>
      </c>
      <c r="M694" t="n">
        <v>0</v>
      </c>
      <c r="N694" t="n">
        <v>0</v>
      </c>
      <c r="O694" t="n">
        <v>0</v>
      </c>
      <c r="P694" t="n">
        <v>0</v>
      </c>
      <c r="Q694" t="n">
        <v>0</v>
      </c>
      <c r="R694" s="2" t="inlineStr"/>
    </row>
    <row r="695" ht="15" customHeight="1">
      <c r="A695" t="inlineStr">
        <is>
          <t>A 54437-2024</t>
        </is>
      </c>
      <c r="B695" s="1" t="n">
        <v>45617</v>
      </c>
      <c r="C695" s="1" t="n">
        <v>46030</v>
      </c>
      <c r="D695" t="inlineStr">
        <is>
          <t>UPPSALA LÄN</t>
        </is>
      </c>
      <c r="E695" t="inlineStr">
        <is>
          <t>ÖSTHAMMAR</t>
        </is>
      </c>
      <c r="G695" t="n">
        <v>2.1</v>
      </c>
      <c r="H695" t="n">
        <v>0</v>
      </c>
      <c r="I695" t="n">
        <v>0</v>
      </c>
      <c r="J695" t="n">
        <v>0</v>
      </c>
      <c r="K695" t="n">
        <v>0</v>
      </c>
      <c r="L695" t="n">
        <v>0</v>
      </c>
      <c r="M695" t="n">
        <v>0</v>
      </c>
      <c r="N695" t="n">
        <v>0</v>
      </c>
      <c r="O695" t="n">
        <v>0</v>
      </c>
      <c r="P695" t="n">
        <v>0</v>
      </c>
      <c r="Q695" t="n">
        <v>0</v>
      </c>
      <c r="R695" s="2" t="inlineStr"/>
    </row>
    <row r="696" ht="15" customHeight="1">
      <c r="A696" t="inlineStr">
        <is>
          <t>A 9052-2023</t>
        </is>
      </c>
      <c r="B696" s="1" t="n">
        <v>44979</v>
      </c>
      <c r="C696" s="1" t="n">
        <v>46030</v>
      </c>
      <c r="D696" t="inlineStr">
        <is>
          <t>UPPSALA LÄN</t>
        </is>
      </c>
      <c r="E696" t="inlineStr">
        <is>
          <t>ÖSTHAMMAR</t>
        </is>
      </c>
      <c r="F696" t="inlineStr">
        <is>
          <t>Kyrkan</t>
        </is>
      </c>
      <c r="G696" t="n">
        <v>0.2</v>
      </c>
      <c r="H696" t="n">
        <v>0</v>
      </c>
      <c r="I696" t="n">
        <v>0</v>
      </c>
      <c r="J696" t="n">
        <v>0</v>
      </c>
      <c r="K696" t="n">
        <v>0</v>
      </c>
      <c r="L696" t="n">
        <v>0</v>
      </c>
      <c r="M696" t="n">
        <v>0</v>
      </c>
      <c r="N696" t="n">
        <v>0</v>
      </c>
      <c r="O696" t="n">
        <v>0</v>
      </c>
      <c r="P696" t="n">
        <v>0</v>
      </c>
      <c r="Q696" t="n">
        <v>0</v>
      </c>
      <c r="R696" s="2" t="inlineStr"/>
    </row>
    <row r="697" ht="15" customHeight="1">
      <c r="A697" t="inlineStr">
        <is>
          <t>A 28152-2024</t>
        </is>
      </c>
      <c r="B697" s="1" t="n">
        <v>45476.77056712963</v>
      </c>
      <c r="C697" s="1" t="n">
        <v>46030</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20326-2021</t>
        </is>
      </c>
      <c r="B698" s="1" t="n">
        <v>44308</v>
      </c>
      <c r="C698" s="1" t="n">
        <v>46030</v>
      </c>
      <c r="D698" t="inlineStr">
        <is>
          <t>UPPSALA LÄN</t>
        </is>
      </c>
      <c r="E698" t="inlineStr">
        <is>
          <t>ÖSTHAMMAR</t>
        </is>
      </c>
      <c r="G698" t="n">
        <v>0.7</v>
      </c>
      <c r="H698" t="n">
        <v>0</v>
      </c>
      <c r="I698" t="n">
        <v>0</v>
      </c>
      <c r="J698" t="n">
        <v>0</v>
      </c>
      <c r="K698" t="n">
        <v>0</v>
      </c>
      <c r="L698" t="n">
        <v>0</v>
      </c>
      <c r="M698" t="n">
        <v>0</v>
      </c>
      <c r="N698" t="n">
        <v>0</v>
      </c>
      <c r="O698" t="n">
        <v>0</v>
      </c>
      <c r="P698" t="n">
        <v>0</v>
      </c>
      <c r="Q698" t="n">
        <v>0</v>
      </c>
      <c r="R698" s="2" t="inlineStr"/>
    </row>
    <row r="699" ht="15" customHeight="1">
      <c r="A699" t="inlineStr">
        <is>
          <t>A 17643-2025</t>
        </is>
      </c>
      <c r="B699" s="1" t="n">
        <v>45758.32454861111</v>
      </c>
      <c r="C699" s="1" t="n">
        <v>46030</v>
      </c>
      <c r="D699" t="inlineStr">
        <is>
          <t>UPPSALA LÄN</t>
        </is>
      </c>
      <c r="E699" t="inlineStr">
        <is>
          <t>ÖSTHAMMAR</t>
        </is>
      </c>
      <c r="F699" t="inlineStr">
        <is>
          <t>Bergvik skog väst AB</t>
        </is>
      </c>
      <c r="G699" t="n">
        <v>2.6</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44998.66662037037</v>
      </c>
      <c r="C700" s="1" t="n">
        <v>46030</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41478-2024</t>
        </is>
      </c>
      <c r="B701" s="1" t="n">
        <v>45560.44158564815</v>
      </c>
      <c r="C701" s="1" t="n">
        <v>46030</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16141-2022</t>
        </is>
      </c>
      <c r="B702" s="1" t="n">
        <v>44665</v>
      </c>
      <c r="C702" s="1" t="n">
        <v>46030</v>
      </c>
      <c r="D702" t="inlineStr">
        <is>
          <t>UPPSALA LÄN</t>
        </is>
      </c>
      <c r="E702" t="inlineStr">
        <is>
          <t>ÖSTHAMMAR</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34922-2023</t>
        </is>
      </c>
      <c r="B703" s="1" t="n">
        <v>45142.48359953704</v>
      </c>
      <c r="C703" s="1" t="n">
        <v>46030</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23495-2023</t>
        </is>
      </c>
      <c r="B704" s="1" t="n">
        <v>45076.71652777777</v>
      </c>
      <c r="C704" s="1" t="n">
        <v>46030</v>
      </c>
      <c r="D704" t="inlineStr">
        <is>
          <t>UPPSALA LÄN</t>
        </is>
      </c>
      <c r="E704" t="inlineStr">
        <is>
          <t>ÖSTHAMMAR</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38233-2024</t>
        </is>
      </c>
      <c r="B705" s="1" t="n">
        <v>45545</v>
      </c>
      <c r="C705" s="1" t="n">
        <v>46030</v>
      </c>
      <c r="D705" t="inlineStr">
        <is>
          <t>UPPSALA LÄN</t>
        </is>
      </c>
      <c r="E705" t="inlineStr">
        <is>
          <t>ÖSTHAMMAR</t>
        </is>
      </c>
      <c r="G705" t="n">
        <v>3.4</v>
      </c>
      <c r="H705" t="n">
        <v>0</v>
      </c>
      <c r="I705" t="n">
        <v>0</v>
      </c>
      <c r="J705" t="n">
        <v>0</v>
      </c>
      <c r="K705" t="n">
        <v>0</v>
      </c>
      <c r="L705" t="n">
        <v>0</v>
      </c>
      <c r="M705" t="n">
        <v>0</v>
      </c>
      <c r="N705" t="n">
        <v>0</v>
      </c>
      <c r="O705" t="n">
        <v>0</v>
      </c>
      <c r="P705" t="n">
        <v>0</v>
      </c>
      <c r="Q705" t="n">
        <v>0</v>
      </c>
      <c r="R705" s="2" t="inlineStr"/>
    </row>
    <row r="706" ht="15" customHeight="1">
      <c r="A706" t="inlineStr">
        <is>
          <t>A 17947-2022</t>
        </is>
      </c>
      <c r="B706" s="1" t="n">
        <v>44683</v>
      </c>
      <c r="C706" s="1" t="n">
        <v>46030</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22798-2023</t>
        </is>
      </c>
      <c r="B707" s="1" t="n">
        <v>45072</v>
      </c>
      <c r="C707" s="1" t="n">
        <v>46030</v>
      </c>
      <c r="D707" t="inlineStr">
        <is>
          <t>UPPSALA LÄN</t>
        </is>
      </c>
      <c r="E707" t="inlineStr">
        <is>
          <t>ÖSTHAMMAR</t>
        </is>
      </c>
      <c r="G707" t="n">
        <v>1</v>
      </c>
      <c r="H707" t="n">
        <v>0</v>
      </c>
      <c r="I707" t="n">
        <v>0</v>
      </c>
      <c r="J707" t="n">
        <v>0</v>
      </c>
      <c r="K707" t="n">
        <v>0</v>
      </c>
      <c r="L707" t="n">
        <v>0</v>
      </c>
      <c r="M707" t="n">
        <v>0</v>
      </c>
      <c r="N707" t="n">
        <v>0</v>
      </c>
      <c r="O707" t="n">
        <v>0</v>
      </c>
      <c r="P707" t="n">
        <v>0</v>
      </c>
      <c r="Q707" t="n">
        <v>0</v>
      </c>
      <c r="R707" s="2" t="inlineStr"/>
    </row>
    <row r="708" ht="15" customHeight="1">
      <c r="A708" t="inlineStr">
        <is>
          <t>A 11547-2022</t>
        </is>
      </c>
      <c r="B708" s="1" t="n">
        <v>44631.43116898148</v>
      </c>
      <c r="C708" s="1" t="n">
        <v>46030</v>
      </c>
      <c r="D708" t="inlineStr">
        <is>
          <t>UPPSALA LÄN</t>
        </is>
      </c>
      <c r="E708" t="inlineStr">
        <is>
          <t>ÖSTHAMMAR</t>
        </is>
      </c>
      <c r="G708" t="n">
        <v>4.4</v>
      </c>
      <c r="H708" t="n">
        <v>0</v>
      </c>
      <c r="I708" t="n">
        <v>0</v>
      </c>
      <c r="J708" t="n">
        <v>0</v>
      </c>
      <c r="K708" t="n">
        <v>0</v>
      </c>
      <c r="L708" t="n">
        <v>0</v>
      </c>
      <c r="M708" t="n">
        <v>0</v>
      </c>
      <c r="N708" t="n">
        <v>0</v>
      </c>
      <c r="O708" t="n">
        <v>0</v>
      </c>
      <c r="P708" t="n">
        <v>0</v>
      </c>
      <c r="Q708" t="n">
        <v>0</v>
      </c>
      <c r="R708" s="2" t="inlineStr"/>
    </row>
    <row r="709" ht="15" customHeight="1">
      <c r="A709" t="inlineStr">
        <is>
          <t>A 4561-2022</t>
        </is>
      </c>
      <c r="B709" s="1" t="n">
        <v>44591.59170138889</v>
      </c>
      <c r="C709" s="1" t="n">
        <v>46030</v>
      </c>
      <c r="D709" t="inlineStr">
        <is>
          <t>UPPSALA LÄN</t>
        </is>
      </c>
      <c r="E709" t="inlineStr">
        <is>
          <t>ÖSTHAMMAR</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23741-2024</t>
        </is>
      </c>
      <c r="B710" s="1" t="n">
        <v>45455</v>
      </c>
      <c r="C710" s="1" t="n">
        <v>46030</v>
      </c>
      <c r="D710" t="inlineStr">
        <is>
          <t>UPPSALA LÄN</t>
        </is>
      </c>
      <c r="E710" t="inlineStr">
        <is>
          <t>ÖSTHAMMAR</t>
        </is>
      </c>
      <c r="F710" t="inlineStr">
        <is>
          <t>Bergvik skog öst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26612-2023</t>
        </is>
      </c>
      <c r="B711" s="1" t="n">
        <v>45089</v>
      </c>
      <c r="C711" s="1" t="n">
        <v>46030</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32244-2021</t>
        </is>
      </c>
      <c r="B712" s="1" t="n">
        <v>44371.45335648148</v>
      </c>
      <c r="C712" s="1" t="n">
        <v>46030</v>
      </c>
      <c r="D712" t="inlineStr">
        <is>
          <t>UPPSALA LÄN</t>
        </is>
      </c>
      <c r="E712" t="inlineStr">
        <is>
          <t>ÖSTHAMMAR</t>
        </is>
      </c>
      <c r="F712" t="inlineStr">
        <is>
          <t>Bergvik skog öst AB</t>
        </is>
      </c>
      <c r="G712" t="n">
        <v>2.6</v>
      </c>
      <c r="H712" t="n">
        <v>0</v>
      </c>
      <c r="I712" t="n">
        <v>0</v>
      </c>
      <c r="J712" t="n">
        <v>0</v>
      </c>
      <c r="K712" t="n">
        <v>0</v>
      </c>
      <c r="L712" t="n">
        <v>0</v>
      </c>
      <c r="M712" t="n">
        <v>0</v>
      </c>
      <c r="N712" t="n">
        <v>0</v>
      </c>
      <c r="O712" t="n">
        <v>0</v>
      </c>
      <c r="P712" t="n">
        <v>0</v>
      </c>
      <c r="Q712" t="n">
        <v>0</v>
      </c>
      <c r="R712" s="2" t="inlineStr"/>
    </row>
    <row r="713" ht="15" customHeight="1">
      <c r="A713" t="inlineStr">
        <is>
          <t>A 60079-2022</t>
        </is>
      </c>
      <c r="B713" s="1" t="n">
        <v>44909</v>
      </c>
      <c r="C713" s="1" t="n">
        <v>46030</v>
      </c>
      <c r="D713" t="inlineStr">
        <is>
          <t>UPPSALA LÄN</t>
        </is>
      </c>
      <c r="E713" t="inlineStr">
        <is>
          <t>ÖSTHAMMAR</t>
        </is>
      </c>
      <c r="G713" t="n">
        <v>9.6</v>
      </c>
      <c r="H713" t="n">
        <v>0</v>
      </c>
      <c r="I713" t="n">
        <v>0</v>
      </c>
      <c r="J713" t="n">
        <v>0</v>
      </c>
      <c r="K713" t="n">
        <v>0</v>
      </c>
      <c r="L713" t="n">
        <v>0</v>
      </c>
      <c r="M713" t="n">
        <v>0</v>
      </c>
      <c r="N713" t="n">
        <v>0</v>
      </c>
      <c r="O713" t="n">
        <v>0</v>
      </c>
      <c r="P713" t="n">
        <v>0</v>
      </c>
      <c r="Q713" t="n">
        <v>0</v>
      </c>
      <c r="R713" s="2" t="inlineStr"/>
    </row>
    <row r="714" ht="15" customHeight="1">
      <c r="A714" t="inlineStr">
        <is>
          <t>A 40637-2022</t>
        </is>
      </c>
      <c r="B714" s="1" t="n">
        <v>44824</v>
      </c>
      <c r="C714" s="1" t="n">
        <v>46030</v>
      </c>
      <c r="D714" t="inlineStr">
        <is>
          <t>UPPSALA LÄN</t>
        </is>
      </c>
      <c r="E714" t="inlineStr">
        <is>
          <t>ÖSTHAMMAR</t>
        </is>
      </c>
      <c r="F714" t="inlineStr">
        <is>
          <t>Övriga Aktiebolag</t>
        </is>
      </c>
      <c r="G714" t="n">
        <v>3.7</v>
      </c>
      <c r="H714" t="n">
        <v>0</v>
      </c>
      <c r="I714" t="n">
        <v>0</v>
      </c>
      <c r="J714" t="n">
        <v>0</v>
      </c>
      <c r="K714" t="n">
        <v>0</v>
      </c>
      <c r="L714" t="n">
        <v>0</v>
      </c>
      <c r="M714" t="n">
        <v>0</v>
      </c>
      <c r="N714" t="n">
        <v>0</v>
      </c>
      <c r="O714" t="n">
        <v>0</v>
      </c>
      <c r="P714" t="n">
        <v>0</v>
      </c>
      <c r="Q714" t="n">
        <v>0</v>
      </c>
      <c r="R714" s="2" t="inlineStr"/>
    </row>
    <row r="715" ht="15" customHeight="1">
      <c r="A715" t="inlineStr">
        <is>
          <t>A 56260-2022</t>
        </is>
      </c>
      <c r="B715" s="1" t="n">
        <v>44890</v>
      </c>
      <c r="C715" s="1" t="n">
        <v>46030</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62394-2022</t>
        </is>
      </c>
      <c r="B716" s="1" t="n">
        <v>44923.82017361111</v>
      </c>
      <c r="C716" s="1" t="n">
        <v>46030</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22709-2021</t>
        </is>
      </c>
      <c r="B717" s="1" t="n">
        <v>44327.61518518518</v>
      </c>
      <c r="C717" s="1" t="n">
        <v>46030</v>
      </c>
      <c r="D717" t="inlineStr">
        <is>
          <t>UPPSALA LÄN</t>
        </is>
      </c>
      <c r="E717" t="inlineStr">
        <is>
          <t>ÖSTHAMMAR</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8616-2023</t>
        </is>
      </c>
      <c r="B718" s="1" t="n">
        <v>44977</v>
      </c>
      <c r="C718" s="1" t="n">
        <v>46030</v>
      </c>
      <c r="D718" t="inlineStr">
        <is>
          <t>UPPSALA LÄN</t>
        </is>
      </c>
      <c r="E718" t="inlineStr">
        <is>
          <t>ÖSTHAMMAR</t>
        </is>
      </c>
      <c r="F718" t="inlineStr">
        <is>
          <t>Bergvik skog öst AB</t>
        </is>
      </c>
      <c r="G718" t="n">
        <v>0.2</v>
      </c>
      <c r="H718" t="n">
        <v>0</v>
      </c>
      <c r="I718" t="n">
        <v>0</v>
      </c>
      <c r="J718" t="n">
        <v>0</v>
      </c>
      <c r="K718" t="n">
        <v>0</v>
      </c>
      <c r="L718" t="n">
        <v>0</v>
      </c>
      <c r="M718" t="n">
        <v>0</v>
      </c>
      <c r="N718" t="n">
        <v>0</v>
      </c>
      <c r="O718" t="n">
        <v>0</v>
      </c>
      <c r="P718" t="n">
        <v>0</v>
      </c>
      <c r="Q718" t="n">
        <v>0</v>
      </c>
      <c r="R718" s="2" t="inlineStr"/>
    </row>
    <row r="719" ht="15" customHeight="1">
      <c r="A719" t="inlineStr">
        <is>
          <t>A 41538-2021</t>
        </is>
      </c>
      <c r="B719" s="1" t="n">
        <v>44425.35016203704</v>
      </c>
      <c r="C719" s="1" t="n">
        <v>46030</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34742-2022</t>
        </is>
      </c>
      <c r="B720" s="1" t="n">
        <v>44795.61990740741</v>
      </c>
      <c r="C720" s="1" t="n">
        <v>46030</v>
      </c>
      <c r="D720" t="inlineStr">
        <is>
          <t>UPPSALA LÄN</t>
        </is>
      </c>
      <c r="E720" t="inlineStr">
        <is>
          <t>ÖSTHAMMAR</t>
        </is>
      </c>
      <c r="F720" t="inlineStr">
        <is>
          <t>Bergvik skog öst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4096-2025</t>
        </is>
      </c>
      <c r="B721" s="1" t="n">
        <v>45684</v>
      </c>
      <c r="C721" s="1" t="n">
        <v>46030</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55090-2024</t>
        </is>
      </c>
      <c r="B722" s="1" t="n">
        <v>45621.4350462963</v>
      </c>
      <c r="C722" s="1" t="n">
        <v>46030</v>
      </c>
      <c r="D722" t="inlineStr">
        <is>
          <t>UPPSALA LÄN</t>
        </is>
      </c>
      <c r="E722" t="inlineStr">
        <is>
          <t>ÖSTHAMMAR</t>
        </is>
      </c>
      <c r="F722" t="inlineStr">
        <is>
          <t>Sveaskog</t>
        </is>
      </c>
      <c r="G722" t="n">
        <v>4.4</v>
      </c>
      <c r="H722" t="n">
        <v>0</v>
      </c>
      <c r="I722" t="n">
        <v>0</v>
      </c>
      <c r="J722" t="n">
        <v>0</v>
      </c>
      <c r="K722" t="n">
        <v>0</v>
      </c>
      <c r="L722" t="n">
        <v>0</v>
      </c>
      <c r="M722" t="n">
        <v>0</v>
      </c>
      <c r="N722" t="n">
        <v>0</v>
      </c>
      <c r="O722" t="n">
        <v>0</v>
      </c>
      <c r="P722" t="n">
        <v>0</v>
      </c>
      <c r="Q722" t="n">
        <v>0</v>
      </c>
      <c r="R722" s="2" t="inlineStr"/>
    </row>
    <row r="723" ht="15" customHeight="1">
      <c r="A723" t="inlineStr">
        <is>
          <t>A 55093-2024</t>
        </is>
      </c>
      <c r="B723" s="1" t="n">
        <v>45621.43712962963</v>
      </c>
      <c r="C723" s="1" t="n">
        <v>46030</v>
      </c>
      <c r="D723" t="inlineStr">
        <is>
          <t>UPPSALA LÄN</t>
        </is>
      </c>
      <c r="E723" t="inlineStr">
        <is>
          <t>ÖSTHAMMAR</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55097-2024</t>
        </is>
      </c>
      <c r="B724" s="1" t="n">
        <v>45621.43855324074</v>
      </c>
      <c r="C724" s="1" t="n">
        <v>46030</v>
      </c>
      <c r="D724" t="inlineStr">
        <is>
          <t>UPPSALA LÄN</t>
        </is>
      </c>
      <c r="E724" t="inlineStr">
        <is>
          <t>ÖSTHAMMAR</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3327-2023</t>
        </is>
      </c>
      <c r="B725" s="1" t="n">
        <v>44949.4377662037</v>
      </c>
      <c r="C725" s="1" t="n">
        <v>46030</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41821-2023</t>
        </is>
      </c>
      <c r="B726" s="1" t="n">
        <v>45176</v>
      </c>
      <c r="C726" s="1" t="n">
        <v>46030</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35309-2023</t>
        </is>
      </c>
      <c r="B727" s="1" t="n">
        <v>45146</v>
      </c>
      <c r="C727" s="1" t="n">
        <v>46030</v>
      </c>
      <c r="D727" t="inlineStr">
        <is>
          <t>UPPSALA LÄN</t>
        </is>
      </c>
      <c r="E727" t="inlineStr">
        <is>
          <t>ÖSTHAMMAR</t>
        </is>
      </c>
      <c r="G727" t="n">
        <v>1.3</v>
      </c>
      <c r="H727" t="n">
        <v>0</v>
      </c>
      <c r="I727" t="n">
        <v>0</v>
      </c>
      <c r="J727" t="n">
        <v>0</v>
      </c>
      <c r="K727" t="n">
        <v>0</v>
      </c>
      <c r="L727" t="n">
        <v>0</v>
      </c>
      <c r="M727" t="n">
        <v>0</v>
      </c>
      <c r="N727" t="n">
        <v>0</v>
      </c>
      <c r="O727" t="n">
        <v>0</v>
      </c>
      <c r="P727" t="n">
        <v>0</v>
      </c>
      <c r="Q727" t="n">
        <v>0</v>
      </c>
      <c r="R727" s="2" t="inlineStr"/>
    </row>
    <row r="728" ht="15" customHeight="1">
      <c r="A728" t="inlineStr">
        <is>
          <t>A 14272-2025</t>
        </is>
      </c>
      <c r="B728" s="1" t="n">
        <v>45740.64327546296</v>
      </c>
      <c r="C728" s="1" t="n">
        <v>46030</v>
      </c>
      <c r="D728" t="inlineStr">
        <is>
          <t>UPPSALA LÄN</t>
        </is>
      </c>
      <c r="E728" t="inlineStr">
        <is>
          <t>ÖSTHAMMAR</t>
        </is>
      </c>
      <c r="G728" t="n">
        <v>5.7</v>
      </c>
      <c r="H728" t="n">
        <v>0</v>
      </c>
      <c r="I728" t="n">
        <v>0</v>
      </c>
      <c r="J728" t="n">
        <v>0</v>
      </c>
      <c r="K728" t="n">
        <v>0</v>
      </c>
      <c r="L728" t="n">
        <v>0</v>
      </c>
      <c r="M728" t="n">
        <v>0</v>
      </c>
      <c r="N728" t="n">
        <v>0</v>
      </c>
      <c r="O728" t="n">
        <v>0</v>
      </c>
      <c r="P728" t="n">
        <v>0</v>
      </c>
      <c r="Q728" t="n">
        <v>0</v>
      </c>
      <c r="R728" s="2" t="inlineStr"/>
    </row>
    <row r="729" ht="15" customHeight="1">
      <c r="A729" t="inlineStr">
        <is>
          <t>A 17940-2025</t>
        </is>
      </c>
      <c r="B729" s="1" t="n">
        <v>45760.55842592593</v>
      </c>
      <c r="C729" s="1" t="n">
        <v>46030</v>
      </c>
      <c r="D729" t="inlineStr">
        <is>
          <t>UPPSALA LÄN</t>
        </is>
      </c>
      <c r="E729" t="inlineStr">
        <is>
          <t>ÖSTHAMMAR</t>
        </is>
      </c>
      <c r="F729" t="inlineStr">
        <is>
          <t>Bergvik skog öst AB</t>
        </is>
      </c>
      <c r="G729" t="n">
        <v>5.6</v>
      </c>
      <c r="H729" t="n">
        <v>0</v>
      </c>
      <c r="I729" t="n">
        <v>0</v>
      </c>
      <c r="J729" t="n">
        <v>0</v>
      </c>
      <c r="K729" t="n">
        <v>0</v>
      </c>
      <c r="L729" t="n">
        <v>0</v>
      </c>
      <c r="M729" t="n">
        <v>0</v>
      </c>
      <c r="N729" t="n">
        <v>0</v>
      </c>
      <c r="O729" t="n">
        <v>0</v>
      </c>
      <c r="P729" t="n">
        <v>0</v>
      </c>
      <c r="Q729" t="n">
        <v>0</v>
      </c>
      <c r="R729" s="2" t="inlineStr"/>
    </row>
    <row r="730" ht="15" customHeight="1">
      <c r="A730" t="inlineStr">
        <is>
          <t>A 12215-2023</t>
        </is>
      </c>
      <c r="B730" s="1" t="n">
        <v>44998</v>
      </c>
      <c r="C730" s="1" t="n">
        <v>46030</v>
      </c>
      <c r="D730" t="inlineStr">
        <is>
          <t>UPPSALA LÄN</t>
        </is>
      </c>
      <c r="E730" t="inlineStr">
        <is>
          <t>ÖSTHAMMAR</t>
        </is>
      </c>
      <c r="G730" t="n">
        <v>5.1</v>
      </c>
      <c r="H730" t="n">
        <v>0</v>
      </c>
      <c r="I730" t="n">
        <v>0</v>
      </c>
      <c r="J730" t="n">
        <v>0</v>
      </c>
      <c r="K730" t="n">
        <v>0</v>
      </c>
      <c r="L730" t="n">
        <v>0</v>
      </c>
      <c r="M730" t="n">
        <v>0</v>
      </c>
      <c r="N730" t="n">
        <v>0</v>
      </c>
      <c r="O730" t="n">
        <v>0</v>
      </c>
      <c r="P730" t="n">
        <v>0</v>
      </c>
      <c r="Q730" t="n">
        <v>0</v>
      </c>
      <c r="R730" s="2" t="inlineStr"/>
    </row>
    <row r="731" ht="15" customHeight="1">
      <c r="A731" t="inlineStr">
        <is>
          <t>A 66779-2021</t>
        </is>
      </c>
      <c r="B731" s="1" t="n">
        <v>44522.31700231481</v>
      </c>
      <c r="C731" s="1" t="n">
        <v>46030</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33062-2021</t>
        </is>
      </c>
      <c r="B732" s="1" t="n">
        <v>44376</v>
      </c>
      <c r="C732" s="1" t="n">
        <v>46030</v>
      </c>
      <c r="D732" t="inlineStr">
        <is>
          <t>UPPSALA LÄN</t>
        </is>
      </c>
      <c r="E732" t="inlineStr">
        <is>
          <t>ÖSTHAMMAR</t>
        </is>
      </c>
      <c r="G732" t="n">
        <v>12</v>
      </c>
      <c r="H732" t="n">
        <v>0</v>
      </c>
      <c r="I732" t="n">
        <v>0</v>
      </c>
      <c r="J732" t="n">
        <v>0</v>
      </c>
      <c r="K732" t="n">
        <v>0</v>
      </c>
      <c r="L732" t="n">
        <v>0</v>
      </c>
      <c r="M732" t="n">
        <v>0</v>
      </c>
      <c r="N732" t="n">
        <v>0</v>
      </c>
      <c r="O732" t="n">
        <v>0</v>
      </c>
      <c r="P732" t="n">
        <v>0</v>
      </c>
      <c r="Q732" t="n">
        <v>0</v>
      </c>
      <c r="R732" s="2" t="inlineStr"/>
    </row>
    <row r="733" ht="15" customHeight="1">
      <c r="A733" t="inlineStr">
        <is>
          <t>A 24033-2023</t>
        </is>
      </c>
      <c r="B733" s="1" t="n">
        <v>45078</v>
      </c>
      <c r="C733" s="1" t="n">
        <v>46030</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17939-2025</t>
        </is>
      </c>
      <c r="B734" s="1" t="n">
        <v>45760.55671296296</v>
      </c>
      <c r="C734" s="1" t="n">
        <v>46030</v>
      </c>
      <c r="D734" t="inlineStr">
        <is>
          <t>UPPSALA LÄN</t>
        </is>
      </c>
      <c r="E734" t="inlineStr">
        <is>
          <t>ÖSTHAMMAR</t>
        </is>
      </c>
      <c r="F734" t="inlineStr">
        <is>
          <t>Bergvik skog öst AB</t>
        </is>
      </c>
      <c r="G734" t="n">
        <v>5.4</v>
      </c>
      <c r="H734" t="n">
        <v>0</v>
      </c>
      <c r="I734" t="n">
        <v>0</v>
      </c>
      <c r="J734" t="n">
        <v>0</v>
      </c>
      <c r="K734" t="n">
        <v>0</v>
      </c>
      <c r="L734" t="n">
        <v>0</v>
      </c>
      <c r="M734" t="n">
        <v>0</v>
      </c>
      <c r="N734" t="n">
        <v>0</v>
      </c>
      <c r="O734" t="n">
        <v>0</v>
      </c>
      <c r="P734" t="n">
        <v>0</v>
      </c>
      <c r="Q734" t="n">
        <v>0</v>
      </c>
      <c r="R734" s="2" t="inlineStr"/>
    </row>
    <row r="735" ht="15" customHeight="1">
      <c r="A735" t="inlineStr">
        <is>
          <t>A 3638-2022</t>
        </is>
      </c>
      <c r="B735" s="1" t="n">
        <v>44578</v>
      </c>
      <c r="C735" s="1" t="n">
        <v>46030</v>
      </c>
      <c r="D735" t="inlineStr">
        <is>
          <t>UPPSALA LÄN</t>
        </is>
      </c>
      <c r="E735" t="inlineStr">
        <is>
          <t>ÖSTHAMMAR</t>
        </is>
      </c>
      <c r="G735" t="n">
        <v>1.7</v>
      </c>
      <c r="H735" t="n">
        <v>0</v>
      </c>
      <c r="I735" t="n">
        <v>0</v>
      </c>
      <c r="J735" t="n">
        <v>0</v>
      </c>
      <c r="K735" t="n">
        <v>0</v>
      </c>
      <c r="L735" t="n">
        <v>0</v>
      </c>
      <c r="M735" t="n">
        <v>0</v>
      </c>
      <c r="N735" t="n">
        <v>0</v>
      </c>
      <c r="O735" t="n">
        <v>0</v>
      </c>
      <c r="P735" t="n">
        <v>0</v>
      </c>
      <c r="Q735" t="n">
        <v>0</v>
      </c>
      <c r="R735" s="2" t="inlineStr"/>
    </row>
    <row r="736" ht="15" customHeight="1">
      <c r="A736" t="inlineStr">
        <is>
          <t>A 49897-2023</t>
        </is>
      </c>
      <c r="B736" s="1" t="n">
        <v>45213.84846064815</v>
      </c>
      <c r="C736" s="1" t="n">
        <v>46030</v>
      </c>
      <c r="D736" t="inlineStr">
        <is>
          <t>UPPSALA LÄN</t>
        </is>
      </c>
      <c r="E736" t="inlineStr">
        <is>
          <t>ÖSTHAMMAR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37812-2022</t>
        </is>
      </c>
      <c r="B737" s="1" t="n">
        <v>44810</v>
      </c>
      <c r="C737" s="1" t="n">
        <v>46030</v>
      </c>
      <c r="D737" t="inlineStr">
        <is>
          <t>UPPSALA LÄN</t>
        </is>
      </c>
      <c r="E737" t="inlineStr">
        <is>
          <t>ÖSTHAMMAR</t>
        </is>
      </c>
      <c r="G737" t="n">
        <v>1</v>
      </c>
      <c r="H737" t="n">
        <v>0</v>
      </c>
      <c r="I737" t="n">
        <v>0</v>
      </c>
      <c r="J737" t="n">
        <v>0</v>
      </c>
      <c r="K737" t="n">
        <v>0</v>
      </c>
      <c r="L737" t="n">
        <v>0</v>
      </c>
      <c r="M737" t="n">
        <v>0</v>
      </c>
      <c r="N737" t="n">
        <v>0</v>
      </c>
      <c r="O737" t="n">
        <v>0</v>
      </c>
      <c r="P737" t="n">
        <v>0</v>
      </c>
      <c r="Q737" t="n">
        <v>0</v>
      </c>
      <c r="R737" s="2" t="inlineStr"/>
    </row>
    <row r="738" ht="15" customHeight="1">
      <c r="A738" t="inlineStr">
        <is>
          <t>A 60555-2023</t>
        </is>
      </c>
      <c r="B738" s="1" t="n">
        <v>45259</v>
      </c>
      <c r="C738" s="1" t="n">
        <v>46030</v>
      </c>
      <c r="D738" t="inlineStr">
        <is>
          <t>UPPSALA LÄN</t>
        </is>
      </c>
      <c r="E738" t="inlineStr">
        <is>
          <t>ÖSTHAMMAR</t>
        </is>
      </c>
      <c r="G738" t="n">
        <v>2</v>
      </c>
      <c r="H738" t="n">
        <v>0</v>
      </c>
      <c r="I738" t="n">
        <v>0</v>
      </c>
      <c r="J738" t="n">
        <v>0</v>
      </c>
      <c r="K738" t="n">
        <v>0</v>
      </c>
      <c r="L738" t="n">
        <v>0</v>
      </c>
      <c r="M738" t="n">
        <v>0</v>
      </c>
      <c r="N738" t="n">
        <v>0</v>
      </c>
      <c r="O738" t="n">
        <v>0</v>
      </c>
      <c r="P738" t="n">
        <v>0</v>
      </c>
      <c r="Q738" t="n">
        <v>0</v>
      </c>
      <c r="R738" s="2" t="inlineStr"/>
    </row>
    <row r="739" ht="15" customHeight="1">
      <c r="A739" t="inlineStr">
        <is>
          <t>A 44815-2022</t>
        </is>
      </c>
      <c r="B739" s="1" t="n">
        <v>44841.40452546296</v>
      </c>
      <c r="C739" s="1" t="n">
        <v>46030</v>
      </c>
      <c r="D739" t="inlineStr">
        <is>
          <t>UPPSALA LÄN</t>
        </is>
      </c>
      <c r="E739" t="inlineStr">
        <is>
          <t>ÖSTHAMMAR</t>
        </is>
      </c>
      <c r="G739" t="n">
        <v>1.8</v>
      </c>
      <c r="H739" t="n">
        <v>0</v>
      </c>
      <c r="I739" t="n">
        <v>0</v>
      </c>
      <c r="J739" t="n">
        <v>0</v>
      </c>
      <c r="K739" t="n">
        <v>0</v>
      </c>
      <c r="L739" t="n">
        <v>0</v>
      </c>
      <c r="M739" t="n">
        <v>0</v>
      </c>
      <c r="N739" t="n">
        <v>0</v>
      </c>
      <c r="O739" t="n">
        <v>0</v>
      </c>
      <c r="P739" t="n">
        <v>0</v>
      </c>
      <c r="Q739" t="n">
        <v>0</v>
      </c>
      <c r="R739" s="2" t="inlineStr"/>
    </row>
    <row r="740" ht="15" customHeight="1">
      <c r="A740" t="inlineStr">
        <is>
          <t>A 73483-2021</t>
        </is>
      </c>
      <c r="B740" s="1" t="n">
        <v>44550</v>
      </c>
      <c r="C740" s="1" t="n">
        <v>46030</v>
      </c>
      <c r="D740" t="inlineStr">
        <is>
          <t>UPPSALA LÄN</t>
        </is>
      </c>
      <c r="E740" t="inlineStr">
        <is>
          <t>ÖSTHAMMAR</t>
        </is>
      </c>
      <c r="G740" t="n">
        <v>2.8</v>
      </c>
      <c r="H740" t="n">
        <v>0</v>
      </c>
      <c r="I740" t="n">
        <v>0</v>
      </c>
      <c r="J740" t="n">
        <v>0</v>
      </c>
      <c r="K740" t="n">
        <v>0</v>
      </c>
      <c r="L740" t="n">
        <v>0</v>
      </c>
      <c r="M740" t="n">
        <v>0</v>
      </c>
      <c r="N740" t="n">
        <v>0</v>
      </c>
      <c r="O740" t="n">
        <v>0</v>
      </c>
      <c r="P740" t="n">
        <v>0</v>
      </c>
      <c r="Q740" t="n">
        <v>0</v>
      </c>
      <c r="R740" s="2" t="inlineStr"/>
    </row>
    <row r="741" ht="15" customHeight="1">
      <c r="A741" t="inlineStr">
        <is>
          <t>A 4151-2021</t>
        </is>
      </c>
      <c r="B741" s="1" t="n">
        <v>44221</v>
      </c>
      <c r="C741" s="1" t="n">
        <v>46030</v>
      </c>
      <c r="D741" t="inlineStr">
        <is>
          <t>UPPSALA LÄN</t>
        </is>
      </c>
      <c r="E741" t="inlineStr">
        <is>
          <t>ÖSTHAMMAR</t>
        </is>
      </c>
      <c r="G741" t="n">
        <v>2.9</v>
      </c>
      <c r="H741" t="n">
        <v>0</v>
      </c>
      <c r="I741" t="n">
        <v>0</v>
      </c>
      <c r="J741" t="n">
        <v>0</v>
      </c>
      <c r="K741" t="n">
        <v>0</v>
      </c>
      <c r="L741" t="n">
        <v>0</v>
      </c>
      <c r="M741" t="n">
        <v>0</v>
      </c>
      <c r="N741" t="n">
        <v>0</v>
      </c>
      <c r="O741" t="n">
        <v>0</v>
      </c>
      <c r="P741" t="n">
        <v>0</v>
      </c>
      <c r="Q741" t="n">
        <v>0</v>
      </c>
      <c r="R741" s="2" t="inlineStr"/>
    </row>
    <row r="742" ht="15" customHeight="1">
      <c r="A742" t="inlineStr">
        <is>
          <t>A 6121-2024</t>
        </is>
      </c>
      <c r="B742" s="1" t="n">
        <v>45337.4219212963</v>
      </c>
      <c r="C742" s="1" t="n">
        <v>46030</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62391-2022</t>
        </is>
      </c>
      <c r="B743" s="1" t="n">
        <v>44923.7849537037</v>
      </c>
      <c r="C743" s="1" t="n">
        <v>46030</v>
      </c>
      <c r="D743" t="inlineStr">
        <is>
          <t>UPPSALA LÄN</t>
        </is>
      </c>
      <c r="E743" t="inlineStr">
        <is>
          <t>ÖSTHAMMAR</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54314-2023</t>
        </is>
      </c>
      <c r="B744" s="1" t="n">
        <v>45225</v>
      </c>
      <c r="C744" s="1" t="n">
        <v>46030</v>
      </c>
      <c r="D744" t="inlineStr">
        <is>
          <t>UPPSALA LÄN</t>
        </is>
      </c>
      <c r="E744" t="inlineStr">
        <is>
          <t>ÖSTHAMMAR</t>
        </is>
      </c>
      <c r="G744" t="n">
        <v>5.1</v>
      </c>
      <c r="H744" t="n">
        <v>0</v>
      </c>
      <c r="I744" t="n">
        <v>0</v>
      </c>
      <c r="J744" t="n">
        <v>0</v>
      </c>
      <c r="K744" t="n">
        <v>0</v>
      </c>
      <c r="L744" t="n">
        <v>0</v>
      </c>
      <c r="M744" t="n">
        <v>0</v>
      </c>
      <c r="N744" t="n">
        <v>0</v>
      </c>
      <c r="O744" t="n">
        <v>0</v>
      </c>
      <c r="P744" t="n">
        <v>0</v>
      </c>
      <c r="Q744" t="n">
        <v>0</v>
      </c>
      <c r="R744" s="2" t="inlineStr"/>
    </row>
    <row r="745" ht="15" customHeight="1">
      <c r="A745" t="inlineStr">
        <is>
          <t>A 23363-2023</t>
        </is>
      </c>
      <c r="B745" s="1" t="n">
        <v>45076</v>
      </c>
      <c r="C745" s="1" t="n">
        <v>46030</v>
      </c>
      <c r="D745" t="inlineStr">
        <is>
          <t>UPPSALA LÄN</t>
        </is>
      </c>
      <c r="E745" t="inlineStr">
        <is>
          <t>ÖSTHAMMAR</t>
        </is>
      </c>
      <c r="G745" t="n">
        <v>3</v>
      </c>
      <c r="H745" t="n">
        <v>0</v>
      </c>
      <c r="I745" t="n">
        <v>0</v>
      </c>
      <c r="J745" t="n">
        <v>0</v>
      </c>
      <c r="K745" t="n">
        <v>0</v>
      </c>
      <c r="L745" t="n">
        <v>0</v>
      </c>
      <c r="M745" t="n">
        <v>0</v>
      </c>
      <c r="N745" t="n">
        <v>0</v>
      </c>
      <c r="O745" t="n">
        <v>0</v>
      </c>
      <c r="P745" t="n">
        <v>0</v>
      </c>
      <c r="Q745" t="n">
        <v>0</v>
      </c>
      <c r="R745" s="2" t="inlineStr"/>
    </row>
    <row r="746" ht="15" customHeight="1">
      <c r="A746" t="inlineStr">
        <is>
          <t>A 4233-2023</t>
        </is>
      </c>
      <c r="B746" s="1" t="n">
        <v>44953.48619212963</v>
      </c>
      <c r="C746" s="1" t="n">
        <v>46030</v>
      </c>
      <c r="D746" t="inlineStr">
        <is>
          <t>UPPSALA LÄN</t>
        </is>
      </c>
      <c r="E746" t="inlineStr">
        <is>
          <t>ÖSTHAMMAR</t>
        </is>
      </c>
      <c r="G746" t="n">
        <v>0.9</v>
      </c>
      <c r="H746" t="n">
        <v>0</v>
      </c>
      <c r="I746" t="n">
        <v>0</v>
      </c>
      <c r="J746" t="n">
        <v>0</v>
      </c>
      <c r="K746" t="n">
        <v>0</v>
      </c>
      <c r="L746" t="n">
        <v>0</v>
      </c>
      <c r="M746" t="n">
        <v>0</v>
      </c>
      <c r="N746" t="n">
        <v>0</v>
      </c>
      <c r="O746" t="n">
        <v>0</v>
      </c>
      <c r="P746" t="n">
        <v>0</v>
      </c>
      <c r="Q746" t="n">
        <v>0</v>
      </c>
      <c r="R746" s="2" t="inlineStr"/>
    </row>
    <row r="747" ht="15" customHeight="1">
      <c r="A747" t="inlineStr">
        <is>
          <t>A 58270-2023</t>
        </is>
      </c>
      <c r="B747" s="1" t="n">
        <v>45250.49961805555</v>
      </c>
      <c r="C747" s="1" t="n">
        <v>46030</v>
      </c>
      <c r="D747" t="inlineStr">
        <is>
          <t>UPPSALA LÄN</t>
        </is>
      </c>
      <c r="E747" t="inlineStr">
        <is>
          <t>ÖSTHAMMAR</t>
        </is>
      </c>
      <c r="G747" t="n">
        <v>1.3</v>
      </c>
      <c r="H747" t="n">
        <v>0</v>
      </c>
      <c r="I747" t="n">
        <v>0</v>
      </c>
      <c r="J747" t="n">
        <v>0</v>
      </c>
      <c r="K747" t="n">
        <v>0</v>
      </c>
      <c r="L747" t="n">
        <v>0</v>
      </c>
      <c r="M747" t="n">
        <v>0</v>
      </c>
      <c r="N747" t="n">
        <v>0</v>
      </c>
      <c r="O747" t="n">
        <v>0</v>
      </c>
      <c r="P747" t="n">
        <v>0</v>
      </c>
      <c r="Q747" t="n">
        <v>0</v>
      </c>
      <c r="R747" s="2" t="inlineStr"/>
    </row>
    <row r="748" ht="15" customHeight="1">
      <c r="A748" t="inlineStr">
        <is>
          <t>A 73592-2021</t>
        </is>
      </c>
      <c r="B748" s="1" t="n">
        <v>44552.36974537037</v>
      </c>
      <c r="C748" s="1" t="n">
        <v>46030</v>
      </c>
      <c r="D748" t="inlineStr">
        <is>
          <t>UPPSALA LÄN</t>
        </is>
      </c>
      <c r="E748" t="inlineStr">
        <is>
          <t>ÖSTHAMMAR</t>
        </is>
      </c>
      <c r="G748" t="n">
        <v>1.7</v>
      </c>
      <c r="H748" t="n">
        <v>0</v>
      </c>
      <c r="I748" t="n">
        <v>0</v>
      </c>
      <c r="J748" t="n">
        <v>0</v>
      </c>
      <c r="K748" t="n">
        <v>0</v>
      </c>
      <c r="L748" t="n">
        <v>0</v>
      </c>
      <c r="M748" t="n">
        <v>0</v>
      </c>
      <c r="N748" t="n">
        <v>0</v>
      </c>
      <c r="O748" t="n">
        <v>0</v>
      </c>
      <c r="P748" t="n">
        <v>0</v>
      </c>
      <c r="Q748" t="n">
        <v>0</v>
      </c>
      <c r="R748" s="2" t="inlineStr"/>
    </row>
    <row r="749" ht="15" customHeight="1">
      <c r="A749" t="inlineStr">
        <is>
          <t>A 25938-2024</t>
        </is>
      </c>
      <c r="B749" s="1" t="n">
        <v>45467.63127314814</v>
      </c>
      <c r="C749" s="1" t="n">
        <v>46030</v>
      </c>
      <c r="D749" t="inlineStr">
        <is>
          <t>UPPSALA LÄN</t>
        </is>
      </c>
      <c r="E749" t="inlineStr">
        <is>
          <t>ÖSTHAMMAR</t>
        </is>
      </c>
      <c r="F749" t="inlineStr">
        <is>
          <t>Bergvik skog öst AB</t>
        </is>
      </c>
      <c r="G749" t="n">
        <v>2.2</v>
      </c>
      <c r="H749" t="n">
        <v>0</v>
      </c>
      <c r="I749" t="n">
        <v>0</v>
      </c>
      <c r="J749" t="n">
        <v>0</v>
      </c>
      <c r="K749" t="n">
        <v>0</v>
      </c>
      <c r="L749" t="n">
        <v>0</v>
      </c>
      <c r="M749" t="n">
        <v>0</v>
      </c>
      <c r="N749" t="n">
        <v>0</v>
      </c>
      <c r="O749" t="n">
        <v>0</v>
      </c>
      <c r="P749" t="n">
        <v>0</v>
      </c>
      <c r="Q749" t="n">
        <v>0</v>
      </c>
      <c r="R749" s="2" t="inlineStr"/>
    </row>
    <row r="750" ht="15" customHeight="1">
      <c r="A750" t="inlineStr">
        <is>
          <t>A 35539-2023</t>
        </is>
      </c>
      <c r="B750" s="1" t="n">
        <v>45147.37006944444</v>
      </c>
      <c r="C750" s="1" t="n">
        <v>46030</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32744-2022</t>
        </is>
      </c>
      <c r="B751" s="1" t="n">
        <v>44783.70378472222</v>
      </c>
      <c r="C751" s="1" t="n">
        <v>46030</v>
      </c>
      <c r="D751" t="inlineStr">
        <is>
          <t>UPPSALA LÄN</t>
        </is>
      </c>
      <c r="E751" t="inlineStr">
        <is>
          <t>ÖSTHAMMAR</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18230-2025</t>
        </is>
      </c>
      <c r="B752" s="1" t="n">
        <v>45761.87114583333</v>
      </c>
      <c r="C752" s="1" t="n">
        <v>46030</v>
      </c>
      <c r="D752" t="inlineStr">
        <is>
          <t>UPPSALA LÄN</t>
        </is>
      </c>
      <c r="E752" t="inlineStr">
        <is>
          <t>ÖSTHAMMAR</t>
        </is>
      </c>
      <c r="F752" t="inlineStr">
        <is>
          <t>Bergvik skog öst AB</t>
        </is>
      </c>
      <c r="G752" t="n">
        <v>4.2</v>
      </c>
      <c r="H752" t="n">
        <v>0</v>
      </c>
      <c r="I752" t="n">
        <v>0</v>
      </c>
      <c r="J752" t="n">
        <v>0</v>
      </c>
      <c r="K752" t="n">
        <v>0</v>
      </c>
      <c r="L752" t="n">
        <v>0</v>
      </c>
      <c r="M752" t="n">
        <v>0</v>
      </c>
      <c r="N752" t="n">
        <v>0</v>
      </c>
      <c r="O752" t="n">
        <v>0</v>
      </c>
      <c r="P752" t="n">
        <v>0</v>
      </c>
      <c r="Q752" t="n">
        <v>0</v>
      </c>
      <c r="R752" s="2" t="inlineStr"/>
    </row>
    <row r="753" ht="15" customHeight="1">
      <c r="A753" t="inlineStr">
        <is>
          <t>A 8006-2023</t>
        </is>
      </c>
      <c r="B753" s="1" t="n">
        <v>44973</v>
      </c>
      <c r="C753" s="1" t="n">
        <v>46030</v>
      </c>
      <c r="D753" t="inlineStr">
        <is>
          <t>UPPSALA LÄN</t>
        </is>
      </c>
      <c r="E753" t="inlineStr">
        <is>
          <t>ÖSTHAMMAR</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13755-2023</t>
        </is>
      </c>
      <c r="B754" s="1" t="n">
        <v>45007</v>
      </c>
      <c r="C754" s="1" t="n">
        <v>46030</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13771-2023</t>
        </is>
      </c>
      <c r="B755" s="1" t="n">
        <v>45007</v>
      </c>
      <c r="C755" s="1" t="n">
        <v>46030</v>
      </c>
      <c r="D755" t="inlineStr">
        <is>
          <t>UPPSALA LÄN</t>
        </is>
      </c>
      <c r="E755" t="inlineStr">
        <is>
          <t>ÖSTHAMMAR</t>
        </is>
      </c>
      <c r="G755" t="n">
        <v>2.7</v>
      </c>
      <c r="H755" t="n">
        <v>0</v>
      </c>
      <c r="I755" t="n">
        <v>0</v>
      </c>
      <c r="J755" t="n">
        <v>0</v>
      </c>
      <c r="K755" t="n">
        <v>0</v>
      </c>
      <c r="L755" t="n">
        <v>0</v>
      </c>
      <c r="M755" t="n">
        <v>0</v>
      </c>
      <c r="N755" t="n">
        <v>0</v>
      </c>
      <c r="O755" t="n">
        <v>0</v>
      </c>
      <c r="P755" t="n">
        <v>0</v>
      </c>
      <c r="Q755" t="n">
        <v>0</v>
      </c>
      <c r="R755" s="2" t="inlineStr"/>
    </row>
    <row r="756" ht="15" customHeight="1">
      <c r="A756" t="inlineStr">
        <is>
          <t>A 7543-2023</t>
        </is>
      </c>
      <c r="B756" s="1" t="n">
        <v>44972</v>
      </c>
      <c r="C756" s="1" t="n">
        <v>46030</v>
      </c>
      <c r="D756" t="inlineStr">
        <is>
          <t>UPPSALA LÄN</t>
        </is>
      </c>
      <c r="E756" t="inlineStr">
        <is>
          <t>ÖSTHAMMAR</t>
        </is>
      </c>
      <c r="F756" t="inlineStr">
        <is>
          <t>Bergvik skog öst AB</t>
        </is>
      </c>
      <c r="G756" t="n">
        <v>13.3</v>
      </c>
      <c r="H756" t="n">
        <v>0</v>
      </c>
      <c r="I756" t="n">
        <v>0</v>
      </c>
      <c r="J756" t="n">
        <v>0</v>
      </c>
      <c r="K756" t="n">
        <v>0</v>
      </c>
      <c r="L756" t="n">
        <v>0</v>
      </c>
      <c r="M756" t="n">
        <v>0</v>
      </c>
      <c r="N756" t="n">
        <v>0</v>
      </c>
      <c r="O756" t="n">
        <v>0</v>
      </c>
      <c r="P756" t="n">
        <v>0</v>
      </c>
      <c r="Q756" t="n">
        <v>0</v>
      </c>
      <c r="R756" s="2" t="inlineStr"/>
    </row>
    <row r="757" ht="15" customHeight="1">
      <c r="A757" t="inlineStr">
        <is>
          <t>A 49899-2023</t>
        </is>
      </c>
      <c r="B757" s="1" t="n">
        <v>45213</v>
      </c>
      <c r="C757" s="1" t="n">
        <v>46030</v>
      </c>
      <c r="D757" t="inlineStr">
        <is>
          <t>UPPSALA LÄN</t>
        </is>
      </c>
      <c r="E757" t="inlineStr">
        <is>
          <t>ÖSTHAMMAR</t>
        </is>
      </c>
      <c r="G757" t="n">
        <v>6.2</v>
      </c>
      <c r="H757" t="n">
        <v>0</v>
      </c>
      <c r="I757" t="n">
        <v>0</v>
      </c>
      <c r="J757" t="n">
        <v>0</v>
      </c>
      <c r="K757" t="n">
        <v>0</v>
      </c>
      <c r="L757" t="n">
        <v>0</v>
      </c>
      <c r="M757" t="n">
        <v>0</v>
      </c>
      <c r="N757" t="n">
        <v>0</v>
      </c>
      <c r="O757" t="n">
        <v>0</v>
      </c>
      <c r="P757" t="n">
        <v>0</v>
      </c>
      <c r="Q757" t="n">
        <v>0</v>
      </c>
      <c r="R757" s="2" t="inlineStr"/>
    </row>
    <row r="758" ht="15" customHeight="1">
      <c r="A758" t="inlineStr">
        <is>
          <t>A 4676-2025</t>
        </is>
      </c>
      <c r="B758" s="1" t="n">
        <v>45687.8313425926</v>
      </c>
      <c r="C758" s="1" t="n">
        <v>46030</v>
      </c>
      <c r="D758" t="inlineStr">
        <is>
          <t>UPPSALA LÄN</t>
        </is>
      </c>
      <c r="E758" t="inlineStr">
        <is>
          <t>ÖSTHAMMAR</t>
        </is>
      </c>
      <c r="G758" t="n">
        <v>3.7</v>
      </c>
      <c r="H758" t="n">
        <v>0</v>
      </c>
      <c r="I758" t="n">
        <v>0</v>
      </c>
      <c r="J758" t="n">
        <v>0</v>
      </c>
      <c r="K758" t="n">
        <v>0</v>
      </c>
      <c r="L758" t="n">
        <v>0</v>
      </c>
      <c r="M758" t="n">
        <v>0</v>
      </c>
      <c r="N758" t="n">
        <v>0</v>
      </c>
      <c r="O758" t="n">
        <v>0</v>
      </c>
      <c r="P758" t="n">
        <v>0</v>
      </c>
      <c r="Q758" t="n">
        <v>0</v>
      </c>
      <c r="R758" s="2" t="inlineStr"/>
    </row>
    <row r="759" ht="15" customHeight="1">
      <c r="A759" t="inlineStr">
        <is>
          <t>A 17009-2021</t>
        </is>
      </c>
      <c r="B759" s="1" t="n">
        <v>44295.63969907408</v>
      </c>
      <c r="C759" s="1" t="n">
        <v>46030</v>
      </c>
      <c r="D759" t="inlineStr">
        <is>
          <t>UPPSALA LÄN</t>
        </is>
      </c>
      <c r="E759" t="inlineStr">
        <is>
          <t>ÖSTHAMMAR</t>
        </is>
      </c>
      <c r="F759" t="inlineStr">
        <is>
          <t>Bergvik skog öst AB</t>
        </is>
      </c>
      <c r="G759" t="n">
        <v>3.2</v>
      </c>
      <c r="H759" t="n">
        <v>0</v>
      </c>
      <c r="I759" t="n">
        <v>0</v>
      </c>
      <c r="J759" t="n">
        <v>0</v>
      </c>
      <c r="K759" t="n">
        <v>0</v>
      </c>
      <c r="L759" t="n">
        <v>0</v>
      </c>
      <c r="M759" t="n">
        <v>0</v>
      </c>
      <c r="N759" t="n">
        <v>0</v>
      </c>
      <c r="O759" t="n">
        <v>0</v>
      </c>
      <c r="P759" t="n">
        <v>0</v>
      </c>
      <c r="Q759" t="n">
        <v>0</v>
      </c>
      <c r="R759" s="2" t="inlineStr"/>
    </row>
    <row r="760" ht="15" customHeight="1">
      <c r="A760" t="inlineStr">
        <is>
          <t>A 33758-2024</t>
        </is>
      </c>
      <c r="B760" s="1" t="n">
        <v>45520.56896990741</v>
      </c>
      <c r="C760" s="1" t="n">
        <v>46030</v>
      </c>
      <c r="D760" t="inlineStr">
        <is>
          <t>UPPSALA LÄN</t>
        </is>
      </c>
      <c r="E760" t="inlineStr">
        <is>
          <t>ÖSTHAMMAR</t>
        </is>
      </c>
      <c r="G760" t="n">
        <v>6.5</v>
      </c>
      <c r="H760" t="n">
        <v>0</v>
      </c>
      <c r="I760" t="n">
        <v>0</v>
      </c>
      <c r="J760" t="n">
        <v>0</v>
      </c>
      <c r="K760" t="n">
        <v>0</v>
      </c>
      <c r="L760" t="n">
        <v>0</v>
      </c>
      <c r="M760" t="n">
        <v>0</v>
      </c>
      <c r="N760" t="n">
        <v>0</v>
      </c>
      <c r="O760" t="n">
        <v>0</v>
      </c>
      <c r="P760" t="n">
        <v>0</v>
      </c>
      <c r="Q760" t="n">
        <v>0</v>
      </c>
      <c r="R760" s="2" t="inlineStr"/>
    </row>
    <row r="761" ht="15" customHeight="1">
      <c r="A761" t="inlineStr">
        <is>
          <t>A 24259-2022</t>
        </is>
      </c>
      <c r="B761" s="1" t="n">
        <v>44725</v>
      </c>
      <c r="C761" s="1" t="n">
        <v>46030</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18113-2023</t>
        </is>
      </c>
      <c r="B762" s="1" t="n">
        <v>45040</v>
      </c>
      <c r="C762" s="1" t="n">
        <v>46030</v>
      </c>
      <c r="D762" t="inlineStr">
        <is>
          <t>UPPSALA LÄN</t>
        </is>
      </c>
      <c r="E762" t="inlineStr">
        <is>
          <t>ÖSTHAMMAR</t>
        </is>
      </c>
      <c r="G762" t="n">
        <v>2.1</v>
      </c>
      <c r="H762" t="n">
        <v>0</v>
      </c>
      <c r="I762" t="n">
        <v>0</v>
      </c>
      <c r="J762" t="n">
        <v>0</v>
      </c>
      <c r="K762" t="n">
        <v>0</v>
      </c>
      <c r="L762" t="n">
        <v>0</v>
      </c>
      <c r="M762" t="n">
        <v>0</v>
      </c>
      <c r="N762" t="n">
        <v>0</v>
      </c>
      <c r="O762" t="n">
        <v>0</v>
      </c>
      <c r="P762" t="n">
        <v>0</v>
      </c>
      <c r="Q762" t="n">
        <v>0</v>
      </c>
      <c r="R762" s="2" t="inlineStr"/>
    </row>
    <row r="763" ht="15" customHeight="1">
      <c r="A763" t="inlineStr">
        <is>
          <t>A 61216-2022</t>
        </is>
      </c>
      <c r="B763" s="1" t="n">
        <v>44915.55423611111</v>
      </c>
      <c r="C763" s="1" t="n">
        <v>46030</v>
      </c>
      <c r="D763" t="inlineStr">
        <is>
          <t>UPPSALA LÄN</t>
        </is>
      </c>
      <c r="E763" t="inlineStr">
        <is>
          <t>ÖSTHAMMAR</t>
        </is>
      </c>
      <c r="G763" t="n">
        <v>2.9</v>
      </c>
      <c r="H763" t="n">
        <v>0</v>
      </c>
      <c r="I763" t="n">
        <v>0</v>
      </c>
      <c r="J763" t="n">
        <v>0</v>
      </c>
      <c r="K763" t="n">
        <v>0</v>
      </c>
      <c r="L763" t="n">
        <v>0</v>
      </c>
      <c r="M763" t="n">
        <v>0</v>
      </c>
      <c r="N763" t="n">
        <v>0</v>
      </c>
      <c r="O763" t="n">
        <v>0</v>
      </c>
      <c r="P763" t="n">
        <v>0</v>
      </c>
      <c r="Q763" t="n">
        <v>0</v>
      </c>
      <c r="R763" s="2" t="inlineStr"/>
    </row>
    <row r="764" ht="15" customHeight="1">
      <c r="A764" t="inlineStr">
        <is>
          <t>A 27660-2023</t>
        </is>
      </c>
      <c r="B764" s="1" t="n">
        <v>45097</v>
      </c>
      <c r="C764" s="1" t="n">
        <v>46030</v>
      </c>
      <c r="D764" t="inlineStr">
        <is>
          <t>UPPSALA LÄN</t>
        </is>
      </c>
      <c r="E764" t="inlineStr">
        <is>
          <t>ÖSTHAMMAR</t>
        </is>
      </c>
      <c r="G764" t="n">
        <v>2.8</v>
      </c>
      <c r="H764" t="n">
        <v>0</v>
      </c>
      <c r="I764" t="n">
        <v>0</v>
      </c>
      <c r="J764" t="n">
        <v>0</v>
      </c>
      <c r="K764" t="n">
        <v>0</v>
      </c>
      <c r="L764" t="n">
        <v>0</v>
      </c>
      <c r="M764" t="n">
        <v>0</v>
      </c>
      <c r="N764" t="n">
        <v>0</v>
      </c>
      <c r="O764" t="n">
        <v>0</v>
      </c>
      <c r="P764" t="n">
        <v>0</v>
      </c>
      <c r="Q764" t="n">
        <v>0</v>
      </c>
      <c r="R764" s="2" t="inlineStr"/>
    </row>
    <row r="765" ht="15" customHeight="1">
      <c r="A765" t="inlineStr">
        <is>
          <t>A 69411-2021</t>
        </is>
      </c>
      <c r="B765" s="1" t="n">
        <v>44531.61038194445</v>
      </c>
      <c r="C765" s="1" t="n">
        <v>46030</v>
      </c>
      <c r="D765" t="inlineStr">
        <is>
          <t>UPPSALA LÄN</t>
        </is>
      </c>
      <c r="E765" t="inlineStr">
        <is>
          <t>ÖSTHAMMAR</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26303-2024</t>
        </is>
      </c>
      <c r="B766" s="1" t="n">
        <v>45468</v>
      </c>
      <c r="C766" s="1" t="n">
        <v>46030</v>
      </c>
      <c r="D766" t="inlineStr">
        <is>
          <t>UPPSALA LÄN</t>
        </is>
      </c>
      <c r="E766" t="inlineStr">
        <is>
          <t>ÖSTHAMMAR</t>
        </is>
      </c>
      <c r="G766" t="n">
        <v>1.2</v>
      </c>
      <c r="H766" t="n">
        <v>0</v>
      </c>
      <c r="I766" t="n">
        <v>0</v>
      </c>
      <c r="J766" t="n">
        <v>0</v>
      </c>
      <c r="K766" t="n">
        <v>0</v>
      </c>
      <c r="L766" t="n">
        <v>0</v>
      </c>
      <c r="M766" t="n">
        <v>0</v>
      </c>
      <c r="N766" t="n">
        <v>0</v>
      </c>
      <c r="O766" t="n">
        <v>0</v>
      </c>
      <c r="P766" t="n">
        <v>0</v>
      </c>
      <c r="Q766" t="n">
        <v>0</v>
      </c>
      <c r="R766" s="2" t="inlineStr"/>
    </row>
    <row r="767" ht="15" customHeight="1">
      <c r="A767" t="inlineStr">
        <is>
          <t>A 7100-2025</t>
        </is>
      </c>
      <c r="B767" s="1" t="n">
        <v>45701.83930555556</v>
      </c>
      <c r="C767" s="1" t="n">
        <v>46030</v>
      </c>
      <c r="D767" t="inlineStr">
        <is>
          <t>UPPSALA LÄN</t>
        </is>
      </c>
      <c r="E767" t="inlineStr">
        <is>
          <t>ÖSTHAMMAR</t>
        </is>
      </c>
      <c r="G767" t="n">
        <v>4.3</v>
      </c>
      <c r="H767" t="n">
        <v>0</v>
      </c>
      <c r="I767" t="n">
        <v>0</v>
      </c>
      <c r="J767" t="n">
        <v>0</v>
      </c>
      <c r="K767" t="n">
        <v>0</v>
      </c>
      <c r="L767" t="n">
        <v>0</v>
      </c>
      <c r="M767" t="n">
        <v>0</v>
      </c>
      <c r="N767" t="n">
        <v>0</v>
      </c>
      <c r="O767" t="n">
        <v>0</v>
      </c>
      <c r="P767" t="n">
        <v>0</v>
      </c>
      <c r="Q767" t="n">
        <v>0</v>
      </c>
      <c r="R767" s="2" t="inlineStr"/>
    </row>
    <row r="768" ht="15" customHeight="1">
      <c r="A768" t="inlineStr">
        <is>
          <t>A 60577-2021</t>
        </is>
      </c>
      <c r="B768" s="1" t="n">
        <v>44496.57019675926</v>
      </c>
      <c r="C768" s="1" t="n">
        <v>46030</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10495-2025</t>
        </is>
      </c>
      <c r="B769" s="1" t="n">
        <v>45721</v>
      </c>
      <c r="C769" s="1" t="n">
        <v>46030</v>
      </c>
      <c r="D769" t="inlineStr">
        <is>
          <t>UPPSALA LÄN</t>
        </is>
      </c>
      <c r="E769" t="inlineStr">
        <is>
          <t>ÖSTHAMMAR</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1791-2023</t>
        </is>
      </c>
      <c r="B770" s="1" t="n">
        <v>44938</v>
      </c>
      <c r="C770" s="1" t="n">
        <v>46030</v>
      </c>
      <c r="D770" t="inlineStr">
        <is>
          <t>UPPSALA LÄN</t>
        </is>
      </c>
      <c r="E770" t="inlineStr">
        <is>
          <t>ÖSTHAMMAR</t>
        </is>
      </c>
      <c r="G770" t="n">
        <v>2</v>
      </c>
      <c r="H770" t="n">
        <v>0</v>
      </c>
      <c r="I770" t="n">
        <v>0</v>
      </c>
      <c r="J770" t="n">
        <v>0</v>
      </c>
      <c r="K770" t="n">
        <v>0</v>
      </c>
      <c r="L770" t="n">
        <v>0</v>
      </c>
      <c r="M770" t="n">
        <v>0</v>
      </c>
      <c r="N770" t="n">
        <v>0</v>
      </c>
      <c r="O770" t="n">
        <v>0</v>
      </c>
      <c r="P770" t="n">
        <v>0</v>
      </c>
      <c r="Q770" t="n">
        <v>0</v>
      </c>
      <c r="R770" s="2" t="inlineStr"/>
    </row>
    <row r="771" ht="15" customHeight="1">
      <c r="A771" t="inlineStr">
        <is>
          <t>A 49796-2024</t>
        </is>
      </c>
      <c r="B771" s="1" t="n">
        <v>45597</v>
      </c>
      <c r="C771" s="1" t="n">
        <v>46030</v>
      </c>
      <c r="D771" t="inlineStr">
        <is>
          <t>UPPSALA LÄN</t>
        </is>
      </c>
      <c r="E771" t="inlineStr">
        <is>
          <t>ÖSTHAMMAR</t>
        </is>
      </c>
      <c r="G771" t="n">
        <v>1.3</v>
      </c>
      <c r="H771" t="n">
        <v>0</v>
      </c>
      <c r="I771" t="n">
        <v>0</v>
      </c>
      <c r="J771" t="n">
        <v>0</v>
      </c>
      <c r="K771" t="n">
        <v>0</v>
      </c>
      <c r="L771" t="n">
        <v>0</v>
      </c>
      <c r="M771" t="n">
        <v>0</v>
      </c>
      <c r="N771" t="n">
        <v>0</v>
      </c>
      <c r="O771" t="n">
        <v>0</v>
      </c>
      <c r="P771" t="n">
        <v>0</v>
      </c>
      <c r="Q771" t="n">
        <v>0</v>
      </c>
      <c r="R771" s="2" t="inlineStr"/>
    </row>
    <row r="772" ht="15" customHeight="1">
      <c r="A772" t="inlineStr">
        <is>
          <t>A 21133-2025</t>
        </is>
      </c>
      <c r="B772" s="1" t="n">
        <v>45778.415625</v>
      </c>
      <c r="C772" s="1" t="n">
        <v>46030</v>
      </c>
      <c r="D772" t="inlineStr">
        <is>
          <t>UPPSALA LÄN</t>
        </is>
      </c>
      <c r="E772" t="inlineStr">
        <is>
          <t>ÖSTHAMMAR</t>
        </is>
      </c>
      <c r="G772" t="n">
        <v>1.5</v>
      </c>
      <c r="H772" t="n">
        <v>0</v>
      </c>
      <c r="I772" t="n">
        <v>0</v>
      </c>
      <c r="J772" t="n">
        <v>0</v>
      </c>
      <c r="K772" t="n">
        <v>0</v>
      </c>
      <c r="L772" t="n">
        <v>0</v>
      </c>
      <c r="M772" t="n">
        <v>0</v>
      </c>
      <c r="N772" t="n">
        <v>0</v>
      </c>
      <c r="O772" t="n">
        <v>0</v>
      </c>
      <c r="P772" t="n">
        <v>0</v>
      </c>
      <c r="Q772" t="n">
        <v>0</v>
      </c>
      <c r="R772" s="2" t="inlineStr"/>
    </row>
    <row r="773" ht="15" customHeight="1">
      <c r="A773" t="inlineStr">
        <is>
          <t>A 21132-2025</t>
        </is>
      </c>
      <c r="B773" s="1" t="n">
        <v>45778.4108912037</v>
      </c>
      <c r="C773" s="1" t="n">
        <v>46030</v>
      </c>
      <c r="D773" t="inlineStr">
        <is>
          <t>UPPSALA LÄN</t>
        </is>
      </c>
      <c r="E773" t="inlineStr">
        <is>
          <t>ÖSTHAMMAR</t>
        </is>
      </c>
      <c r="G773" t="n">
        <v>10.1</v>
      </c>
      <c r="H773" t="n">
        <v>0</v>
      </c>
      <c r="I773" t="n">
        <v>0</v>
      </c>
      <c r="J773" t="n">
        <v>0</v>
      </c>
      <c r="K773" t="n">
        <v>0</v>
      </c>
      <c r="L773" t="n">
        <v>0</v>
      </c>
      <c r="M773" t="n">
        <v>0</v>
      </c>
      <c r="N773" t="n">
        <v>0</v>
      </c>
      <c r="O773" t="n">
        <v>0</v>
      </c>
      <c r="P773" t="n">
        <v>0</v>
      </c>
      <c r="Q773" t="n">
        <v>0</v>
      </c>
      <c r="R773" s="2" t="inlineStr"/>
    </row>
    <row r="774">
      <c r="A774" t="inlineStr">
        <is>
          <t>A 42262-2024</t>
        </is>
      </c>
      <c r="B774" s="1" t="n">
        <v>45562</v>
      </c>
      <c r="C774" s="1" t="n">
        <v>46030</v>
      </c>
      <c r="D774" t="inlineStr">
        <is>
          <t>UPPSALA LÄN</t>
        </is>
      </c>
      <c r="E774" t="inlineStr">
        <is>
          <t>ÖSTHAMMAR</t>
        </is>
      </c>
      <c r="F774" t="inlineStr">
        <is>
          <t>Bergvik skog öst AB</t>
        </is>
      </c>
      <c r="G774" t="n">
        <v>1.7</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2026-01-08T10:46:33Z</dcterms:created>
  <dcterms:modified xmlns:dcterms="http://purl.org/dc/terms/" xmlns:xsi="http://www.w3.org/2001/XMLSchema-instance" xsi:type="dcterms:W3CDTF">2026-01-08T10:46:34Z</dcterms:modified>
</cp:coreProperties>
</file>