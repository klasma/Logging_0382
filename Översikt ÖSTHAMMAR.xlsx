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45934</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45934</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45934</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45934</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45934</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45934</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40406-2025</t>
        </is>
      </c>
      <c r="B14" s="1" t="n">
        <v>45895.57082175926</v>
      </c>
      <c r="C14" s="1" t="n">
        <v>45934</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45934</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45934</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45934</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49910-2022</t>
        </is>
      </c>
      <c r="B18" s="1" t="n">
        <v>44865</v>
      </c>
      <c r="C18" s="1" t="n">
        <v>45934</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16239-2025</t>
        </is>
      </c>
      <c r="B19" s="1" t="n">
        <v>45746</v>
      </c>
      <c r="C19" s="1" t="n">
        <v>45934</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45934</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45934</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45934</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45934</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23496-2023</t>
        </is>
      </c>
      <c r="B24" s="1" t="n">
        <v>45076</v>
      </c>
      <c r="C24" s="1" t="n">
        <v>45934</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45934</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45934</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45934</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45934</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55492-2023</t>
        </is>
      </c>
      <c r="B29" s="1" t="n">
        <v>45238</v>
      </c>
      <c r="C29" s="1" t="n">
        <v>45934</v>
      </c>
      <c r="D29" t="inlineStr">
        <is>
          <t>UPPSALA LÄN</t>
        </is>
      </c>
      <c r="E29" t="inlineStr">
        <is>
          <t>ÖSTHAMMAR</t>
        </is>
      </c>
      <c r="G29" t="n">
        <v>3.1</v>
      </c>
      <c r="H29" t="n">
        <v>4</v>
      </c>
      <c r="I29" t="n">
        <v>2</v>
      </c>
      <c r="J29" t="n">
        <v>0</v>
      </c>
      <c r="K29" t="n">
        <v>2</v>
      </c>
      <c r="L29" t="n">
        <v>0</v>
      </c>
      <c r="M29" t="n">
        <v>0</v>
      </c>
      <c r="N29" t="n">
        <v>0</v>
      </c>
      <c r="O29" t="n">
        <v>2</v>
      </c>
      <c r="P29" t="n">
        <v>2</v>
      </c>
      <c r="Q29" t="n">
        <v>5</v>
      </c>
      <c r="R29" s="2" t="inlineStr">
        <is>
          <t>Knärot
Violgubbe
Skogsknipprot
Tvåblad
Fläcknycklar</t>
        </is>
      </c>
      <c r="S29">
        <f>HYPERLINK("https://klasma.github.io/Logging_0382/artfynd/A 55492-2023 artfynd.xlsx", "A 55492-2023")</f>
        <v/>
      </c>
      <c r="T29">
        <f>HYPERLINK("https://klasma.github.io/Logging_0382/kartor/A 55492-2023 karta.png", "A 55492-2023")</f>
        <v/>
      </c>
      <c r="U29">
        <f>HYPERLINK("https://klasma.github.io/Logging_0382/knärot/A 55492-2023 karta knärot.png", "A 55492-2023")</f>
        <v/>
      </c>
      <c r="V29">
        <f>HYPERLINK("https://klasma.github.io/Logging_0382/klagomål/A 55492-2023 FSC-klagomål.docx", "A 55492-2023")</f>
        <v/>
      </c>
      <c r="W29">
        <f>HYPERLINK("https://klasma.github.io/Logging_0382/klagomålsmail/A 55492-2023 FSC-klagomål mail.docx", "A 55492-2023")</f>
        <v/>
      </c>
      <c r="X29">
        <f>HYPERLINK("https://klasma.github.io/Logging_0382/tillsyn/A 55492-2023 tillsynsbegäran.docx", "A 55492-2023")</f>
        <v/>
      </c>
      <c r="Y29">
        <f>HYPERLINK("https://klasma.github.io/Logging_0382/tillsynsmail/A 55492-2023 tillsynsbegäran mail.docx", "A 55492-2023")</f>
        <v/>
      </c>
    </row>
    <row r="30" ht="15" customHeight="1">
      <c r="A30" t="inlineStr">
        <is>
          <t>A 15556-2022</t>
        </is>
      </c>
      <c r="B30" s="1" t="n">
        <v>44662</v>
      </c>
      <c r="C30" s="1" t="n">
        <v>45934</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45934</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45934</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23498-2023</t>
        </is>
      </c>
      <c r="B33" s="1" t="n">
        <v>45076</v>
      </c>
      <c r="C33" s="1" t="n">
        <v>45934</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26056-2025</t>
        </is>
      </c>
      <c r="B34" s="1" t="n">
        <v>45804.79280092593</v>
      </c>
      <c r="C34" s="1" t="n">
        <v>45934</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52808-2022</t>
        </is>
      </c>
      <c r="B35" s="1" t="n">
        <v>44875</v>
      </c>
      <c r="C35" s="1" t="n">
        <v>45934</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45934</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45934</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45934</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74364-2021</t>
        </is>
      </c>
      <c r="B39" s="1" t="n">
        <v>44559</v>
      </c>
      <c r="C39" s="1" t="n">
        <v>45934</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45934</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48352-2022</t>
        </is>
      </c>
      <c r="B41" s="1" t="n">
        <v>44858</v>
      </c>
      <c r="C41" s="1" t="n">
        <v>45934</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45934</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9683-2023</t>
        </is>
      </c>
      <c r="B43" s="1" t="n">
        <v>44984.43856481482</v>
      </c>
      <c r="C43" s="1" t="n">
        <v>45934</v>
      </c>
      <c r="D43" t="inlineStr">
        <is>
          <t>UPPSALA LÄN</t>
        </is>
      </c>
      <c r="E43" t="inlineStr">
        <is>
          <t>ÖSTHAMMAR</t>
        </is>
      </c>
      <c r="G43" t="n">
        <v>4</v>
      </c>
      <c r="H43" t="n">
        <v>3</v>
      </c>
      <c r="I43" t="n">
        <v>1</v>
      </c>
      <c r="J43" t="n">
        <v>0</v>
      </c>
      <c r="K43" t="n">
        <v>0</v>
      </c>
      <c r="L43" t="n">
        <v>0</v>
      </c>
      <c r="M43" t="n">
        <v>0</v>
      </c>
      <c r="N43" t="n">
        <v>0</v>
      </c>
      <c r="O43" t="n">
        <v>0</v>
      </c>
      <c r="P43" t="n">
        <v>0</v>
      </c>
      <c r="Q43" t="n">
        <v>3</v>
      </c>
      <c r="R43" s="2" t="inlineStr">
        <is>
          <t>Tvåblad
Blåsippa
Gullviva</t>
        </is>
      </c>
      <c r="S43">
        <f>HYPERLINK("https://klasma.github.io/Logging_0382/artfynd/A 9683-2023 artfynd.xlsx", "A 9683-2023")</f>
        <v/>
      </c>
      <c r="T43">
        <f>HYPERLINK("https://klasma.github.io/Logging_0382/kartor/A 9683-2023 karta.png", "A 9683-2023")</f>
        <v/>
      </c>
      <c r="V43">
        <f>HYPERLINK("https://klasma.github.io/Logging_0382/klagomål/A 9683-2023 FSC-klagomål.docx", "A 9683-2023")</f>
        <v/>
      </c>
      <c r="W43">
        <f>HYPERLINK("https://klasma.github.io/Logging_0382/klagomålsmail/A 9683-2023 FSC-klagomål mail.docx", "A 9683-2023")</f>
        <v/>
      </c>
      <c r="X43">
        <f>HYPERLINK("https://klasma.github.io/Logging_0382/tillsyn/A 9683-2023 tillsynsbegäran.docx", "A 9683-2023")</f>
        <v/>
      </c>
      <c r="Y43">
        <f>HYPERLINK("https://klasma.github.io/Logging_0382/tillsynsmail/A 9683-2023 tillsynsbegäran mail.docx", "A 9683-2023")</f>
        <v/>
      </c>
    </row>
    <row r="44" ht="15" customHeight="1">
      <c r="A44" t="inlineStr">
        <is>
          <t>A 33035-2021</t>
        </is>
      </c>
      <c r="B44" s="1" t="n">
        <v>44376</v>
      </c>
      <c r="C44" s="1" t="n">
        <v>45934</v>
      </c>
      <c r="D44" t="inlineStr">
        <is>
          <t>UPPSALA LÄN</t>
        </is>
      </c>
      <c r="E44" t="inlineStr">
        <is>
          <t>ÖSTHAMMAR</t>
        </is>
      </c>
      <c r="G44" t="n">
        <v>4.3</v>
      </c>
      <c r="H44" t="n">
        <v>0</v>
      </c>
      <c r="I44" t="n">
        <v>0</v>
      </c>
      <c r="J44" t="n">
        <v>1</v>
      </c>
      <c r="K44" t="n">
        <v>2</v>
      </c>
      <c r="L44" t="n">
        <v>0</v>
      </c>
      <c r="M44" t="n">
        <v>0</v>
      </c>
      <c r="N44" t="n">
        <v>0</v>
      </c>
      <c r="O44" t="n">
        <v>3</v>
      </c>
      <c r="P44" t="n">
        <v>2</v>
      </c>
      <c r="Q44" t="n">
        <v>3</v>
      </c>
      <c r="R44" s="2" t="inlineStr">
        <is>
          <t>Granrotsspindling
Gyllenfingersvamp
Dofttaggsvamp</t>
        </is>
      </c>
      <c r="S44">
        <f>HYPERLINK("https://klasma.github.io/Logging_0382/artfynd/A 33035-2021 artfynd.xlsx", "A 33035-2021")</f>
        <v/>
      </c>
      <c r="T44">
        <f>HYPERLINK("https://klasma.github.io/Logging_0382/kartor/A 33035-2021 karta.png", "A 33035-2021")</f>
        <v/>
      </c>
      <c r="V44">
        <f>HYPERLINK("https://klasma.github.io/Logging_0382/klagomål/A 33035-2021 FSC-klagomål.docx", "A 33035-2021")</f>
        <v/>
      </c>
      <c r="W44">
        <f>HYPERLINK("https://klasma.github.io/Logging_0382/klagomålsmail/A 33035-2021 FSC-klagomål mail.docx", "A 33035-2021")</f>
        <v/>
      </c>
      <c r="X44">
        <f>HYPERLINK("https://klasma.github.io/Logging_0382/tillsyn/A 33035-2021 tillsynsbegäran.docx", "A 33035-2021")</f>
        <v/>
      </c>
      <c r="Y44">
        <f>HYPERLINK("https://klasma.github.io/Logging_0382/tillsynsmail/A 33035-2021 tillsynsbegäran mail.docx", "A 33035-2021")</f>
        <v/>
      </c>
    </row>
    <row r="45" ht="15" customHeight="1">
      <c r="A45" t="inlineStr">
        <is>
          <t>A 55051-2021</t>
        </is>
      </c>
      <c r="B45" s="1" t="n">
        <v>44474</v>
      </c>
      <c r="C45" s="1" t="n">
        <v>45934</v>
      </c>
      <c r="D45" t="inlineStr">
        <is>
          <t>UPPSALA LÄN</t>
        </is>
      </c>
      <c r="E45" t="inlineStr">
        <is>
          <t>ÖSTHAMMAR</t>
        </is>
      </c>
      <c r="F45" t="inlineStr">
        <is>
          <t>Bergvik skog öst AB</t>
        </is>
      </c>
      <c r="G45" t="n">
        <v>6.5</v>
      </c>
      <c r="H45" t="n">
        <v>1</v>
      </c>
      <c r="I45" t="n">
        <v>2</v>
      </c>
      <c r="J45" t="n">
        <v>0</v>
      </c>
      <c r="K45" t="n">
        <v>0</v>
      </c>
      <c r="L45" t="n">
        <v>0</v>
      </c>
      <c r="M45" t="n">
        <v>0</v>
      </c>
      <c r="N45" t="n">
        <v>0</v>
      </c>
      <c r="O45" t="n">
        <v>0</v>
      </c>
      <c r="P45" t="n">
        <v>0</v>
      </c>
      <c r="Q45" t="n">
        <v>3</v>
      </c>
      <c r="R45" s="2" t="inlineStr">
        <is>
          <t>Svart trolldruva
Tibast
Blåsippa</t>
        </is>
      </c>
      <c r="S45">
        <f>HYPERLINK("https://klasma.github.io/Logging_0382/artfynd/A 55051-2021 artfynd.xlsx", "A 55051-2021")</f>
        <v/>
      </c>
      <c r="T45">
        <f>HYPERLINK("https://klasma.github.io/Logging_0382/kartor/A 55051-2021 karta.png", "A 55051-2021")</f>
        <v/>
      </c>
      <c r="V45">
        <f>HYPERLINK("https://klasma.github.io/Logging_0382/klagomål/A 55051-2021 FSC-klagomål.docx", "A 55051-2021")</f>
        <v/>
      </c>
      <c r="W45">
        <f>HYPERLINK("https://klasma.github.io/Logging_0382/klagomålsmail/A 55051-2021 FSC-klagomål mail.docx", "A 55051-2021")</f>
        <v/>
      </c>
      <c r="X45">
        <f>HYPERLINK("https://klasma.github.io/Logging_0382/tillsyn/A 55051-2021 tillsynsbegäran.docx", "A 55051-2021")</f>
        <v/>
      </c>
      <c r="Y45">
        <f>HYPERLINK("https://klasma.github.io/Logging_0382/tillsynsmail/A 55051-2021 tillsynsbegäran mail.docx", "A 55051-2021")</f>
        <v/>
      </c>
    </row>
    <row r="46" ht="15" customHeight="1">
      <c r="A46" t="inlineStr">
        <is>
          <t>A 9715-2024</t>
        </is>
      </c>
      <c r="B46" s="1" t="n">
        <v>45362.53928240741</v>
      </c>
      <c r="C46" s="1" t="n">
        <v>45934</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46204-2023</t>
        </is>
      </c>
      <c r="B47" s="1" t="n">
        <v>45190</v>
      </c>
      <c r="C47" s="1" t="n">
        <v>45934</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45934</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45934</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45934</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45934</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45934</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45934</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20553-2025</t>
        </is>
      </c>
      <c r="B54" s="1" t="n">
        <v>45775.63983796296</v>
      </c>
      <c r="C54" s="1" t="n">
        <v>45934</v>
      </c>
      <c r="D54" t="inlineStr">
        <is>
          <t>UPPSALA LÄN</t>
        </is>
      </c>
      <c r="E54" t="inlineStr">
        <is>
          <t>ÖSTHAMMAR</t>
        </is>
      </c>
      <c r="G54" t="n">
        <v>0.4</v>
      </c>
      <c r="H54" t="n">
        <v>0</v>
      </c>
      <c r="I54" t="n">
        <v>2</v>
      </c>
      <c r="J54" t="n">
        <v>0</v>
      </c>
      <c r="K54" t="n">
        <v>0</v>
      </c>
      <c r="L54" t="n">
        <v>0</v>
      </c>
      <c r="M54" t="n">
        <v>0</v>
      </c>
      <c r="N54" t="n">
        <v>0</v>
      </c>
      <c r="O54" t="n">
        <v>0</v>
      </c>
      <c r="P54" t="n">
        <v>0</v>
      </c>
      <c r="Q54" t="n">
        <v>2</v>
      </c>
      <c r="R54" s="2" t="inlineStr">
        <is>
          <t>Jättesvampmal
Robust tickgnagare</t>
        </is>
      </c>
      <c r="S54">
        <f>HYPERLINK("https://klasma.github.io/Logging_0382/artfynd/A 20553-2025 artfynd.xlsx", "A 20553-2025")</f>
        <v/>
      </c>
      <c r="T54">
        <f>HYPERLINK("https://klasma.github.io/Logging_0382/kartor/A 20553-2025 karta.png", "A 20553-2025")</f>
        <v/>
      </c>
      <c r="V54">
        <f>HYPERLINK("https://klasma.github.io/Logging_0382/klagomål/A 20553-2025 FSC-klagomål.docx", "A 20553-2025")</f>
        <v/>
      </c>
      <c r="W54">
        <f>HYPERLINK("https://klasma.github.io/Logging_0382/klagomålsmail/A 20553-2025 FSC-klagomål mail.docx", "A 20553-2025")</f>
        <v/>
      </c>
      <c r="X54">
        <f>HYPERLINK("https://klasma.github.io/Logging_0382/tillsyn/A 20553-2025 tillsynsbegäran.docx", "A 20553-2025")</f>
        <v/>
      </c>
      <c r="Y54">
        <f>HYPERLINK("https://klasma.github.io/Logging_0382/tillsynsmail/A 20553-2025 tillsynsbegäran mail.docx", "A 20553-2025")</f>
        <v/>
      </c>
    </row>
    <row r="55" ht="15" customHeight="1">
      <c r="A55" t="inlineStr">
        <is>
          <t>A 25098-2022</t>
        </is>
      </c>
      <c r="B55" s="1" t="n">
        <v>44729.44149305556</v>
      </c>
      <c r="C55" s="1" t="n">
        <v>45934</v>
      </c>
      <c r="D55" t="inlineStr">
        <is>
          <t>UPPSALA LÄN</t>
        </is>
      </c>
      <c r="E55" t="inlineStr">
        <is>
          <t>ÖSTHAMMAR</t>
        </is>
      </c>
      <c r="G55" t="n">
        <v>2.9</v>
      </c>
      <c r="H55" t="n">
        <v>2</v>
      </c>
      <c r="I55" t="n">
        <v>0</v>
      </c>
      <c r="J55" t="n">
        <v>0</v>
      </c>
      <c r="K55" t="n">
        <v>0</v>
      </c>
      <c r="L55" t="n">
        <v>0</v>
      </c>
      <c r="M55" t="n">
        <v>0</v>
      </c>
      <c r="N55" t="n">
        <v>0</v>
      </c>
      <c r="O55" t="n">
        <v>0</v>
      </c>
      <c r="P55" t="n">
        <v>0</v>
      </c>
      <c r="Q55" t="n">
        <v>2</v>
      </c>
      <c r="R55" s="2" t="inlineStr">
        <is>
          <t>Blåsippa
Gullviva</t>
        </is>
      </c>
      <c r="S55">
        <f>HYPERLINK("https://klasma.github.io/Logging_0382/artfynd/A 25098-2022 artfynd.xlsx", "A 25098-2022")</f>
        <v/>
      </c>
      <c r="T55">
        <f>HYPERLINK("https://klasma.github.io/Logging_0382/kartor/A 25098-2022 karta.png", "A 25098-2022")</f>
        <v/>
      </c>
      <c r="V55">
        <f>HYPERLINK("https://klasma.github.io/Logging_0382/klagomål/A 25098-2022 FSC-klagomål.docx", "A 25098-2022")</f>
        <v/>
      </c>
      <c r="W55">
        <f>HYPERLINK("https://klasma.github.io/Logging_0382/klagomålsmail/A 25098-2022 FSC-klagomål mail.docx", "A 25098-2022")</f>
        <v/>
      </c>
      <c r="X55">
        <f>HYPERLINK("https://klasma.github.io/Logging_0382/tillsyn/A 25098-2022 tillsynsbegäran.docx", "A 25098-2022")</f>
        <v/>
      </c>
      <c r="Y55">
        <f>HYPERLINK("https://klasma.github.io/Logging_0382/tillsynsmail/A 25098-2022 tillsynsbegäran mail.docx", "A 25098-2022")</f>
        <v/>
      </c>
    </row>
    <row r="56" ht="15" customHeight="1">
      <c r="A56" t="inlineStr">
        <is>
          <t>A 37768-2025</t>
        </is>
      </c>
      <c r="B56" s="1" t="n">
        <v>45880</v>
      </c>
      <c r="C56" s="1" t="n">
        <v>45934</v>
      </c>
      <c r="D56" t="inlineStr">
        <is>
          <t>UPPSALA LÄN</t>
        </is>
      </c>
      <c r="E56" t="inlineStr">
        <is>
          <t>ÖSTHAMMAR</t>
        </is>
      </c>
      <c r="G56" t="n">
        <v>4.8</v>
      </c>
      <c r="H56" t="n">
        <v>0</v>
      </c>
      <c r="I56" t="n">
        <v>1</v>
      </c>
      <c r="J56" t="n">
        <v>1</v>
      </c>
      <c r="K56" t="n">
        <v>0</v>
      </c>
      <c r="L56" t="n">
        <v>0</v>
      </c>
      <c r="M56" t="n">
        <v>0</v>
      </c>
      <c r="N56" t="n">
        <v>0</v>
      </c>
      <c r="O56" t="n">
        <v>1</v>
      </c>
      <c r="P56" t="n">
        <v>0</v>
      </c>
      <c r="Q56" t="n">
        <v>2</v>
      </c>
      <c r="R56" s="2" t="inlineStr">
        <is>
          <t>Äggspindling
Anisspindling</t>
        </is>
      </c>
      <c r="S56">
        <f>HYPERLINK("https://klasma.github.io/Logging_0382/artfynd/A 37768-2025 artfynd.xlsx", "A 37768-2025")</f>
        <v/>
      </c>
      <c r="T56">
        <f>HYPERLINK("https://klasma.github.io/Logging_0382/kartor/A 37768-2025 karta.png", "A 37768-2025")</f>
        <v/>
      </c>
      <c r="V56">
        <f>HYPERLINK("https://klasma.github.io/Logging_0382/klagomål/A 37768-2025 FSC-klagomål.docx", "A 37768-2025")</f>
        <v/>
      </c>
      <c r="W56">
        <f>HYPERLINK("https://klasma.github.io/Logging_0382/klagomålsmail/A 37768-2025 FSC-klagomål mail.docx", "A 37768-2025")</f>
        <v/>
      </c>
      <c r="X56">
        <f>HYPERLINK("https://klasma.github.io/Logging_0382/tillsyn/A 37768-2025 tillsynsbegäran.docx", "A 37768-2025")</f>
        <v/>
      </c>
      <c r="Y56">
        <f>HYPERLINK("https://klasma.github.io/Logging_0382/tillsynsmail/A 37768-2025 tillsynsbegäran mail.docx", "A 37768-2025")</f>
        <v/>
      </c>
    </row>
    <row r="57" ht="15" customHeight="1">
      <c r="A57" t="inlineStr">
        <is>
          <t>A 18539-2024</t>
        </is>
      </c>
      <c r="B57" s="1" t="n">
        <v>45425.63697916667</v>
      </c>
      <c r="C57" s="1" t="n">
        <v>45934</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6223-2021</t>
        </is>
      </c>
      <c r="B58" s="1" t="n">
        <v>44235</v>
      </c>
      <c r="C58" s="1" t="n">
        <v>45934</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13287-2022</t>
        </is>
      </c>
      <c r="B59" s="1" t="n">
        <v>44644</v>
      </c>
      <c r="C59" s="1" t="n">
        <v>45934</v>
      </c>
      <c r="D59" t="inlineStr">
        <is>
          <t>UPPSALA LÄN</t>
        </is>
      </c>
      <c r="E59" t="inlineStr">
        <is>
          <t>ÖSTHAMMAR</t>
        </is>
      </c>
      <c r="G59" t="n">
        <v>14.6</v>
      </c>
      <c r="H59" t="n">
        <v>0</v>
      </c>
      <c r="I59" t="n">
        <v>1</v>
      </c>
      <c r="J59" t="n">
        <v>0</v>
      </c>
      <c r="K59" t="n">
        <v>1</v>
      </c>
      <c r="L59" t="n">
        <v>0</v>
      </c>
      <c r="M59" t="n">
        <v>0</v>
      </c>
      <c r="N59" t="n">
        <v>0</v>
      </c>
      <c r="O59" t="n">
        <v>1</v>
      </c>
      <c r="P59" t="n">
        <v>1</v>
      </c>
      <c r="Q59" t="n">
        <v>2</v>
      </c>
      <c r="R59" s="2" t="inlineStr">
        <is>
          <t>Bullspindling
Olivspindling</t>
        </is>
      </c>
      <c r="S59">
        <f>HYPERLINK("https://klasma.github.io/Logging_0382/artfynd/A 13287-2022 artfynd.xlsx", "A 13287-2022")</f>
        <v/>
      </c>
      <c r="T59">
        <f>HYPERLINK("https://klasma.github.io/Logging_0382/kartor/A 13287-2022 karta.png", "A 13287-2022")</f>
        <v/>
      </c>
      <c r="V59">
        <f>HYPERLINK("https://klasma.github.io/Logging_0382/klagomål/A 13287-2022 FSC-klagomål.docx", "A 13287-2022")</f>
        <v/>
      </c>
      <c r="W59">
        <f>HYPERLINK("https://klasma.github.io/Logging_0382/klagomålsmail/A 13287-2022 FSC-klagomål mail.docx", "A 13287-2022")</f>
        <v/>
      </c>
      <c r="X59">
        <f>HYPERLINK("https://klasma.github.io/Logging_0382/tillsyn/A 13287-2022 tillsynsbegäran.docx", "A 13287-2022")</f>
        <v/>
      </c>
      <c r="Y59">
        <f>HYPERLINK("https://klasma.github.io/Logging_0382/tillsynsmail/A 13287-2022 tillsynsbegäran mail.docx", "A 13287-2022")</f>
        <v/>
      </c>
    </row>
    <row r="60" ht="15" customHeight="1">
      <c r="A60" t="inlineStr">
        <is>
          <t>A 30943-2024</t>
        </is>
      </c>
      <c r="B60" s="1" t="n">
        <v>45499</v>
      </c>
      <c r="C60" s="1" t="n">
        <v>45934</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9646-2024</t>
        </is>
      </c>
      <c r="B61" s="1" t="n">
        <v>45362.37055555556</v>
      </c>
      <c r="C61" s="1" t="n">
        <v>45934</v>
      </c>
      <c r="D61" t="inlineStr">
        <is>
          <t>UPPSALA LÄN</t>
        </is>
      </c>
      <c r="E61" t="inlineStr">
        <is>
          <t>ÖSTHAMMAR</t>
        </is>
      </c>
      <c r="G61" t="n">
        <v>1.6</v>
      </c>
      <c r="H61" t="n">
        <v>0</v>
      </c>
      <c r="I61" t="n">
        <v>0</v>
      </c>
      <c r="J61" t="n">
        <v>1</v>
      </c>
      <c r="K61" t="n">
        <v>1</v>
      </c>
      <c r="L61" t="n">
        <v>0</v>
      </c>
      <c r="M61" t="n">
        <v>0</v>
      </c>
      <c r="N61" t="n">
        <v>0</v>
      </c>
      <c r="O61" t="n">
        <v>2</v>
      </c>
      <c r="P61" t="n">
        <v>1</v>
      </c>
      <c r="Q61" t="n">
        <v>2</v>
      </c>
      <c r="R61" s="2" t="inlineStr">
        <is>
          <t>Violgubbe
Gultoppig fingersvamp</t>
        </is>
      </c>
      <c r="S61">
        <f>HYPERLINK("https://klasma.github.io/Logging_0382/artfynd/A 9646-2024 artfynd.xlsx", "A 9646-2024")</f>
        <v/>
      </c>
      <c r="T61">
        <f>HYPERLINK("https://klasma.github.io/Logging_0382/kartor/A 9646-2024 karta.png", "A 9646-2024")</f>
        <v/>
      </c>
      <c r="V61">
        <f>HYPERLINK("https://klasma.github.io/Logging_0382/klagomål/A 9646-2024 FSC-klagomål.docx", "A 9646-2024")</f>
        <v/>
      </c>
      <c r="W61">
        <f>HYPERLINK("https://klasma.github.io/Logging_0382/klagomålsmail/A 9646-2024 FSC-klagomål mail.docx", "A 9646-2024")</f>
        <v/>
      </c>
      <c r="X61">
        <f>HYPERLINK("https://klasma.github.io/Logging_0382/tillsyn/A 9646-2024 tillsynsbegäran.docx", "A 9646-2024")</f>
        <v/>
      </c>
      <c r="Y61">
        <f>HYPERLINK("https://klasma.github.io/Logging_0382/tillsynsmail/A 9646-2024 tillsynsbegäran mail.docx", "A 9646-2024")</f>
        <v/>
      </c>
    </row>
    <row r="62" ht="15" customHeight="1">
      <c r="A62" t="inlineStr">
        <is>
          <t>A 2916-2025</t>
        </is>
      </c>
      <c r="B62" s="1" t="n">
        <v>45677</v>
      </c>
      <c r="C62" s="1" t="n">
        <v>45934</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45934</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26277-2024</t>
        </is>
      </c>
      <c r="B64" s="1" t="n">
        <v>45468</v>
      </c>
      <c r="C64" s="1" t="n">
        <v>45934</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45934</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45934</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41303-2025</t>
        </is>
      </c>
      <c r="B67" s="1" t="n">
        <v>45898.69215277778</v>
      </c>
      <c r="C67" s="1" t="n">
        <v>45934</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73981-2021</t>
        </is>
      </c>
      <c r="B68" s="1" t="n">
        <v>44555</v>
      </c>
      <c r="C68" s="1" t="n">
        <v>45934</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45934</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38442-2022</t>
        </is>
      </c>
      <c r="B70" s="1" t="n">
        <v>44813</v>
      </c>
      <c r="C70" s="1" t="n">
        <v>45934</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45934</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45934</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45934</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49839-2021</t>
        </is>
      </c>
      <c r="B74" s="1" t="n">
        <v>44455</v>
      </c>
      <c r="C74" s="1" t="n">
        <v>45934</v>
      </c>
      <c r="D74" t="inlineStr">
        <is>
          <t>UPPSALA LÄN</t>
        </is>
      </c>
      <c r="E74" t="inlineStr">
        <is>
          <t>ÖSTHAMMAR</t>
        </is>
      </c>
      <c r="G74" t="n">
        <v>3.6</v>
      </c>
      <c r="H74" t="n">
        <v>0</v>
      </c>
      <c r="I74" t="n">
        <v>0</v>
      </c>
      <c r="J74" t="n">
        <v>0</v>
      </c>
      <c r="K74" t="n">
        <v>1</v>
      </c>
      <c r="L74" t="n">
        <v>0</v>
      </c>
      <c r="M74" t="n">
        <v>0</v>
      </c>
      <c r="N74" t="n">
        <v>0</v>
      </c>
      <c r="O74" t="n">
        <v>1</v>
      </c>
      <c r="P74" t="n">
        <v>1</v>
      </c>
      <c r="Q74" t="n">
        <v>1</v>
      </c>
      <c r="R74" s="2" t="inlineStr">
        <is>
          <t>Violgubbe</t>
        </is>
      </c>
      <c r="S74">
        <f>HYPERLINK("https://klasma.github.io/Logging_0382/artfynd/A 49839-2021 artfynd.xlsx", "A 49839-2021")</f>
        <v/>
      </c>
      <c r="T74">
        <f>HYPERLINK("https://klasma.github.io/Logging_0382/kartor/A 49839-2021 karta.png", "A 49839-2021")</f>
        <v/>
      </c>
      <c r="V74">
        <f>HYPERLINK("https://klasma.github.io/Logging_0382/klagomål/A 49839-2021 FSC-klagomål.docx", "A 49839-2021")</f>
        <v/>
      </c>
      <c r="W74">
        <f>HYPERLINK("https://klasma.github.io/Logging_0382/klagomålsmail/A 49839-2021 FSC-klagomål mail.docx", "A 49839-2021")</f>
        <v/>
      </c>
      <c r="X74">
        <f>HYPERLINK("https://klasma.github.io/Logging_0382/tillsyn/A 49839-2021 tillsynsbegäran.docx", "A 49839-2021")</f>
        <v/>
      </c>
      <c r="Y74">
        <f>HYPERLINK("https://klasma.github.io/Logging_0382/tillsynsmail/A 49839-2021 tillsynsbegäran mail.docx", "A 49839-2021")</f>
        <v/>
      </c>
    </row>
    <row r="75" ht="15" customHeight="1">
      <c r="A75" t="inlineStr">
        <is>
          <t>A 46629-2024</t>
        </is>
      </c>
      <c r="B75" s="1" t="n">
        <v>45583.33221064815</v>
      </c>
      <c r="C75" s="1" t="n">
        <v>45934</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10034-2023</t>
        </is>
      </c>
      <c r="B76" s="1" t="n">
        <v>44985</v>
      </c>
      <c r="C76" s="1" t="n">
        <v>45934</v>
      </c>
      <c r="D76" t="inlineStr">
        <is>
          <t>UPPSALA LÄN</t>
        </is>
      </c>
      <c r="E76" t="inlineStr">
        <is>
          <t>ÖSTHAMMAR</t>
        </is>
      </c>
      <c r="G76" t="n">
        <v>2.1</v>
      </c>
      <c r="H76" t="n">
        <v>1</v>
      </c>
      <c r="I76" t="n">
        <v>0</v>
      </c>
      <c r="J76" t="n">
        <v>0</v>
      </c>
      <c r="K76" t="n">
        <v>0</v>
      </c>
      <c r="L76" t="n">
        <v>0</v>
      </c>
      <c r="M76" t="n">
        <v>0</v>
      </c>
      <c r="N76" t="n">
        <v>0</v>
      </c>
      <c r="O76" t="n">
        <v>0</v>
      </c>
      <c r="P76" t="n">
        <v>0</v>
      </c>
      <c r="Q76" t="n">
        <v>1</v>
      </c>
      <c r="R76" s="2" t="inlineStr">
        <is>
          <t>Blåsippa</t>
        </is>
      </c>
      <c r="S76">
        <f>HYPERLINK("https://klasma.github.io/Logging_0382/artfynd/A 10034-2023 artfynd.xlsx", "A 10034-2023")</f>
        <v/>
      </c>
      <c r="T76">
        <f>HYPERLINK("https://klasma.github.io/Logging_0382/kartor/A 10034-2023 karta.png", "A 10034-2023")</f>
        <v/>
      </c>
      <c r="V76">
        <f>HYPERLINK("https://klasma.github.io/Logging_0382/klagomål/A 10034-2023 FSC-klagomål.docx", "A 10034-2023")</f>
        <v/>
      </c>
      <c r="W76">
        <f>HYPERLINK("https://klasma.github.io/Logging_0382/klagomålsmail/A 10034-2023 FSC-klagomål mail.docx", "A 10034-2023")</f>
        <v/>
      </c>
      <c r="X76">
        <f>HYPERLINK("https://klasma.github.io/Logging_0382/tillsyn/A 10034-2023 tillsynsbegäran.docx", "A 10034-2023")</f>
        <v/>
      </c>
      <c r="Y76">
        <f>HYPERLINK("https://klasma.github.io/Logging_0382/tillsynsmail/A 10034-2023 tillsynsbegäran mail.docx", "A 10034-2023")</f>
        <v/>
      </c>
    </row>
    <row r="77" ht="15" customHeight="1">
      <c r="A77" t="inlineStr">
        <is>
          <t>A 22375-2024</t>
        </is>
      </c>
      <c r="B77" s="1" t="n">
        <v>45446</v>
      </c>
      <c r="C77" s="1" t="n">
        <v>45934</v>
      </c>
      <c r="D77" t="inlineStr">
        <is>
          <t>UPPSALA LÄN</t>
        </is>
      </c>
      <c r="E77" t="inlineStr">
        <is>
          <t>ÖSTHAMMAR</t>
        </is>
      </c>
      <c r="F77" t="inlineStr">
        <is>
          <t>Bergvik skog öst AB</t>
        </is>
      </c>
      <c r="G77" t="n">
        <v>2.2</v>
      </c>
      <c r="H77" t="n">
        <v>0</v>
      </c>
      <c r="I77" t="n">
        <v>0</v>
      </c>
      <c r="J77" t="n">
        <v>1</v>
      </c>
      <c r="K77" t="n">
        <v>0</v>
      </c>
      <c r="L77" t="n">
        <v>0</v>
      </c>
      <c r="M77" t="n">
        <v>0</v>
      </c>
      <c r="N77" t="n">
        <v>0</v>
      </c>
      <c r="O77" t="n">
        <v>1</v>
      </c>
      <c r="P77" t="n">
        <v>0</v>
      </c>
      <c r="Q77" t="n">
        <v>1</v>
      </c>
      <c r="R77" s="2" t="inlineStr">
        <is>
          <t>Slåtterfibbla</t>
        </is>
      </c>
      <c r="S77">
        <f>HYPERLINK("https://klasma.github.io/Logging_0382/artfynd/A 22375-2024 artfynd.xlsx", "A 22375-2024")</f>
        <v/>
      </c>
      <c r="T77">
        <f>HYPERLINK("https://klasma.github.io/Logging_0382/kartor/A 22375-2024 karta.png", "A 22375-2024")</f>
        <v/>
      </c>
      <c r="V77">
        <f>HYPERLINK("https://klasma.github.io/Logging_0382/klagomål/A 22375-2024 FSC-klagomål.docx", "A 22375-2024")</f>
        <v/>
      </c>
      <c r="W77">
        <f>HYPERLINK("https://klasma.github.io/Logging_0382/klagomålsmail/A 22375-2024 FSC-klagomål mail.docx", "A 22375-2024")</f>
        <v/>
      </c>
      <c r="X77">
        <f>HYPERLINK("https://klasma.github.io/Logging_0382/tillsyn/A 22375-2024 tillsynsbegäran.docx", "A 22375-2024")</f>
        <v/>
      </c>
      <c r="Y77">
        <f>HYPERLINK("https://klasma.github.io/Logging_0382/tillsynsmail/A 22375-2024 tillsynsbegäran mail.docx", "A 22375-2024")</f>
        <v/>
      </c>
    </row>
    <row r="78" ht="15" customHeight="1">
      <c r="A78" t="inlineStr">
        <is>
          <t>A 7446-2022</t>
        </is>
      </c>
      <c r="B78" s="1" t="n">
        <v>44606</v>
      </c>
      <c r="C78" s="1" t="n">
        <v>45934</v>
      </c>
      <c r="D78" t="inlineStr">
        <is>
          <t>UPPSALA LÄN</t>
        </is>
      </c>
      <c r="E78" t="inlineStr">
        <is>
          <t>ÖSTHAMMAR</t>
        </is>
      </c>
      <c r="G78" t="n">
        <v>5</v>
      </c>
      <c r="H78" t="n">
        <v>1</v>
      </c>
      <c r="I78" t="n">
        <v>0</v>
      </c>
      <c r="J78" t="n">
        <v>0</v>
      </c>
      <c r="K78" t="n">
        <v>0</v>
      </c>
      <c r="L78" t="n">
        <v>0</v>
      </c>
      <c r="M78" t="n">
        <v>0</v>
      </c>
      <c r="N78" t="n">
        <v>0</v>
      </c>
      <c r="O78" t="n">
        <v>0</v>
      </c>
      <c r="P78" t="n">
        <v>0</v>
      </c>
      <c r="Q78" t="n">
        <v>1</v>
      </c>
      <c r="R78" s="2" t="inlineStr">
        <is>
          <t>Mattlummer</t>
        </is>
      </c>
      <c r="S78">
        <f>HYPERLINK("https://klasma.github.io/Logging_0382/artfynd/A 7446-2022 artfynd.xlsx", "A 7446-2022")</f>
        <v/>
      </c>
      <c r="T78">
        <f>HYPERLINK("https://klasma.github.io/Logging_0382/kartor/A 7446-2022 karta.png", "A 7446-2022")</f>
        <v/>
      </c>
      <c r="V78">
        <f>HYPERLINK("https://klasma.github.io/Logging_0382/klagomål/A 7446-2022 FSC-klagomål.docx", "A 7446-2022")</f>
        <v/>
      </c>
      <c r="W78">
        <f>HYPERLINK("https://klasma.github.io/Logging_0382/klagomålsmail/A 7446-2022 FSC-klagomål mail.docx", "A 7446-2022")</f>
        <v/>
      </c>
      <c r="X78">
        <f>HYPERLINK("https://klasma.github.io/Logging_0382/tillsyn/A 7446-2022 tillsynsbegäran.docx", "A 7446-2022")</f>
        <v/>
      </c>
      <c r="Y78">
        <f>HYPERLINK("https://klasma.github.io/Logging_0382/tillsynsmail/A 7446-2022 tillsynsbegäran mail.docx", "A 7446-2022")</f>
        <v/>
      </c>
    </row>
    <row r="79" ht="15" customHeight="1">
      <c r="A79" t="inlineStr">
        <is>
          <t>A 70495-2021</t>
        </is>
      </c>
      <c r="B79" s="1" t="n">
        <v>44536</v>
      </c>
      <c r="C79" s="1" t="n">
        <v>45934</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61479-2020</t>
        </is>
      </c>
      <c r="B80" s="1" t="n">
        <v>44154</v>
      </c>
      <c r="C80" s="1" t="n">
        <v>45934</v>
      </c>
      <c r="D80" t="inlineStr">
        <is>
          <t>UPPSALA LÄN</t>
        </is>
      </c>
      <c r="E80" t="inlineStr">
        <is>
          <t>ÖSTHAMMAR</t>
        </is>
      </c>
      <c r="G80" t="n">
        <v>2.5</v>
      </c>
      <c r="H80" t="n">
        <v>0</v>
      </c>
      <c r="I80" t="n">
        <v>1</v>
      </c>
      <c r="J80" t="n">
        <v>0</v>
      </c>
      <c r="K80" t="n">
        <v>0</v>
      </c>
      <c r="L80" t="n">
        <v>0</v>
      </c>
      <c r="M80" t="n">
        <v>0</v>
      </c>
      <c r="N80" t="n">
        <v>0</v>
      </c>
      <c r="O80" t="n">
        <v>0</v>
      </c>
      <c r="P80" t="n">
        <v>0</v>
      </c>
      <c r="Q80" t="n">
        <v>1</v>
      </c>
      <c r="R80" s="2" t="inlineStr">
        <is>
          <t>Olivspindling</t>
        </is>
      </c>
      <c r="S80">
        <f>HYPERLINK("https://klasma.github.io/Logging_0382/artfynd/A 61479-2020 artfynd.xlsx", "A 61479-2020")</f>
        <v/>
      </c>
      <c r="T80">
        <f>HYPERLINK("https://klasma.github.io/Logging_0382/kartor/A 61479-2020 karta.png", "A 61479-2020")</f>
        <v/>
      </c>
      <c r="V80">
        <f>HYPERLINK("https://klasma.github.io/Logging_0382/klagomål/A 61479-2020 FSC-klagomål.docx", "A 61479-2020")</f>
        <v/>
      </c>
      <c r="W80">
        <f>HYPERLINK("https://klasma.github.io/Logging_0382/klagomålsmail/A 61479-2020 FSC-klagomål mail.docx", "A 61479-2020")</f>
        <v/>
      </c>
      <c r="X80">
        <f>HYPERLINK("https://klasma.github.io/Logging_0382/tillsyn/A 61479-2020 tillsynsbegäran.docx", "A 61479-2020")</f>
        <v/>
      </c>
      <c r="Y80">
        <f>HYPERLINK("https://klasma.github.io/Logging_0382/tillsynsmail/A 61479-2020 tillsynsbegäran mail.docx", "A 61479-2020")</f>
        <v/>
      </c>
    </row>
    <row r="81" ht="15" customHeight="1">
      <c r="A81" t="inlineStr">
        <is>
          <t>A 7470-2022</t>
        </is>
      </c>
      <c r="B81" s="1" t="n">
        <v>44607</v>
      </c>
      <c r="C81" s="1" t="n">
        <v>45934</v>
      </c>
      <c r="D81" t="inlineStr">
        <is>
          <t>UPPSALA LÄN</t>
        </is>
      </c>
      <c r="E81" t="inlineStr">
        <is>
          <t>ÖSTHAMMAR</t>
        </is>
      </c>
      <c r="G81" t="n">
        <v>2.6</v>
      </c>
      <c r="H81" t="n">
        <v>1</v>
      </c>
      <c r="I81" t="n">
        <v>1</v>
      </c>
      <c r="J81" t="n">
        <v>0</v>
      </c>
      <c r="K81" t="n">
        <v>0</v>
      </c>
      <c r="L81" t="n">
        <v>0</v>
      </c>
      <c r="M81" t="n">
        <v>0</v>
      </c>
      <c r="N81" t="n">
        <v>0</v>
      </c>
      <c r="O81" t="n">
        <v>0</v>
      </c>
      <c r="P81" t="n">
        <v>0</v>
      </c>
      <c r="Q81" t="n">
        <v>1</v>
      </c>
      <c r="R81" s="2" t="inlineStr">
        <is>
          <t>Grön sköldmossa</t>
        </is>
      </c>
      <c r="S81">
        <f>HYPERLINK("https://klasma.github.io/Logging_0382/artfynd/A 7470-2022 artfynd.xlsx", "A 7470-2022")</f>
        <v/>
      </c>
      <c r="T81">
        <f>HYPERLINK("https://klasma.github.io/Logging_0382/kartor/A 7470-2022 karta.png", "A 7470-2022")</f>
        <v/>
      </c>
      <c r="V81">
        <f>HYPERLINK("https://klasma.github.io/Logging_0382/klagomål/A 7470-2022 FSC-klagomål.docx", "A 7470-2022")</f>
        <v/>
      </c>
      <c r="W81">
        <f>HYPERLINK("https://klasma.github.io/Logging_0382/klagomålsmail/A 7470-2022 FSC-klagomål mail.docx", "A 7470-2022")</f>
        <v/>
      </c>
      <c r="X81">
        <f>HYPERLINK("https://klasma.github.io/Logging_0382/tillsyn/A 7470-2022 tillsynsbegäran.docx", "A 7470-2022")</f>
        <v/>
      </c>
      <c r="Y81">
        <f>HYPERLINK("https://klasma.github.io/Logging_0382/tillsynsmail/A 7470-2022 tillsynsbegäran mail.docx", "A 7470-2022")</f>
        <v/>
      </c>
    </row>
    <row r="82" ht="15" customHeight="1">
      <c r="A82" t="inlineStr">
        <is>
          <t>A 22287-2023</t>
        </is>
      </c>
      <c r="B82" s="1" t="n">
        <v>45070</v>
      </c>
      <c r="C82" s="1" t="n">
        <v>45934</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6143-2025</t>
        </is>
      </c>
      <c r="B83" s="1" t="n">
        <v>45698.38697916667</v>
      </c>
      <c r="C83" s="1" t="n">
        <v>45934</v>
      </c>
      <c r="D83" t="inlineStr">
        <is>
          <t>UPPSALA LÄN</t>
        </is>
      </c>
      <c r="E83" t="inlineStr">
        <is>
          <t>ÖSTHAMMAR</t>
        </is>
      </c>
      <c r="F83" t="inlineStr">
        <is>
          <t>Bergvik skog öst AB</t>
        </is>
      </c>
      <c r="G83" t="n">
        <v>3.6</v>
      </c>
      <c r="H83" t="n">
        <v>0</v>
      </c>
      <c r="I83" t="n">
        <v>1</v>
      </c>
      <c r="J83" t="n">
        <v>0</v>
      </c>
      <c r="K83" t="n">
        <v>0</v>
      </c>
      <c r="L83" t="n">
        <v>0</v>
      </c>
      <c r="M83" t="n">
        <v>0</v>
      </c>
      <c r="N83" t="n">
        <v>0</v>
      </c>
      <c r="O83" t="n">
        <v>0</v>
      </c>
      <c r="P83" t="n">
        <v>0</v>
      </c>
      <c r="Q83" t="n">
        <v>1</v>
      </c>
      <c r="R83" s="2" t="inlineStr">
        <is>
          <t>Svavelriska</t>
        </is>
      </c>
      <c r="S83">
        <f>HYPERLINK("https://klasma.github.io/Logging_0382/artfynd/A 6143-2025 artfynd.xlsx", "A 6143-2025")</f>
        <v/>
      </c>
      <c r="T83">
        <f>HYPERLINK("https://klasma.github.io/Logging_0382/kartor/A 6143-2025 karta.png", "A 6143-2025")</f>
        <v/>
      </c>
      <c r="V83">
        <f>HYPERLINK("https://klasma.github.io/Logging_0382/klagomål/A 6143-2025 FSC-klagomål.docx", "A 6143-2025")</f>
        <v/>
      </c>
      <c r="W83">
        <f>HYPERLINK("https://klasma.github.io/Logging_0382/klagomålsmail/A 6143-2025 FSC-klagomål mail.docx", "A 6143-2025")</f>
        <v/>
      </c>
      <c r="X83">
        <f>HYPERLINK("https://klasma.github.io/Logging_0382/tillsyn/A 6143-2025 tillsynsbegäran.docx", "A 6143-2025")</f>
        <v/>
      </c>
      <c r="Y83">
        <f>HYPERLINK("https://klasma.github.io/Logging_0382/tillsynsmail/A 6143-2025 tillsynsbegäran mail.docx", "A 6143-2025")</f>
        <v/>
      </c>
    </row>
    <row r="84" ht="15" customHeight="1">
      <c r="A84" t="inlineStr">
        <is>
          <t>A 22209-2022</t>
        </is>
      </c>
      <c r="B84" s="1" t="n">
        <v>44712</v>
      </c>
      <c r="C84" s="1" t="n">
        <v>45934</v>
      </c>
      <c r="D84" t="inlineStr">
        <is>
          <t>UPPSALA LÄN</t>
        </is>
      </c>
      <c r="E84" t="inlineStr">
        <is>
          <t>ÖSTHAMMAR</t>
        </is>
      </c>
      <c r="F84" t="inlineStr">
        <is>
          <t>Bergvik skog öst AB</t>
        </is>
      </c>
      <c r="G84" t="n">
        <v>1.5</v>
      </c>
      <c r="H84" t="n">
        <v>1</v>
      </c>
      <c r="I84" t="n">
        <v>0</v>
      </c>
      <c r="J84" t="n">
        <v>0</v>
      </c>
      <c r="K84" t="n">
        <v>0</v>
      </c>
      <c r="L84" t="n">
        <v>0</v>
      </c>
      <c r="M84" t="n">
        <v>0</v>
      </c>
      <c r="N84" t="n">
        <v>0</v>
      </c>
      <c r="O84" t="n">
        <v>0</v>
      </c>
      <c r="P84" t="n">
        <v>0</v>
      </c>
      <c r="Q84" t="n">
        <v>1</v>
      </c>
      <c r="R84" s="2" t="inlineStr">
        <is>
          <t>Blåsippa</t>
        </is>
      </c>
      <c r="S84">
        <f>HYPERLINK("https://klasma.github.io/Logging_0382/artfynd/A 22209-2022 artfynd.xlsx", "A 22209-2022")</f>
        <v/>
      </c>
      <c r="T84">
        <f>HYPERLINK("https://klasma.github.io/Logging_0382/kartor/A 22209-2022 karta.png", "A 22209-2022")</f>
        <v/>
      </c>
      <c r="V84">
        <f>HYPERLINK("https://klasma.github.io/Logging_0382/klagomål/A 22209-2022 FSC-klagomål.docx", "A 22209-2022")</f>
        <v/>
      </c>
      <c r="W84">
        <f>HYPERLINK("https://klasma.github.io/Logging_0382/klagomålsmail/A 22209-2022 FSC-klagomål mail.docx", "A 22209-2022")</f>
        <v/>
      </c>
      <c r="X84">
        <f>HYPERLINK("https://klasma.github.io/Logging_0382/tillsyn/A 22209-2022 tillsynsbegäran.docx", "A 22209-2022")</f>
        <v/>
      </c>
      <c r="Y84">
        <f>HYPERLINK("https://klasma.github.io/Logging_0382/tillsynsmail/A 22209-2022 tillsynsbegäran mail.docx", "A 22209-2022")</f>
        <v/>
      </c>
    </row>
    <row r="85" ht="15" customHeight="1">
      <c r="A85" t="inlineStr">
        <is>
          <t>A 29679-2023</t>
        </is>
      </c>
      <c r="B85" s="1" t="n">
        <v>45107</v>
      </c>
      <c r="C85" s="1" t="n">
        <v>45934</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12753-2024</t>
        </is>
      </c>
      <c r="B86" s="1" t="n">
        <v>45384</v>
      </c>
      <c r="C86" s="1" t="n">
        <v>45934</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24797-2022</t>
        </is>
      </c>
      <c r="B87" s="1" t="n">
        <v>44728</v>
      </c>
      <c r="C87" s="1" t="n">
        <v>45934</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63615-2021</t>
        </is>
      </c>
      <c r="B88" s="1" t="n">
        <v>44509</v>
      </c>
      <c r="C88" s="1" t="n">
        <v>45934</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45934</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25179-2023</t>
        </is>
      </c>
      <c r="B90" s="1" t="n">
        <v>45078</v>
      </c>
      <c r="C90" s="1" t="n">
        <v>45934</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33800-2024</t>
        </is>
      </c>
      <c r="B91" s="1" t="n">
        <v>45520</v>
      </c>
      <c r="C91" s="1" t="n">
        <v>45934</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14706-2023</t>
        </is>
      </c>
      <c r="B92" s="1" t="n">
        <v>45013</v>
      </c>
      <c r="C92" s="1" t="n">
        <v>45934</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1227-2022</t>
        </is>
      </c>
      <c r="B93" s="1" t="n">
        <v>44572.57641203704</v>
      </c>
      <c r="C93" s="1" t="n">
        <v>45934</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45934</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45934</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30605-2025</t>
        </is>
      </c>
      <c r="B96" s="1" t="n">
        <v>45831.45510416666</v>
      </c>
      <c r="C96" s="1" t="n">
        <v>45934</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52818-2022</t>
        </is>
      </c>
      <c r="B97" s="1" t="n">
        <v>44875</v>
      </c>
      <c r="C97" s="1" t="n">
        <v>45934</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29564-2023</t>
        </is>
      </c>
      <c r="B98" s="1" t="n">
        <v>45106</v>
      </c>
      <c r="C98" s="1" t="n">
        <v>45934</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37296-2023</t>
        </is>
      </c>
      <c r="B99" s="1" t="n">
        <v>45156</v>
      </c>
      <c r="C99" s="1" t="n">
        <v>45934</v>
      </c>
      <c r="D99" t="inlineStr">
        <is>
          <t>UPPSALA LÄN</t>
        </is>
      </c>
      <c r="E99" t="inlineStr">
        <is>
          <t>ÖSTHAMMAR</t>
        </is>
      </c>
      <c r="G99" t="n">
        <v>4.7</v>
      </c>
      <c r="H99" t="n">
        <v>1</v>
      </c>
      <c r="I99" t="n">
        <v>0</v>
      </c>
      <c r="J99" t="n">
        <v>0</v>
      </c>
      <c r="K99" t="n">
        <v>1</v>
      </c>
      <c r="L99" t="n">
        <v>0</v>
      </c>
      <c r="M99" t="n">
        <v>0</v>
      </c>
      <c r="N99" t="n">
        <v>0</v>
      </c>
      <c r="O99" t="n">
        <v>1</v>
      </c>
      <c r="P99" t="n">
        <v>1</v>
      </c>
      <c r="Q99" t="n">
        <v>1</v>
      </c>
      <c r="R99" s="2" t="inlineStr">
        <is>
          <t>Backsippa</t>
        </is>
      </c>
      <c r="S99">
        <f>HYPERLINK("https://klasma.github.io/Logging_0382/artfynd/A 37296-2023 artfynd.xlsx", "A 37296-2023")</f>
        <v/>
      </c>
      <c r="T99">
        <f>HYPERLINK("https://klasma.github.io/Logging_0382/kartor/A 37296-2023 karta.png", "A 37296-2023")</f>
        <v/>
      </c>
      <c r="V99">
        <f>HYPERLINK("https://klasma.github.io/Logging_0382/klagomål/A 37296-2023 FSC-klagomål.docx", "A 37296-2023")</f>
        <v/>
      </c>
      <c r="W99">
        <f>HYPERLINK("https://klasma.github.io/Logging_0382/klagomålsmail/A 37296-2023 FSC-klagomål mail.docx", "A 37296-2023")</f>
        <v/>
      </c>
      <c r="X99">
        <f>HYPERLINK("https://klasma.github.io/Logging_0382/tillsyn/A 37296-2023 tillsynsbegäran.docx", "A 37296-2023")</f>
        <v/>
      </c>
      <c r="Y99">
        <f>HYPERLINK("https://klasma.github.io/Logging_0382/tillsynsmail/A 37296-2023 tillsynsbegäran mail.docx", "A 37296-2023")</f>
        <v/>
      </c>
    </row>
    <row r="100" ht="15" customHeight="1">
      <c r="A100" t="inlineStr">
        <is>
          <t>A 41220-2025</t>
        </is>
      </c>
      <c r="B100" s="1" t="n">
        <v>45898.58630787037</v>
      </c>
      <c r="C100" s="1" t="n">
        <v>45934</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65989-2021</t>
        </is>
      </c>
      <c r="B101" s="1" t="n">
        <v>44517</v>
      </c>
      <c r="C101" s="1" t="n">
        <v>45934</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3693-2021</t>
        </is>
      </c>
      <c r="B102" s="1" t="n">
        <v>44221</v>
      </c>
      <c r="C102" s="1" t="n">
        <v>45934</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45934</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45934</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45934</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45934</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45934</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45934</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45934</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45934</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45934</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45934</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45934</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45934</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45934</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45934</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45934</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45934</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45934</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45934</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45934</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45934</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45934</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45934</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45934</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45934</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45934</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45934</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45934</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45934</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45934</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45934</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45934</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45934</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45934</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45934</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45934</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45934</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45934</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45934</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45934</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45934</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45934</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45934</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45934</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45934</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45934</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45934</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45934</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45934</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45934</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45934</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45934</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45934</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45934</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45934</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45934</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45934</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45934</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45934</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59432-2020</t>
        </is>
      </c>
      <c r="B161" s="1" t="n">
        <v>44148</v>
      </c>
      <c r="C161" s="1" t="n">
        <v>45934</v>
      </c>
      <c r="D161" t="inlineStr">
        <is>
          <t>UPPSALA LÄN</t>
        </is>
      </c>
      <c r="E161" t="inlineStr">
        <is>
          <t>ÖSTHAMMAR</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52898-2021</t>
        </is>
      </c>
      <c r="B162" s="1" t="n">
        <v>44467</v>
      </c>
      <c r="C162" s="1" t="n">
        <v>45934</v>
      </c>
      <c r="D162" t="inlineStr">
        <is>
          <t>UPPSALA LÄN</t>
        </is>
      </c>
      <c r="E162" t="inlineStr">
        <is>
          <t>ÖSTHAMMAR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45934</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52432-2020</t>
        </is>
      </c>
      <c r="B164" s="1" t="n">
        <v>44118</v>
      </c>
      <c r="C164" s="1" t="n">
        <v>45934</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52434-2020</t>
        </is>
      </c>
      <c r="B165" s="1" t="n">
        <v>44118</v>
      </c>
      <c r="C165" s="1" t="n">
        <v>45934</v>
      </c>
      <c r="D165" t="inlineStr">
        <is>
          <t>UPPSALA LÄN</t>
        </is>
      </c>
      <c r="E165" t="inlineStr">
        <is>
          <t>ÖSTHAMMAR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61193-2020</t>
        </is>
      </c>
      <c r="B166" s="1" t="n">
        <v>44155</v>
      </c>
      <c r="C166" s="1" t="n">
        <v>45934</v>
      </c>
      <c r="D166" t="inlineStr">
        <is>
          <t>UPPSALA LÄN</t>
        </is>
      </c>
      <c r="E166" t="inlineStr">
        <is>
          <t>ÖSTHAMMAR</t>
        </is>
      </c>
      <c r="F166" t="inlineStr">
        <is>
          <t>Övriga Aktiebolag</t>
        </is>
      </c>
      <c r="G166" t="n">
        <v>2.1</v>
      </c>
      <c r="H166" t="n">
        <v>0</v>
      </c>
      <c r="I166" t="n">
        <v>0</v>
      </c>
      <c r="J166" t="n">
        <v>0</v>
      </c>
      <c r="K166" t="n">
        <v>0</v>
      </c>
      <c r="L166" t="n">
        <v>0</v>
      </c>
      <c r="M166" t="n">
        <v>0</v>
      </c>
      <c r="N166" t="n">
        <v>0</v>
      </c>
      <c r="O166" t="n">
        <v>0</v>
      </c>
      <c r="P166" t="n">
        <v>0</v>
      </c>
      <c r="Q166" t="n">
        <v>0</v>
      </c>
      <c r="R166" s="2" t="inlineStr"/>
    </row>
    <row r="167" ht="15" customHeight="1">
      <c r="A167" t="inlineStr">
        <is>
          <t>A 9789-2022</t>
        </is>
      </c>
      <c r="B167" s="1" t="n">
        <v>44620.35590277778</v>
      </c>
      <c r="C167" s="1" t="n">
        <v>45934</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16185-2022</t>
        </is>
      </c>
      <c r="B168" s="1" t="n">
        <v>44669</v>
      </c>
      <c r="C168" s="1" t="n">
        <v>45934</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24316-2021</t>
        </is>
      </c>
      <c r="B169" s="1" t="n">
        <v>44337</v>
      </c>
      <c r="C169" s="1" t="n">
        <v>45934</v>
      </c>
      <c r="D169" t="inlineStr">
        <is>
          <t>UPPSALA LÄN</t>
        </is>
      </c>
      <c r="E169" t="inlineStr">
        <is>
          <t>ÖSTHAMMAR</t>
        </is>
      </c>
      <c r="G169" t="n">
        <v>1.2</v>
      </c>
      <c r="H169" t="n">
        <v>0</v>
      </c>
      <c r="I169" t="n">
        <v>0</v>
      </c>
      <c r="J169" t="n">
        <v>0</v>
      </c>
      <c r="K169" t="n">
        <v>0</v>
      </c>
      <c r="L169" t="n">
        <v>0</v>
      </c>
      <c r="M169" t="n">
        <v>0</v>
      </c>
      <c r="N169" t="n">
        <v>0</v>
      </c>
      <c r="O169" t="n">
        <v>0</v>
      </c>
      <c r="P169" t="n">
        <v>0</v>
      </c>
      <c r="Q169" t="n">
        <v>0</v>
      </c>
      <c r="R169" s="2" t="inlineStr"/>
    </row>
    <row r="170" ht="15" customHeight="1">
      <c r="A170" t="inlineStr">
        <is>
          <t>A 18736-2022</t>
        </is>
      </c>
      <c r="B170" s="1" t="n">
        <v>44687.87017361111</v>
      </c>
      <c r="C170" s="1" t="n">
        <v>45934</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2168-2022</t>
        </is>
      </c>
      <c r="B171" s="1" t="n">
        <v>44578</v>
      </c>
      <c r="C171" s="1" t="n">
        <v>45934</v>
      </c>
      <c r="D171" t="inlineStr">
        <is>
          <t>UPPSALA LÄN</t>
        </is>
      </c>
      <c r="E171" t="inlineStr">
        <is>
          <t>ÖSTHAMMAR</t>
        </is>
      </c>
      <c r="G171" t="n">
        <v>2.9</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45934</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11884-2022</t>
        </is>
      </c>
      <c r="B173" s="1" t="n">
        <v>44635.39946759259</v>
      </c>
      <c r="C173" s="1" t="n">
        <v>45934</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45934</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45934</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45934</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18734-2022</t>
        </is>
      </c>
      <c r="B177" s="1" t="n">
        <v>44687.86751157408</v>
      </c>
      <c r="C177" s="1" t="n">
        <v>45934</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45934</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45934</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7871-2022</t>
        </is>
      </c>
      <c r="B180" s="1" t="n">
        <v>44608</v>
      </c>
      <c r="C180" s="1" t="n">
        <v>45934</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45934</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15457-2022</t>
        </is>
      </c>
      <c r="B182" s="1" t="n">
        <v>44661.74027777778</v>
      </c>
      <c r="C182" s="1" t="n">
        <v>45934</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25987-2022</t>
        </is>
      </c>
      <c r="B183" s="1" t="n">
        <v>44734.49601851852</v>
      </c>
      <c r="C183" s="1" t="n">
        <v>45934</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57003-2021</t>
        </is>
      </c>
      <c r="B184" s="1" t="n">
        <v>44482.47577546296</v>
      </c>
      <c r="C184" s="1" t="n">
        <v>45934</v>
      </c>
      <c r="D184" t="inlineStr">
        <is>
          <t>UPPSALA LÄN</t>
        </is>
      </c>
      <c r="E184" t="inlineStr">
        <is>
          <t>ÖSTHAMMAR</t>
        </is>
      </c>
      <c r="G184" t="n">
        <v>1.9</v>
      </c>
      <c r="H184" t="n">
        <v>0</v>
      </c>
      <c r="I184" t="n">
        <v>0</v>
      </c>
      <c r="J184" t="n">
        <v>0</v>
      </c>
      <c r="K184" t="n">
        <v>0</v>
      </c>
      <c r="L184" t="n">
        <v>0</v>
      </c>
      <c r="M184" t="n">
        <v>0</v>
      </c>
      <c r="N184" t="n">
        <v>0</v>
      </c>
      <c r="O184" t="n">
        <v>0</v>
      </c>
      <c r="P184" t="n">
        <v>0</v>
      </c>
      <c r="Q184" t="n">
        <v>0</v>
      </c>
      <c r="R184" s="2" t="inlineStr"/>
    </row>
    <row r="185" ht="15" customHeight="1">
      <c r="A185" t="inlineStr">
        <is>
          <t>A 19214-2021</t>
        </is>
      </c>
      <c r="B185" s="1" t="n">
        <v>44309.28576388889</v>
      </c>
      <c r="C185" s="1" t="n">
        <v>45934</v>
      </c>
      <c r="D185" t="inlineStr">
        <is>
          <t>UPPSALA LÄN</t>
        </is>
      </c>
      <c r="E185" t="inlineStr">
        <is>
          <t>ÖSTHAMMAR</t>
        </is>
      </c>
      <c r="F185" t="inlineStr">
        <is>
          <t>Bergvik skog öst AB</t>
        </is>
      </c>
      <c r="G185" t="n">
        <v>6</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45934</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45934</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45934</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45934</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37568-2022</t>
        </is>
      </c>
      <c r="B190" s="1" t="n">
        <v>44809</v>
      </c>
      <c r="C190" s="1" t="n">
        <v>45934</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2085-2022</t>
        </is>
      </c>
      <c r="B191" s="1" t="n">
        <v>44576.78626157407</v>
      </c>
      <c r="C191" s="1" t="n">
        <v>45934</v>
      </c>
      <c r="D191" t="inlineStr">
        <is>
          <t>UPPSALA LÄN</t>
        </is>
      </c>
      <c r="E191" t="inlineStr">
        <is>
          <t>ÖSTHAMMAR</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6221-2021</t>
        </is>
      </c>
      <c r="B192" s="1" t="n">
        <v>44235</v>
      </c>
      <c r="C192" s="1" t="n">
        <v>45934</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45934</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31479-2023</t>
        </is>
      </c>
      <c r="B194" s="1" t="n">
        <v>45114.79793981482</v>
      </c>
      <c r="C194" s="1" t="n">
        <v>45934</v>
      </c>
      <c r="D194" t="inlineStr">
        <is>
          <t>UPPSALA LÄN</t>
        </is>
      </c>
      <c r="E194" t="inlineStr">
        <is>
          <t>ÖSTHAMMAR</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74436-2021</t>
        </is>
      </c>
      <c r="B195" s="1" t="n">
        <v>44560.4502199074</v>
      </c>
      <c r="C195" s="1" t="n">
        <v>45934</v>
      </c>
      <c r="D195" t="inlineStr">
        <is>
          <t>UPPSALA LÄN</t>
        </is>
      </c>
      <c r="E195" t="inlineStr">
        <is>
          <t>ÖSTHAMMAR</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31182-2022</t>
        </is>
      </c>
      <c r="B196" s="1" t="n">
        <v>44770</v>
      </c>
      <c r="C196" s="1" t="n">
        <v>45934</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45934</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26534-2022</t>
        </is>
      </c>
      <c r="B198" s="1" t="n">
        <v>44739</v>
      </c>
      <c r="C198" s="1" t="n">
        <v>45934</v>
      </c>
      <c r="D198" t="inlineStr">
        <is>
          <t>UPPSALA LÄN</t>
        </is>
      </c>
      <c r="E198" t="inlineStr">
        <is>
          <t>ÖSTHAMMAR</t>
        </is>
      </c>
      <c r="F198" t="inlineStr">
        <is>
          <t>Övriga statliga verk och myndigheter</t>
        </is>
      </c>
      <c r="G198" t="n">
        <v>0.6</v>
      </c>
      <c r="H198" t="n">
        <v>0</v>
      </c>
      <c r="I198" t="n">
        <v>0</v>
      </c>
      <c r="J198" t="n">
        <v>0</v>
      </c>
      <c r="K198" t="n">
        <v>0</v>
      </c>
      <c r="L198" t="n">
        <v>0</v>
      </c>
      <c r="M198" t="n">
        <v>0</v>
      </c>
      <c r="N198" t="n">
        <v>0</v>
      </c>
      <c r="O198" t="n">
        <v>0</v>
      </c>
      <c r="P198" t="n">
        <v>0</v>
      </c>
      <c r="Q198" t="n">
        <v>0</v>
      </c>
      <c r="R198" s="2" t="inlineStr"/>
    </row>
    <row r="199" ht="15" customHeight="1">
      <c r="A199" t="inlineStr">
        <is>
          <t>A 48719-2023</t>
        </is>
      </c>
      <c r="B199" s="1" t="n">
        <v>45208.70452546296</v>
      </c>
      <c r="C199" s="1" t="n">
        <v>45934</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45934</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21862-2023</t>
        </is>
      </c>
      <c r="B201" s="1" t="n">
        <v>45068</v>
      </c>
      <c r="C201" s="1" t="n">
        <v>45934</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55086-2024</t>
        </is>
      </c>
      <c r="B202" s="1" t="n">
        <v>45621.43098379629</v>
      </c>
      <c r="C202" s="1" t="n">
        <v>45934</v>
      </c>
      <c r="D202" t="inlineStr">
        <is>
          <t>UPPSALA LÄN</t>
        </is>
      </c>
      <c r="E202" t="inlineStr">
        <is>
          <t>ÖSTHAMMAR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62695-2023</t>
        </is>
      </c>
      <c r="B203" s="1" t="n">
        <v>45271</v>
      </c>
      <c r="C203" s="1" t="n">
        <v>45934</v>
      </c>
      <c r="D203" t="inlineStr">
        <is>
          <t>UPPSALA LÄN</t>
        </is>
      </c>
      <c r="E203" t="inlineStr">
        <is>
          <t>ÖSTHAMMAR</t>
        </is>
      </c>
      <c r="G203" t="n">
        <v>5.3</v>
      </c>
      <c r="H203" t="n">
        <v>0</v>
      </c>
      <c r="I203" t="n">
        <v>0</v>
      </c>
      <c r="J203" t="n">
        <v>0</v>
      </c>
      <c r="K203" t="n">
        <v>0</v>
      </c>
      <c r="L203" t="n">
        <v>0</v>
      </c>
      <c r="M203" t="n">
        <v>0</v>
      </c>
      <c r="N203" t="n">
        <v>0</v>
      </c>
      <c r="O203" t="n">
        <v>0</v>
      </c>
      <c r="P203" t="n">
        <v>0</v>
      </c>
      <c r="Q203" t="n">
        <v>0</v>
      </c>
      <c r="R203" s="2" t="inlineStr"/>
    </row>
    <row r="204" ht="15" customHeight="1">
      <c r="A204" t="inlineStr">
        <is>
          <t>A 38501-2022</t>
        </is>
      </c>
      <c r="B204" s="1" t="n">
        <v>44813</v>
      </c>
      <c r="C204" s="1" t="n">
        <v>45934</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45934</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37813-2022</t>
        </is>
      </c>
      <c r="B206" s="1" t="n">
        <v>44810</v>
      </c>
      <c r="C206" s="1" t="n">
        <v>45934</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45934</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10982-2023</t>
        </is>
      </c>
      <c r="B208" s="1" t="n">
        <v>44991.62203703704</v>
      </c>
      <c r="C208" s="1" t="n">
        <v>45934</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23197-2023</t>
        </is>
      </c>
      <c r="B209" s="1" t="n">
        <v>45075</v>
      </c>
      <c r="C209" s="1" t="n">
        <v>45934</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52478-2024</t>
        </is>
      </c>
      <c r="B210" s="1" t="n">
        <v>45609.55065972222</v>
      </c>
      <c r="C210" s="1" t="n">
        <v>45934</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13044-2022</t>
        </is>
      </c>
      <c r="B211" s="1" t="n">
        <v>44643</v>
      </c>
      <c r="C211" s="1" t="n">
        <v>45934</v>
      </c>
      <c r="D211" t="inlineStr">
        <is>
          <t>UPPSALA LÄN</t>
        </is>
      </c>
      <c r="E211" t="inlineStr">
        <is>
          <t>ÖSTHAMMAR</t>
        </is>
      </c>
      <c r="G211" t="n">
        <v>2.5</v>
      </c>
      <c r="H211" t="n">
        <v>0</v>
      </c>
      <c r="I211" t="n">
        <v>0</v>
      </c>
      <c r="J211" t="n">
        <v>0</v>
      </c>
      <c r="K211" t="n">
        <v>0</v>
      </c>
      <c r="L211" t="n">
        <v>0</v>
      </c>
      <c r="M211" t="n">
        <v>0</v>
      </c>
      <c r="N211" t="n">
        <v>0</v>
      </c>
      <c r="O211" t="n">
        <v>0</v>
      </c>
      <c r="P211" t="n">
        <v>0</v>
      </c>
      <c r="Q211" t="n">
        <v>0</v>
      </c>
      <c r="R211" s="2" t="inlineStr"/>
    </row>
    <row r="212" ht="15" customHeight="1">
      <c r="A212" t="inlineStr">
        <is>
          <t>A 2947-2025</t>
        </is>
      </c>
      <c r="B212" s="1" t="n">
        <v>45678</v>
      </c>
      <c r="C212" s="1" t="n">
        <v>45934</v>
      </c>
      <c r="D212" t="inlineStr">
        <is>
          <t>UPPSALA LÄN</t>
        </is>
      </c>
      <c r="E212" t="inlineStr">
        <is>
          <t>ÖSTHAMMAR</t>
        </is>
      </c>
      <c r="G212" t="n">
        <v>3.6</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45934</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17433-2025</t>
        </is>
      </c>
      <c r="B214" s="1" t="n">
        <v>45757.40733796296</v>
      </c>
      <c r="C214" s="1" t="n">
        <v>45934</v>
      </c>
      <c r="D214" t="inlineStr">
        <is>
          <t>UPPSALA LÄN</t>
        </is>
      </c>
      <c r="E214" t="inlineStr">
        <is>
          <t>ÖSTHAMMAR</t>
        </is>
      </c>
      <c r="F214" t="inlineStr">
        <is>
          <t>Övriga Aktiebolag</t>
        </is>
      </c>
      <c r="G214" t="n">
        <v>0.5</v>
      </c>
      <c r="H214" t="n">
        <v>0</v>
      </c>
      <c r="I214" t="n">
        <v>0</v>
      </c>
      <c r="J214" t="n">
        <v>0</v>
      </c>
      <c r="K214" t="n">
        <v>0</v>
      </c>
      <c r="L214" t="n">
        <v>0</v>
      </c>
      <c r="M214" t="n">
        <v>0</v>
      </c>
      <c r="N214" t="n">
        <v>0</v>
      </c>
      <c r="O214" t="n">
        <v>0</v>
      </c>
      <c r="P214" t="n">
        <v>0</v>
      </c>
      <c r="Q214" t="n">
        <v>0</v>
      </c>
      <c r="R214" s="2" t="inlineStr"/>
    </row>
    <row r="215" ht="15" customHeight="1">
      <c r="A215" t="inlineStr">
        <is>
          <t>A 11987-2022</t>
        </is>
      </c>
      <c r="B215" s="1" t="n">
        <v>44635.68695601852</v>
      </c>
      <c r="C215" s="1" t="n">
        <v>45934</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45934</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15928-2022</t>
        </is>
      </c>
      <c r="B217" s="1" t="n">
        <v>44664</v>
      </c>
      <c r="C217" s="1" t="n">
        <v>45934</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8708-2022</t>
        </is>
      </c>
      <c r="B218" s="1" t="n">
        <v>44613.77238425926</v>
      </c>
      <c r="C218" s="1" t="n">
        <v>45934</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45934</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22207-2022</t>
        </is>
      </c>
      <c r="B220" s="1" t="n">
        <v>44712.51509259259</v>
      </c>
      <c r="C220" s="1" t="n">
        <v>45934</v>
      </c>
      <c r="D220" t="inlineStr">
        <is>
          <t>UPPSALA LÄN</t>
        </is>
      </c>
      <c r="E220" t="inlineStr">
        <is>
          <t>ÖSTHAMMAR</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38233-2024</t>
        </is>
      </c>
      <c r="B221" s="1" t="n">
        <v>45545</v>
      </c>
      <c r="C221" s="1" t="n">
        <v>45934</v>
      </c>
      <c r="D221" t="inlineStr">
        <is>
          <t>UPPSALA LÄN</t>
        </is>
      </c>
      <c r="E221" t="inlineStr">
        <is>
          <t>ÖSTHAMMAR</t>
        </is>
      </c>
      <c r="G221" t="n">
        <v>3.4</v>
      </c>
      <c r="H221" t="n">
        <v>0</v>
      </c>
      <c r="I221" t="n">
        <v>0</v>
      </c>
      <c r="J221" t="n">
        <v>0</v>
      </c>
      <c r="K221" t="n">
        <v>0</v>
      </c>
      <c r="L221" t="n">
        <v>0</v>
      </c>
      <c r="M221" t="n">
        <v>0</v>
      </c>
      <c r="N221" t="n">
        <v>0</v>
      </c>
      <c r="O221" t="n">
        <v>0</v>
      </c>
      <c r="P221" t="n">
        <v>0</v>
      </c>
      <c r="Q221" t="n">
        <v>0</v>
      </c>
      <c r="R221" s="2" t="inlineStr"/>
    </row>
    <row r="222" ht="15" customHeight="1">
      <c r="A222" t="inlineStr">
        <is>
          <t>A 22884-2024</t>
        </is>
      </c>
      <c r="B222" s="1" t="n">
        <v>45448</v>
      </c>
      <c r="C222" s="1" t="n">
        <v>45934</v>
      </c>
      <c r="D222" t="inlineStr">
        <is>
          <t>UPPSALA LÄN</t>
        </is>
      </c>
      <c r="E222" t="inlineStr">
        <is>
          <t>ÖSTHAMMAR</t>
        </is>
      </c>
      <c r="G222" t="n">
        <v>3.3</v>
      </c>
      <c r="H222" t="n">
        <v>0</v>
      </c>
      <c r="I222" t="n">
        <v>0</v>
      </c>
      <c r="J222" t="n">
        <v>0</v>
      </c>
      <c r="K222" t="n">
        <v>0</v>
      </c>
      <c r="L222" t="n">
        <v>0</v>
      </c>
      <c r="M222" t="n">
        <v>0</v>
      </c>
      <c r="N222" t="n">
        <v>0</v>
      </c>
      <c r="O222" t="n">
        <v>0</v>
      </c>
      <c r="P222" t="n">
        <v>0</v>
      </c>
      <c r="Q222" t="n">
        <v>0</v>
      </c>
      <c r="R222" s="2" t="inlineStr"/>
    </row>
    <row r="223" ht="15" customHeight="1">
      <c r="A223" t="inlineStr">
        <is>
          <t>A 20385-2025</t>
        </is>
      </c>
      <c r="B223" s="1" t="n">
        <v>45775.44483796296</v>
      </c>
      <c r="C223" s="1" t="n">
        <v>45934</v>
      </c>
      <c r="D223" t="inlineStr">
        <is>
          <t>UPPSALA LÄN</t>
        </is>
      </c>
      <c r="E223" t="inlineStr">
        <is>
          <t>ÖSTHAMMAR</t>
        </is>
      </c>
      <c r="G223" t="n">
        <v>1.9</v>
      </c>
      <c r="H223" t="n">
        <v>0</v>
      </c>
      <c r="I223" t="n">
        <v>0</v>
      </c>
      <c r="J223" t="n">
        <v>0</v>
      </c>
      <c r="K223" t="n">
        <v>0</v>
      </c>
      <c r="L223" t="n">
        <v>0</v>
      </c>
      <c r="M223" t="n">
        <v>0</v>
      </c>
      <c r="N223" t="n">
        <v>0</v>
      </c>
      <c r="O223" t="n">
        <v>0</v>
      </c>
      <c r="P223" t="n">
        <v>0</v>
      </c>
      <c r="Q223" t="n">
        <v>0</v>
      </c>
      <c r="R223" s="2" t="inlineStr"/>
    </row>
    <row r="224" ht="15" customHeight="1">
      <c r="A224" t="inlineStr">
        <is>
          <t>A 26552-2022</t>
        </is>
      </c>
      <c r="B224" s="1" t="n">
        <v>44739</v>
      </c>
      <c r="C224" s="1" t="n">
        <v>45934</v>
      </c>
      <c r="D224" t="inlineStr">
        <is>
          <t>UPPSALA LÄN</t>
        </is>
      </c>
      <c r="E224" t="inlineStr">
        <is>
          <t>ÖSTHAMMAR</t>
        </is>
      </c>
      <c r="G224" t="n">
        <v>2.2</v>
      </c>
      <c r="H224" t="n">
        <v>0</v>
      </c>
      <c r="I224" t="n">
        <v>0</v>
      </c>
      <c r="J224" t="n">
        <v>0</v>
      </c>
      <c r="K224" t="n">
        <v>0</v>
      </c>
      <c r="L224" t="n">
        <v>0</v>
      </c>
      <c r="M224" t="n">
        <v>0</v>
      </c>
      <c r="N224" t="n">
        <v>0</v>
      </c>
      <c r="O224" t="n">
        <v>0</v>
      </c>
      <c r="P224" t="n">
        <v>0</v>
      </c>
      <c r="Q224" t="n">
        <v>0</v>
      </c>
      <c r="R224" s="2" t="inlineStr"/>
    </row>
    <row r="225" ht="15" customHeight="1">
      <c r="A225" t="inlineStr">
        <is>
          <t>A 17947-2022</t>
        </is>
      </c>
      <c r="B225" s="1" t="n">
        <v>44683</v>
      </c>
      <c r="C225" s="1" t="n">
        <v>45934</v>
      </c>
      <c r="D225" t="inlineStr">
        <is>
          <t>UPPSALA LÄN</t>
        </is>
      </c>
      <c r="E225" t="inlineStr">
        <is>
          <t>ÖSTHAMMAR</t>
        </is>
      </c>
      <c r="G225" t="n">
        <v>5.5</v>
      </c>
      <c r="H225" t="n">
        <v>0</v>
      </c>
      <c r="I225" t="n">
        <v>0</v>
      </c>
      <c r="J225" t="n">
        <v>0</v>
      </c>
      <c r="K225" t="n">
        <v>0</v>
      </c>
      <c r="L225" t="n">
        <v>0</v>
      </c>
      <c r="M225" t="n">
        <v>0</v>
      </c>
      <c r="N225" t="n">
        <v>0</v>
      </c>
      <c r="O225" t="n">
        <v>0</v>
      </c>
      <c r="P225" t="n">
        <v>0</v>
      </c>
      <c r="Q225" t="n">
        <v>0</v>
      </c>
      <c r="R225" s="2" t="inlineStr"/>
    </row>
    <row r="226" ht="15" customHeight="1">
      <c r="A226" t="inlineStr">
        <is>
          <t>A 29753-2022</t>
        </is>
      </c>
      <c r="B226" s="1" t="n">
        <v>44755</v>
      </c>
      <c r="C226" s="1" t="n">
        <v>45934</v>
      </c>
      <c r="D226" t="inlineStr">
        <is>
          <t>UPPSALA LÄN</t>
        </is>
      </c>
      <c r="E226" t="inlineStr">
        <is>
          <t>ÖSTHAMMAR</t>
        </is>
      </c>
      <c r="G226" t="n">
        <v>9.4</v>
      </c>
      <c r="H226" t="n">
        <v>0</v>
      </c>
      <c r="I226" t="n">
        <v>0</v>
      </c>
      <c r="J226" t="n">
        <v>0</v>
      </c>
      <c r="K226" t="n">
        <v>0</v>
      </c>
      <c r="L226" t="n">
        <v>0</v>
      </c>
      <c r="M226" t="n">
        <v>0</v>
      </c>
      <c r="N226" t="n">
        <v>0</v>
      </c>
      <c r="O226" t="n">
        <v>0</v>
      </c>
      <c r="P226" t="n">
        <v>0</v>
      </c>
      <c r="Q226" t="n">
        <v>0</v>
      </c>
      <c r="R226" s="2" t="inlineStr"/>
    </row>
    <row r="227" ht="15" customHeight="1">
      <c r="A227" t="inlineStr">
        <is>
          <t>A 1063-2025</t>
        </is>
      </c>
      <c r="B227" s="1" t="n">
        <v>45666</v>
      </c>
      <c r="C227" s="1" t="n">
        <v>45934</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22798-2023</t>
        </is>
      </c>
      <c r="B228" s="1" t="n">
        <v>45072</v>
      </c>
      <c r="C228" s="1" t="n">
        <v>45934</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11547-2022</t>
        </is>
      </c>
      <c r="B229" s="1" t="n">
        <v>44631.43116898148</v>
      </c>
      <c r="C229" s="1" t="n">
        <v>45934</v>
      </c>
      <c r="D229" t="inlineStr">
        <is>
          <t>UPPSALA LÄN</t>
        </is>
      </c>
      <c r="E229" t="inlineStr">
        <is>
          <t>ÖSTHAMMAR</t>
        </is>
      </c>
      <c r="G229" t="n">
        <v>4.4</v>
      </c>
      <c r="H229" t="n">
        <v>0</v>
      </c>
      <c r="I229" t="n">
        <v>0</v>
      </c>
      <c r="J229" t="n">
        <v>0</v>
      </c>
      <c r="K229" t="n">
        <v>0</v>
      </c>
      <c r="L229" t="n">
        <v>0</v>
      </c>
      <c r="M229" t="n">
        <v>0</v>
      </c>
      <c r="N229" t="n">
        <v>0</v>
      </c>
      <c r="O229" t="n">
        <v>0</v>
      </c>
      <c r="P229" t="n">
        <v>0</v>
      </c>
      <c r="Q229" t="n">
        <v>0</v>
      </c>
      <c r="R229" s="2" t="inlineStr"/>
    </row>
    <row r="230" ht="15" customHeight="1">
      <c r="A230" t="inlineStr">
        <is>
          <t>A 33760-2024</t>
        </is>
      </c>
      <c r="B230" s="1" t="n">
        <v>45520</v>
      </c>
      <c r="C230" s="1" t="n">
        <v>45934</v>
      </c>
      <c r="D230" t="inlineStr">
        <is>
          <t>UPPSALA LÄN</t>
        </is>
      </c>
      <c r="E230" t="inlineStr">
        <is>
          <t>ÖSTHAMMAR</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8592-2022</t>
        </is>
      </c>
      <c r="B231" s="1" t="n">
        <v>44613</v>
      </c>
      <c r="C231" s="1" t="n">
        <v>45934</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4561-2022</t>
        </is>
      </c>
      <c r="B232" s="1" t="n">
        <v>44591.59170138889</v>
      </c>
      <c r="C232" s="1" t="n">
        <v>45934</v>
      </c>
      <c r="D232" t="inlineStr">
        <is>
          <t>UPPSALA LÄN</t>
        </is>
      </c>
      <c r="E232" t="inlineStr">
        <is>
          <t>ÖSTHAMMAR</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52629-2023</t>
        </is>
      </c>
      <c r="B233" s="1" t="n">
        <v>45225</v>
      </c>
      <c r="C233" s="1" t="n">
        <v>45934</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35918-2023</t>
        </is>
      </c>
      <c r="B234" s="1" t="n">
        <v>45148.64976851852</v>
      </c>
      <c r="C234" s="1" t="n">
        <v>45934</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32742-2022</t>
        </is>
      </c>
      <c r="B235" s="1" t="n">
        <v>44783.69886574074</v>
      </c>
      <c r="C235" s="1" t="n">
        <v>45934</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49833-2023</t>
        </is>
      </c>
      <c r="B236" s="1" t="n">
        <v>45212.71481481481</v>
      </c>
      <c r="C236" s="1" t="n">
        <v>45934</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23741-2024</t>
        </is>
      </c>
      <c r="B237" s="1" t="n">
        <v>45455</v>
      </c>
      <c r="C237" s="1" t="n">
        <v>45934</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45307-2023</t>
        </is>
      </c>
      <c r="B238" s="1" t="n">
        <v>45191</v>
      </c>
      <c r="C238" s="1" t="n">
        <v>45934</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26612-2023</t>
        </is>
      </c>
      <c r="B239" s="1" t="n">
        <v>45089</v>
      </c>
      <c r="C239" s="1" t="n">
        <v>45934</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36643-2025</t>
        </is>
      </c>
      <c r="B240" s="1" t="n">
        <v>45872.47782407407</v>
      </c>
      <c r="C240" s="1" t="n">
        <v>45934</v>
      </c>
      <c r="D240" t="inlineStr">
        <is>
          <t>UPPSALA LÄN</t>
        </is>
      </c>
      <c r="E240" t="inlineStr">
        <is>
          <t>ÖSTHAMMAR</t>
        </is>
      </c>
      <c r="F240" t="inlineStr">
        <is>
          <t>Bergvik skog öst AB</t>
        </is>
      </c>
      <c r="G240" t="n">
        <v>15.1</v>
      </c>
      <c r="H240" t="n">
        <v>0</v>
      </c>
      <c r="I240" t="n">
        <v>0</v>
      </c>
      <c r="J240" t="n">
        <v>0</v>
      </c>
      <c r="K240" t="n">
        <v>0</v>
      </c>
      <c r="L240" t="n">
        <v>0</v>
      </c>
      <c r="M240" t="n">
        <v>0</v>
      </c>
      <c r="N240" t="n">
        <v>0</v>
      </c>
      <c r="O240" t="n">
        <v>0</v>
      </c>
      <c r="P240" t="n">
        <v>0</v>
      </c>
      <c r="Q240" t="n">
        <v>0</v>
      </c>
      <c r="R240" s="2" t="inlineStr"/>
    </row>
    <row r="241" ht="15" customHeight="1">
      <c r="A241" t="inlineStr">
        <is>
          <t>A 4292-2025</t>
        </is>
      </c>
      <c r="B241" s="1" t="n">
        <v>45685.66459490741</v>
      </c>
      <c r="C241" s="1" t="n">
        <v>45934</v>
      </c>
      <c r="D241" t="inlineStr">
        <is>
          <t>UPPSALA LÄN</t>
        </is>
      </c>
      <c r="E241" t="inlineStr">
        <is>
          <t>ÖSTHAMMAR</t>
        </is>
      </c>
      <c r="G241" t="n">
        <v>0.8</v>
      </c>
      <c r="H241" t="n">
        <v>0</v>
      </c>
      <c r="I241" t="n">
        <v>0</v>
      </c>
      <c r="J241" t="n">
        <v>0</v>
      </c>
      <c r="K241" t="n">
        <v>0</v>
      </c>
      <c r="L241" t="n">
        <v>0</v>
      </c>
      <c r="M241" t="n">
        <v>0</v>
      </c>
      <c r="N241" t="n">
        <v>0</v>
      </c>
      <c r="O241" t="n">
        <v>0</v>
      </c>
      <c r="P241" t="n">
        <v>0</v>
      </c>
      <c r="Q241" t="n">
        <v>0</v>
      </c>
      <c r="R241" s="2" t="inlineStr"/>
    </row>
    <row r="242" ht="15" customHeight="1">
      <c r="A242" t="inlineStr">
        <is>
          <t>A 4356-2025</t>
        </is>
      </c>
      <c r="B242" s="1" t="n">
        <v>45686</v>
      </c>
      <c r="C242" s="1" t="n">
        <v>45934</v>
      </c>
      <c r="D242" t="inlineStr">
        <is>
          <t>UPPSALA LÄN</t>
        </is>
      </c>
      <c r="E242" t="inlineStr">
        <is>
          <t>ÖSTHAMMAR</t>
        </is>
      </c>
      <c r="F242" t="inlineStr">
        <is>
          <t>Övriga Aktiebolag</t>
        </is>
      </c>
      <c r="G242" t="n">
        <v>24.6</v>
      </c>
      <c r="H242" t="n">
        <v>0</v>
      </c>
      <c r="I242" t="n">
        <v>0</v>
      </c>
      <c r="J242" t="n">
        <v>0</v>
      </c>
      <c r="K242" t="n">
        <v>0</v>
      </c>
      <c r="L242" t="n">
        <v>0</v>
      </c>
      <c r="M242" t="n">
        <v>0</v>
      </c>
      <c r="N242" t="n">
        <v>0</v>
      </c>
      <c r="O242" t="n">
        <v>0</v>
      </c>
      <c r="P242" t="n">
        <v>0</v>
      </c>
      <c r="Q242" t="n">
        <v>0</v>
      </c>
      <c r="R242" s="2" t="inlineStr"/>
    </row>
    <row r="243" ht="15" customHeight="1">
      <c r="A243" t="inlineStr">
        <is>
          <t>A 32244-2021</t>
        </is>
      </c>
      <c r="B243" s="1" t="n">
        <v>44371.45335648148</v>
      </c>
      <c r="C243" s="1" t="n">
        <v>45934</v>
      </c>
      <c r="D243" t="inlineStr">
        <is>
          <t>UPPSALA LÄN</t>
        </is>
      </c>
      <c r="E243" t="inlineStr">
        <is>
          <t>ÖSTHAMMAR</t>
        </is>
      </c>
      <c r="F243" t="inlineStr">
        <is>
          <t>Bergvik skog öst AB</t>
        </is>
      </c>
      <c r="G243" t="n">
        <v>2.6</v>
      </c>
      <c r="H243" t="n">
        <v>0</v>
      </c>
      <c r="I243" t="n">
        <v>0</v>
      </c>
      <c r="J243" t="n">
        <v>0</v>
      </c>
      <c r="K243" t="n">
        <v>0</v>
      </c>
      <c r="L243" t="n">
        <v>0</v>
      </c>
      <c r="M243" t="n">
        <v>0</v>
      </c>
      <c r="N243" t="n">
        <v>0</v>
      </c>
      <c r="O243" t="n">
        <v>0</v>
      </c>
      <c r="P243" t="n">
        <v>0</v>
      </c>
      <c r="Q243" t="n">
        <v>0</v>
      </c>
      <c r="R243" s="2" t="inlineStr"/>
    </row>
    <row r="244" ht="15" customHeight="1">
      <c r="A244" t="inlineStr">
        <is>
          <t>A 6661-2024</t>
        </is>
      </c>
      <c r="B244" s="1" t="n">
        <v>45341.70582175926</v>
      </c>
      <c r="C244" s="1" t="n">
        <v>45934</v>
      </c>
      <c r="D244" t="inlineStr">
        <is>
          <t>UPPSALA LÄN</t>
        </is>
      </c>
      <c r="E244" t="inlineStr">
        <is>
          <t>ÖSTHAMMAR</t>
        </is>
      </c>
      <c r="G244" t="n">
        <v>0.2</v>
      </c>
      <c r="H244" t="n">
        <v>0</v>
      </c>
      <c r="I244" t="n">
        <v>0</v>
      </c>
      <c r="J244" t="n">
        <v>0</v>
      </c>
      <c r="K244" t="n">
        <v>0</v>
      </c>
      <c r="L244" t="n">
        <v>0</v>
      </c>
      <c r="M244" t="n">
        <v>0</v>
      </c>
      <c r="N244" t="n">
        <v>0</v>
      </c>
      <c r="O244" t="n">
        <v>0</v>
      </c>
      <c r="P244" t="n">
        <v>0</v>
      </c>
      <c r="Q244" t="n">
        <v>0</v>
      </c>
      <c r="R244" s="2" t="inlineStr"/>
    </row>
    <row r="245" ht="15" customHeight="1">
      <c r="A245" t="inlineStr">
        <is>
          <t>A 17646-2025</t>
        </is>
      </c>
      <c r="B245" s="1" t="n">
        <v>45758.32872685185</v>
      </c>
      <c r="C245" s="1" t="n">
        <v>45934</v>
      </c>
      <c r="D245" t="inlineStr">
        <is>
          <t>UPPSALA LÄN</t>
        </is>
      </c>
      <c r="E245" t="inlineStr">
        <is>
          <t>ÖSTHAMMAR</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17648-2025</t>
        </is>
      </c>
      <c r="B246" s="1" t="n">
        <v>45758.33064814815</v>
      </c>
      <c r="C246" s="1" t="n">
        <v>45934</v>
      </c>
      <c r="D246" t="inlineStr">
        <is>
          <t>UPPSALA LÄN</t>
        </is>
      </c>
      <c r="E246" t="inlineStr">
        <is>
          <t>ÖSTHAMMAR</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56903-2023</t>
        </is>
      </c>
      <c r="B247" s="1" t="n">
        <v>45244.56943287037</v>
      </c>
      <c r="C247" s="1" t="n">
        <v>45934</v>
      </c>
      <c r="D247" t="inlineStr">
        <is>
          <t>UPPSALA LÄN</t>
        </is>
      </c>
      <c r="E247" t="inlineStr">
        <is>
          <t>ÖSTHAMMAR</t>
        </is>
      </c>
      <c r="G247" t="n">
        <v>3.1</v>
      </c>
      <c r="H247" t="n">
        <v>0</v>
      </c>
      <c r="I247" t="n">
        <v>0</v>
      </c>
      <c r="J247" t="n">
        <v>0</v>
      </c>
      <c r="K247" t="n">
        <v>0</v>
      </c>
      <c r="L247" t="n">
        <v>0</v>
      </c>
      <c r="M247" t="n">
        <v>0</v>
      </c>
      <c r="N247" t="n">
        <v>0</v>
      </c>
      <c r="O247" t="n">
        <v>0</v>
      </c>
      <c r="P247" t="n">
        <v>0</v>
      </c>
      <c r="Q247" t="n">
        <v>0</v>
      </c>
      <c r="R247" s="2" t="inlineStr"/>
    </row>
    <row r="248" ht="15" customHeight="1">
      <c r="A248" t="inlineStr">
        <is>
          <t>A 61261-2022</t>
        </is>
      </c>
      <c r="B248" s="1" t="n">
        <v>44915.59645833333</v>
      </c>
      <c r="C248" s="1" t="n">
        <v>45934</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28420-2023</t>
        </is>
      </c>
      <c r="B249" s="1" t="n">
        <v>45102.33054398148</v>
      </c>
      <c r="C249" s="1" t="n">
        <v>45934</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28432-2023</t>
        </is>
      </c>
      <c r="B250" s="1" t="n">
        <v>45102.59896990741</v>
      </c>
      <c r="C250" s="1" t="n">
        <v>45934</v>
      </c>
      <c r="D250" t="inlineStr">
        <is>
          <t>UPPSALA LÄN</t>
        </is>
      </c>
      <c r="E250" t="inlineStr">
        <is>
          <t>ÖSTHAMMAR</t>
        </is>
      </c>
      <c r="F250" t="inlineStr">
        <is>
          <t>Bergvik skog öst AB</t>
        </is>
      </c>
      <c r="G250" t="n">
        <v>3.9</v>
      </c>
      <c r="H250" t="n">
        <v>0</v>
      </c>
      <c r="I250" t="n">
        <v>0</v>
      </c>
      <c r="J250" t="n">
        <v>0</v>
      </c>
      <c r="K250" t="n">
        <v>0</v>
      </c>
      <c r="L250" t="n">
        <v>0</v>
      </c>
      <c r="M250" t="n">
        <v>0</v>
      </c>
      <c r="N250" t="n">
        <v>0</v>
      </c>
      <c r="O250" t="n">
        <v>0</v>
      </c>
      <c r="P250" t="n">
        <v>0</v>
      </c>
      <c r="Q250" t="n">
        <v>0</v>
      </c>
      <c r="R250" s="2" t="inlineStr"/>
    </row>
    <row r="251" ht="15" customHeight="1">
      <c r="A251" t="inlineStr">
        <is>
          <t>A 36645-2025</t>
        </is>
      </c>
      <c r="B251" s="1" t="n">
        <v>45872</v>
      </c>
      <c r="C251" s="1" t="n">
        <v>45934</v>
      </c>
      <c r="D251" t="inlineStr">
        <is>
          <t>UPPSALA LÄN</t>
        </is>
      </c>
      <c r="E251" t="inlineStr">
        <is>
          <t>ÖSTHAMMAR</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14187-2022</t>
        </is>
      </c>
      <c r="B252" s="1" t="n">
        <v>44651.5625</v>
      </c>
      <c r="C252" s="1" t="n">
        <v>45934</v>
      </c>
      <c r="D252" t="inlineStr">
        <is>
          <t>UPPSALA LÄN</t>
        </is>
      </c>
      <c r="E252" t="inlineStr">
        <is>
          <t>ÖSTHAMMAR</t>
        </is>
      </c>
      <c r="F252" t="inlineStr">
        <is>
          <t>Övriga Aktiebolag</t>
        </is>
      </c>
      <c r="G252" t="n">
        <v>14.1</v>
      </c>
      <c r="H252" t="n">
        <v>0</v>
      </c>
      <c r="I252" t="n">
        <v>0</v>
      </c>
      <c r="J252" t="n">
        <v>0</v>
      </c>
      <c r="K252" t="n">
        <v>0</v>
      </c>
      <c r="L252" t="n">
        <v>0</v>
      </c>
      <c r="M252" t="n">
        <v>0</v>
      </c>
      <c r="N252" t="n">
        <v>0</v>
      </c>
      <c r="O252" t="n">
        <v>0</v>
      </c>
      <c r="P252" t="n">
        <v>0</v>
      </c>
      <c r="Q252" t="n">
        <v>0</v>
      </c>
      <c r="R252" s="2" t="inlineStr"/>
    </row>
    <row r="253" ht="15" customHeight="1">
      <c r="A253" t="inlineStr">
        <is>
          <t>A 13093-2022</t>
        </is>
      </c>
      <c r="B253" s="1" t="n">
        <v>44643.93269675926</v>
      </c>
      <c r="C253" s="1" t="n">
        <v>45934</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56969-2022</t>
        </is>
      </c>
      <c r="B254" s="1" t="n">
        <v>44894.68043981482</v>
      </c>
      <c r="C254" s="1" t="n">
        <v>45934</v>
      </c>
      <c r="D254" t="inlineStr">
        <is>
          <t>UPPSALA LÄN</t>
        </is>
      </c>
      <c r="E254" t="inlineStr">
        <is>
          <t>ÖSTHAMMAR</t>
        </is>
      </c>
      <c r="G254" t="n">
        <v>5.5</v>
      </c>
      <c r="H254" t="n">
        <v>0</v>
      </c>
      <c r="I254" t="n">
        <v>0</v>
      </c>
      <c r="J254" t="n">
        <v>0</v>
      </c>
      <c r="K254" t="n">
        <v>0</v>
      </c>
      <c r="L254" t="n">
        <v>0</v>
      </c>
      <c r="M254" t="n">
        <v>0</v>
      </c>
      <c r="N254" t="n">
        <v>0</v>
      </c>
      <c r="O254" t="n">
        <v>0</v>
      </c>
      <c r="P254" t="n">
        <v>0</v>
      </c>
      <c r="Q254" t="n">
        <v>0</v>
      </c>
      <c r="R254" s="2" t="inlineStr"/>
    </row>
    <row r="255" ht="15" customHeight="1">
      <c r="A255" t="inlineStr">
        <is>
          <t>A 36644-2025</t>
        </is>
      </c>
      <c r="B255" s="1" t="n">
        <v>45872.48738425926</v>
      </c>
      <c r="C255" s="1" t="n">
        <v>45934</v>
      </c>
      <c r="D255" t="inlineStr">
        <is>
          <t>UPPSALA LÄN</t>
        </is>
      </c>
      <c r="E255" t="inlineStr">
        <is>
          <t>ÖSTHAMMAR</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8624-2025</t>
        </is>
      </c>
      <c r="B256" s="1" t="n">
        <v>45711.52333333333</v>
      </c>
      <c r="C256" s="1" t="n">
        <v>45934</v>
      </c>
      <c r="D256" t="inlineStr">
        <is>
          <t>UPPSALA LÄN</t>
        </is>
      </c>
      <c r="E256" t="inlineStr">
        <is>
          <t>ÖSTHAMMAR</t>
        </is>
      </c>
      <c r="F256" t="inlineStr">
        <is>
          <t>Bergvik skog väst AB</t>
        </is>
      </c>
      <c r="G256" t="n">
        <v>2.8</v>
      </c>
      <c r="H256" t="n">
        <v>0</v>
      </c>
      <c r="I256" t="n">
        <v>0</v>
      </c>
      <c r="J256" t="n">
        <v>0</v>
      </c>
      <c r="K256" t="n">
        <v>0</v>
      </c>
      <c r="L256" t="n">
        <v>0</v>
      </c>
      <c r="M256" t="n">
        <v>0</v>
      </c>
      <c r="N256" t="n">
        <v>0</v>
      </c>
      <c r="O256" t="n">
        <v>0</v>
      </c>
      <c r="P256" t="n">
        <v>0</v>
      </c>
      <c r="Q256" t="n">
        <v>0</v>
      </c>
      <c r="R256" s="2" t="inlineStr"/>
    </row>
    <row r="257" ht="15" customHeight="1">
      <c r="A257" t="inlineStr">
        <is>
          <t>A 60079-2022</t>
        </is>
      </c>
      <c r="B257" s="1" t="n">
        <v>44909</v>
      </c>
      <c r="C257" s="1" t="n">
        <v>45934</v>
      </c>
      <c r="D257" t="inlineStr">
        <is>
          <t>UPPSALA LÄN</t>
        </is>
      </c>
      <c r="E257" t="inlineStr">
        <is>
          <t>ÖSTHAMMAR</t>
        </is>
      </c>
      <c r="G257" t="n">
        <v>9.6</v>
      </c>
      <c r="H257" t="n">
        <v>0</v>
      </c>
      <c r="I257" t="n">
        <v>0</v>
      </c>
      <c r="J257" t="n">
        <v>0</v>
      </c>
      <c r="K257" t="n">
        <v>0</v>
      </c>
      <c r="L257" t="n">
        <v>0</v>
      </c>
      <c r="M257" t="n">
        <v>0</v>
      </c>
      <c r="N257" t="n">
        <v>0</v>
      </c>
      <c r="O257" t="n">
        <v>0</v>
      </c>
      <c r="P257" t="n">
        <v>0</v>
      </c>
      <c r="Q257" t="n">
        <v>0</v>
      </c>
      <c r="R257" s="2" t="inlineStr"/>
    </row>
    <row r="258" ht="15" customHeight="1">
      <c r="A258" t="inlineStr">
        <is>
          <t>A 36646-2025</t>
        </is>
      </c>
      <c r="B258" s="1" t="n">
        <v>45872</v>
      </c>
      <c r="C258" s="1" t="n">
        <v>45934</v>
      </c>
      <c r="D258" t="inlineStr">
        <is>
          <t>UPPSALA LÄN</t>
        </is>
      </c>
      <c r="E258" t="inlineStr">
        <is>
          <t>ÖSTHAMMAR</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60584-2021</t>
        </is>
      </c>
      <c r="B259" s="1" t="n">
        <v>44496</v>
      </c>
      <c r="C259" s="1" t="n">
        <v>45934</v>
      </c>
      <c r="D259" t="inlineStr">
        <is>
          <t>UPPSALA LÄN</t>
        </is>
      </c>
      <c r="E259" t="inlineStr">
        <is>
          <t>ÖSTHAMMAR</t>
        </is>
      </c>
      <c r="G259" t="n">
        <v>1.4</v>
      </c>
      <c r="H259" t="n">
        <v>0</v>
      </c>
      <c r="I259" t="n">
        <v>0</v>
      </c>
      <c r="J259" t="n">
        <v>0</v>
      </c>
      <c r="K259" t="n">
        <v>0</v>
      </c>
      <c r="L259" t="n">
        <v>0</v>
      </c>
      <c r="M259" t="n">
        <v>0</v>
      </c>
      <c r="N259" t="n">
        <v>0</v>
      </c>
      <c r="O259" t="n">
        <v>0</v>
      </c>
      <c r="P259" t="n">
        <v>0</v>
      </c>
      <c r="Q259" t="n">
        <v>0</v>
      </c>
      <c r="R259" s="2" t="inlineStr"/>
    </row>
    <row r="260" ht="15" customHeight="1">
      <c r="A260" t="inlineStr">
        <is>
          <t>A 40637-2022</t>
        </is>
      </c>
      <c r="B260" s="1" t="n">
        <v>44824</v>
      </c>
      <c r="C260" s="1" t="n">
        <v>45934</v>
      </c>
      <c r="D260" t="inlineStr">
        <is>
          <t>UPPSALA LÄN</t>
        </is>
      </c>
      <c r="E260" t="inlineStr">
        <is>
          <t>ÖSTHAMMAR</t>
        </is>
      </c>
      <c r="F260" t="inlineStr">
        <is>
          <t>Övriga Aktiebolag</t>
        </is>
      </c>
      <c r="G260" t="n">
        <v>3.7</v>
      </c>
      <c r="H260" t="n">
        <v>0</v>
      </c>
      <c r="I260" t="n">
        <v>0</v>
      </c>
      <c r="J260" t="n">
        <v>0</v>
      </c>
      <c r="K260" t="n">
        <v>0</v>
      </c>
      <c r="L260" t="n">
        <v>0</v>
      </c>
      <c r="M260" t="n">
        <v>0</v>
      </c>
      <c r="N260" t="n">
        <v>0</v>
      </c>
      <c r="O260" t="n">
        <v>0</v>
      </c>
      <c r="P260" t="n">
        <v>0</v>
      </c>
      <c r="Q260" t="n">
        <v>0</v>
      </c>
      <c r="R260" s="2" t="inlineStr"/>
    </row>
    <row r="261" ht="15" customHeight="1">
      <c r="A261" t="inlineStr">
        <is>
          <t>A 44152-2024</t>
        </is>
      </c>
      <c r="B261" s="1" t="n">
        <v>45572</v>
      </c>
      <c r="C261" s="1" t="n">
        <v>45934</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19009-2023</t>
        </is>
      </c>
      <c r="B262" s="1" t="n">
        <v>45045</v>
      </c>
      <c r="C262" s="1" t="n">
        <v>45934</v>
      </c>
      <c r="D262" t="inlineStr">
        <is>
          <t>UPPSALA LÄN</t>
        </is>
      </c>
      <c r="E262" t="inlineStr">
        <is>
          <t>ÖSTHAMMAR</t>
        </is>
      </c>
      <c r="F262" t="inlineStr">
        <is>
          <t>Bergvik skog öst AB</t>
        </is>
      </c>
      <c r="G262" t="n">
        <v>0.2</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45934</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48856-2024</t>
        </is>
      </c>
      <c r="B264" s="1" t="n">
        <v>45593</v>
      </c>
      <c r="C264" s="1" t="n">
        <v>45934</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47390-2023</t>
        </is>
      </c>
      <c r="B265" s="1" t="n">
        <v>45202</v>
      </c>
      <c r="C265" s="1" t="n">
        <v>45934</v>
      </c>
      <c r="D265" t="inlineStr">
        <is>
          <t>UPPSALA LÄN</t>
        </is>
      </c>
      <c r="E265" t="inlineStr">
        <is>
          <t>ÖSTHAMMAR</t>
        </is>
      </c>
      <c r="G265" t="n">
        <v>3.7</v>
      </c>
      <c r="H265" t="n">
        <v>0</v>
      </c>
      <c r="I265" t="n">
        <v>0</v>
      </c>
      <c r="J265" t="n">
        <v>0</v>
      </c>
      <c r="K265" t="n">
        <v>0</v>
      </c>
      <c r="L265" t="n">
        <v>0</v>
      </c>
      <c r="M265" t="n">
        <v>0</v>
      </c>
      <c r="N265" t="n">
        <v>0</v>
      </c>
      <c r="O265" t="n">
        <v>0</v>
      </c>
      <c r="P265" t="n">
        <v>0</v>
      </c>
      <c r="Q265" t="n">
        <v>0</v>
      </c>
      <c r="R265" s="2" t="inlineStr"/>
    </row>
    <row r="266" ht="15" customHeight="1">
      <c r="A266" t="inlineStr">
        <is>
          <t>A 6143-2022</t>
        </is>
      </c>
      <c r="B266" s="1" t="n">
        <v>44599.72306712963</v>
      </c>
      <c r="C266" s="1" t="n">
        <v>45934</v>
      </c>
      <c r="D266" t="inlineStr">
        <is>
          <t>UPPSALA LÄN</t>
        </is>
      </c>
      <c r="E266" t="inlineStr">
        <is>
          <t>ÖSTHAMMAR</t>
        </is>
      </c>
      <c r="G266" t="n">
        <v>3.4</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45934</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5877-2023</t>
        </is>
      </c>
      <c r="B268" s="1" t="n">
        <v>44963.62001157407</v>
      </c>
      <c r="C268" s="1" t="n">
        <v>45934</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62394-2022</t>
        </is>
      </c>
      <c r="B269" s="1" t="n">
        <v>44923.82017361111</v>
      </c>
      <c r="C269" s="1" t="n">
        <v>45934</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44491-2025</t>
        </is>
      </c>
      <c r="B270" s="1" t="n">
        <v>45916.66152777777</v>
      </c>
      <c r="C270" s="1" t="n">
        <v>45934</v>
      </c>
      <c r="D270" t="inlineStr">
        <is>
          <t>UPPSALA LÄN</t>
        </is>
      </c>
      <c r="E270" t="inlineStr">
        <is>
          <t>ÖSTHAMMAR</t>
        </is>
      </c>
      <c r="F270" t="inlineStr">
        <is>
          <t>Bergvik skog öst AB</t>
        </is>
      </c>
      <c r="G270" t="n">
        <v>4.3</v>
      </c>
      <c r="H270" t="n">
        <v>0</v>
      </c>
      <c r="I270" t="n">
        <v>0</v>
      </c>
      <c r="J270" t="n">
        <v>0</v>
      </c>
      <c r="K270" t="n">
        <v>0</v>
      </c>
      <c r="L270" t="n">
        <v>0</v>
      </c>
      <c r="M270" t="n">
        <v>0</v>
      </c>
      <c r="N270" t="n">
        <v>0</v>
      </c>
      <c r="O270" t="n">
        <v>0</v>
      </c>
      <c r="P270" t="n">
        <v>0</v>
      </c>
      <c r="Q270" t="n">
        <v>0</v>
      </c>
      <c r="R270" s="2" t="inlineStr"/>
    </row>
    <row r="271" ht="15" customHeight="1">
      <c r="A271" t="inlineStr">
        <is>
          <t>A 52389-2022</t>
        </is>
      </c>
      <c r="B271" s="1" t="n">
        <v>44874.38325231482</v>
      </c>
      <c r="C271" s="1" t="n">
        <v>45934</v>
      </c>
      <c r="D271" t="inlineStr">
        <is>
          <t>UPPSALA LÄN</t>
        </is>
      </c>
      <c r="E271" t="inlineStr">
        <is>
          <t>ÖSTHAMMAR</t>
        </is>
      </c>
      <c r="G271" t="n">
        <v>3.1</v>
      </c>
      <c r="H271" t="n">
        <v>0</v>
      </c>
      <c r="I271" t="n">
        <v>0</v>
      </c>
      <c r="J271" t="n">
        <v>0</v>
      </c>
      <c r="K271" t="n">
        <v>0</v>
      </c>
      <c r="L271" t="n">
        <v>0</v>
      </c>
      <c r="M271" t="n">
        <v>0</v>
      </c>
      <c r="N271" t="n">
        <v>0</v>
      </c>
      <c r="O271" t="n">
        <v>0</v>
      </c>
      <c r="P271" t="n">
        <v>0</v>
      </c>
      <c r="Q271" t="n">
        <v>0</v>
      </c>
      <c r="R271" s="2" t="inlineStr"/>
    </row>
    <row r="272" ht="15" customHeight="1">
      <c r="A272" t="inlineStr">
        <is>
          <t>A 22709-2021</t>
        </is>
      </c>
      <c r="B272" s="1" t="n">
        <v>44327.61518518518</v>
      </c>
      <c r="C272" s="1" t="n">
        <v>45934</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8616-2023</t>
        </is>
      </c>
      <c r="B273" s="1" t="n">
        <v>44977</v>
      </c>
      <c r="C273" s="1" t="n">
        <v>45934</v>
      </c>
      <c r="D273" t="inlineStr">
        <is>
          <t>UPPSALA LÄN</t>
        </is>
      </c>
      <c r="E273" t="inlineStr">
        <is>
          <t>ÖSTHAMMAR</t>
        </is>
      </c>
      <c r="F273" t="inlineStr">
        <is>
          <t>Bergvik skog öst AB</t>
        </is>
      </c>
      <c r="G273" t="n">
        <v>0.2</v>
      </c>
      <c r="H273" t="n">
        <v>0</v>
      </c>
      <c r="I273" t="n">
        <v>0</v>
      </c>
      <c r="J273" t="n">
        <v>0</v>
      </c>
      <c r="K273" t="n">
        <v>0</v>
      </c>
      <c r="L273" t="n">
        <v>0</v>
      </c>
      <c r="M273" t="n">
        <v>0</v>
      </c>
      <c r="N273" t="n">
        <v>0</v>
      </c>
      <c r="O273" t="n">
        <v>0</v>
      </c>
      <c r="P273" t="n">
        <v>0</v>
      </c>
      <c r="Q273" t="n">
        <v>0</v>
      </c>
      <c r="R273" s="2" t="inlineStr"/>
    </row>
    <row r="274" ht="15" customHeight="1">
      <c r="A274" t="inlineStr">
        <is>
          <t>A 25033-2021</t>
        </is>
      </c>
      <c r="B274" s="1" t="n">
        <v>44341.590625</v>
      </c>
      <c r="C274" s="1" t="n">
        <v>45934</v>
      </c>
      <c r="D274" t="inlineStr">
        <is>
          <t>UPPSALA LÄN</t>
        </is>
      </c>
      <c r="E274" t="inlineStr">
        <is>
          <t>ÖSTHAMMAR</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44917-2025</t>
        </is>
      </c>
      <c r="B275" s="1" t="n">
        <v>45918.54903935185</v>
      </c>
      <c r="C275" s="1" t="n">
        <v>45934</v>
      </c>
      <c r="D275" t="inlineStr">
        <is>
          <t>UPPSALA LÄN</t>
        </is>
      </c>
      <c r="E275" t="inlineStr">
        <is>
          <t>ÖSTHAMMAR</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50927-2024</t>
        </is>
      </c>
      <c r="B276" s="1" t="n">
        <v>45602</v>
      </c>
      <c r="C276" s="1" t="n">
        <v>45934</v>
      </c>
      <c r="D276" t="inlineStr">
        <is>
          <t>UPPSALA LÄN</t>
        </is>
      </c>
      <c r="E276" t="inlineStr">
        <is>
          <t>ÖSTHAMMAR</t>
        </is>
      </c>
      <c r="F276" t="inlineStr">
        <is>
          <t>Bergvik skog öst AB</t>
        </is>
      </c>
      <c r="G276" t="n">
        <v>45.4</v>
      </c>
      <c r="H276" t="n">
        <v>0</v>
      </c>
      <c r="I276" t="n">
        <v>0</v>
      </c>
      <c r="J276" t="n">
        <v>0</v>
      </c>
      <c r="K276" t="n">
        <v>0</v>
      </c>
      <c r="L276" t="n">
        <v>0</v>
      </c>
      <c r="M276" t="n">
        <v>0</v>
      </c>
      <c r="N276" t="n">
        <v>0</v>
      </c>
      <c r="O276" t="n">
        <v>0</v>
      </c>
      <c r="P276" t="n">
        <v>0</v>
      </c>
      <c r="Q276" t="n">
        <v>0</v>
      </c>
      <c r="R276" s="2" t="inlineStr"/>
    </row>
    <row r="277" ht="15" customHeight="1">
      <c r="A277" t="inlineStr">
        <is>
          <t>A 41538-2021</t>
        </is>
      </c>
      <c r="B277" s="1" t="n">
        <v>44425.35016203704</v>
      </c>
      <c r="C277" s="1" t="n">
        <v>45934</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57453-2022</t>
        </is>
      </c>
      <c r="B278" s="1" t="n">
        <v>44896.56266203704</v>
      </c>
      <c r="C278" s="1" t="n">
        <v>45934</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57462-2022</t>
        </is>
      </c>
      <c r="B279" s="1" t="n">
        <v>44896.57527777777</v>
      </c>
      <c r="C279" s="1" t="n">
        <v>45934</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34742-2022</t>
        </is>
      </c>
      <c r="B280" s="1" t="n">
        <v>44795.61990740741</v>
      </c>
      <c r="C280" s="1" t="n">
        <v>45934</v>
      </c>
      <c r="D280" t="inlineStr">
        <is>
          <t>UPPSALA LÄN</t>
        </is>
      </c>
      <c r="E280" t="inlineStr">
        <is>
          <t>ÖSTHAMMAR</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45105-2025</t>
        </is>
      </c>
      <c r="B281" s="1" t="n">
        <v>45919.40252314815</v>
      </c>
      <c r="C281" s="1" t="n">
        <v>45934</v>
      </c>
      <c r="D281" t="inlineStr">
        <is>
          <t>UPPSALA LÄN</t>
        </is>
      </c>
      <c r="E281" t="inlineStr">
        <is>
          <t>ÖSTHAMMAR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6039-2025</t>
        </is>
      </c>
      <c r="B282" s="1" t="n">
        <v>45695</v>
      </c>
      <c r="C282" s="1" t="n">
        <v>45934</v>
      </c>
      <c r="D282" t="inlineStr">
        <is>
          <t>UPPSALA LÄN</t>
        </is>
      </c>
      <c r="E282" t="inlineStr">
        <is>
          <t>ÖSTHAMMAR</t>
        </is>
      </c>
      <c r="G282" t="n">
        <v>2.3</v>
      </c>
      <c r="H282" t="n">
        <v>0</v>
      </c>
      <c r="I282" t="n">
        <v>0</v>
      </c>
      <c r="J282" t="n">
        <v>0</v>
      </c>
      <c r="K282" t="n">
        <v>0</v>
      </c>
      <c r="L282" t="n">
        <v>0</v>
      </c>
      <c r="M282" t="n">
        <v>0</v>
      </c>
      <c r="N282" t="n">
        <v>0</v>
      </c>
      <c r="O282" t="n">
        <v>0</v>
      </c>
      <c r="P282" t="n">
        <v>0</v>
      </c>
      <c r="Q282" t="n">
        <v>0</v>
      </c>
      <c r="R282" s="2" t="inlineStr"/>
    </row>
    <row r="283" ht="15" customHeight="1">
      <c r="A283" t="inlineStr">
        <is>
          <t>A 4096-2025</t>
        </is>
      </c>
      <c r="B283" s="1" t="n">
        <v>45684</v>
      </c>
      <c r="C283" s="1" t="n">
        <v>45934</v>
      </c>
      <c r="D283" t="inlineStr">
        <is>
          <t>UPPSALA LÄN</t>
        </is>
      </c>
      <c r="E283" t="inlineStr">
        <is>
          <t>ÖSTHAMMAR</t>
        </is>
      </c>
      <c r="G283" t="n">
        <v>2</v>
      </c>
      <c r="H283" t="n">
        <v>0</v>
      </c>
      <c r="I283" t="n">
        <v>0</v>
      </c>
      <c r="J283" t="n">
        <v>0</v>
      </c>
      <c r="K283" t="n">
        <v>0</v>
      </c>
      <c r="L283" t="n">
        <v>0</v>
      </c>
      <c r="M283" t="n">
        <v>0</v>
      </c>
      <c r="N283" t="n">
        <v>0</v>
      </c>
      <c r="O283" t="n">
        <v>0</v>
      </c>
      <c r="P283" t="n">
        <v>0</v>
      </c>
      <c r="Q283" t="n">
        <v>0</v>
      </c>
      <c r="R283" s="2" t="inlineStr"/>
    </row>
    <row r="284" ht="15" customHeight="1">
      <c r="A284" t="inlineStr">
        <is>
          <t>A 45102-2025</t>
        </is>
      </c>
      <c r="B284" s="1" t="n">
        <v>45919.39731481481</v>
      </c>
      <c r="C284" s="1" t="n">
        <v>45934</v>
      </c>
      <c r="D284" t="inlineStr">
        <is>
          <t>UPPSALA LÄN</t>
        </is>
      </c>
      <c r="E284" t="inlineStr">
        <is>
          <t>ÖSTHAMMAR</t>
        </is>
      </c>
      <c r="G284" t="n">
        <v>1.7</v>
      </c>
      <c r="H284" t="n">
        <v>0</v>
      </c>
      <c r="I284" t="n">
        <v>0</v>
      </c>
      <c r="J284" t="n">
        <v>0</v>
      </c>
      <c r="K284" t="n">
        <v>0</v>
      </c>
      <c r="L284" t="n">
        <v>0</v>
      </c>
      <c r="M284" t="n">
        <v>0</v>
      </c>
      <c r="N284" t="n">
        <v>0</v>
      </c>
      <c r="O284" t="n">
        <v>0</v>
      </c>
      <c r="P284" t="n">
        <v>0</v>
      </c>
      <c r="Q284" t="n">
        <v>0</v>
      </c>
      <c r="R284" s="2" t="inlineStr"/>
    </row>
    <row r="285" ht="15" customHeight="1">
      <c r="A285" t="inlineStr">
        <is>
          <t>A 8908-2025</t>
        </is>
      </c>
      <c r="B285" s="1" t="n">
        <v>45713.4196875</v>
      </c>
      <c r="C285" s="1" t="n">
        <v>45934</v>
      </c>
      <c r="D285" t="inlineStr">
        <is>
          <t>UPPSALA LÄN</t>
        </is>
      </c>
      <c r="E285" t="inlineStr">
        <is>
          <t>ÖSTHAMMAR</t>
        </is>
      </c>
      <c r="F285" t="inlineStr">
        <is>
          <t>Bergvik skog öst AB</t>
        </is>
      </c>
      <c r="G285" t="n">
        <v>3.3</v>
      </c>
      <c r="H285" t="n">
        <v>0</v>
      </c>
      <c r="I285" t="n">
        <v>0</v>
      </c>
      <c r="J285" t="n">
        <v>0</v>
      </c>
      <c r="K285" t="n">
        <v>0</v>
      </c>
      <c r="L285" t="n">
        <v>0</v>
      </c>
      <c r="M285" t="n">
        <v>0</v>
      </c>
      <c r="N285" t="n">
        <v>0</v>
      </c>
      <c r="O285" t="n">
        <v>0</v>
      </c>
      <c r="P285" t="n">
        <v>0</v>
      </c>
      <c r="Q285" t="n">
        <v>0</v>
      </c>
      <c r="R285" s="2" t="inlineStr"/>
    </row>
    <row r="286" ht="15" customHeight="1">
      <c r="A286" t="inlineStr">
        <is>
          <t>A 37656-2025</t>
        </is>
      </c>
      <c r="B286" s="1" t="n">
        <v>45880</v>
      </c>
      <c r="C286" s="1" t="n">
        <v>45934</v>
      </c>
      <c r="D286" t="inlineStr">
        <is>
          <t>UPPSALA LÄN</t>
        </is>
      </c>
      <c r="E286" t="inlineStr">
        <is>
          <t>ÖSTHAMMAR</t>
        </is>
      </c>
      <c r="G286" t="n">
        <v>4.3</v>
      </c>
      <c r="H286" t="n">
        <v>0</v>
      </c>
      <c r="I286" t="n">
        <v>0</v>
      </c>
      <c r="J286" t="n">
        <v>0</v>
      </c>
      <c r="K286" t="n">
        <v>0</v>
      </c>
      <c r="L286" t="n">
        <v>0</v>
      </c>
      <c r="M286" t="n">
        <v>0</v>
      </c>
      <c r="N286" t="n">
        <v>0</v>
      </c>
      <c r="O286" t="n">
        <v>0</v>
      </c>
      <c r="P286" t="n">
        <v>0</v>
      </c>
      <c r="Q286" t="n">
        <v>0</v>
      </c>
      <c r="R286" s="2" t="inlineStr"/>
    </row>
    <row r="287" ht="15" customHeight="1">
      <c r="A287" t="inlineStr">
        <is>
          <t>A 55090-2024</t>
        </is>
      </c>
      <c r="B287" s="1" t="n">
        <v>45621.4350462963</v>
      </c>
      <c r="C287" s="1" t="n">
        <v>45934</v>
      </c>
      <c r="D287" t="inlineStr">
        <is>
          <t>UPPSALA LÄN</t>
        </is>
      </c>
      <c r="E287" t="inlineStr">
        <is>
          <t>ÖSTHAMMAR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55093-2024</t>
        </is>
      </c>
      <c r="B288" s="1" t="n">
        <v>45621.43712962963</v>
      </c>
      <c r="C288" s="1" t="n">
        <v>45934</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55097-2024</t>
        </is>
      </c>
      <c r="B289" s="1" t="n">
        <v>45621.43855324074</v>
      </c>
      <c r="C289" s="1" t="n">
        <v>45934</v>
      </c>
      <c r="D289" t="inlineStr">
        <is>
          <t>UPPSALA LÄN</t>
        </is>
      </c>
      <c r="E289" t="inlineStr">
        <is>
          <t>ÖSTHAMMAR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45721-2025</t>
        </is>
      </c>
      <c r="B290" s="1" t="n">
        <v>45923.44844907407</v>
      </c>
      <c r="C290" s="1" t="n">
        <v>45934</v>
      </c>
      <c r="D290" t="inlineStr">
        <is>
          <t>UPPSALA LÄN</t>
        </is>
      </c>
      <c r="E290" t="inlineStr">
        <is>
          <t>ÖSTHAMMAR</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21522-2022</t>
        </is>
      </c>
      <c r="B291" s="1" t="n">
        <v>44706</v>
      </c>
      <c r="C291" s="1" t="n">
        <v>45934</v>
      </c>
      <c r="D291" t="inlineStr">
        <is>
          <t>UPPSALA LÄN</t>
        </is>
      </c>
      <c r="E291" t="inlineStr">
        <is>
          <t>ÖSTHAMMAR</t>
        </is>
      </c>
      <c r="G291" t="n">
        <v>1.8</v>
      </c>
      <c r="H291" t="n">
        <v>0</v>
      </c>
      <c r="I291" t="n">
        <v>0</v>
      </c>
      <c r="J291" t="n">
        <v>0</v>
      </c>
      <c r="K291" t="n">
        <v>0</v>
      </c>
      <c r="L291" t="n">
        <v>0</v>
      </c>
      <c r="M291" t="n">
        <v>0</v>
      </c>
      <c r="N291" t="n">
        <v>0</v>
      </c>
      <c r="O291" t="n">
        <v>0</v>
      </c>
      <c r="P291" t="n">
        <v>0</v>
      </c>
      <c r="Q291" t="n">
        <v>0</v>
      </c>
      <c r="R291" s="2" t="inlineStr"/>
    </row>
    <row r="292" ht="15" customHeight="1">
      <c r="A292" t="inlineStr">
        <is>
          <t>A 51364-2021</t>
        </is>
      </c>
      <c r="B292" s="1" t="n">
        <v>44461</v>
      </c>
      <c r="C292" s="1" t="n">
        <v>45934</v>
      </c>
      <c r="D292" t="inlineStr">
        <is>
          <t>UPPSALA LÄN</t>
        </is>
      </c>
      <c r="E292" t="inlineStr">
        <is>
          <t>ÖSTHAMMAR</t>
        </is>
      </c>
      <c r="G292" t="n">
        <v>2.4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45934</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1567-2025</t>
        </is>
      </c>
      <c r="B294" s="1" t="n">
        <v>45670</v>
      </c>
      <c r="C294" s="1" t="n">
        <v>45934</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45720-2025</t>
        </is>
      </c>
      <c r="B295" s="1" t="n">
        <v>45923.44583333333</v>
      </c>
      <c r="C295" s="1" t="n">
        <v>45934</v>
      </c>
      <c r="D295" t="inlineStr">
        <is>
          <t>UPPSALA LÄN</t>
        </is>
      </c>
      <c r="E295" t="inlineStr">
        <is>
          <t>ÖSTHAMMAR</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43915-2023</t>
        </is>
      </c>
      <c r="B296" s="1" t="n">
        <v>45187.71274305556</v>
      </c>
      <c r="C296" s="1" t="n">
        <v>45934</v>
      </c>
      <c r="D296" t="inlineStr">
        <is>
          <t>UPPSALA LÄN</t>
        </is>
      </c>
      <c r="E296" t="inlineStr">
        <is>
          <t>ÖSTHAMMAR</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19501-2025</t>
        </is>
      </c>
      <c r="B297" s="1" t="n">
        <v>45770.4015625</v>
      </c>
      <c r="C297" s="1" t="n">
        <v>45934</v>
      </c>
      <c r="D297" t="inlineStr">
        <is>
          <t>UPPSALA LÄN</t>
        </is>
      </c>
      <c r="E297" t="inlineStr">
        <is>
          <t>ÖSTHAMMAR</t>
        </is>
      </c>
      <c r="F297" t="inlineStr">
        <is>
          <t>Övriga Aktiebolag</t>
        </is>
      </c>
      <c r="G297" t="n">
        <v>17.3</v>
      </c>
      <c r="H297" t="n">
        <v>0</v>
      </c>
      <c r="I297" t="n">
        <v>0</v>
      </c>
      <c r="J297" t="n">
        <v>0</v>
      </c>
      <c r="K297" t="n">
        <v>0</v>
      </c>
      <c r="L297" t="n">
        <v>0</v>
      </c>
      <c r="M297" t="n">
        <v>0</v>
      </c>
      <c r="N297" t="n">
        <v>0</v>
      </c>
      <c r="O297" t="n">
        <v>0</v>
      </c>
      <c r="P297" t="n">
        <v>0</v>
      </c>
      <c r="Q297" t="n">
        <v>0</v>
      </c>
      <c r="R297" s="2" t="inlineStr"/>
    </row>
    <row r="298" ht="15" customHeight="1">
      <c r="A298" t="inlineStr">
        <is>
          <t>A 37764-2025</t>
        </is>
      </c>
      <c r="B298" s="1" t="n">
        <v>45880.70917824074</v>
      </c>
      <c r="C298" s="1" t="n">
        <v>45934</v>
      </c>
      <c r="D298" t="inlineStr">
        <is>
          <t>UPPSALA LÄN</t>
        </is>
      </c>
      <c r="E298" t="inlineStr">
        <is>
          <t>ÖSTHAMMAR</t>
        </is>
      </c>
      <c r="G298" t="n">
        <v>4.6</v>
      </c>
      <c r="H298" t="n">
        <v>0</v>
      </c>
      <c r="I298" t="n">
        <v>0</v>
      </c>
      <c r="J298" t="n">
        <v>0</v>
      </c>
      <c r="K298" t="n">
        <v>0</v>
      </c>
      <c r="L298" t="n">
        <v>0</v>
      </c>
      <c r="M298" t="n">
        <v>0</v>
      </c>
      <c r="N298" t="n">
        <v>0</v>
      </c>
      <c r="O298" t="n">
        <v>0</v>
      </c>
      <c r="P298" t="n">
        <v>0</v>
      </c>
      <c r="Q298" t="n">
        <v>0</v>
      </c>
      <c r="R298" s="2" t="inlineStr"/>
    </row>
    <row r="299" ht="15" customHeight="1">
      <c r="A299" t="inlineStr">
        <is>
          <t>A 35474-2023</t>
        </is>
      </c>
      <c r="B299" s="1" t="n">
        <v>45146.68921296296</v>
      </c>
      <c r="C299" s="1" t="n">
        <v>45934</v>
      </c>
      <c r="D299" t="inlineStr">
        <is>
          <t>UPPSALA LÄN</t>
        </is>
      </c>
      <c r="E299" t="inlineStr">
        <is>
          <t>ÖSTHAMMAR</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3119-2025</t>
        </is>
      </c>
      <c r="B300" s="1" t="n">
        <v>45678</v>
      </c>
      <c r="C300" s="1" t="n">
        <v>45934</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31035-2022</t>
        </is>
      </c>
      <c r="B301" s="1" t="n">
        <v>44768.88685185185</v>
      </c>
      <c r="C301" s="1" t="n">
        <v>45934</v>
      </c>
      <c r="D301" t="inlineStr">
        <is>
          <t>UPPSALA LÄN</t>
        </is>
      </c>
      <c r="E301" t="inlineStr">
        <is>
          <t>ÖSTHAMMAR</t>
        </is>
      </c>
      <c r="F301" t="inlineStr">
        <is>
          <t>Bergvik skog öst AB</t>
        </is>
      </c>
      <c r="G301" t="n">
        <v>1.5</v>
      </c>
      <c r="H301" t="n">
        <v>0</v>
      </c>
      <c r="I301" t="n">
        <v>0</v>
      </c>
      <c r="J301" t="n">
        <v>0</v>
      </c>
      <c r="K301" t="n">
        <v>0</v>
      </c>
      <c r="L301" t="n">
        <v>0</v>
      </c>
      <c r="M301" t="n">
        <v>0</v>
      </c>
      <c r="N301" t="n">
        <v>0</v>
      </c>
      <c r="O301" t="n">
        <v>0</v>
      </c>
      <c r="P301" t="n">
        <v>0</v>
      </c>
      <c r="Q301" t="n">
        <v>0</v>
      </c>
      <c r="R301" s="2" t="inlineStr"/>
    </row>
    <row r="302" ht="15" customHeight="1">
      <c r="A302" t="inlineStr">
        <is>
          <t>A 28421-2023</t>
        </is>
      </c>
      <c r="B302" s="1" t="n">
        <v>45102</v>
      </c>
      <c r="C302" s="1" t="n">
        <v>45934</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17931-2025</t>
        </is>
      </c>
      <c r="B303" s="1" t="n">
        <v>45759.56894675926</v>
      </c>
      <c r="C303" s="1" t="n">
        <v>45934</v>
      </c>
      <c r="D303" t="inlineStr">
        <is>
          <t>UPPSALA LÄN</t>
        </is>
      </c>
      <c r="E303" t="inlineStr">
        <is>
          <t>ÖSTHAMMAR</t>
        </is>
      </c>
      <c r="G303" t="n">
        <v>2.1</v>
      </c>
      <c r="H303" t="n">
        <v>0</v>
      </c>
      <c r="I303" t="n">
        <v>0</v>
      </c>
      <c r="J303" t="n">
        <v>0</v>
      </c>
      <c r="K303" t="n">
        <v>0</v>
      </c>
      <c r="L303" t="n">
        <v>0</v>
      </c>
      <c r="M303" t="n">
        <v>0</v>
      </c>
      <c r="N303" t="n">
        <v>0</v>
      </c>
      <c r="O303" t="n">
        <v>0</v>
      </c>
      <c r="P303" t="n">
        <v>0</v>
      </c>
      <c r="Q303" t="n">
        <v>0</v>
      </c>
      <c r="R303" s="2" t="inlineStr"/>
    </row>
    <row r="304" ht="15" customHeight="1">
      <c r="A304" t="inlineStr">
        <is>
          <t>A 17938-2025</t>
        </is>
      </c>
      <c r="B304" s="1" t="n">
        <v>45760.55626157407</v>
      </c>
      <c r="C304" s="1" t="n">
        <v>45934</v>
      </c>
      <c r="D304" t="inlineStr">
        <is>
          <t>UPPSALA LÄN</t>
        </is>
      </c>
      <c r="E304" t="inlineStr">
        <is>
          <t>ÖSTHAMMAR</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14124-2022</t>
        </is>
      </c>
      <c r="B305" s="1" t="n">
        <v>44651.40924768519</v>
      </c>
      <c r="C305" s="1" t="n">
        <v>45934</v>
      </c>
      <c r="D305" t="inlineStr">
        <is>
          <t>UPPSALA LÄN</t>
        </is>
      </c>
      <c r="E305" t="inlineStr">
        <is>
          <t>ÖSTHAMMAR</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58324-2023</t>
        </is>
      </c>
      <c r="B306" s="1" t="n">
        <v>45250.58635416667</v>
      </c>
      <c r="C306" s="1" t="n">
        <v>45934</v>
      </c>
      <c r="D306" t="inlineStr">
        <is>
          <t>UPPSALA LÄN</t>
        </is>
      </c>
      <c r="E306" t="inlineStr">
        <is>
          <t>ÖSTHAMMAR</t>
        </is>
      </c>
      <c r="G306" t="n">
        <v>5.1</v>
      </c>
      <c r="H306" t="n">
        <v>0</v>
      </c>
      <c r="I306" t="n">
        <v>0</v>
      </c>
      <c r="J306" t="n">
        <v>0</v>
      </c>
      <c r="K306" t="n">
        <v>0</v>
      </c>
      <c r="L306" t="n">
        <v>0</v>
      </c>
      <c r="M306" t="n">
        <v>0</v>
      </c>
      <c r="N306" t="n">
        <v>0</v>
      </c>
      <c r="O306" t="n">
        <v>0</v>
      </c>
      <c r="P306" t="n">
        <v>0</v>
      </c>
      <c r="Q306" t="n">
        <v>0</v>
      </c>
      <c r="R306" s="2" t="inlineStr"/>
    </row>
    <row r="307" ht="15" customHeight="1">
      <c r="A307" t="inlineStr">
        <is>
          <t>A 8902-2025</t>
        </is>
      </c>
      <c r="B307" s="1" t="n">
        <v>45713.41503472222</v>
      </c>
      <c r="C307" s="1" t="n">
        <v>45934</v>
      </c>
      <c r="D307" t="inlineStr">
        <is>
          <t>UPPSALA LÄN</t>
        </is>
      </c>
      <c r="E307" t="inlineStr">
        <is>
          <t>ÖSTHAMMAR</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45715-2025</t>
        </is>
      </c>
      <c r="B308" s="1" t="n">
        <v>45923.44094907407</v>
      </c>
      <c r="C308" s="1" t="n">
        <v>45934</v>
      </c>
      <c r="D308" t="inlineStr">
        <is>
          <t>UPPSALA LÄN</t>
        </is>
      </c>
      <c r="E308" t="inlineStr">
        <is>
          <t>ÖSTHAMMAR</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8763-2025</t>
        </is>
      </c>
      <c r="B309" s="1" t="n">
        <v>45712.57872685185</v>
      </c>
      <c r="C309" s="1" t="n">
        <v>45934</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37770-2025</t>
        </is>
      </c>
      <c r="B310" s="1" t="n">
        <v>45880.7505787037</v>
      </c>
      <c r="C310" s="1" t="n">
        <v>45934</v>
      </c>
      <c r="D310" t="inlineStr">
        <is>
          <t>UPPSALA LÄN</t>
        </is>
      </c>
      <c r="E310" t="inlineStr">
        <is>
          <t>ÖSTHAMMAR</t>
        </is>
      </c>
      <c r="G310" t="n">
        <v>2.9</v>
      </c>
      <c r="H310" t="n">
        <v>0</v>
      </c>
      <c r="I310" t="n">
        <v>0</v>
      </c>
      <c r="J310" t="n">
        <v>0</v>
      </c>
      <c r="K310" t="n">
        <v>0</v>
      </c>
      <c r="L310" t="n">
        <v>0</v>
      </c>
      <c r="M310" t="n">
        <v>0</v>
      </c>
      <c r="N310" t="n">
        <v>0</v>
      </c>
      <c r="O310" t="n">
        <v>0</v>
      </c>
      <c r="P310" t="n">
        <v>0</v>
      </c>
      <c r="Q310" t="n">
        <v>0</v>
      </c>
      <c r="R310" s="2" t="inlineStr"/>
    </row>
    <row r="311" ht="15" customHeight="1">
      <c r="A311" t="inlineStr">
        <is>
          <t>A 3327-2023</t>
        </is>
      </c>
      <c r="B311" s="1" t="n">
        <v>44949.4377662037</v>
      </c>
      <c r="C311" s="1" t="n">
        <v>45934</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4099-2025</t>
        </is>
      </c>
      <c r="B312" s="1" t="n">
        <v>45684</v>
      </c>
      <c r="C312" s="1" t="n">
        <v>45934</v>
      </c>
      <c r="D312" t="inlineStr">
        <is>
          <t>UPPSALA LÄN</t>
        </is>
      </c>
      <c r="E312" t="inlineStr">
        <is>
          <t>ÖSTHAMMAR</t>
        </is>
      </c>
      <c r="G312" t="n">
        <v>0.7</v>
      </c>
      <c r="H312" t="n">
        <v>0</v>
      </c>
      <c r="I312" t="n">
        <v>0</v>
      </c>
      <c r="J312" t="n">
        <v>0</v>
      </c>
      <c r="K312" t="n">
        <v>0</v>
      </c>
      <c r="L312" t="n">
        <v>0</v>
      </c>
      <c r="M312" t="n">
        <v>0</v>
      </c>
      <c r="N312" t="n">
        <v>0</v>
      </c>
      <c r="O312" t="n">
        <v>0</v>
      </c>
      <c r="P312" t="n">
        <v>0</v>
      </c>
      <c r="Q312" t="n">
        <v>0</v>
      </c>
      <c r="R312" s="2" t="inlineStr"/>
    </row>
    <row r="313" ht="15" customHeight="1">
      <c r="A313" t="inlineStr">
        <is>
          <t>A 54368-2023</t>
        </is>
      </c>
      <c r="B313" s="1" t="n">
        <v>45233.33221064815</v>
      </c>
      <c r="C313" s="1" t="n">
        <v>45934</v>
      </c>
      <c r="D313" t="inlineStr">
        <is>
          <t>UPPSALA LÄN</t>
        </is>
      </c>
      <c r="E313" t="inlineStr">
        <is>
          <t>ÖSTHAMMAR</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41821-2023</t>
        </is>
      </c>
      <c r="B314" s="1" t="n">
        <v>45176</v>
      </c>
      <c r="C314" s="1" t="n">
        <v>45934</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32815-2024</t>
        </is>
      </c>
      <c r="B315" s="1" t="n">
        <v>45516.57682870371</v>
      </c>
      <c r="C315" s="1" t="n">
        <v>45934</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46088-2025</t>
        </is>
      </c>
      <c r="B316" s="1" t="n">
        <v>45924.52010416667</v>
      </c>
      <c r="C316" s="1" t="n">
        <v>45934</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35309-2023</t>
        </is>
      </c>
      <c r="B317" s="1" t="n">
        <v>45146</v>
      </c>
      <c r="C317" s="1" t="n">
        <v>45934</v>
      </c>
      <c r="D317" t="inlineStr">
        <is>
          <t>UPPSALA LÄN</t>
        </is>
      </c>
      <c r="E317" t="inlineStr">
        <is>
          <t>ÖSTHAMMAR</t>
        </is>
      </c>
      <c r="G317" t="n">
        <v>1.3</v>
      </c>
      <c r="H317" t="n">
        <v>0</v>
      </c>
      <c r="I317" t="n">
        <v>0</v>
      </c>
      <c r="J317" t="n">
        <v>0</v>
      </c>
      <c r="K317" t="n">
        <v>0</v>
      </c>
      <c r="L317" t="n">
        <v>0</v>
      </c>
      <c r="M317" t="n">
        <v>0</v>
      </c>
      <c r="N317" t="n">
        <v>0</v>
      </c>
      <c r="O317" t="n">
        <v>0</v>
      </c>
      <c r="P317" t="n">
        <v>0</v>
      </c>
      <c r="Q317" t="n">
        <v>0</v>
      </c>
      <c r="R317" s="2" t="inlineStr"/>
    </row>
    <row r="318" ht="15" customHeight="1">
      <c r="A318" t="inlineStr">
        <is>
          <t>A 5189-2025</t>
        </is>
      </c>
      <c r="B318" s="1" t="n">
        <v>45691</v>
      </c>
      <c r="C318" s="1" t="n">
        <v>45934</v>
      </c>
      <c r="D318" t="inlineStr">
        <is>
          <t>UPPSALA LÄN</t>
        </is>
      </c>
      <c r="E318" t="inlineStr">
        <is>
          <t>ÖSTHAMMAR</t>
        </is>
      </c>
      <c r="F318" t="inlineStr">
        <is>
          <t>Bergvik skog öst AB</t>
        </is>
      </c>
      <c r="G318" t="n">
        <v>24.4</v>
      </c>
      <c r="H318" t="n">
        <v>0</v>
      </c>
      <c r="I318" t="n">
        <v>0</v>
      </c>
      <c r="J318" t="n">
        <v>0</v>
      </c>
      <c r="K318" t="n">
        <v>0</v>
      </c>
      <c r="L318" t="n">
        <v>0</v>
      </c>
      <c r="M318" t="n">
        <v>0</v>
      </c>
      <c r="N318" t="n">
        <v>0</v>
      </c>
      <c r="O318" t="n">
        <v>0</v>
      </c>
      <c r="P318" t="n">
        <v>0</v>
      </c>
      <c r="Q318" t="n">
        <v>0</v>
      </c>
      <c r="R318" s="2" t="inlineStr"/>
    </row>
    <row r="319" ht="15" customHeight="1">
      <c r="A319" t="inlineStr">
        <is>
          <t>A 14272-2025</t>
        </is>
      </c>
      <c r="B319" s="1" t="n">
        <v>45740.64327546296</v>
      </c>
      <c r="C319" s="1" t="n">
        <v>45934</v>
      </c>
      <c r="D319" t="inlineStr">
        <is>
          <t>UPPSALA LÄN</t>
        </is>
      </c>
      <c r="E319" t="inlineStr">
        <is>
          <t>ÖSTHAMMAR</t>
        </is>
      </c>
      <c r="G319" t="n">
        <v>5.7</v>
      </c>
      <c r="H319" t="n">
        <v>0</v>
      </c>
      <c r="I319" t="n">
        <v>0</v>
      </c>
      <c r="J319" t="n">
        <v>0</v>
      </c>
      <c r="K319" t="n">
        <v>0</v>
      </c>
      <c r="L319" t="n">
        <v>0</v>
      </c>
      <c r="M319" t="n">
        <v>0</v>
      </c>
      <c r="N319" t="n">
        <v>0</v>
      </c>
      <c r="O319" t="n">
        <v>0</v>
      </c>
      <c r="P319" t="n">
        <v>0</v>
      </c>
      <c r="Q319" t="n">
        <v>0</v>
      </c>
      <c r="R319" s="2" t="inlineStr"/>
    </row>
    <row r="320" ht="15" customHeight="1">
      <c r="A320" t="inlineStr">
        <is>
          <t>A 17940-2025</t>
        </is>
      </c>
      <c r="B320" s="1" t="n">
        <v>45760.55842592593</v>
      </c>
      <c r="C320" s="1" t="n">
        <v>45934</v>
      </c>
      <c r="D320" t="inlineStr">
        <is>
          <t>UPPSALA LÄN</t>
        </is>
      </c>
      <c r="E320" t="inlineStr">
        <is>
          <t>ÖSTHAMMAR</t>
        </is>
      </c>
      <c r="F320" t="inlineStr">
        <is>
          <t>Bergvik skog öst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12215-2023</t>
        </is>
      </c>
      <c r="B321" s="1" t="n">
        <v>44998</v>
      </c>
      <c r="C321" s="1" t="n">
        <v>45934</v>
      </c>
      <c r="D321" t="inlineStr">
        <is>
          <t>UPPSALA LÄN</t>
        </is>
      </c>
      <c r="E321" t="inlineStr">
        <is>
          <t>ÖSTHAMMAR</t>
        </is>
      </c>
      <c r="G321" t="n">
        <v>5.1</v>
      </c>
      <c r="H321" t="n">
        <v>0</v>
      </c>
      <c r="I321" t="n">
        <v>0</v>
      </c>
      <c r="J321" t="n">
        <v>0</v>
      </c>
      <c r="K321" t="n">
        <v>0</v>
      </c>
      <c r="L321" t="n">
        <v>0</v>
      </c>
      <c r="M321" t="n">
        <v>0</v>
      </c>
      <c r="N321" t="n">
        <v>0</v>
      </c>
      <c r="O321" t="n">
        <v>0</v>
      </c>
      <c r="P321" t="n">
        <v>0</v>
      </c>
      <c r="Q321" t="n">
        <v>0</v>
      </c>
      <c r="R321" s="2" t="inlineStr"/>
    </row>
    <row r="322" ht="15" customHeight="1">
      <c r="A322" t="inlineStr">
        <is>
          <t>A 49097-2022</t>
        </is>
      </c>
      <c r="B322" s="1" t="n">
        <v>44860</v>
      </c>
      <c r="C322" s="1" t="n">
        <v>45934</v>
      </c>
      <c r="D322" t="inlineStr">
        <is>
          <t>UPPSALA LÄN</t>
        </is>
      </c>
      <c r="E322" t="inlineStr">
        <is>
          <t>ÖSTHAMMAR</t>
        </is>
      </c>
      <c r="G322" t="n">
        <v>6.9</v>
      </c>
      <c r="H322" t="n">
        <v>0</v>
      </c>
      <c r="I322" t="n">
        <v>0</v>
      </c>
      <c r="J322" t="n">
        <v>0</v>
      </c>
      <c r="K322" t="n">
        <v>0</v>
      </c>
      <c r="L322" t="n">
        <v>0</v>
      </c>
      <c r="M322" t="n">
        <v>0</v>
      </c>
      <c r="N322" t="n">
        <v>0</v>
      </c>
      <c r="O322" t="n">
        <v>0</v>
      </c>
      <c r="P322" t="n">
        <v>0</v>
      </c>
      <c r="Q322" t="n">
        <v>0</v>
      </c>
      <c r="R322" s="2" t="inlineStr"/>
    </row>
    <row r="323" ht="15" customHeight="1">
      <c r="A323" t="inlineStr">
        <is>
          <t>A 5429-2023</t>
        </is>
      </c>
      <c r="B323" s="1" t="n">
        <v>44959.83037037037</v>
      </c>
      <c r="C323" s="1" t="n">
        <v>45934</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11008-2023</t>
        </is>
      </c>
      <c r="B324" s="1" t="n">
        <v>44991</v>
      </c>
      <c r="C324" s="1" t="n">
        <v>45934</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60047-2021</t>
        </is>
      </c>
      <c r="B325" s="1" t="n">
        <v>44495</v>
      </c>
      <c r="C325" s="1" t="n">
        <v>45934</v>
      </c>
      <c r="D325" t="inlineStr">
        <is>
          <t>UPPSALA LÄN</t>
        </is>
      </c>
      <c r="E325" t="inlineStr">
        <is>
          <t>ÖSTHAMMAR</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8623-2025</t>
        </is>
      </c>
      <c r="B326" s="1" t="n">
        <v>45711.51902777778</v>
      </c>
      <c r="C326" s="1" t="n">
        <v>45934</v>
      </c>
      <c r="D326" t="inlineStr">
        <is>
          <t>UPPSALA LÄN</t>
        </is>
      </c>
      <c r="E326" t="inlineStr">
        <is>
          <t>ÖSTHAMMAR</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8626-2025</t>
        </is>
      </c>
      <c r="B327" s="1" t="n">
        <v>45711.53565972222</v>
      </c>
      <c r="C327" s="1" t="n">
        <v>45934</v>
      </c>
      <c r="D327" t="inlineStr">
        <is>
          <t>UPPSALA LÄN</t>
        </is>
      </c>
      <c r="E327" t="inlineStr">
        <is>
          <t>ÖSTHAMMAR</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7118-2023</t>
        </is>
      </c>
      <c r="B328" s="1" t="n">
        <v>44970.39591435185</v>
      </c>
      <c r="C328" s="1" t="n">
        <v>45934</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10449-2023</t>
        </is>
      </c>
      <c r="B329" s="1" t="n">
        <v>44987</v>
      </c>
      <c r="C329" s="1" t="n">
        <v>45934</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3514-2023</t>
        </is>
      </c>
      <c r="B330" s="1" t="n">
        <v>44950</v>
      </c>
      <c r="C330" s="1" t="n">
        <v>45934</v>
      </c>
      <c r="D330" t="inlineStr">
        <is>
          <t>UPPSALA LÄN</t>
        </is>
      </c>
      <c r="E330" t="inlineStr">
        <is>
          <t>ÖSTHAMMAR</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45993-2025</t>
        </is>
      </c>
      <c r="B331" s="1" t="n">
        <v>45924.39706018518</v>
      </c>
      <c r="C331" s="1" t="n">
        <v>45934</v>
      </c>
      <c r="D331" t="inlineStr">
        <is>
          <t>UPPSALA LÄN</t>
        </is>
      </c>
      <c r="E331" t="inlineStr">
        <is>
          <t>ÖSTHAMMAR</t>
        </is>
      </c>
      <c r="G331" t="n">
        <v>0.5</v>
      </c>
      <c r="H331" t="n">
        <v>0</v>
      </c>
      <c r="I331" t="n">
        <v>0</v>
      </c>
      <c r="J331" t="n">
        <v>0</v>
      </c>
      <c r="K331" t="n">
        <v>0</v>
      </c>
      <c r="L331" t="n">
        <v>0</v>
      </c>
      <c r="M331" t="n">
        <v>0</v>
      </c>
      <c r="N331" t="n">
        <v>0</v>
      </c>
      <c r="O331" t="n">
        <v>0</v>
      </c>
      <c r="P331" t="n">
        <v>0</v>
      </c>
      <c r="Q331" t="n">
        <v>0</v>
      </c>
      <c r="R331" s="2" t="inlineStr"/>
    </row>
    <row r="332" ht="15" customHeight="1">
      <c r="A332" t="inlineStr">
        <is>
          <t>A 46089-2025</t>
        </is>
      </c>
      <c r="B332" s="1" t="n">
        <v>45924.52100694444</v>
      </c>
      <c r="C332" s="1" t="n">
        <v>45934</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835-2025</t>
        </is>
      </c>
      <c r="B333" s="1" t="n">
        <v>45665.58465277778</v>
      </c>
      <c r="C333" s="1" t="n">
        <v>45934</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66779-2021</t>
        </is>
      </c>
      <c r="B334" s="1" t="n">
        <v>44522.31700231481</v>
      </c>
      <c r="C334" s="1" t="n">
        <v>45934</v>
      </c>
      <c r="D334" t="inlineStr">
        <is>
          <t>UPPSALA LÄN</t>
        </is>
      </c>
      <c r="E334" t="inlineStr">
        <is>
          <t>ÖSTHAMMAR</t>
        </is>
      </c>
      <c r="G334" t="n">
        <v>2</v>
      </c>
      <c r="H334" t="n">
        <v>0</v>
      </c>
      <c r="I334" t="n">
        <v>0</v>
      </c>
      <c r="J334" t="n">
        <v>0</v>
      </c>
      <c r="K334" t="n">
        <v>0</v>
      </c>
      <c r="L334" t="n">
        <v>0</v>
      </c>
      <c r="M334" t="n">
        <v>0</v>
      </c>
      <c r="N334" t="n">
        <v>0</v>
      </c>
      <c r="O334" t="n">
        <v>0</v>
      </c>
      <c r="P334" t="n">
        <v>0</v>
      </c>
      <c r="Q334" t="n">
        <v>0</v>
      </c>
      <c r="R334" s="2" t="inlineStr"/>
    </row>
    <row r="335" ht="15" customHeight="1">
      <c r="A335" t="inlineStr">
        <is>
          <t>A 36904-2023</t>
        </is>
      </c>
      <c r="B335" s="1" t="n">
        <v>45154</v>
      </c>
      <c r="C335" s="1" t="n">
        <v>45934</v>
      </c>
      <c r="D335" t="inlineStr">
        <is>
          <t>UPPSALA LÄN</t>
        </is>
      </c>
      <c r="E335" t="inlineStr">
        <is>
          <t>ÖSTHAMMAR</t>
        </is>
      </c>
      <c r="F335" t="inlineStr">
        <is>
          <t>Övriga Aktiebolag</t>
        </is>
      </c>
      <c r="G335" t="n">
        <v>1.5</v>
      </c>
      <c r="H335" t="n">
        <v>0</v>
      </c>
      <c r="I335" t="n">
        <v>0</v>
      </c>
      <c r="J335" t="n">
        <v>0</v>
      </c>
      <c r="K335" t="n">
        <v>0</v>
      </c>
      <c r="L335" t="n">
        <v>0</v>
      </c>
      <c r="M335" t="n">
        <v>0</v>
      </c>
      <c r="N335" t="n">
        <v>0</v>
      </c>
      <c r="O335" t="n">
        <v>0</v>
      </c>
      <c r="P335" t="n">
        <v>0</v>
      </c>
      <c r="Q335" t="n">
        <v>0</v>
      </c>
      <c r="R335" s="2" t="inlineStr"/>
    </row>
    <row r="336" ht="15" customHeight="1">
      <c r="A336" t="inlineStr">
        <is>
          <t>A 13248-2025</t>
        </is>
      </c>
      <c r="B336" s="1" t="n">
        <v>45735</v>
      </c>
      <c r="C336" s="1" t="n">
        <v>45934</v>
      </c>
      <c r="D336" t="inlineStr">
        <is>
          <t>UPPSALA LÄN</t>
        </is>
      </c>
      <c r="E336" t="inlineStr">
        <is>
          <t>ÖSTHAMMAR</t>
        </is>
      </c>
      <c r="F336" t="inlineStr">
        <is>
          <t>Kyrkan</t>
        </is>
      </c>
      <c r="G336" t="n">
        <v>12.2</v>
      </c>
      <c r="H336" t="n">
        <v>0</v>
      </c>
      <c r="I336" t="n">
        <v>0</v>
      </c>
      <c r="J336" t="n">
        <v>0</v>
      </c>
      <c r="K336" t="n">
        <v>0</v>
      </c>
      <c r="L336" t="n">
        <v>0</v>
      </c>
      <c r="M336" t="n">
        <v>0</v>
      </c>
      <c r="N336" t="n">
        <v>0</v>
      </c>
      <c r="O336" t="n">
        <v>0</v>
      </c>
      <c r="P336" t="n">
        <v>0</v>
      </c>
      <c r="Q336" t="n">
        <v>0</v>
      </c>
      <c r="R336" s="2" t="inlineStr"/>
    </row>
    <row r="337" ht="15" customHeight="1">
      <c r="A337" t="inlineStr">
        <is>
          <t>A 33062-2021</t>
        </is>
      </c>
      <c r="B337" s="1" t="n">
        <v>44376</v>
      </c>
      <c r="C337" s="1" t="n">
        <v>45934</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24128-2023</t>
        </is>
      </c>
      <c r="B338" s="1" t="n">
        <v>45079.50289351852</v>
      </c>
      <c r="C338" s="1" t="n">
        <v>45934</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24033-2023</t>
        </is>
      </c>
      <c r="B339" s="1" t="n">
        <v>45078</v>
      </c>
      <c r="C339" s="1" t="n">
        <v>45934</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1527-2025</t>
        </is>
      </c>
      <c r="B340" s="1" t="n">
        <v>45670</v>
      </c>
      <c r="C340" s="1" t="n">
        <v>45934</v>
      </c>
      <c r="D340" t="inlineStr">
        <is>
          <t>UPPSALA LÄN</t>
        </is>
      </c>
      <c r="E340" t="inlineStr">
        <is>
          <t>ÖSTHAMMAR</t>
        </is>
      </c>
      <c r="F340" t="inlineStr">
        <is>
          <t>Bergvik skog öst AB</t>
        </is>
      </c>
      <c r="G340" t="n">
        <v>7.7</v>
      </c>
      <c r="H340" t="n">
        <v>0</v>
      </c>
      <c r="I340" t="n">
        <v>0</v>
      </c>
      <c r="J340" t="n">
        <v>0</v>
      </c>
      <c r="K340" t="n">
        <v>0</v>
      </c>
      <c r="L340" t="n">
        <v>0</v>
      </c>
      <c r="M340" t="n">
        <v>0</v>
      </c>
      <c r="N340" t="n">
        <v>0</v>
      </c>
      <c r="O340" t="n">
        <v>0</v>
      </c>
      <c r="P340" t="n">
        <v>0</v>
      </c>
      <c r="Q340" t="n">
        <v>0</v>
      </c>
      <c r="R340" s="2" t="inlineStr"/>
    </row>
    <row r="341" ht="15" customHeight="1">
      <c r="A341" t="inlineStr">
        <is>
          <t>A 33552-2024</t>
        </is>
      </c>
      <c r="B341" s="1" t="n">
        <v>45519</v>
      </c>
      <c r="C341" s="1" t="n">
        <v>45934</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33553-2024</t>
        </is>
      </c>
      <c r="B342" s="1" t="n">
        <v>45519</v>
      </c>
      <c r="C342" s="1" t="n">
        <v>45934</v>
      </c>
      <c r="D342" t="inlineStr">
        <is>
          <t>UPPSALA LÄN</t>
        </is>
      </c>
      <c r="E342" t="inlineStr">
        <is>
          <t>ÖSTHAMMAR</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4304-2025</t>
        </is>
      </c>
      <c r="B343" s="1" t="n">
        <v>45685.68193287037</v>
      </c>
      <c r="C343" s="1" t="n">
        <v>45934</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24181-2022</t>
        </is>
      </c>
      <c r="B344" s="1" t="n">
        <v>44725</v>
      </c>
      <c r="C344" s="1" t="n">
        <v>45934</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17939-2025</t>
        </is>
      </c>
      <c r="B345" s="1" t="n">
        <v>45760.55671296296</v>
      </c>
      <c r="C345" s="1" t="n">
        <v>45934</v>
      </c>
      <c r="D345" t="inlineStr">
        <is>
          <t>UPPSALA LÄN</t>
        </is>
      </c>
      <c r="E345" t="inlineStr">
        <is>
          <t>ÖSTHAMMAR</t>
        </is>
      </c>
      <c r="F345" t="inlineStr">
        <is>
          <t>Bergvik skog öst AB</t>
        </is>
      </c>
      <c r="G345" t="n">
        <v>5.4</v>
      </c>
      <c r="H345" t="n">
        <v>0</v>
      </c>
      <c r="I345" t="n">
        <v>0</v>
      </c>
      <c r="J345" t="n">
        <v>0</v>
      </c>
      <c r="K345" t="n">
        <v>0</v>
      </c>
      <c r="L345" t="n">
        <v>0</v>
      </c>
      <c r="M345" t="n">
        <v>0</v>
      </c>
      <c r="N345" t="n">
        <v>0</v>
      </c>
      <c r="O345" t="n">
        <v>0</v>
      </c>
      <c r="P345" t="n">
        <v>0</v>
      </c>
      <c r="Q345" t="n">
        <v>0</v>
      </c>
      <c r="R345" s="2" t="inlineStr"/>
    </row>
    <row r="346" ht="15" customHeight="1">
      <c r="A346" t="inlineStr">
        <is>
          <t>A 3638-2022</t>
        </is>
      </c>
      <c r="B346" s="1" t="n">
        <v>44578</v>
      </c>
      <c r="C346" s="1" t="n">
        <v>45934</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53735-2023</t>
        </is>
      </c>
      <c r="B347" s="1" t="n">
        <v>45230.77258101852</v>
      </c>
      <c r="C347" s="1" t="n">
        <v>45934</v>
      </c>
      <c r="D347" t="inlineStr">
        <is>
          <t>UPPSALA LÄN</t>
        </is>
      </c>
      <c r="E347" t="inlineStr">
        <is>
          <t>ÖSTHAMMAR</t>
        </is>
      </c>
      <c r="G347" t="n">
        <v>1.1</v>
      </c>
      <c r="H347" t="n">
        <v>0</v>
      </c>
      <c r="I347" t="n">
        <v>0</v>
      </c>
      <c r="J347" t="n">
        <v>0</v>
      </c>
      <c r="K347" t="n">
        <v>0</v>
      </c>
      <c r="L347" t="n">
        <v>0</v>
      </c>
      <c r="M347" t="n">
        <v>0</v>
      </c>
      <c r="N347" t="n">
        <v>0</v>
      </c>
      <c r="O347" t="n">
        <v>0</v>
      </c>
      <c r="P347" t="n">
        <v>0</v>
      </c>
      <c r="Q347" t="n">
        <v>0</v>
      </c>
      <c r="R347" s="2" t="inlineStr"/>
    </row>
    <row r="348" ht="15" customHeight="1">
      <c r="A348" t="inlineStr">
        <is>
          <t>A 19947-2024</t>
        </is>
      </c>
      <c r="B348" s="1" t="n">
        <v>45433</v>
      </c>
      <c r="C348" s="1" t="n">
        <v>45934</v>
      </c>
      <c r="D348" t="inlineStr">
        <is>
          <t>UPPSALA LÄN</t>
        </is>
      </c>
      <c r="E348" t="inlineStr">
        <is>
          <t>ÖSTHAMMAR</t>
        </is>
      </c>
      <c r="G348" t="n">
        <v>0.3</v>
      </c>
      <c r="H348" t="n">
        <v>0</v>
      </c>
      <c r="I348" t="n">
        <v>0</v>
      </c>
      <c r="J348" t="n">
        <v>0</v>
      </c>
      <c r="K348" t="n">
        <v>0</v>
      </c>
      <c r="L348" t="n">
        <v>0</v>
      </c>
      <c r="M348" t="n">
        <v>0</v>
      </c>
      <c r="N348" t="n">
        <v>0</v>
      </c>
      <c r="O348" t="n">
        <v>0</v>
      </c>
      <c r="P348" t="n">
        <v>0</v>
      </c>
      <c r="Q348" t="n">
        <v>0</v>
      </c>
      <c r="R348" s="2" t="inlineStr"/>
    </row>
    <row r="349" ht="15" customHeight="1">
      <c r="A349" t="inlineStr">
        <is>
          <t>A 16240-2025</t>
        </is>
      </c>
      <c r="B349" s="1" t="n">
        <v>45746</v>
      </c>
      <c r="C349" s="1" t="n">
        <v>45934</v>
      </c>
      <c r="D349" t="inlineStr">
        <is>
          <t>UPPSALA LÄN</t>
        </is>
      </c>
      <c r="E349" t="inlineStr">
        <is>
          <t>ÖSTHAMMAR</t>
        </is>
      </c>
      <c r="G349" t="n">
        <v>1.4</v>
      </c>
      <c r="H349" t="n">
        <v>0</v>
      </c>
      <c r="I349" t="n">
        <v>0</v>
      </c>
      <c r="J349" t="n">
        <v>0</v>
      </c>
      <c r="K349" t="n">
        <v>0</v>
      </c>
      <c r="L349" t="n">
        <v>0</v>
      </c>
      <c r="M349" t="n">
        <v>0</v>
      </c>
      <c r="N349" t="n">
        <v>0</v>
      </c>
      <c r="O349" t="n">
        <v>0</v>
      </c>
      <c r="P349" t="n">
        <v>0</v>
      </c>
      <c r="Q349" t="n">
        <v>0</v>
      </c>
      <c r="R349" s="2" t="inlineStr"/>
    </row>
    <row r="350" ht="15" customHeight="1">
      <c r="A350" t="inlineStr">
        <is>
          <t>A 38702-2022</t>
        </is>
      </c>
      <c r="B350" s="1" t="n">
        <v>44814.5991087963</v>
      </c>
      <c r="C350" s="1" t="n">
        <v>45934</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49897-2023</t>
        </is>
      </c>
      <c r="B351" s="1" t="n">
        <v>45213.84846064815</v>
      </c>
      <c r="C351" s="1" t="n">
        <v>45934</v>
      </c>
      <c r="D351" t="inlineStr">
        <is>
          <t>UPPSALA LÄN</t>
        </is>
      </c>
      <c r="E351" t="inlineStr">
        <is>
          <t>ÖSTHAMMAR</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1439-2025</t>
        </is>
      </c>
      <c r="B352" s="1" t="n">
        <v>45669.69075231482</v>
      </c>
      <c r="C352" s="1" t="n">
        <v>45934</v>
      </c>
      <c r="D352" t="inlineStr">
        <is>
          <t>UPPSALA LÄN</t>
        </is>
      </c>
      <c r="E352" t="inlineStr">
        <is>
          <t>ÖSTHAMMAR</t>
        </is>
      </c>
      <c r="G352" t="n">
        <v>1</v>
      </c>
      <c r="H352" t="n">
        <v>0</v>
      </c>
      <c r="I352" t="n">
        <v>0</v>
      </c>
      <c r="J352" t="n">
        <v>0</v>
      </c>
      <c r="K352" t="n">
        <v>0</v>
      </c>
      <c r="L352" t="n">
        <v>0</v>
      </c>
      <c r="M352" t="n">
        <v>0</v>
      </c>
      <c r="N352" t="n">
        <v>0</v>
      </c>
      <c r="O352" t="n">
        <v>0</v>
      </c>
      <c r="P352" t="n">
        <v>0</v>
      </c>
      <c r="Q352" t="n">
        <v>0</v>
      </c>
      <c r="R352" s="2" t="inlineStr"/>
    </row>
    <row r="353" ht="15" customHeight="1">
      <c r="A353" t="inlineStr">
        <is>
          <t>A 1575-2025</t>
        </is>
      </c>
      <c r="B353" s="1" t="n">
        <v>45670</v>
      </c>
      <c r="C353" s="1" t="n">
        <v>45934</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37812-2022</t>
        </is>
      </c>
      <c r="B354" s="1" t="n">
        <v>44810</v>
      </c>
      <c r="C354" s="1" t="n">
        <v>45934</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56089-2020</t>
        </is>
      </c>
      <c r="B355" s="1" t="n">
        <v>44133</v>
      </c>
      <c r="C355" s="1" t="n">
        <v>45934</v>
      </c>
      <c r="D355" t="inlineStr">
        <is>
          <t>UPPSALA LÄN</t>
        </is>
      </c>
      <c r="E355" t="inlineStr">
        <is>
          <t>ÖSTHAMMAR</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65361-2020</t>
        </is>
      </c>
      <c r="B356" s="1" t="n">
        <v>44173</v>
      </c>
      <c r="C356" s="1" t="n">
        <v>45934</v>
      </c>
      <c r="D356" t="inlineStr">
        <is>
          <t>UPPSALA LÄN</t>
        </is>
      </c>
      <c r="E356" t="inlineStr">
        <is>
          <t>ÖSTHAMMAR</t>
        </is>
      </c>
      <c r="G356" t="n">
        <v>3.6</v>
      </c>
      <c r="H356" t="n">
        <v>0</v>
      </c>
      <c r="I356" t="n">
        <v>0</v>
      </c>
      <c r="J356" t="n">
        <v>0</v>
      </c>
      <c r="K356" t="n">
        <v>0</v>
      </c>
      <c r="L356" t="n">
        <v>0</v>
      </c>
      <c r="M356" t="n">
        <v>0</v>
      </c>
      <c r="N356" t="n">
        <v>0</v>
      </c>
      <c r="O356" t="n">
        <v>0</v>
      </c>
      <c r="P356" t="n">
        <v>0</v>
      </c>
      <c r="Q356" t="n">
        <v>0</v>
      </c>
      <c r="R356" s="2" t="inlineStr"/>
    </row>
    <row r="357" ht="15" customHeight="1">
      <c r="A357" t="inlineStr">
        <is>
          <t>A 63637-2020</t>
        </is>
      </c>
      <c r="B357" s="1" t="n">
        <v>44162</v>
      </c>
      <c r="C357" s="1" t="n">
        <v>45934</v>
      </c>
      <c r="D357" t="inlineStr">
        <is>
          <t>UPPSALA LÄN</t>
        </is>
      </c>
      <c r="E357" t="inlineStr">
        <is>
          <t>ÖSTHAMMAR</t>
        </is>
      </c>
      <c r="G357" t="n">
        <v>4</v>
      </c>
      <c r="H357" t="n">
        <v>0</v>
      </c>
      <c r="I357" t="n">
        <v>0</v>
      </c>
      <c r="J357" t="n">
        <v>0</v>
      </c>
      <c r="K357" t="n">
        <v>0</v>
      </c>
      <c r="L357" t="n">
        <v>0</v>
      </c>
      <c r="M357" t="n">
        <v>0</v>
      </c>
      <c r="N357" t="n">
        <v>0</v>
      </c>
      <c r="O357" t="n">
        <v>0</v>
      </c>
      <c r="P357" t="n">
        <v>0</v>
      </c>
      <c r="Q357" t="n">
        <v>0</v>
      </c>
      <c r="R357" s="2" t="inlineStr"/>
    </row>
    <row r="358" ht="15" customHeight="1">
      <c r="A358" t="inlineStr">
        <is>
          <t>A 57-2023</t>
        </is>
      </c>
      <c r="B358" s="1" t="n">
        <v>44928.40917824074</v>
      </c>
      <c r="C358" s="1" t="n">
        <v>45934</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59-2023</t>
        </is>
      </c>
      <c r="B359" s="1" t="n">
        <v>44928.41822916667</v>
      </c>
      <c r="C359" s="1" t="n">
        <v>45934</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38886-2025</t>
        </is>
      </c>
      <c r="B360" s="1" t="n">
        <v>45887.58370370371</v>
      </c>
      <c r="C360" s="1" t="n">
        <v>45934</v>
      </c>
      <c r="D360" t="inlineStr">
        <is>
          <t>UPPSALA LÄN</t>
        </is>
      </c>
      <c r="E360" t="inlineStr">
        <is>
          <t>ÖSTHAMMAR</t>
        </is>
      </c>
      <c r="F360" t="inlineStr">
        <is>
          <t>Bergvik skog öst AB</t>
        </is>
      </c>
      <c r="G360" t="n">
        <v>4.7</v>
      </c>
      <c r="H360" t="n">
        <v>0</v>
      </c>
      <c r="I360" t="n">
        <v>0</v>
      </c>
      <c r="J360" t="n">
        <v>0</v>
      </c>
      <c r="K360" t="n">
        <v>0</v>
      </c>
      <c r="L360" t="n">
        <v>0</v>
      </c>
      <c r="M360" t="n">
        <v>0</v>
      </c>
      <c r="N360" t="n">
        <v>0</v>
      </c>
      <c r="O360" t="n">
        <v>0</v>
      </c>
      <c r="P360" t="n">
        <v>0</v>
      </c>
      <c r="Q360" t="n">
        <v>0</v>
      </c>
      <c r="R360" s="2" t="inlineStr"/>
    </row>
    <row r="361" ht="15" customHeight="1">
      <c r="A361" t="inlineStr">
        <is>
          <t>A 56041-2020</t>
        </is>
      </c>
      <c r="B361" s="1" t="n">
        <v>44133</v>
      </c>
      <c r="C361" s="1" t="n">
        <v>45934</v>
      </c>
      <c r="D361" t="inlineStr">
        <is>
          <t>UPPSALA LÄN</t>
        </is>
      </c>
      <c r="E361" t="inlineStr">
        <is>
          <t>ÖSTHAMMAR</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38571-2023</t>
        </is>
      </c>
      <c r="B362" s="1" t="n">
        <v>45162.6177662037</v>
      </c>
      <c r="C362" s="1" t="n">
        <v>45934</v>
      </c>
      <c r="D362" t="inlineStr">
        <is>
          <t>UPPSALA LÄN</t>
        </is>
      </c>
      <c r="E362" t="inlineStr">
        <is>
          <t>ÖSTHAMMAR</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5884-2023</t>
        </is>
      </c>
      <c r="B363" s="1" t="n">
        <v>44963</v>
      </c>
      <c r="C363" s="1" t="n">
        <v>45934</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12654-2025</t>
        </is>
      </c>
      <c r="B364" s="1" t="n">
        <v>45733.41601851852</v>
      </c>
      <c r="C364" s="1" t="n">
        <v>45934</v>
      </c>
      <c r="D364" t="inlineStr">
        <is>
          <t>UPPSALA LÄN</t>
        </is>
      </c>
      <c r="E364" t="inlineStr">
        <is>
          <t>ÖSTHAMMAR</t>
        </is>
      </c>
      <c r="G364" t="n">
        <v>9.9</v>
      </c>
      <c r="H364" t="n">
        <v>0</v>
      </c>
      <c r="I364" t="n">
        <v>0</v>
      </c>
      <c r="J364" t="n">
        <v>0</v>
      </c>
      <c r="K364" t="n">
        <v>0</v>
      </c>
      <c r="L364" t="n">
        <v>0</v>
      </c>
      <c r="M364" t="n">
        <v>0</v>
      </c>
      <c r="N364" t="n">
        <v>0</v>
      </c>
      <c r="O364" t="n">
        <v>0</v>
      </c>
      <c r="P364" t="n">
        <v>0</v>
      </c>
      <c r="Q364" t="n">
        <v>0</v>
      </c>
      <c r="R364" s="2" t="inlineStr"/>
    </row>
    <row r="365" ht="15" customHeight="1">
      <c r="A365" t="inlineStr">
        <is>
          <t>A 60555-2023</t>
        </is>
      </c>
      <c r="B365" s="1" t="n">
        <v>45259</v>
      </c>
      <c r="C365" s="1" t="n">
        <v>45934</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5344-2025</t>
        </is>
      </c>
      <c r="B366" s="1" t="n">
        <v>45692</v>
      </c>
      <c r="C366" s="1" t="n">
        <v>45934</v>
      </c>
      <c r="D366" t="inlineStr">
        <is>
          <t>UPPSALA LÄN</t>
        </is>
      </c>
      <c r="E366" t="inlineStr">
        <is>
          <t>ÖSTHAMMAR</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55079-2024</t>
        </is>
      </c>
      <c r="B367" s="1" t="n">
        <v>45621.42747685185</v>
      </c>
      <c r="C367" s="1" t="n">
        <v>45934</v>
      </c>
      <c r="D367" t="inlineStr">
        <is>
          <t>UPPSALA LÄN</t>
        </is>
      </c>
      <c r="E367" t="inlineStr">
        <is>
          <t>ÖSTHAMMAR</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52650-2022</t>
        </is>
      </c>
      <c r="B368" s="1" t="n">
        <v>44874</v>
      </c>
      <c r="C368" s="1" t="n">
        <v>45934</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33680-2024</t>
        </is>
      </c>
      <c r="B369" s="1" t="n">
        <v>45520.50712962963</v>
      </c>
      <c r="C369" s="1" t="n">
        <v>45934</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44807-2024</t>
        </is>
      </c>
      <c r="B370" s="1" t="n">
        <v>45574.65427083334</v>
      </c>
      <c r="C370" s="1" t="n">
        <v>45934</v>
      </c>
      <c r="D370" t="inlineStr">
        <is>
          <t>UPPSALA LÄN</t>
        </is>
      </c>
      <c r="E370" t="inlineStr">
        <is>
          <t>ÖSTHAMMAR</t>
        </is>
      </c>
      <c r="G370" t="n">
        <v>2.9</v>
      </c>
      <c r="H370" t="n">
        <v>0</v>
      </c>
      <c r="I370" t="n">
        <v>0</v>
      </c>
      <c r="J370" t="n">
        <v>0</v>
      </c>
      <c r="K370" t="n">
        <v>0</v>
      </c>
      <c r="L370" t="n">
        <v>0</v>
      </c>
      <c r="M370" t="n">
        <v>0</v>
      </c>
      <c r="N370" t="n">
        <v>0</v>
      </c>
      <c r="O370" t="n">
        <v>0</v>
      </c>
      <c r="P370" t="n">
        <v>0</v>
      </c>
      <c r="Q370" t="n">
        <v>0</v>
      </c>
      <c r="R370" s="2" t="inlineStr"/>
    </row>
    <row r="371" ht="15" customHeight="1">
      <c r="A371" t="inlineStr">
        <is>
          <t>A 44815-2022</t>
        </is>
      </c>
      <c r="B371" s="1" t="n">
        <v>44841.40452546296</v>
      </c>
      <c r="C371" s="1" t="n">
        <v>45934</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68828-2020</t>
        </is>
      </c>
      <c r="B372" s="1" t="n">
        <v>44186</v>
      </c>
      <c r="C372" s="1" t="n">
        <v>45934</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33550-2024</t>
        </is>
      </c>
      <c r="B373" s="1" t="n">
        <v>45519.81043981481</v>
      </c>
      <c r="C373" s="1" t="n">
        <v>45934</v>
      </c>
      <c r="D373" t="inlineStr">
        <is>
          <t>UPPSALA LÄN</t>
        </is>
      </c>
      <c r="E373" t="inlineStr">
        <is>
          <t>ÖSTHAMMAR</t>
        </is>
      </c>
      <c r="F373" t="inlineStr">
        <is>
          <t>Bergvik skog öst AB</t>
        </is>
      </c>
      <c r="G373" t="n">
        <v>1.8</v>
      </c>
      <c r="H373" t="n">
        <v>0</v>
      </c>
      <c r="I373" t="n">
        <v>0</v>
      </c>
      <c r="J373" t="n">
        <v>0</v>
      </c>
      <c r="K373" t="n">
        <v>0</v>
      </c>
      <c r="L373" t="n">
        <v>0</v>
      </c>
      <c r="M373" t="n">
        <v>0</v>
      </c>
      <c r="N373" t="n">
        <v>0</v>
      </c>
      <c r="O373" t="n">
        <v>0</v>
      </c>
      <c r="P373" t="n">
        <v>0</v>
      </c>
      <c r="Q373" t="n">
        <v>0</v>
      </c>
      <c r="R373" s="2" t="inlineStr"/>
    </row>
    <row r="374" ht="15" customHeight="1">
      <c r="A374" t="inlineStr">
        <is>
          <t>A 73483-2021</t>
        </is>
      </c>
      <c r="B374" s="1" t="n">
        <v>44550</v>
      </c>
      <c r="C374" s="1" t="n">
        <v>45934</v>
      </c>
      <c r="D374" t="inlineStr">
        <is>
          <t>UPPSALA LÄN</t>
        </is>
      </c>
      <c r="E374" t="inlineStr">
        <is>
          <t>ÖSTHAMMAR</t>
        </is>
      </c>
      <c r="G374" t="n">
        <v>2.8</v>
      </c>
      <c r="H374" t="n">
        <v>0</v>
      </c>
      <c r="I374" t="n">
        <v>0</v>
      </c>
      <c r="J374" t="n">
        <v>0</v>
      </c>
      <c r="K374" t="n">
        <v>0</v>
      </c>
      <c r="L374" t="n">
        <v>0</v>
      </c>
      <c r="M374" t="n">
        <v>0</v>
      </c>
      <c r="N374" t="n">
        <v>0</v>
      </c>
      <c r="O374" t="n">
        <v>0</v>
      </c>
      <c r="P374" t="n">
        <v>0</v>
      </c>
      <c r="Q374" t="n">
        <v>0</v>
      </c>
      <c r="R374" s="2" t="inlineStr"/>
    </row>
    <row r="375" ht="15" customHeight="1">
      <c r="A375" t="inlineStr">
        <is>
          <t>A 30811-2023</t>
        </is>
      </c>
      <c r="B375" s="1" t="n">
        <v>45112.86422453704</v>
      </c>
      <c r="C375" s="1" t="n">
        <v>45934</v>
      </c>
      <c r="D375" t="inlineStr">
        <is>
          <t>UPPSALA LÄN</t>
        </is>
      </c>
      <c r="E375" t="inlineStr">
        <is>
          <t>ÖSTHAMMAR</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4151-2021</t>
        </is>
      </c>
      <c r="B376" s="1" t="n">
        <v>44221</v>
      </c>
      <c r="C376" s="1" t="n">
        <v>45934</v>
      </c>
      <c r="D376" t="inlineStr">
        <is>
          <t>UPPSALA LÄN</t>
        </is>
      </c>
      <c r="E376" t="inlineStr">
        <is>
          <t>ÖSTHAMMAR</t>
        </is>
      </c>
      <c r="G376" t="n">
        <v>2.9</v>
      </c>
      <c r="H376" t="n">
        <v>0</v>
      </c>
      <c r="I376" t="n">
        <v>0</v>
      </c>
      <c r="J376" t="n">
        <v>0</v>
      </c>
      <c r="K376" t="n">
        <v>0</v>
      </c>
      <c r="L376" t="n">
        <v>0</v>
      </c>
      <c r="M376" t="n">
        <v>0</v>
      </c>
      <c r="N376" t="n">
        <v>0</v>
      </c>
      <c r="O376" t="n">
        <v>0</v>
      </c>
      <c r="P376" t="n">
        <v>0</v>
      </c>
      <c r="Q376" t="n">
        <v>0</v>
      </c>
      <c r="R376" s="2" t="inlineStr"/>
    </row>
    <row r="377" ht="15" customHeight="1">
      <c r="A377" t="inlineStr">
        <is>
          <t>A 55646-2021</t>
        </is>
      </c>
      <c r="B377" s="1" t="n">
        <v>44476.3632175926</v>
      </c>
      <c r="C377" s="1" t="n">
        <v>45934</v>
      </c>
      <c r="D377" t="inlineStr">
        <is>
          <t>UPPSALA LÄN</t>
        </is>
      </c>
      <c r="E377" t="inlineStr">
        <is>
          <t>ÖSTHAMMAR</t>
        </is>
      </c>
      <c r="F377" t="inlineStr">
        <is>
          <t>Bergvik skog öst AB</t>
        </is>
      </c>
      <c r="G377" t="n">
        <v>0.2</v>
      </c>
      <c r="H377" t="n">
        <v>0</v>
      </c>
      <c r="I377" t="n">
        <v>0</v>
      </c>
      <c r="J377" t="n">
        <v>0</v>
      </c>
      <c r="K377" t="n">
        <v>0</v>
      </c>
      <c r="L377" t="n">
        <v>0</v>
      </c>
      <c r="M377" t="n">
        <v>0</v>
      </c>
      <c r="N377" t="n">
        <v>0</v>
      </c>
      <c r="O377" t="n">
        <v>0</v>
      </c>
      <c r="P377" t="n">
        <v>0</v>
      </c>
      <c r="Q377" t="n">
        <v>0</v>
      </c>
      <c r="R377" s="2" t="inlineStr"/>
    </row>
    <row r="378" ht="15" customHeight="1">
      <c r="A378" t="inlineStr">
        <is>
          <t>A 59731-2023</t>
        </is>
      </c>
      <c r="B378" s="1" t="n">
        <v>45257</v>
      </c>
      <c r="C378" s="1" t="n">
        <v>45934</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61443-2024</t>
        </is>
      </c>
      <c r="B379" s="1" t="n">
        <v>45646.47936342593</v>
      </c>
      <c r="C379" s="1" t="n">
        <v>45934</v>
      </c>
      <c r="D379" t="inlineStr">
        <is>
          <t>UPPSALA LÄN</t>
        </is>
      </c>
      <c r="E379" t="inlineStr">
        <is>
          <t>ÖSTHAMMAR</t>
        </is>
      </c>
      <c r="G379" t="n">
        <v>0.4</v>
      </c>
      <c r="H379" t="n">
        <v>0</v>
      </c>
      <c r="I379" t="n">
        <v>0</v>
      </c>
      <c r="J379" t="n">
        <v>0</v>
      </c>
      <c r="K379" t="n">
        <v>0</v>
      </c>
      <c r="L379" t="n">
        <v>0</v>
      </c>
      <c r="M379" t="n">
        <v>0</v>
      </c>
      <c r="N379" t="n">
        <v>0</v>
      </c>
      <c r="O379" t="n">
        <v>0</v>
      </c>
      <c r="P379" t="n">
        <v>0</v>
      </c>
      <c r="Q379" t="n">
        <v>0</v>
      </c>
      <c r="R379" s="2" t="inlineStr"/>
    </row>
    <row r="380" ht="15" customHeight="1">
      <c r="A380" t="inlineStr">
        <is>
          <t>A 8904-2025</t>
        </is>
      </c>
      <c r="B380" s="1" t="n">
        <v>45713.41577546296</v>
      </c>
      <c r="C380" s="1" t="n">
        <v>45934</v>
      </c>
      <c r="D380" t="inlineStr">
        <is>
          <t>UPPSALA LÄN</t>
        </is>
      </c>
      <c r="E380" t="inlineStr">
        <is>
          <t>ÖSTHAMMAR</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6121-2024</t>
        </is>
      </c>
      <c r="B381" s="1" t="n">
        <v>45337.4219212963</v>
      </c>
      <c r="C381" s="1" t="n">
        <v>45934</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28228-2022</t>
        </is>
      </c>
      <c r="B382" s="1" t="n">
        <v>44746.65873842593</v>
      </c>
      <c r="C382" s="1" t="n">
        <v>45934</v>
      </c>
      <c r="D382" t="inlineStr">
        <is>
          <t>UPPSALA LÄN</t>
        </is>
      </c>
      <c r="E382" t="inlineStr">
        <is>
          <t>ÖSTHAMMAR</t>
        </is>
      </c>
      <c r="G382" t="n">
        <v>2.7</v>
      </c>
      <c r="H382" t="n">
        <v>0</v>
      </c>
      <c r="I382" t="n">
        <v>0</v>
      </c>
      <c r="J382" t="n">
        <v>0</v>
      </c>
      <c r="K382" t="n">
        <v>0</v>
      </c>
      <c r="L382" t="n">
        <v>0</v>
      </c>
      <c r="M382" t="n">
        <v>0</v>
      </c>
      <c r="N382" t="n">
        <v>0</v>
      </c>
      <c r="O382" t="n">
        <v>0</v>
      </c>
      <c r="P382" t="n">
        <v>0</v>
      </c>
      <c r="Q382" t="n">
        <v>0</v>
      </c>
      <c r="R382" s="2" t="inlineStr"/>
    </row>
    <row r="383" ht="15" customHeight="1">
      <c r="A383" t="inlineStr">
        <is>
          <t>A 13279-2022</t>
        </is>
      </c>
      <c r="B383" s="1" t="n">
        <v>44644</v>
      </c>
      <c r="C383" s="1" t="n">
        <v>45934</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62391-2022</t>
        </is>
      </c>
      <c r="B384" s="1" t="n">
        <v>44923.7849537037</v>
      </c>
      <c r="C384" s="1" t="n">
        <v>45934</v>
      </c>
      <c r="D384" t="inlineStr">
        <is>
          <t>UPPSALA LÄN</t>
        </is>
      </c>
      <c r="E384" t="inlineStr">
        <is>
          <t>ÖSTHAMMAR</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47020-2025</t>
        </is>
      </c>
      <c r="B385" s="1" t="n">
        <v>45929.5775</v>
      </c>
      <c r="C385" s="1" t="n">
        <v>45934</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6046-2025</t>
        </is>
      </c>
      <c r="B386" s="1" t="n">
        <v>45695</v>
      </c>
      <c r="C386" s="1" t="n">
        <v>45934</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c r="U386">
        <f>HYPERLINK("https://klasma.github.io/Logging_0382/knärot/A 6046-2025 karta knärot.png", "A 6046-2025")</f>
        <v/>
      </c>
      <c r="V386">
        <f>HYPERLINK("https://klasma.github.io/Logging_0382/klagomål/A 6046-2025 FSC-klagomål.docx", "A 6046-2025")</f>
        <v/>
      </c>
      <c r="W386">
        <f>HYPERLINK("https://klasma.github.io/Logging_0382/klagomålsmail/A 6046-2025 FSC-klagomål mail.docx", "A 6046-2025")</f>
        <v/>
      </c>
      <c r="X386">
        <f>HYPERLINK("https://klasma.github.io/Logging_0382/tillsyn/A 6046-2025 tillsynsbegäran.docx", "A 6046-2025")</f>
        <v/>
      </c>
      <c r="Y386">
        <f>HYPERLINK("https://klasma.github.io/Logging_0382/tillsynsmail/A 6046-2025 tillsynsbegäran mail.docx", "A 6046-2025")</f>
        <v/>
      </c>
    </row>
    <row r="387" ht="15" customHeight="1">
      <c r="A387" t="inlineStr">
        <is>
          <t>A 49831-2023</t>
        </is>
      </c>
      <c r="B387" s="1" t="n">
        <v>45212.71241898148</v>
      </c>
      <c r="C387" s="1" t="n">
        <v>45934</v>
      </c>
      <c r="D387" t="inlineStr">
        <is>
          <t>UPPSALA LÄN</t>
        </is>
      </c>
      <c r="E387" t="inlineStr">
        <is>
          <t>ÖSTHAMMAR</t>
        </is>
      </c>
      <c r="F387" t="inlineStr">
        <is>
          <t>Bergvik skog öst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35316-2024</t>
        </is>
      </c>
      <c r="B388" s="1" t="n">
        <v>45530.68873842592</v>
      </c>
      <c r="C388" s="1" t="n">
        <v>45934</v>
      </c>
      <c r="D388" t="inlineStr">
        <is>
          <t>UPPSALA LÄN</t>
        </is>
      </c>
      <c r="E388" t="inlineStr">
        <is>
          <t>ÖSTHAMMAR</t>
        </is>
      </c>
      <c r="F388" t="inlineStr">
        <is>
          <t>Bergvik skog öst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20072-2025</t>
        </is>
      </c>
      <c r="B389" s="1" t="n">
        <v>45772</v>
      </c>
      <c r="C389" s="1" t="n">
        <v>45934</v>
      </c>
      <c r="D389" t="inlineStr">
        <is>
          <t>UPPSALA LÄN</t>
        </is>
      </c>
      <c r="E389" t="inlineStr">
        <is>
          <t>ÖSTHAMMAR</t>
        </is>
      </c>
      <c r="G389" t="n">
        <v>3.1</v>
      </c>
      <c r="H389" t="n">
        <v>0</v>
      </c>
      <c r="I389" t="n">
        <v>0</v>
      </c>
      <c r="J389" t="n">
        <v>0</v>
      </c>
      <c r="K389" t="n">
        <v>0</v>
      </c>
      <c r="L389" t="n">
        <v>0</v>
      </c>
      <c r="M389" t="n">
        <v>0</v>
      </c>
      <c r="N389" t="n">
        <v>0</v>
      </c>
      <c r="O389" t="n">
        <v>0</v>
      </c>
      <c r="P389" t="n">
        <v>0</v>
      </c>
      <c r="Q389" t="n">
        <v>0</v>
      </c>
      <c r="R389" s="2" t="inlineStr"/>
    </row>
    <row r="390" ht="15" customHeight="1">
      <c r="A390" t="inlineStr">
        <is>
          <t>A 45102-2024</t>
        </is>
      </c>
      <c r="B390" s="1" t="n">
        <v>45575.58836805556</v>
      </c>
      <c r="C390" s="1" t="n">
        <v>45934</v>
      </c>
      <c r="D390" t="inlineStr">
        <is>
          <t>UPPSALA LÄN</t>
        </is>
      </c>
      <c r="E390" t="inlineStr">
        <is>
          <t>ÖSTHAMMAR</t>
        </is>
      </c>
      <c r="G390" t="n">
        <v>8.6</v>
      </c>
      <c r="H390" t="n">
        <v>0</v>
      </c>
      <c r="I390" t="n">
        <v>0</v>
      </c>
      <c r="J390" t="n">
        <v>0</v>
      </c>
      <c r="K390" t="n">
        <v>0</v>
      </c>
      <c r="L390" t="n">
        <v>0</v>
      </c>
      <c r="M390" t="n">
        <v>0</v>
      </c>
      <c r="N390" t="n">
        <v>0</v>
      </c>
      <c r="O390" t="n">
        <v>0</v>
      </c>
      <c r="P390" t="n">
        <v>0</v>
      </c>
      <c r="Q390" t="n">
        <v>0</v>
      </c>
      <c r="R390" s="2" t="inlineStr"/>
    </row>
    <row r="391" ht="15" customHeight="1">
      <c r="A391" t="inlineStr">
        <is>
          <t>A 54314-2023</t>
        </is>
      </c>
      <c r="B391" s="1" t="n">
        <v>45225</v>
      </c>
      <c r="C391" s="1" t="n">
        <v>45934</v>
      </c>
      <c r="D391" t="inlineStr">
        <is>
          <t>UPPSALA LÄN</t>
        </is>
      </c>
      <c r="E391" t="inlineStr">
        <is>
          <t>ÖSTHAMMAR</t>
        </is>
      </c>
      <c r="G391" t="n">
        <v>5.1</v>
      </c>
      <c r="H391" t="n">
        <v>0</v>
      </c>
      <c r="I391" t="n">
        <v>0</v>
      </c>
      <c r="J391" t="n">
        <v>0</v>
      </c>
      <c r="K391" t="n">
        <v>0</v>
      </c>
      <c r="L391" t="n">
        <v>0</v>
      </c>
      <c r="M391" t="n">
        <v>0</v>
      </c>
      <c r="N391" t="n">
        <v>0</v>
      </c>
      <c r="O391" t="n">
        <v>0</v>
      </c>
      <c r="P391" t="n">
        <v>0</v>
      </c>
      <c r="Q391" t="n">
        <v>0</v>
      </c>
      <c r="R391" s="2" t="inlineStr"/>
    </row>
    <row r="392" ht="15" customHeight="1">
      <c r="A392" t="inlineStr">
        <is>
          <t>A 23363-2023</t>
        </is>
      </c>
      <c r="B392" s="1" t="n">
        <v>45076</v>
      </c>
      <c r="C392" s="1" t="n">
        <v>45934</v>
      </c>
      <c r="D392" t="inlineStr">
        <is>
          <t>UPPSALA LÄN</t>
        </is>
      </c>
      <c r="E392" t="inlineStr">
        <is>
          <t>ÖSTHAMMAR</t>
        </is>
      </c>
      <c r="G392" t="n">
        <v>3</v>
      </c>
      <c r="H392" t="n">
        <v>0</v>
      </c>
      <c r="I392" t="n">
        <v>0</v>
      </c>
      <c r="J392" t="n">
        <v>0</v>
      </c>
      <c r="K392" t="n">
        <v>0</v>
      </c>
      <c r="L392" t="n">
        <v>0</v>
      </c>
      <c r="M392" t="n">
        <v>0</v>
      </c>
      <c r="N392" t="n">
        <v>0</v>
      </c>
      <c r="O392" t="n">
        <v>0</v>
      </c>
      <c r="P392" t="n">
        <v>0</v>
      </c>
      <c r="Q392" t="n">
        <v>0</v>
      </c>
      <c r="R392" s="2" t="inlineStr"/>
    </row>
    <row r="393" ht="15" customHeight="1">
      <c r="A393" t="inlineStr">
        <is>
          <t>A 45561-2023</t>
        </is>
      </c>
      <c r="B393" s="1" t="n">
        <v>45194.59335648148</v>
      </c>
      <c r="C393" s="1" t="n">
        <v>45934</v>
      </c>
      <c r="D393" t="inlineStr">
        <is>
          <t>UPPSALA LÄN</t>
        </is>
      </c>
      <c r="E393" t="inlineStr">
        <is>
          <t>ÖSTHAMMAR</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18731-2022</t>
        </is>
      </c>
      <c r="B394" s="1" t="n">
        <v>44687.78673611111</v>
      </c>
      <c r="C394" s="1" t="n">
        <v>45934</v>
      </c>
      <c r="D394" t="inlineStr">
        <is>
          <t>UPPSALA LÄN</t>
        </is>
      </c>
      <c r="E394" t="inlineStr">
        <is>
          <t>ÖSTHAMMAR</t>
        </is>
      </c>
      <c r="G394" t="n">
        <v>4.9</v>
      </c>
      <c r="H394" t="n">
        <v>0</v>
      </c>
      <c r="I394" t="n">
        <v>0</v>
      </c>
      <c r="J394" t="n">
        <v>0</v>
      </c>
      <c r="K394" t="n">
        <v>0</v>
      </c>
      <c r="L394" t="n">
        <v>0</v>
      </c>
      <c r="M394" t="n">
        <v>0</v>
      </c>
      <c r="N394" t="n">
        <v>0</v>
      </c>
      <c r="O394" t="n">
        <v>0</v>
      </c>
      <c r="P394" t="n">
        <v>0</v>
      </c>
      <c r="Q394" t="n">
        <v>0</v>
      </c>
      <c r="R394" s="2" t="inlineStr"/>
    </row>
    <row r="395" ht="15" customHeight="1">
      <c r="A395" t="inlineStr">
        <is>
          <t>A 4233-2023</t>
        </is>
      </c>
      <c r="B395" s="1" t="n">
        <v>44953.48619212963</v>
      </c>
      <c r="C395" s="1" t="n">
        <v>45934</v>
      </c>
      <c r="D395" t="inlineStr">
        <is>
          <t>UPPSALA LÄN</t>
        </is>
      </c>
      <c r="E395" t="inlineStr">
        <is>
          <t>ÖSTHAMMAR</t>
        </is>
      </c>
      <c r="G395" t="n">
        <v>0.9</v>
      </c>
      <c r="H395" t="n">
        <v>0</v>
      </c>
      <c r="I395" t="n">
        <v>0</v>
      </c>
      <c r="J395" t="n">
        <v>0</v>
      </c>
      <c r="K395" t="n">
        <v>0</v>
      </c>
      <c r="L395" t="n">
        <v>0</v>
      </c>
      <c r="M395" t="n">
        <v>0</v>
      </c>
      <c r="N395" t="n">
        <v>0</v>
      </c>
      <c r="O395" t="n">
        <v>0</v>
      </c>
      <c r="P395" t="n">
        <v>0</v>
      </c>
      <c r="Q395" t="n">
        <v>0</v>
      </c>
      <c r="R395" s="2" t="inlineStr"/>
    </row>
    <row r="396" ht="15" customHeight="1">
      <c r="A396" t="inlineStr">
        <is>
          <t>A 11385-2024</t>
        </is>
      </c>
      <c r="B396" s="1" t="n">
        <v>45372</v>
      </c>
      <c r="C396" s="1" t="n">
        <v>45934</v>
      </c>
      <c r="D396" t="inlineStr">
        <is>
          <t>UPPSALA LÄN</t>
        </is>
      </c>
      <c r="E396" t="inlineStr">
        <is>
          <t>ÖSTHAMMAR</t>
        </is>
      </c>
      <c r="G396" t="n">
        <v>1.1</v>
      </c>
      <c r="H396" t="n">
        <v>0</v>
      </c>
      <c r="I396" t="n">
        <v>0</v>
      </c>
      <c r="J396" t="n">
        <v>0</v>
      </c>
      <c r="K396" t="n">
        <v>0</v>
      </c>
      <c r="L396" t="n">
        <v>0</v>
      </c>
      <c r="M396" t="n">
        <v>0</v>
      </c>
      <c r="N396" t="n">
        <v>0</v>
      </c>
      <c r="O396" t="n">
        <v>0</v>
      </c>
      <c r="P396" t="n">
        <v>0</v>
      </c>
      <c r="Q396" t="n">
        <v>0</v>
      </c>
      <c r="R396" s="2" t="inlineStr"/>
    </row>
    <row r="397" ht="15" customHeight="1">
      <c r="A397" t="inlineStr">
        <is>
          <t>A 9642-2024</t>
        </is>
      </c>
      <c r="B397" s="1" t="n">
        <v>45362.36296296296</v>
      </c>
      <c r="C397" s="1" t="n">
        <v>45934</v>
      </c>
      <c r="D397" t="inlineStr">
        <is>
          <t>UPPSALA LÄN</t>
        </is>
      </c>
      <c r="E397" t="inlineStr">
        <is>
          <t>ÖSTHAMMAR</t>
        </is>
      </c>
      <c r="G397" t="n">
        <v>3.1</v>
      </c>
      <c r="H397" t="n">
        <v>0</v>
      </c>
      <c r="I397" t="n">
        <v>0</v>
      </c>
      <c r="J397" t="n">
        <v>0</v>
      </c>
      <c r="K397" t="n">
        <v>0</v>
      </c>
      <c r="L397" t="n">
        <v>0</v>
      </c>
      <c r="M397" t="n">
        <v>0</v>
      </c>
      <c r="N397" t="n">
        <v>0</v>
      </c>
      <c r="O397" t="n">
        <v>0</v>
      </c>
      <c r="P397" t="n">
        <v>0</v>
      </c>
      <c r="Q397" t="n">
        <v>0</v>
      </c>
      <c r="R397" s="2" t="inlineStr"/>
    </row>
    <row r="398" ht="15" customHeight="1">
      <c r="A398" t="inlineStr">
        <is>
          <t>A 16212-2021</t>
        </is>
      </c>
      <c r="B398" s="1" t="n">
        <v>44287</v>
      </c>
      <c r="C398" s="1" t="n">
        <v>45934</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58270-2023</t>
        </is>
      </c>
      <c r="B399" s="1" t="n">
        <v>45250.49961805555</v>
      </c>
      <c r="C399" s="1" t="n">
        <v>45934</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18401-2025</t>
        </is>
      </c>
      <c r="B400" s="1" t="n">
        <v>45762.5966087963</v>
      </c>
      <c r="C400" s="1" t="n">
        <v>45934</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44552.36974537037</v>
      </c>
      <c r="C401" s="1" t="n">
        <v>45934</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25938-2024</t>
        </is>
      </c>
      <c r="B402" s="1" t="n">
        <v>45467.63127314814</v>
      </c>
      <c r="C402" s="1" t="n">
        <v>45934</v>
      </c>
      <c r="D402" t="inlineStr">
        <is>
          <t>UPPSALA LÄN</t>
        </is>
      </c>
      <c r="E402" t="inlineStr">
        <is>
          <t>ÖSTHAMMAR</t>
        </is>
      </c>
      <c r="F402" t="inlineStr">
        <is>
          <t>Bergvik skog öst AB</t>
        </is>
      </c>
      <c r="G402" t="n">
        <v>2.2</v>
      </c>
      <c r="H402" t="n">
        <v>0</v>
      </c>
      <c r="I402" t="n">
        <v>0</v>
      </c>
      <c r="J402" t="n">
        <v>0</v>
      </c>
      <c r="K402" t="n">
        <v>0</v>
      </c>
      <c r="L402" t="n">
        <v>0</v>
      </c>
      <c r="M402" t="n">
        <v>0</v>
      </c>
      <c r="N402" t="n">
        <v>0</v>
      </c>
      <c r="O402" t="n">
        <v>0</v>
      </c>
      <c r="P402" t="n">
        <v>0</v>
      </c>
      <c r="Q402" t="n">
        <v>0</v>
      </c>
      <c r="R402" s="2" t="inlineStr"/>
    </row>
    <row r="403" ht="15" customHeight="1">
      <c r="A403" t="inlineStr">
        <is>
          <t>A 11036-2023</t>
        </is>
      </c>
      <c r="B403" s="1" t="n">
        <v>44991.9321412037</v>
      </c>
      <c r="C403" s="1" t="n">
        <v>45934</v>
      </c>
      <c r="D403" t="inlineStr">
        <is>
          <t>UPPSALA LÄN</t>
        </is>
      </c>
      <c r="E403" t="inlineStr">
        <is>
          <t>ÖSTHAMMAR</t>
        </is>
      </c>
      <c r="F403" t="inlineStr">
        <is>
          <t>Bergvik skog öst AB</t>
        </is>
      </c>
      <c r="G403" t="n">
        <v>3</v>
      </c>
      <c r="H403" t="n">
        <v>0</v>
      </c>
      <c r="I403" t="n">
        <v>0</v>
      </c>
      <c r="J403" t="n">
        <v>0</v>
      </c>
      <c r="K403" t="n">
        <v>0</v>
      </c>
      <c r="L403" t="n">
        <v>0</v>
      </c>
      <c r="M403" t="n">
        <v>0</v>
      </c>
      <c r="N403" t="n">
        <v>0</v>
      </c>
      <c r="O403" t="n">
        <v>0</v>
      </c>
      <c r="P403" t="n">
        <v>0</v>
      </c>
      <c r="Q403" t="n">
        <v>0</v>
      </c>
      <c r="R403" s="2" t="inlineStr"/>
    </row>
    <row r="404" ht="15" customHeight="1">
      <c r="A404" t="inlineStr">
        <is>
          <t>A 35539-2023</t>
        </is>
      </c>
      <c r="B404" s="1" t="n">
        <v>45147.37006944444</v>
      </c>
      <c r="C404" s="1" t="n">
        <v>45934</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32744-2022</t>
        </is>
      </c>
      <c r="B405" s="1" t="n">
        <v>44783.70378472222</v>
      </c>
      <c r="C405" s="1" t="n">
        <v>45934</v>
      </c>
      <c r="D405" t="inlineStr">
        <is>
          <t>UPPSALA LÄN</t>
        </is>
      </c>
      <c r="E405" t="inlineStr">
        <is>
          <t>ÖSTHAMMAR</t>
        </is>
      </c>
      <c r="F405" t="inlineStr">
        <is>
          <t>Bergvik skog öst AB</t>
        </is>
      </c>
      <c r="G405" t="n">
        <v>3</v>
      </c>
      <c r="H405" t="n">
        <v>0</v>
      </c>
      <c r="I405" t="n">
        <v>0</v>
      </c>
      <c r="J405" t="n">
        <v>0</v>
      </c>
      <c r="K405" t="n">
        <v>0</v>
      </c>
      <c r="L405" t="n">
        <v>0</v>
      </c>
      <c r="M405" t="n">
        <v>0</v>
      </c>
      <c r="N405" t="n">
        <v>0</v>
      </c>
      <c r="O405" t="n">
        <v>0</v>
      </c>
      <c r="P405" t="n">
        <v>0</v>
      </c>
      <c r="Q405" t="n">
        <v>0</v>
      </c>
      <c r="R405" s="2" t="inlineStr"/>
    </row>
    <row r="406" ht="15" customHeight="1">
      <c r="A406" t="inlineStr">
        <is>
          <t>A 18230-2025</t>
        </is>
      </c>
      <c r="B406" s="1" t="n">
        <v>45761.87114583333</v>
      </c>
      <c r="C406" s="1" t="n">
        <v>45934</v>
      </c>
      <c r="D406" t="inlineStr">
        <is>
          <t>UPPSALA LÄN</t>
        </is>
      </c>
      <c r="E406" t="inlineStr">
        <is>
          <t>ÖSTHAMMAR</t>
        </is>
      </c>
      <c r="F406" t="inlineStr">
        <is>
          <t>Bergvik skog öst AB</t>
        </is>
      </c>
      <c r="G406" t="n">
        <v>4.2</v>
      </c>
      <c r="H406" t="n">
        <v>0</v>
      </c>
      <c r="I406" t="n">
        <v>0</v>
      </c>
      <c r="J406" t="n">
        <v>0</v>
      </c>
      <c r="K406" t="n">
        <v>0</v>
      </c>
      <c r="L406" t="n">
        <v>0</v>
      </c>
      <c r="M406" t="n">
        <v>0</v>
      </c>
      <c r="N406" t="n">
        <v>0</v>
      </c>
      <c r="O406" t="n">
        <v>0</v>
      </c>
      <c r="P406" t="n">
        <v>0</v>
      </c>
      <c r="Q406" t="n">
        <v>0</v>
      </c>
      <c r="R406" s="2" t="inlineStr"/>
    </row>
    <row r="407" ht="15" customHeight="1">
      <c r="A407" t="inlineStr">
        <is>
          <t>A 28429-2023</t>
        </is>
      </c>
      <c r="B407" s="1" t="n">
        <v>45102.58728009259</v>
      </c>
      <c r="C407" s="1" t="n">
        <v>45934</v>
      </c>
      <c r="D407" t="inlineStr">
        <is>
          <t>UPPSALA LÄN</t>
        </is>
      </c>
      <c r="E407" t="inlineStr">
        <is>
          <t>ÖSTHAMMAR</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32884-2024</t>
        </is>
      </c>
      <c r="B408" s="1" t="n">
        <v>45516.72097222223</v>
      </c>
      <c r="C408" s="1" t="n">
        <v>45934</v>
      </c>
      <c r="D408" t="inlineStr">
        <is>
          <t>UPPSALA LÄN</t>
        </is>
      </c>
      <c r="E408" t="inlineStr">
        <is>
          <t>ÖSTHAMMAR</t>
        </is>
      </c>
      <c r="G408" t="n">
        <v>0.6</v>
      </c>
      <c r="H408" t="n">
        <v>0</v>
      </c>
      <c r="I408" t="n">
        <v>0</v>
      </c>
      <c r="J408" t="n">
        <v>0</v>
      </c>
      <c r="K408" t="n">
        <v>0</v>
      </c>
      <c r="L408" t="n">
        <v>0</v>
      </c>
      <c r="M408" t="n">
        <v>0</v>
      </c>
      <c r="N408" t="n">
        <v>0</v>
      </c>
      <c r="O408" t="n">
        <v>0</v>
      </c>
      <c r="P408" t="n">
        <v>0</v>
      </c>
      <c r="Q408" t="n">
        <v>0</v>
      </c>
      <c r="R408" s="2" t="inlineStr"/>
    </row>
    <row r="409" ht="15" customHeight="1">
      <c r="A409" t="inlineStr">
        <is>
          <t>A 64586-2021</t>
        </is>
      </c>
      <c r="B409" s="1" t="n">
        <v>44511</v>
      </c>
      <c r="C409" s="1" t="n">
        <v>45934</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46826-2025</t>
        </is>
      </c>
      <c r="B410" s="1" t="n">
        <v>45927.00606481481</v>
      </c>
      <c r="C410" s="1" t="n">
        <v>45934</v>
      </c>
      <c r="D410" t="inlineStr">
        <is>
          <t>UPPSALA LÄN</t>
        </is>
      </c>
      <c r="E410" t="inlineStr">
        <is>
          <t>ÖSTHAMMAR</t>
        </is>
      </c>
      <c r="G410" t="n">
        <v>9</v>
      </c>
      <c r="H410" t="n">
        <v>0</v>
      </c>
      <c r="I410" t="n">
        <v>0</v>
      </c>
      <c r="J410" t="n">
        <v>0</v>
      </c>
      <c r="K410" t="n">
        <v>0</v>
      </c>
      <c r="L410" t="n">
        <v>0</v>
      </c>
      <c r="M410" t="n">
        <v>0</v>
      </c>
      <c r="N410" t="n">
        <v>0</v>
      </c>
      <c r="O410" t="n">
        <v>0</v>
      </c>
      <c r="P410" t="n">
        <v>0</v>
      </c>
      <c r="Q410" t="n">
        <v>0</v>
      </c>
      <c r="R410" s="2" t="inlineStr"/>
    </row>
    <row r="411" ht="15" customHeight="1">
      <c r="A411" t="inlineStr">
        <is>
          <t>A 6206-2022</t>
        </is>
      </c>
      <c r="B411" s="1" t="n">
        <v>44600.35755787037</v>
      </c>
      <c r="C411" s="1" t="n">
        <v>45934</v>
      </c>
      <c r="D411" t="inlineStr">
        <is>
          <t>UPPSALA LÄN</t>
        </is>
      </c>
      <c r="E411" t="inlineStr">
        <is>
          <t>ÖSTHAMMAR</t>
        </is>
      </c>
      <c r="G411" t="n">
        <v>7.4</v>
      </c>
      <c r="H411" t="n">
        <v>0</v>
      </c>
      <c r="I411" t="n">
        <v>0</v>
      </c>
      <c r="J411" t="n">
        <v>0</v>
      </c>
      <c r="K411" t="n">
        <v>0</v>
      </c>
      <c r="L411" t="n">
        <v>0</v>
      </c>
      <c r="M411" t="n">
        <v>0</v>
      </c>
      <c r="N411" t="n">
        <v>0</v>
      </c>
      <c r="O411" t="n">
        <v>0</v>
      </c>
      <c r="P411" t="n">
        <v>0</v>
      </c>
      <c r="Q411" t="n">
        <v>0</v>
      </c>
      <c r="R411" s="2" t="inlineStr"/>
    </row>
    <row r="412" ht="15" customHeight="1">
      <c r="A412" t="inlineStr">
        <is>
          <t>A 58878-2022</t>
        </is>
      </c>
      <c r="B412" s="1" t="n">
        <v>44903</v>
      </c>
      <c r="C412" s="1" t="n">
        <v>45934</v>
      </c>
      <c r="D412" t="inlineStr">
        <is>
          <t>UPPSALA LÄN</t>
        </is>
      </c>
      <c r="E412" t="inlineStr">
        <is>
          <t>ÖSTHAMMAR</t>
        </is>
      </c>
      <c r="G412" t="n">
        <v>0.8</v>
      </c>
      <c r="H412" t="n">
        <v>0</v>
      </c>
      <c r="I412" t="n">
        <v>0</v>
      </c>
      <c r="J412" t="n">
        <v>0</v>
      </c>
      <c r="K412" t="n">
        <v>0</v>
      </c>
      <c r="L412" t="n">
        <v>0</v>
      </c>
      <c r="M412" t="n">
        <v>0</v>
      </c>
      <c r="N412" t="n">
        <v>0</v>
      </c>
      <c r="O412" t="n">
        <v>0</v>
      </c>
      <c r="P412" t="n">
        <v>0</v>
      </c>
      <c r="Q412" t="n">
        <v>0</v>
      </c>
      <c r="R412" s="2" t="inlineStr"/>
    </row>
    <row r="413" ht="15" customHeight="1">
      <c r="A413" t="inlineStr">
        <is>
          <t>A 30755-2024</t>
        </is>
      </c>
      <c r="B413" s="1" t="n">
        <v>45496</v>
      </c>
      <c r="C413" s="1" t="n">
        <v>45934</v>
      </c>
      <c r="D413" t="inlineStr">
        <is>
          <t>UPPSALA LÄN</t>
        </is>
      </c>
      <c r="E413" t="inlineStr">
        <is>
          <t>ÖSTHAMMAR</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57408-2020</t>
        </is>
      </c>
      <c r="B414" s="1" t="n">
        <v>44140</v>
      </c>
      <c r="C414" s="1" t="n">
        <v>45934</v>
      </c>
      <c r="D414" t="inlineStr">
        <is>
          <t>UPPSALA LÄN</t>
        </is>
      </c>
      <c r="E414" t="inlineStr">
        <is>
          <t>ÖSTHAMMAR</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4562-2022</t>
        </is>
      </c>
      <c r="B415" s="1" t="n">
        <v>44591</v>
      </c>
      <c r="C415" s="1" t="n">
        <v>45934</v>
      </c>
      <c r="D415" t="inlineStr">
        <is>
          <t>UPPSALA LÄN</t>
        </is>
      </c>
      <c r="E415" t="inlineStr">
        <is>
          <t>ÖSTHAMMAR</t>
        </is>
      </c>
      <c r="G415" t="n">
        <v>3.4</v>
      </c>
      <c r="H415" t="n">
        <v>0</v>
      </c>
      <c r="I415" t="n">
        <v>0</v>
      </c>
      <c r="J415" t="n">
        <v>0</v>
      </c>
      <c r="K415" t="n">
        <v>0</v>
      </c>
      <c r="L415" t="n">
        <v>0</v>
      </c>
      <c r="M415" t="n">
        <v>0</v>
      </c>
      <c r="N415" t="n">
        <v>0</v>
      </c>
      <c r="O415" t="n">
        <v>0</v>
      </c>
      <c r="P415" t="n">
        <v>0</v>
      </c>
      <c r="Q415" t="n">
        <v>0</v>
      </c>
      <c r="R415" s="2" t="inlineStr"/>
    </row>
    <row r="416" ht="15" customHeight="1">
      <c r="A416" t="inlineStr">
        <is>
          <t>A 8006-2023</t>
        </is>
      </c>
      <c r="B416" s="1" t="n">
        <v>44973</v>
      </c>
      <c r="C416" s="1" t="n">
        <v>45934</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53733-2023</t>
        </is>
      </c>
      <c r="B417" s="1" t="n">
        <v>45230.76862268519</v>
      </c>
      <c r="C417" s="1" t="n">
        <v>45934</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70008-2021</t>
        </is>
      </c>
      <c r="B418" s="1" t="n">
        <v>44533.44887731481</v>
      </c>
      <c r="C418" s="1" t="n">
        <v>45934</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44555.80339120371</v>
      </c>
      <c r="C419" s="1" t="n">
        <v>45934</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41308-2023</t>
        </is>
      </c>
      <c r="B420" s="1" t="n">
        <v>45174.62788194444</v>
      </c>
      <c r="C420" s="1" t="n">
        <v>45934</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17969-2023</t>
        </is>
      </c>
      <c r="B421" s="1" t="n">
        <v>45040.47081018519</v>
      </c>
      <c r="C421" s="1" t="n">
        <v>45934</v>
      </c>
      <c r="D421" t="inlineStr">
        <is>
          <t>UPPSALA LÄN</t>
        </is>
      </c>
      <c r="E421" t="inlineStr">
        <is>
          <t>ÖSTHAMMAR</t>
        </is>
      </c>
      <c r="G421" t="n">
        <v>5.4</v>
      </c>
      <c r="H421" t="n">
        <v>0</v>
      </c>
      <c r="I421" t="n">
        <v>0</v>
      </c>
      <c r="J421" t="n">
        <v>0</v>
      </c>
      <c r="K421" t="n">
        <v>0</v>
      </c>
      <c r="L421" t="n">
        <v>0</v>
      </c>
      <c r="M421" t="n">
        <v>0</v>
      </c>
      <c r="N421" t="n">
        <v>0</v>
      </c>
      <c r="O421" t="n">
        <v>0</v>
      </c>
      <c r="P421" t="n">
        <v>0</v>
      </c>
      <c r="Q421" t="n">
        <v>0</v>
      </c>
      <c r="R421" s="2" t="inlineStr"/>
    </row>
    <row r="422" ht="15" customHeight="1">
      <c r="A422" t="inlineStr">
        <is>
          <t>A 25969-2023</t>
        </is>
      </c>
      <c r="B422" s="1" t="n">
        <v>45090</v>
      </c>
      <c r="C422" s="1" t="n">
        <v>45934</v>
      </c>
      <c r="D422" t="inlineStr">
        <is>
          <t>UPPSALA LÄN</t>
        </is>
      </c>
      <c r="E422" t="inlineStr">
        <is>
          <t>ÖSTHAMMAR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4984-2024</t>
        </is>
      </c>
      <c r="B423" s="1" t="n">
        <v>45329</v>
      </c>
      <c r="C423" s="1" t="n">
        <v>45934</v>
      </c>
      <c r="D423" t="inlineStr">
        <is>
          <t>UPPSALA LÄN</t>
        </is>
      </c>
      <c r="E423" t="inlineStr">
        <is>
          <t>ÖSTHAMMAR</t>
        </is>
      </c>
      <c r="G423" t="n">
        <v>2.2</v>
      </c>
      <c r="H423" t="n">
        <v>0</v>
      </c>
      <c r="I423" t="n">
        <v>0</v>
      </c>
      <c r="J423" t="n">
        <v>0</v>
      </c>
      <c r="K423" t="n">
        <v>0</v>
      </c>
      <c r="L423" t="n">
        <v>0</v>
      </c>
      <c r="M423" t="n">
        <v>0</v>
      </c>
      <c r="N423" t="n">
        <v>0</v>
      </c>
      <c r="O423" t="n">
        <v>0</v>
      </c>
      <c r="P423" t="n">
        <v>0</v>
      </c>
      <c r="Q423" t="n">
        <v>0</v>
      </c>
      <c r="R423" s="2" t="inlineStr"/>
    </row>
    <row r="424" ht="15" customHeight="1">
      <c r="A424" t="inlineStr">
        <is>
          <t>A 13755-2023</t>
        </is>
      </c>
      <c r="B424" s="1" t="n">
        <v>45007</v>
      </c>
      <c r="C424" s="1" t="n">
        <v>45934</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13771-2023</t>
        </is>
      </c>
      <c r="B425" s="1" t="n">
        <v>45007</v>
      </c>
      <c r="C425" s="1" t="n">
        <v>45934</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50998-2023</t>
        </is>
      </c>
      <c r="B426" s="1" t="n">
        <v>45218.5586574074</v>
      </c>
      <c r="C426" s="1" t="n">
        <v>45934</v>
      </c>
      <c r="D426" t="inlineStr">
        <is>
          <t>UPPSALA LÄN</t>
        </is>
      </c>
      <c r="E426" t="inlineStr">
        <is>
          <t>ÖSTHAMMAR</t>
        </is>
      </c>
      <c r="G426" t="n">
        <v>3.6</v>
      </c>
      <c r="H426" t="n">
        <v>0</v>
      </c>
      <c r="I426" t="n">
        <v>0</v>
      </c>
      <c r="J426" t="n">
        <v>0</v>
      </c>
      <c r="K426" t="n">
        <v>0</v>
      </c>
      <c r="L426" t="n">
        <v>0</v>
      </c>
      <c r="M426" t="n">
        <v>0</v>
      </c>
      <c r="N426" t="n">
        <v>0</v>
      </c>
      <c r="O426" t="n">
        <v>0</v>
      </c>
      <c r="P426" t="n">
        <v>0</v>
      </c>
      <c r="Q426" t="n">
        <v>0</v>
      </c>
      <c r="R426" s="2" t="inlineStr"/>
    </row>
    <row r="427" ht="15" customHeight="1">
      <c r="A427" t="inlineStr">
        <is>
          <t>A 55837-2023</t>
        </is>
      </c>
      <c r="B427" s="1" t="n">
        <v>45239</v>
      </c>
      <c r="C427" s="1" t="n">
        <v>45934</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21624-2023</t>
        </is>
      </c>
      <c r="B428" s="1" t="n">
        <v>45063.65543981481</v>
      </c>
      <c r="C428" s="1" t="n">
        <v>45934</v>
      </c>
      <c r="D428" t="inlineStr">
        <is>
          <t>UPPSALA LÄN</t>
        </is>
      </c>
      <c r="E428" t="inlineStr">
        <is>
          <t>ÖSTHAMMAR</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41996-2024</t>
        </is>
      </c>
      <c r="B429" s="1" t="n">
        <v>45561</v>
      </c>
      <c r="C429" s="1" t="n">
        <v>45934</v>
      </c>
      <c r="D429" t="inlineStr">
        <is>
          <t>UPPSALA LÄN</t>
        </is>
      </c>
      <c r="E429" t="inlineStr">
        <is>
          <t>ÖSTHAMMAR</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20326-2021</t>
        </is>
      </c>
      <c r="B430" s="1" t="n">
        <v>44308</v>
      </c>
      <c r="C430" s="1" t="n">
        <v>45934</v>
      </c>
      <c r="D430" t="inlineStr">
        <is>
          <t>UPPSALA LÄN</t>
        </is>
      </c>
      <c r="E430" t="inlineStr">
        <is>
          <t>ÖSTHAMMAR</t>
        </is>
      </c>
      <c r="G430" t="n">
        <v>7</v>
      </c>
      <c r="H430" t="n">
        <v>0</v>
      </c>
      <c r="I430" t="n">
        <v>0</v>
      </c>
      <c r="J430" t="n">
        <v>0</v>
      </c>
      <c r="K430" t="n">
        <v>0</v>
      </c>
      <c r="L430" t="n">
        <v>0</v>
      </c>
      <c r="M430" t="n">
        <v>0</v>
      </c>
      <c r="N430" t="n">
        <v>0</v>
      </c>
      <c r="O430" t="n">
        <v>0</v>
      </c>
      <c r="P430" t="n">
        <v>0</v>
      </c>
      <c r="Q430" t="n">
        <v>0</v>
      </c>
      <c r="R430" s="2" t="inlineStr"/>
    </row>
    <row r="431" ht="15" customHeight="1">
      <c r="A431" t="inlineStr">
        <is>
          <t>A 18838-2023</t>
        </is>
      </c>
      <c r="B431" s="1" t="n">
        <v>45044</v>
      </c>
      <c r="C431" s="1" t="n">
        <v>45934</v>
      </c>
      <c r="D431" t="inlineStr">
        <is>
          <t>UPPSALA LÄN</t>
        </is>
      </c>
      <c r="E431" t="inlineStr">
        <is>
          <t>ÖSTHAMMAR</t>
        </is>
      </c>
      <c r="G431" t="n">
        <v>2.8</v>
      </c>
      <c r="H431" t="n">
        <v>0</v>
      </c>
      <c r="I431" t="n">
        <v>0</v>
      </c>
      <c r="J431" t="n">
        <v>0</v>
      </c>
      <c r="K431" t="n">
        <v>0</v>
      </c>
      <c r="L431" t="n">
        <v>0</v>
      </c>
      <c r="M431" t="n">
        <v>0</v>
      </c>
      <c r="N431" t="n">
        <v>0</v>
      </c>
      <c r="O431" t="n">
        <v>0</v>
      </c>
      <c r="P431" t="n">
        <v>0</v>
      </c>
      <c r="Q431" t="n">
        <v>0</v>
      </c>
      <c r="R431" s="2" t="inlineStr"/>
    </row>
    <row r="432" ht="15" customHeight="1">
      <c r="A432" t="inlineStr">
        <is>
          <t>A 23742-2024</t>
        </is>
      </c>
      <c r="B432" s="1" t="n">
        <v>45455</v>
      </c>
      <c r="C432" s="1" t="n">
        <v>45934</v>
      </c>
      <c r="D432" t="inlineStr">
        <is>
          <t>UPPSALA LÄN</t>
        </is>
      </c>
      <c r="E432" t="inlineStr">
        <is>
          <t>ÖSTHAMMAR</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45934</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6106-2024</t>
        </is>
      </c>
      <c r="B434" s="1" t="n">
        <v>45337.36831018519</v>
      </c>
      <c r="C434" s="1" t="n">
        <v>45934</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17085-2025</t>
        </is>
      </c>
      <c r="B435" s="1" t="n">
        <v>45755.64612268518</v>
      </c>
      <c r="C435" s="1" t="n">
        <v>45934</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29231-2024</t>
        </is>
      </c>
      <c r="B436" s="1" t="n">
        <v>45482</v>
      </c>
      <c r="C436" s="1" t="n">
        <v>45934</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65020-2021</t>
        </is>
      </c>
      <c r="B437" s="1" t="n">
        <v>44515</v>
      </c>
      <c r="C437" s="1" t="n">
        <v>45934</v>
      </c>
      <c r="D437" t="inlineStr">
        <is>
          <t>UPPSALA LÄN</t>
        </is>
      </c>
      <c r="E437" t="inlineStr">
        <is>
          <t>ÖSTHAMMAR</t>
        </is>
      </c>
      <c r="F437" t="inlineStr">
        <is>
          <t>Sveaskog</t>
        </is>
      </c>
      <c r="G437" t="n">
        <v>4.7</v>
      </c>
      <c r="H437" t="n">
        <v>0</v>
      </c>
      <c r="I437" t="n">
        <v>0</v>
      </c>
      <c r="J437" t="n">
        <v>0</v>
      </c>
      <c r="K437" t="n">
        <v>0</v>
      </c>
      <c r="L437" t="n">
        <v>0</v>
      </c>
      <c r="M437" t="n">
        <v>0</v>
      </c>
      <c r="N437" t="n">
        <v>0</v>
      </c>
      <c r="O437" t="n">
        <v>0</v>
      </c>
      <c r="P437" t="n">
        <v>0</v>
      </c>
      <c r="Q437" t="n">
        <v>0</v>
      </c>
      <c r="R437" s="2" t="inlineStr"/>
    </row>
    <row r="438" ht="15" customHeight="1">
      <c r="A438" t="inlineStr">
        <is>
          <t>A 44184-2024</t>
        </is>
      </c>
      <c r="B438" s="1" t="n">
        <v>45572</v>
      </c>
      <c r="C438" s="1" t="n">
        <v>45934</v>
      </c>
      <c r="D438" t="inlineStr">
        <is>
          <t>UPPSALA LÄN</t>
        </is>
      </c>
      <c r="E438" t="inlineStr">
        <is>
          <t>ÖSTHAMMAR</t>
        </is>
      </c>
      <c r="G438" t="n">
        <v>0.6</v>
      </c>
      <c r="H438" t="n">
        <v>0</v>
      </c>
      <c r="I438" t="n">
        <v>0</v>
      </c>
      <c r="J438" t="n">
        <v>0</v>
      </c>
      <c r="K438" t="n">
        <v>0</v>
      </c>
      <c r="L438" t="n">
        <v>0</v>
      </c>
      <c r="M438" t="n">
        <v>0</v>
      </c>
      <c r="N438" t="n">
        <v>0</v>
      </c>
      <c r="O438" t="n">
        <v>0</v>
      </c>
      <c r="P438" t="n">
        <v>0</v>
      </c>
      <c r="Q438" t="n">
        <v>0</v>
      </c>
      <c r="R438" s="2" t="inlineStr"/>
    </row>
    <row r="439" ht="15" customHeight="1">
      <c r="A439" t="inlineStr">
        <is>
          <t>A 7543-2023</t>
        </is>
      </c>
      <c r="B439" s="1" t="n">
        <v>44972</v>
      </c>
      <c r="C439" s="1" t="n">
        <v>45934</v>
      </c>
      <c r="D439" t="inlineStr">
        <is>
          <t>UPPSALA LÄN</t>
        </is>
      </c>
      <c r="E439" t="inlineStr">
        <is>
          <t>ÖSTHAMMAR</t>
        </is>
      </c>
      <c r="F439" t="inlineStr">
        <is>
          <t>Bergvik skog öst AB</t>
        </is>
      </c>
      <c r="G439" t="n">
        <v>13.3</v>
      </c>
      <c r="H439" t="n">
        <v>0</v>
      </c>
      <c r="I439" t="n">
        <v>0</v>
      </c>
      <c r="J439" t="n">
        <v>0</v>
      </c>
      <c r="K439" t="n">
        <v>0</v>
      </c>
      <c r="L439" t="n">
        <v>0</v>
      </c>
      <c r="M439" t="n">
        <v>0</v>
      </c>
      <c r="N439" t="n">
        <v>0</v>
      </c>
      <c r="O439" t="n">
        <v>0</v>
      </c>
      <c r="P439" t="n">
        <v>0</v>
      </c>
      <c r="Q439" t="n">
        <v>0</v>
      </c>
      <c r="R439" s="2" t="inlineStr"/>
    </row>
    <row r="440" ht="15" customHeight="1">
      <c r="A440" t="inlineStr">
        <is>
          <t>A 49899-2023</t>
        </is>
      </c>
      <c r="B440" s="1" t="n">
        <v>45213</v>
      </c>
      <c r="C440" s="1" t="n">
        <v>45934</v>
      </c>
      <c r="D440" t="inlineStr">
        <is>
          <t>UPPSALA LÄN</t>
        </is>
      </c>
      <c r="E440" t="inlineStr">
        <is>
          <t>ÖSTHAMMAR</t>
        </is>
      </c>
      <c r="G440" t="n">
        <v>6.2</v>
      </c>
      <c r="H440" t="n">
        <v>0</v>
      </c>
      <c r="I440" t="n">
        <v>0</v>
      </c>
      <c r="J440" t="n">
        <v>0</v>
      </c>
      <c r="K440" t="n">
        <v>0</v>
      </c>
      <c r="L440" t="n">
        <v>0</v>
      </c>
      <c r="M440" t="n">
        <v>0</v>
      </c>
      <c r="N440" t="n">
        <v>0</v>
      </c>
      <c r="O440" t="n">
        <v>0</v>
      </c>
      <c r="P440" t="n">
        <v>0</v>
      </c>
      <c r="Q440" t="n">
        <v>0</v>
      </c>
      <c r="R440" s="2" t="inlineStr"/>
    </row>
    <row r="441" ht="15" customHeight="1">
      <c r="A441" t="inlineStr">
        <is>
          <t>A 4676-2025</t>
        </is>
      </c>
      <c r="B441" s="1" t="n">
        <v>45687.8313425926</v>
      </c>
      <c r="C441" s="1" t="n">
        <v>45934</v>
      </c>
      <c r="D441" t="inlineStr">
        <is>
          <t>UPPSALA LÄN</t>
        </is>
      </c>
      <c r="E441" t="inlineStr">
        <is>
          <t>ÖSTHAMMAR</t>
        </is>
      </c>
      <c r="G441" t="n">
        <v>3.7</v>
      </c>
      <c r="H441" t="n">
        <v>0</v>
      </c>
      <c r="I441" t="n">
        <v>0</v>
      </c>
      <c r="J441" t="n">
        <v>0</v>
      </c>
      <c r="K441" t="n">
        <v>0</v>
      </c>
      <c r="L441" t="n">
        <v>0</v>
      </c>
      <c r="M441" t="n">
        <v>0</v>
      </c>
      <c r="N441" t="n">
        <v>0</v>
      </c>
      <c r="O441" t="n">
        <v>0</v>
      </c>
      <c r="P441" t="n">
        <v>0</v>
      </c>
      <c r="Q441" t="n">
        <v>0</v>
      </c>
      <c r="R441" s="2" t="inlineStr"/>
    </row>
    <row r="442" ht="15" customHeight="1">
      <c r="A442" t="inlineStr">
        <is>
          <t>A 47615-2025</t>
        </is>
      </c>
      <c r="B442" s="1" t="n">
        <v>45931.47542824074</v>
      </c>
      <c r="C442" s="1" t="n">
        <v>45934</v>
      </c>
      <c r="D442" t="inlineStr">
        <is>
          <t>UPPSALA LÄN</t>
        </is>
      </c>
      <c r="E442" t="inlineStr">
        <is>
          <t>ÖSTHAMMAR</t>
        </is>
      </c>
      <c r="G442" t="n">
        <v>7</v>
      </c>
      <c r="H442" t="n">
        <v>0</v>
      </c>
      <c r="I442" t="n">
        <v>0</v>
      </c>
      <c r="J442" t="n">
        <v>0</v>
      </c>
      <c r="K442" t="n">
        <v>0</v>
      </c>
      <c r="L442" t="n">
        <v>0</v>
      </c>
      <c r="M442" t="n">
        <v>0</v>
      </c>
      <c r="N442" t="n">
        <v>0</v>
      </c>
      <c r="O442" t="n">
        <v>0</v>
      </c>
      <c r="P442" t="n">
        <v>0</v>
      </c>
      <c r="Q442" t="n">
        <v>0</v>
      </c>
      <c r="R442" s="2" t="inlineStr"/>
    </row>
    <row r="443" ht="15" customHeight="1">
      <c r="A443" t="inlineStr">
        <is>
          <t>A 1238-2022</t>
        </is>
      </c>
      <c r="B443" s="1" t="n">
        <v>44572.5827662037</v>
      </c>
      <c r="C443" s="1" t="n">
        <v>45934</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9264-2024</t>
        </is>
      </c>
      <c r="B444" s="1" t="n">
        <v>45358</v>
      </c>
      <c r="C444" s="1" t="n">
        <v>45934</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33784-2024</t>
        </is>
      </c>
      <c r="B445" s="1" t="n">
        <v>45520</v>
      </c>
      <c r="C445" s="1" t="n">
        <v>45934</v>
      </c>
      <c r="D445" t="inlineStr">
        <is>
          <t>UPPSALA LÄN</t>
        </is>
      </c>
      <c r="E445" t="inlineStr">
        <is>
          <t>ÖSTHAMMAR</t>
        </is>
      </c>
      <c r="F445" t="inlineStr">
        <is>
          <t>Naturvårdsverket</t>
        </is>
      </c>
      <c r="G445" t="n">
        <v>0.6</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44631.92662037037</v>
      </c>
      <c r="C446" s="1" t="n">
        <v>45934</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38003-2024</t>
        </is>
      </c>
      <c r="B447" s="1" t="n">
        <v>45544</v>
      </c>
      <c r="C447" s="1" t="n">
        <v>45934</v>
      </c>
      <c r="D447" t="inlineStr">
        <is>
          <t>UPPSALA LÄN</t>
        </is>
      </c>
      <c r="E447" t="inlineStr">
        <is>
          <t>ÖSTHAMMAR</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25252-2024</t>
        </is>
      </c>
      <c r="B448" s="1" t="n">
        <v>45462</v>
      </c>
      <c r="C448" s="1" t="n">
        <v>45934</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16531-2025</t>
        </is>
      </c>
      <c r="B449" s="1" t="n">
        <v>45751</v>
      </c>
      <c r="C449" s="1" t="n">
        <v>45934</v>
      </c>
      <c r="D449" t="inlineStr">
        <is>
          <t>UPPSALA LÄN</t>
        </is>
      </c>
      <c r="E449" t="inlineStr">
        <is>
          <t>ÖSTHAMMAR</t>
        </is>
      </c>
      <c r="G449" t="n">
        <v>3.3</v>
      </c>
      <c r="H449" t="n">
        <v>0</v>
      </c>
      <c r="I449" t="n">
        <v>0</v>
      </c>
      <c r="J449" t="n">
        <v>0</v>
      </c>
      <c r="K449" t="n">
        <v>0</v>
      </c>
      <c r="L449" t="n">
        <v>0</v>
      </c>
      <c r="M449" t="n">
        <v>0</v>
      </c>
      <c r="N449" t="n">
        <v>0</v>
      </c>
      <c r="O449" t="n">
        <v>0</v>
      </c>
      <c r="P449" t="n">
        <v>0</v>
      </c>
      <c r="Q449" t="n">
        <v>0</v>
      </c>
      <c r="R449" s="2" t="inlineStr"/>
    </row>
    <row r="450" ht="15" customHeight="1">
      <c r="A450" t="inlineStr">
        <is>
          <t>A 17009-2021</t>
        </is>
      </c>
      <c r="B450" s="1" t="n">
        <v>44295.63969907408</v>
      </c>
      <c r="C450" s="1" t="n">
        <v>45934</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37865-2023</t>
        </is>
      </c>
      <c r="B451" s="1" t="n">
        <v>45160</v>
      </c>
      <c r="C451" s="1" t="n">
        <v>45934</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33758-2024</t>
        </is>
      </c>
      <c r="B452" s="1" t="n">
        <v>45520.56896990741</v>
      </c>
      <c r="C452" s="1" t="n">
        <v>45934</v>
      </c>
      <c r="D452" t="inlineStr">
        <is>
          <t>UPPSALA LÄN</t>
        </is>
      </c>
      <c r="E452" t="inlineStr">
        <is>
          <t>ÖSTHAMMAR</t>
        </is>
      </c>
      <c r="G452" t="n">
        <v>6.5</v>
      </c>
      <c r="H452" t="n">
        <v>0</v>
      </c>
      <c r="I452" t="n">
        <v>0</v>
      </c>
      <c r="J452" t="n">
        <v>0</v>
      </c>
      <c r="K452" t="n">
        <v>0</v>
      </c>
      <c r="L452" t="n">
        <v>0</v>
      </c>
      <c r="M452" t="n">
        <v>0</v>
      </c>
      <c r="N452" t="n">
        <v>0</v>
      </c>
      <c r="O452" t="n">
        <v>0</v>
      </c>
      <c r="P452" t="n">
        <v>0</v>
      </c>
      <c r="Q452" t="n">
        <v>0</v>
      </c>
      <c r="R452" s="2" t="inlineStr"/>
    </row>
    <row r="453" ht="15" customHeight="1">
      <c r="A453" t="inlineStr">
        <is>
          <t>A 34607-2023</t>
        </is>
      </c>
      <c r="B453" s="1" t="n">
        <v>45138</v>
      </c>
      <c r="C453" s="1" t="n">
        <v>45934</v>
      </c>
      <c r="D453" t="inlineStr">
        <is>
          <t>UPPSALA LÄN</t>
        </is>
      </c>
      <c r="E453" t="inlineStr">
        <is>
          <t>ÖSTHAMMAR</t>
        </is>
      </c>
      <c r="G453" t="n">
        <v>4.7</v>
      </c>
      <c r="H453" t="n">
        <v>0</v>
      </c>
      <c r="I453" t="n">
        <v>0</v>
      </c>
      <c r="J453" t="n">
        <v>0</v>
      </c>
      <c r="K453" t="n">
        <v>0</v>
      </c>
      <c r="L453" t="n">
        <v>0</v>
      </c>
      <c r="M453" t="n">
        <v>0</v>
      </c>
      <c r="N453" t="n">
        <v>0</v>
      </c>
      <c r="O453" t="n">
        <v>0</v>
      </c>
      <c r="P453" t="n">
        <v>0</v>
      </c>
      <c r="Q453" t="n">
        <v>0</v>
      </c>
      <c r="R453" s="2" t="inlineStr"/>
    </row>
    <row r="454" ht="15" customHeight="1">
      <c r="A454" t="inlineStr">
        <is>
          <t>A 5215-2025</t>
        </is>
      </c>
      <c r="B454" s="1" t="n">
        <v>45691</v>
      </c>
      <c r="C454" s="1" t="n">
        <v>45934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2733-2023</t>
        </is>
      </c>
      <c r="B455" s="1" t="n">
        <v>44943</v>
      </c>
      <c r="C455" s="1" t="n">
        <v>45934</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8769-2025</t>
        </is>
      </c>
      <c r="B456" s="1" t="n">
        <v>45712.59412037037</v>
      </c>
      <c r="C456" s="1" t="n">
        <v>45934</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24259-2022</t>
        </is>
      </c>
      <c r="B457" s="1" t="n">
        <v>44725</v>
      </c>
      <c r="C457" s="1" t="n">
        <v>45934</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31137-2022</t>
        </is>
      </c>
      <c r="B458" s="1" t="n">
        <v>44770.42166666667</v>
      </c>
      <c r="C458" s="1" t="n">
        <v>45934</v>
      </c>
      <c r="D458" t="inlineStr">
        <is>
          <t>UPPSALA LÄN</t>
        </is>
      </c>
      <c r="E458" t="inlineStr">
        <is>
          <t>ÖSTHAMMAR</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34971-2022</t>
        </is>
      </c>
      <c r="B459" s="1" t="n">
        <v>44796.66613425926</v>
      </c>
      <c r="C459" s="1" t="n">
        <v>45934</v>
      </c>
      <c r="D459" t="inlineStr">
        <is>
          <t>UPPSALA LÄN</t>
        </is>
      </c>
      <c r="E459" t="inlineStr">
        <is>
          <t>ÖSTHAMMAR</t>
        </is>
      </c>
      <c r="F459" t="inlineStr">
        <is>
          <t>Bergvik skog öst AB</t>
        </is>
      </c>
      <c r="G459" t="n">
        <v>2.3</v>
      </c>
      <c r="H459" t="n">
        <v>0</v>
      </c>
      <c r="I459" t="n">
        <v>0</v>
      </c>
      <c r="J459" t="n">
        <v>0</v>
      </c>
      <c r="K459" t="n">
        <v>0</v>
      </c>
      <c r="L459" t="n">
        <v>0</v>
      </c>
      <c r="M459" t="n">
        <v>0</v>
      </c>
      <c r="N459" t="n">
        <v>0</v>
      </c>
      <c r="O459" t="n">
        <v>0</v>
      </c>
      <c r="P459" t="n">
        <v>0</v>
      </c>
      <c r="Q459" t="n">
        <v>0</v>
      </c>
      <c r="R459" s="2" t="inlineStr"/>
    </row>
    <row r="460" ht="15" customHeight="1">
      <c r="A460" t="inlineStr">
        <is>
          <t>A 3725-2022</t>
        </is>
      </c>
      <c r="B460" s="1" t="n">
        <v>44586</v>
      </c>
      <c r="C460" s="1" t="n">
        <v>45934</v>
      </c>
      <c r="D460" t="inlineStr">
        <is>
          <t>UPPSALA LÄN</t>
        </is>
      </c>
      <c r="E460" t="inlineStr">
        <is>
          <t>ÖSTHAMMAR</t>
        </is>
      </c>
      <c r="G460" t="n">
        <v>2</v>
      </c>
      <c r="H460" t="n">
        <v>0</v>
      </c>
      <c r="I460" t="n">
        <v>0</v>
      </c>
      <c r="J460" t="n">
        <v>0</v>
      </c>
      <c r="K460" t="n">
        <v>0</v>
      </c>
      <c r="L460" t="n">
        <v>0</v>
      </c>
      <c r="M460" t="n">
        <v>0</v>
      </c>
      <c r="N460" t="n">
        <v>0</v>
      </c>
      <c r="O460" t="n">
        <v>0</v>
      </c>
      <c r="P460" t="n">
        <v>0</v>
      </c>
      <c r="Q460" t="n">
        <v>0</v>
      </c>
      <c r="R460" s="2" t="inlineStr"/>
    </row>
    <row r="461" ht="15" customHeight="1">
      <c r="A461" t="inlineStr">
        <is>
          <t>A 18113-2023</t>
        </is>
      </c>
      <c r="B461" s="1" t="n">
        <v>45040</v>
      </c>
      <c r="C461" s="1" t="n">
        <v>45934</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12812-2024</t>
        </is>
      </c>
      <c r="B462" s="1" t="n">
        <v>45384.65465277778</v>
      </c>
      <c r="C462" s="1" t="n">
        <v>45934</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61216-2022</t>
        </is>
      </c>
      <c r="B463" s="1" t="n">
        <v>44915.55423611111</v>
      </c>
      <c r="C463" s="1" t="n">
        <v>45934</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27660-2023</t>
        </is>
      </c>
      <c r="B464" s="1" t="n">
        <v>45097</v>
      </c>
      <c r="C464" s="1" t="n">
        <v>45934</v>
      </c>
      <c r="D464" t="inlineStr">
        <is>
          <t>UPPSALA LÄN</t>
        </is>
      </c>
      <c r="E464" t="inlineStr">
        <is>
          <t>ÖSTHAMMAR</t>
        </is>
      </c>
      <c r="G464" t="n">
        <v>2.8</v>
      </c>
      <c r="H464" t="n">
        <v>0</v>
      </c>
      <c r="I464" t="n">
        <v>0</v>
      </c>
      <c r="J464" t="n">
        <v>0</v>
      </c>
      <c r="K464" t="n">
        <v>0</v>
      </c>
      <c r="L464" t="n">
        <v>0</v>
      </c>
      <c r="M464" t="n">
        <v>0</v>
      </c>
      <c r="N464" t="n">
        <v>0</v>
      </c>
      <c r="O464" t="n">
        <v>0</v>
      </c>
      <c r="P464" t="n">
        <v>0</v>
      </c>
      <c r="Q464" t="n">
        <v>0</v>
      </c>
      <c r="R464" s="2" t="inlineStr"/>
    </row>
    <row r="465" ht="15" customHeight="1">
      <c r="A465" t="inlineStr">
        <is>
          <t>A 69411-2021</t>
        </is>
      </c>
      <c r="B465" s="1" t="n">
        <v>44531.61038194445</v>
      </c>
      <c r="C465" s="1" t="n">
        <v>45934</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28170-2023</t>
        </is>
      </c>
      <c r="B466" s="1" t="n">
        <v>45093</v>
      </c>
      <c r="C466" s="1" t="n">
        <v>45934</v>
      </c>
      <c r="D466" t="inlineStr">
        <is>
          <t>UPPSALA LÄN</t>
        </is>
      </c>
      <c r="E466" t="inlineStr">
        <is>
          <t>ÖSTHAMMAR</t>
        </is>
      </c>
      <c r="G466" t="n">
        <v>7.2</v>
      </c>
      <c r="H466" t="n">
        <v>0</v>
      </c>
      <c r="I466" t="n">
        <v>0</v>
      </c>
      <c r="J466" t="n">
        <v>0</v>
      </c>
      <c r="K466" t="n">
        <v>0</v>
      </c>
      <c r="L466" t="n">
        <v>0</v>
      </c>
      <c r="M466" t="n">
        <v>0</v>
      </c>
      <c r="N466" t="n">
        <v>0</v>
      </c>
      <c r="O466" t="n">
        <v>0</v>
      </c>
      <c r="P466" t="n">
        <v>0</v>
      </c>
      <c r="Q466" t="n">
        <v>0</v>
      </c>
      <c r="R466" s="2" t="inlineStr"/>
    </row>
    <row r="467" ht="15" customHeight="1">
      <c r="A467" t="inlineStr">
        <is>
          <t>A 47336-2025</t>
        </is>
      </c>
      <c r="B467" s="1" t="n">
        <v>45930.56592592593</v>
      </c>
      <c r="C467" s="1" t="n">
        <v>45934</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47337-2025</t>
        </is>
      </c>
      <c r="B468" s="1" t="n">
        <v>45930.56607638889</v>
      </c>
      <c r="C468" s="1" t="n">
        <v>45934</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47338-2025</t>
        </is>
      </c>
      <c r="B469" s="1" t="n">
        <v>45930.56626157407</v>
      </c>
      <c r="C469" s="1" t="n">
        <v>45934</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74429-2021</t>
        </is>
      </c>
      <c r="B470" s="1" t="n">
        <v>44560.43136574074</v>
      </c>
      <c r="C470" s="1" t="n">
        <v>45934</v>
      </c>
      <c r="D470" t="inlineStr">
        <is>
          <t>UPPSALA LÄN</t>
        </is>
      </c>
      <c r="E470" t="inlineStr">
        <is>
          <t>ÖSTHAMMAR</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7876-2023</t>
        </is>
      </c>
      <c r="B471" s="1" t="n">
        <v>44973.57263888889</v>
      </c>
      <c r="C471" s="1" t="n">
        <v>45934</v>
      </c>
      <c r="D471" t="inlineStr">
        <is>
          <t>UPPSALA LÄN</t>
        </is>
      </c>
      <c r="E471" t="inlineStr">
        <is>
          <t>ÖSTHAMMAR</t>
        </is>
      </c>
      <c r="G471" t="n">
        <v>0.9</v>
      </c>
      <c r="H471" t="n">
        <v>0</v>
      </c>
      <c r="I471" t="n">
        <v>0</v>
      </c>
      <c r="J471" t="n">
        <v>0</v>
      </c>
      <c r="K471" t="n">
        <v>0</v>
      </c>
      <c r="L471" t="n">
        <v>0</v>
      </c>
      <c r="M471" t="n">
        <v>0</v>
      </c>
      <c r="N471" t="n">
        <v>0</v>
      </c>
      <c r="O471" t="n">
        <v>0</v>
      </c>
      <c r="P471" t="n">
        <v>0</v>
      </c>
      <c r="Q471" t="n">
        <v>0</v>
      </c>
      <c r="R471" s="2" t="inlineStr"/>
    </row>
    <row r="472" ht="15" customHeight="1">
      <c r="A472" t="inlineStr">
        <is>
          <t>A 26303-2024</t>
        </is>
      </c>
      <c r="B472" s="1" t="n">
        <v>45468</v>
      </c>
      <c r="C472" s="1" t="n">
        <v>45934</v>
      </c>
      <c r="D472" t="inlineStr">
        <is>
          <t>UPPSALA LÄN</t>
        </is>
      </c>
      <c r="E472" t="inlineStr">
        <is>
          <t>ÖSTHAMMAR</t>
        </is>
      </c>
      <c r="G472" t="n">
        <v>1.2</v>
      </c>
      <c r="H472" t="n">
        <v>0</v>
      </c>
      <c r="I472" t="n">
        <v>0</v>
      </c>
      <c r="J472" t="n">
        <v>0</v>
      </c>
      <c r="K472" t="n">
        <v>0</v>
      </c>
      <c r="L472" t="n">
        <v>0</v>
      </c>
      <c r="M472" t="n">
        <v>0</v>
      </c>
      <c r="N472" t="n">
        <v>0</v>
      </c>
      <c r="O472" t="n">
        <v>0</v>
      </c>
      <c r="P472" t="n">
        <v>0</v>
      </c>
      <c r="Q472" t="n">
        <v>0</v>
      </c>
      <c r="R472" s="2" t="inlineStr"/>
    </row>
    <row r="473" ht="15" customHeight="1">
      <c r="A473" t="inlineStr">
        <is>
          <t>A 46785-2023</t>
        </is>
      </c>
      <c r="B473" s="1" t="n">
        <v>45198</v>
      </c>
      <c r="C473" s="1" t="n">
        <v>45934</v>
      </c>
      <c r="D473" t="inlineStr">
        <is>
          <t>UPPSALA LÄN</t>
        </is>
      </c>
      <c r="E473" t="inlineStr">
        <is>
          <t>ÖSTHAMMAR</t>
        </is>
      </c>
      <c r="G473" t="n">
        <v>1.6</v>
      </c>
      <c r="H473" t="n">
        <v>0</v>
      </c>
      <c r="I473" t="n">
        <v>0</v>
      </c>
      <c r="J473" t="n">
        <v>0</v>
      </c>
      <c r="K473" t="n">
        <v>0</v>
      </c>
      <c r="L473" t="n">
        <v>0</v>
      </c>
      <c r="M473" t="n">
        <v>0</v>
      </c>
      <c r="N473" t="n">
        <v>0</v>
      </c>
      <c r="O473" t="n">
        <v>0</v>
      </c>
      <c r="P473" t="n">
        <v>0</v>
      </c>
      <c r="Q473" t="n">
        <v>0</v>
      </c>
      <c r="R473" s="2" t="inlineStr"/>
    </row>
    <row r="474" ht="15" customHeight="1">
      <c r="A474" t="inlineStr">
        <is>
          <t>A 47614-2025</t>
        </is>
      </c>
      <c r="B474" s="1" t="n">
        <v>45931.47211805556</v>
      </c>
      <c r="C474" s="1" t="n">
        <v>45934</v>
      </c>
      <c r="D474" t="inlineStr">
        <is>
          <t>UPPSALA LÄN</t>
        </is>
      </c>
      <c r="E474" t="inlineStr">
        <is>
          <t>ÖSTHAMMAR</t>
        </is>
      </c>
      <c r="G474" t="n">
        <v>22.8</v>
      </c>
      <c r="H474" t="n">
        <v>0</v>
      </c>
      <c r="I474" t="n">
        <v>0</v>
      </c>
      <c r="J474" t="n">
        <v>0</v>
      </c>
      <c r="K474" t="n">
        <v>0</v>
      </c>
      <c r="L474" t="n">
        <v>0</v>
      </c>
      <c r="M474" t="n">
        <v>0</v>
      </c>
      <c r="N474" t="n">
        <v>0</v>
      </c>
      <c r="O474" t="n">
        <v>0</v>
      </c>
      <c r="P474" t="n">
        <v>0</v>
      </c>
      <c r="Q474" t="n">
        <v>0</v>
      </c>
      <c r="R474" s="2" t="inlineStr"/>
    </row>
    <row r="475" ht="15" customHeight="1">
      <c r="A475" t="inlineStr">
        <is>
          <t>A 7100-2025</t>
        </is>
      </c>
      <c r="B475" s="1" t="n">
        <v>45701.83930555556</v>
      </c>
      <c r="C475" s="1" t="n">
        <v>45934</v>
      </c>
      <c r="D475" t="inlineStr">
        <is>
          <t>UPPSALA LÄN</t>
        </is>
      </c>
      <c r="E475" t="inlineStr">
        <is>
          <t>ÖSTHAMMAR</t>
        </is>
      </c>
      <c r="G475" t="n">
        <v>4.3</v>
      </c>
      <c r="H475" t="n">
        <v>0</v>
      </c>
      <c r="I475" t="n">
        <v>0</v>
      </c>
      <c r="J475" t="n">
        <v>0</v>
      </c>
      <c r="K475" t="n">
        <v>0</v>
      </c>
      <c r="L475" t="n">
        <v>0</v>
      </c>
      <c r="M475" t="n">
        <v>0</v>
      </c>
      <c r="N475" t="n">
        <v>0</v>
      </c>
      <c r="O475" t="n">
        <v>0</v>
      </c>
      <c r="P475" t="n">
        <v>0</v>
      </c>
      <c r="Q475" t="n">
        <v>0</v>
      </c>
      <c r="R475" s="2" t="inlineStr"/>
    </row>
    <row r="476" ht="15" customHeight="1">
      <c r="A476" t="inlineStr">
        <is>
          <t>A 30931-2021</t>
        </is>
      </c>
      <c r="B476" s="1" t="n">
        <v>44365</v>
      </c>
      <c r="C476" s="1" t="n">
        <v>45934</v>
      </c>
      <c r="D476" t="inlineStr">
        <is>
          <t>UPPSALA LÄN</t>
        </is>
      </c>
      <c r="E476" t="inlineStr">
        <is>
          <t>ÖSTHAMMAR</t>
        </is>
      </c>
      <c r="F476" t="inlineStr">
        <is>
          <t>Bergvik skog öst AB</t>
        </is>
      </c>
      <c r="G476" t="n">
        <v>2.3</v>
      </c>
      <c r="H476" t="n">
        <v>0</v>
      </c>
      <c r="I476" t="n">
        <v>0</v>
      </c>
      <c r="J476" t="n">
        <v>0</v>
      </c>
      <c r="K476" t="n">
        <v>0</v>
      </c>
      <c r="L476" t="n">
        <v>0</v>
      </c>
      <c r="M476" t="n">
        <v>0</v>
      </c>
      <c r="N476" t="n">
        <v>0</v>
      </c>
      <c r="O476" t="n">
        <v>0</v>
      </c>
      <c r="P476" t="n">
        <v>0</v>
      </c>
      <c r="Q476" t="n">
        <v>0</v>
      </c>
      <c r="R476" s="2" t="inlineStr"/>
    </row>
    <row r="477" ht="15" customHeight="1">
      <c r="A477" t="inlineStr">
        <is>
          <t>A 60577-2021</t>
        </is>
      </c>
      <c r="B477" s="1" t="n">
        <v>44496.57019675926</v>
      </c>
      <c r="C477" s="1" t="n">
        <v>45934</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17867-2024</t>
        </is>
      </c>
      <c r="B478" s="1" t="n">
        <v>45419.44106481481</v>
      </c>
      <c r="C478" s="1" t="n">
        <v>45934</v>
      </c>
      <c r="D478" t="inlineStr">
        <is>
          <t>UPPSALA LÄN</t>
        </is>
      </c>
      <c r="E478" t="inlineStr">
        <is>
          <t>ÖSTHAMMAR</t>
        </is>
      </c>
      <c r="G478" t="n">
        <v>7.2</v>
      </c>
      <c r="H478" t="n">
        <v>0</v>
      </c>
      <c r="I478" t="n">
        <v>0</v>
      </c>
      <c r="J478" t="n">
        <v>0</v>
      </c>
      <c r="K478" t="n">
        <v>0</v>
      </c>
      <c r="L478" t="n">
        <v>0</v>
      </c>
      <c r="M478" t="n">
        <v>0</v>
      </c>
      <c r="N478" t="n">
        <v>0</v>
      </c>
      <c r="O478" t="n">
        <v>0</v>
      </c>
      <c r="P478" t="n">
        <v>0</v>
      </c>
      <c r="Q478" t="n">
        <v>0</v>
      </c>
      <c r="R478" s="2" t="inlineStr"/>
    </row>
    <row r="479" ht="15" customHeight="1">
      <c r="A479" t="inlineStr">
        <is>
          <t>A 4228-2023</t>
        </is>
      </c>
      <c r="B479" s="1" t="n">
        <v>44953.48179398148</v>
      </c>
      <c r="C479" s="1" t="n">
        <v>45934</v>
      </c>
      <c r="D479" t="inlineStr">
        <is>
          <t>UPPSALA LÄN</t>
        </is>
      </c>
      <c r="E479" t="inlineStr">
        <is>
          <t>ÖSTHAMMAR</t>
        </is>
      </c>
      <c r="G479" t="n">
        <v>1</v>
      </c>
      <c r="H479" t="n">
        <v>0</v>
      </c>
      <c r="I479" t="n">
        <v>0</v>
      </c>
      <c r="J479" t="n">
        <v>0</v>
      </c>
      <c r="K479" t="n">
        <v>0</v>
      </c>
      <c r="L479" t="n">
        <v>0</v>
      </c>
      <c r="M479" t="n">
        <v>0</v>
      </c>
      <c r="N479" t="n">
        <v>0</v>
      </c>
      <c r="O479" t="n">
        <v>0</v>
      </c>
      <c r="P479" t="n">
        <v>0</v>
      </c>
      <c r="Q479" t="n">
        <v>0</v>
      </c>
      <c r="R479" s="2" t="inlineStr"/>
    </row>
    <row r="480" ht="15" customHeight="1">
      <c r="A480" t="inlineStr">
        <is>
          <t>A 14433-2024</t>
        </is>
      </c>
      <c r="B480" s="1" t="n">
        <v>45394.46115740741</v>
      </c>
      <c r="C480" s="1" t="n">
        <v>45934</v>
      </c>
      <c r="D480" t="inlineStr">
        <is>
          <t>UPPSALA LÄN</t>
        </is>
      </c>
      <c r="E480" t="inlineStr">
        <is>
          <t>ÖSTHAMMAR</t>
        </is>
      </c>
      <c r="G480" t="n">
        <v>1.2</v>
      </c>
      <c r="H480" t="n">
        <v>0</v>
      </c>
      <c r="I480" t="n">
        <v>0</v>
      </c>
      <c r="J480" t="n">
        <v>0</v>
      </c>
      <c r="K480" t="n">
        <v>0</v>
      </c>
      <c r="L480" t="n">
        <v>0</v>
      </c>
      <c r="M480" t="n">
        <v>0</v>
      </c>
      <c r="N480" t="n">
        <v>0</v>
      </c>
      <c r="O480" t="n">
        <v>0</v>
      </c>
      <c r="P480" t="n">
        <v>0</v>
      </c>
      <c r="Q480" t="n">
        <v>0</v>
      </c>
      <c r="R480" s="2" t="inlineStr"/>
    </row>
    <row r="481" ht="15" customHeight="1">
      <c r="A481" t="inlineStr">
        <is>
          <t>A 10495-2025</t>
        </is>
      </c>
      <c r="B481" s="1" t="n">
        <v>45721</v>
      </c>
      <c r="C481" s="1" t="n">
        <v>45934</v>
      </c>
      <c r="D481" t="inlineStr">
        <is>
          <t>UPPSALA LÄN</t>
        </is>
      </c>
      <c r="E481" t="inlineStr">
        <is>
          <t>ÖSTHAMMAR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36301-2023</t>
        </is>
      </c>
      <c r="B482" s="1" t="n">
        <v>45152.37296296296</v>
      </c>
      <c r="C482" s="1" t="n">
        <v>45934</v>
      </c>
      <c r="D482" t="inlineStr">
        <is>
          <t>UPPSALA LÄN</t>
        </is>
      </c>
      <c r="E482" t="inlineStr">
        <is>
          <t>ÖSTHAMMAR</t>
        </is>
      </c>
      <c r="G482" t="n">
        <v>0.9</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45934</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20038-2023</t>
        </is>
      </c>
      <c r="B484" s="1" t="n">
        <v>45054.65834490741</v>
      </c>
      <c r="C484" s="1" t="n">
        <v>45934</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15031-2025</t>
        </is>
      </c>
      <c r="B485" s="1" t="n">
        <v>45743.67333333333</v>
      </c>
      <c r="C485" s="1" t="n">
        <v>45934</v>
      </c>
      <c r="D485" t="inlineStr">
        <is>
          <t>UPPSALA LÄN</t>
        </is>
      </c>
      <c r="E485" t="inlineStr">
        <is>
          <t>ÖSTHAMMAR</t>
        </is>
      </c>
      <c r="G485" t="n">
        <v>9.6</v>
      </c>
      <c r="H485" t="n">
        <v>0</v>
      </c>
      <c r="I485" t="n">
        <v>0</v>
      </c>
      <c r="J485" t="n">
        <v>0</v>
      </c>
      <c r="K485" t="n">
        <v>0</v>
      </c>
      <c r="L485" t="n">
        <v>0</v>
      </c>
      <c r="M485" t="n">
        <v>0</v>
      </c>
      <c r="N485" t="n">
        <v>0</v>
      </c>
      <c r="O485" t="n">
        <v>0</v>
      </c>
      <c r="P485" t="n">
        <v>0</v>
      </c>
      <c r="Q485" t="n">
        <v>0</v>
      </c>
      <c r="R485" s="2" t="inlineStr"/>
    </row>
    <row r="486" ht="15" customHeight="1">
      <c r="A486" t="inlineStr">
        <is>
          <t>A 13738-2023</t>
        </is>
      </c>
      <c r="B486" s="1" t="n">
        <v>45007.37081018519</v>
      </c>
      <c r="C486" s="1" t="n">
        <v>45934</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7195-2023</t>
        </is>
      </c>
      <c r="B487" s="1" t="n">
        <v>44970</v>
      </c>
      <c r="C487" s="1" t="n">
        <v>45934</v>
      </c>
      <c r="D487" t="inlineStr">
        <is>
          <t>UPPSALA LÄN</t>
        </is>
      </c>
      <c r="E487" t="inlineStr">
        <is>
          <t>ÖSTHAMMAR</t>
        </is>
      </c>
      <c r="G487" t="n">
        <v>1.3</v>
      </c>
      <c r="H487" t="n">
        <v>0</v>
      </c>
      <c r="I487" t="n">
        <v>0</v>
      </c>
      <c r="J487" t="n">
        <v>0</v>
      </c>
      <c r="K487" t="n">
        <v>0</v>
      </c>
      <c r="L487" t="n">
        <v>0</v>
      </c>
      <c r="M487" t="n">
        <v>0</v>
      </c>
      <c r="N487" t="n">
        <v>0</v>
      </c>
      <c r="O487" t="n">
        <v>0</v>
      </c>
      <c r="P487" t="n">
        <v>0</v>
      </c>
      <c r="Q487" t="n">
        <v>0</v>
      </c>
      <c r="R487" s="2" t="inlineStr"/>
    </row>
    <row r="488" ht="15" customHeight="1">
      <c r="A488" t="inlineStr">
        <is>
          <t>A 26774-2023</t>
        </is>
      </c>
      <c r="B488" s="1" t="n">
        <v>45093.47947916666</v>
      </c>
      <c r="C488" s="1" t="n">
        <v>45934</v>
      </c>
      <c r="D488" t="inlineStr">
        <is>
          <t>UPPSALA LÄN</t>
        </is>
      </c>
      <c r="E488" t="inlineStr">
        <is>
          <t>ÖSTHAMMAR</t>
        </is>
      </c>
      <c r="F488" t="inlineStr">
        <is>
          <t>Bergvik skog öst AB</t>
        </is>
      </c>
      <c r="G488" t="n">
        <v>2.1</v>
      </c>
      <c r="H488" t="n">
        <v>0</v>
      </c>
      <c r="I488" t="n">
        <v>0</v>
      </c>
      <c r="J488" t="n">
        <v>0</v>
      </c>
      <c r="K488" t="n">
        <v>0</v>
      </c>
      <c r="L488" t="n">
        <v>0</v>
      </c>
      <c r="M488" t="n">
        <v>0</v>
      </c>
      <c r="N488" t="n">
        <v>0</v>
      </c>
      <c r="O488" t="n">
        <v>0</v>
      </c>
      <c r="P488" t="n">
        <v>0</v>
      </c>
      <c r="Q488" t="n">
        <v>0</v>
      </c>
      <c r="R488" s="2" t="inlineStr"/>
    </row>
    <row r="489" ht="15" customHeight="1">
      <c r="A489" t="inlineStr">
        <is>
          <t>A 49796-2024</t>
        </is>
      </c>
      <c r="B489" s="1" t="n">
        <v>45597</v>
      </c>
      <c r="C489" s="1" t="n">
        <v>45934</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43439-2024</t>
        </is>
      </c>
      <c r="B490" s="1" t="n">
        <v>45568</v>
      </c>
      <c r="C490" s="1" t="n">
        <v>45934</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5076-2025</t>
        </is>
      </c>
      <c r="B491" s="1" t="n">
        <v>45691</v>
      </c>
      <c r="C491" s="1" t="n">
        <v>45934</v>
      </c>
      <c r="D491" t="inlineStr">
        <is>
          <t>UPPSALA LÄN</t>
        </is>
      </c>
      <c r="E491" t="inlineStr">
        <is>
          <t>ÖSTHAMMAR</t>
        </is>
      </c>
      <c r="G491" t="n">
        <v>5.8</v>
      </c>
      <c r="H491" t="n">
        <v>0</v>
      </c>
      <c r="I491" t="n">
        <v>0</v>
      </c>
      <c r="J491" t="n">
        <v>0</v>
      </c>
      <c r="K491" t="n">
        <v>0</v>
      </c>
      <c r="L491" t="n">
        <v>0</v>
      </c>
      <c r="M491" t="n">
        <v>0</v>
      </c>
      <c r="N491" t="n">
        <v>0</v>
      </c>
      <c r="O491" t="n">
        <v>0</v>
      </c>
      <c r="P491" t="n">
        <v>0</v>
      </c>
      <c r="Q491" t="n">
        <v>0</v>
      </c>
      <c r="R491" s="2" t="inlineStr"/>
    </row>
    <row r="492" ht="15" customHeight="1">
      <c r="A492" t="inlineStr">
        <is>
          <t>A 21133-2025</t>
        </is>
      </c>
      <c r="B492" s="1" t="n">
        <v>45778.415625</v>
      </c>
      <c r="C492" s="1" t="n">
        <v>45934</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21132-2025</t>
        </is>
      </c>
      <c r="B493" s="1" t="n">
        <v>45778.4108912037</v>
      </c>
      <c r="C493" s="1" t="n">
        <v>45934</v>
      </c>
      <c r="D493" t="inlineStr">
        <is>
          <t>UPPSALA LÄN</t>
        </is>
      </c>
      <c r="E493" t="inlineStr">
        <is>
          <t>ÖSTHAMMAR</t>
        </is>
      </c>
      <c r="G493" t="n">
        <v>10.1</v>
      </c>
      <c r="H493" t="n">
        <v>0</v>
      </c>
      <c r="I493" t="n">
        <v>0</v>
      </c>
      <c r="J493" t="n">
        <v>0</v>
      </c>
      <c r="K493" t="n">
        <v>0</v>
      </c>
      <c r="L493" t="n">
        <v>0</v>
      </c>
      <c r="M493" t="n">
        <v>0</v>
      </c>
      <c r="N493" t="n">
        <v>0</v>
      </c>
      <c r="O493" t="n">
        <v>0</v>
      </c>
      <c r="P493" t="n">
        <v>0</v>
      </c>
      <c r="Q493" t="n">
        <v>0</v>
      </c>
      <c r="R493" s="2" t="inlineStr"/>
    </row>
    <row r="494" ht="15" customHeight="1">
      <c r="A494" t="inlineStr">
        <is>
          <t>A 17644-2025</t>
        </is>
      </c>
      <c r="B494" s="1" t="n">
        <v>45758.32645833334</v>
      </c>
      <c r="C494" s="1" t="n">
        <v>45934</v>
      </c>
      <c r="D494" t="inlineStr">
        <is>
          <t>UPPSALA LÄN</t>
        </is>
      </c>
      <c r="E494" t="inlineStr">
        <is>
          <t>ÖSTHAMMAR</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20324-2021</t>
        </is>
      </c>
      <c r="B495" s="1" t="n">
        <v>44308</v>
      </c>
      <c r="C495" s="1" t="n">
        <v>45934</v>
      </c>
      <c r="D495" t="inlineStr">
        <is>
          <t>UPPSALA LÄN</t>
        </is>
      </c>
      <c r="E495" t="inlineStr">
        <is>
          <t>ÖSTHAMMAR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17652-2025</t>
        </is>
      </c>
      <c r="B496" s="1" t="n">
        <v>45758.33583333333</v>
      </c>
      <c r="C496" s="1" t="n">
        <v>45934</v>
      </c>
      <c r="D496" t="inlineStr">
        <is>
          <t>UPPSALA LÄN</t>
        </is>
      </c>
      <c r="E496" t="inlineStr">
        <is>
          <t>ÖSTHAMMAR</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42262-2024</t>
        </is>
      </c>
      <c r="B497" s="1" t="n">
        <v>45562</v>
      </c>
      <c r="C497" s="1" t="n">
        <v>45934</v>
      </c>
      <c r="D497" t="inlineStr">
        <is>
          <t>UPPSALA LÄN</t>
        </is>
      </c>
      <c r="E497" t="inlineStr">
        <is>
          <t>ÖSTHAMMAR</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6120-2024</t>
        </is>
      </c>
      <c r="B498" s="1" t="n">
        <v>45337.41784722222</v>
      </c>
      <c r="C498" s="1" t="n">
        <v>45934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12528-2024</t>
        </is>
      </c>
      <c r="B499" s="1" t="n">
        <v>45379.61878472222</v>
      </c>
      <c r="C499" s="1" t="n">
        <v>45934</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10290-2025</t>
        </is>
      </c>
      <c r="B500" s="1" t="n">
        <v>45720.41847222222</v>
      </c>
      <c r="C500" s="1" t="n">
        <v>45934</v>
      </c>
      <c r="D500" t="inlineStr">
        <is>
          <t>UPPSALA LÄN</t>
        </is>
      </c>
      <c r="E500" t="inlineStr">
        <is>
          <t>ÖSTHAMMAR</t>
        </is>
      </c>
      <c r="G500" t="n">
        <v>8.6</v>
      </c>
      <c r="H500" t="n">
        <v>0</v>
      </c>
      <c r="I500" t="n">
        <v>0</v>
      </c>
      <c r="J500" t="n">
        <v>0</v>
      </c>
      <c r="K500" t="n">
        <v>0</v>
      </c>
      <c r="L500" t="n">
        <v>0</v>
      </c>
      <c r="M500" t="n">
        <v>0</v>
      </c>
      <c r="N500" t="n">
        <v>0</v>
      </c>
      <c r="O500" t="n">
        <v>0</v>
      </c>
      <c r="P500" t="n">
        <v>0</v>
      </c>
      <c r="Q500" t="n">
        <v>0</v>
      </c>
      <c r="R500" s="2" t="inlineStr"/>
    </row>
    <row r="501" ht="15" customHeight="1">
      <c r="A501" t="inlineStr">
        <is>
          <t>A 17022-2021</t>
        </is>
      </c>
      <c r="B501" s="1" t="n">
        <v>44295.65875</v>
      </c>
      <c r="C501" s="1" t="n">
        <v>45934</v>
      </c>
      <c r="D501" t="inlineStr">
        <is>
          <t>UPPSALA LÄN</t>
        </is>
      </c>
      <c r="E501" t="inlineStr">
        <is>
          <t>ÖSTHAMMAR</t>
        </is>
      </c>
      <c r="F501" t="inlineStr">
        <is>
          <t>Bergvik skog öst AB</t>
        </is>
      </c>
      <c r="G501" t="n">
        <v>0.3</v>
      </c>
      <c r="H501" t="n">
        <v>0</v>
      </c>
      <c r="I501" t="n">
        <v>0</v>
      </c>
      <c r="J501" t="n">
        <v>0</v>
      </c>
      <c r="K501" t="n">
        <v>0</v>
      </c>
      <c r="L501" t="n">
        <v>0</v>
      </c>
      <c r="M501" t="n">
        <v>0</v>
      </c>
      <c r="N501" t="n">
        <v>0</v>
      </c>
      <c r="O501" t="n">
        <v>0</v>
      </c>
      <c r="P501" t="n">
        <v>0</v>
      </c>
      <c r="Q501" t="n">
        <v>0</v>
      </c>
      <c r="R501" s="2" t="inlineStr"/>
    </row>
    <row r="502" ht="15" customHeight="1">
      <c r="A502" t="inlineStr">
        <is>
          <t>A 357-2025</t>
        </is>
      </c>
      <c r="B502" s="1" t="n">
        <v>45659</v>
      </c>
      <c r="C502" s="1" t="n">
        <v>45934</v>
      </c>
      <c r="D502" t="inlineStr">
        <is>
          <t>UPPSALA LÄN</t>
        </is>
      </c>
      <c r="E502" t="inlineStr">
        <is>
          <t>ÖSTHAMMAR</t>
        </is>
      </c>
      <c r="G502" t="n">
        <v>15.8</v>
      </c>
      <c r="H502" t="n">
        <v>0</v>
      </c>
      <c r="I502" t="n">
        <v>0</v>
      </c>
      <c r="J502" t="n">
        <v>0</v>
      </c>
      <c r="K502" t="n">
        <v>0</v>
      </c>
      <c r="L502" t="n">
        <v>0</v>
      </c>
      <c r="M502" t="n">
        <v>0</v>
      </c>
      <c r="N502" t="n">
        <v>0</v>
      </c>
      <c r="O502" t="n">
        <v>0</v>
      </c>
      <c r="P502" t="n">
        <v>0</v>
      </c>
      <c r="Q502" t="n">
        <v>0</v>
      </c>
      <c r="R502" s="2" t="inlineStr"/>
    </row>
    <row r="503" ht="15" customHeight="1">
      <c r="A503" t="inlineStr">
        <is>
          <t>A 11469-2023</t>
        </is>
      </c>
      <c r="B503" s="1" t="n">
        <v>44993.60099537037</v>
      </c>
      <c r="C503" s="1" t="n">
        <v>45934</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9267-2024</t>
        </is>
      </c>
      <c r="B504" s="1" t="n">
        <v>45358</v>
      </c>
      <c r="C504" s="1" t="n">
        <v>45934</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33601-2024</t>
        </is>
      </c>
      <c r="B505" s="1" t="n">
        <v>45520</v>
      </c>
      <c r="C505" s="1" t="n">
        <v>45934</v>
      </c>
      <c r="D505" t="inlineStr">
        <is>
          <t>UPPSALA LÄN</t>
        </is>
      </c>
      <c r="E505" t="inlineStr">
        <is>
          <t>ÖSTHAMMAR</t>
        </is>
      </c>
      <c r="F505" t="inlineStr">
        <is>
          <t>Övriga Aktiebolag</t>
        </is>
      </c>
      <c r="G505" t="n">
        <v>2.5</v>
      </c>
      <c r="H505" t="n">
        <v>0</v>
      </c>
      <c r="I505" t="n">
        <v>0</v>
      </c>
      <c r="J505" t="n">
        <v>0</v>
      </c>
      <c r="K505" t="n">
        <v>0</v>
      </c>
      <c r="L505" t="n">
        <v>0</v>
      </c>
      <c r="M505" t="n">
        <v>0</v>
      </c>
      <c r="N505" t="n">
        <v>0</v>
      </c>
      <c r="O505" t="n">
        <v>0</v>
      </c>
      <c r="P505" t="n">
        <v>0</v>
      </c>
      <c r="Q505" t="n">
        <v>0</v>
      </c>
      <c r="R505" s="2" t="inlineStr"/>
    </row>
    <row r="506" ht="15" customHeight="1">
      <c r="A506" t="inlineStr">
        <is>
          <t>A 25418-2022</t>
        </is>
      </c>
      <c r="B506" s="1" t="n">
        <v>44732.464375</v>
      </c>
      <c r="C506" s="1" t="n">
        <v>45934</v>
      </c>
      <c r="D506" t="inlineStr">
        <is>
          <t>UPPSALA LÄN</t>
        </is>
      </c>
      <c r="E506" t="inlineStr">
        <is>
          <t>ÖSTHAMMAR</t>
        </is>
      </c>
      <c r="G506" t="n">
        <v>2.8</v>
      </c>
      <c r="H506" t="n">
        <v>0</v>
      </c>
      <c r="I506" t="n">
        <v>0</v>
      </c>
      <c r="J506" t="n">
        <v>0</v>
      </c>
      <c r="K506" t="n">
        <v>0</v>
      </c>
      <c r="L506" t="n">
        <v>0</v>
      </c>
      <c r="M506" t="n">
        <v>0</v>
      </c>
      <c r="N506" t="n">
        <v>0</v>
      </c>
      <c r="O506" t="n">
        <v>0</v>
      </c>
      <c r="P506" t="n">
        <v>0</v>
      </c>
      <c r="Q506" t="n">
        <v>0</v>
      </c>
      <c r="R506" s="2" t="inlineStr"/>
    </row>
    <row r="507" ht="15" customHeight="1">
      <c r="A507" t="inlineStr">
        <is>
          <t>A 36954-2024</t>
        </is>
      </c>
      <c r="B507" s="1" t="n">
        <v>45538.71109953704</v>
      </c>
      <c r="C507" s="1" t="n">
        <v>45934</v>
      </c>
      <c r="D507" t="inlineStr">
        <is>
          <t>UPPSALA LÄN</t>
        </is>
      </c>
      <c r="E507" t="inlineStr">
        <is>
          <t>ÖSTHAMMAR</t>
        </is>
      </c>
      <c r="F507" t="inlineStr">
        <is>
          <t>Bergvik skog öst AB</t>
        </is>
      </c>
      <c r="G507" t="n">
        <v>5.1</v>
      </c>
      <c r="H507" t="n">
        <v>0</v>
      </c>
      <c r="I507" t="n">
        <v>0</v>
      </c>
      <c r="J507" t="n">
        <v>0</v>
      </c>
      <c r="K507" t="n">
        <v>0</v>
      </c>
      <c r="L507" t="n">
        <v>0</v>
      </c>
      <c r="M507" t="n">
        <v>0</v>
      </c>
      <c r="N507" t="n">
        <v>0</v>
      </c>
      <c r="O507" t="n">
        <v>0</v>
      </c>
      <c r="P507" t="n">
        <v>0</v>
      </c>
      <c r="Q507" t="n">
        <v>0</v>
      </c>
      <c r="R507" s="2" t="inlineStr"/>
    </row>
    <row r="508" ht="15" customHeight="1">
      <c r="A508" t="inlineStr">
        <is>
          <t>A 33685-2024</t>
        </is>
      </c>
      <c r="B508" s="1" t="n">
        <v>45520.51063657407</v>
      </c>
      <c r="C508" s="1" t="n">
        <v>45934</v>
      </c>
      <c r="D508" t="inlineStr">
        <is>
          <t>UPPSALA LÄN</t>
        </is>
      </c>
      <c r="E508" t="inlineStr">
        <is>
          <t>ÖSTHAMMAR</t>
        </is>
      </c>
      <c r="F508" t="inlineStr">
        <is>
          <t>Bergvik skog öst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43655-2024</t>
        </is>
      </c>
      <c r="B509" s="1" t="n">
        <v>45569</v>
      </c>
      <c r="C509" s="1" t="n">
        <v>45934</v>
      </c>
      <c r="D509" t="inlineStr">
        <is>
          <t>UPPSALA LÄN</t>
        </is>
      </c>
      <c r="E509" t="inlineStr">
        <is>
          <t>ÖSTHAMMAR</t>
        </is>
      </c>
      <c r="G509" t="n">
        <v>2.1</v>
      </c>
      <c r="H509" t="n">
        <v>0</v>
      </c>
      <c r="I509" t="n">
        <v>0</v>
      </c>
      <c r="J509" t="n">
        <v>0</v>
      </c>
      <c r="K509" t="n">
        <v>0</v>
      </c>
      <c r="L509" t="n">
        <v>0</v>
      </c>
      <c r="M509" t="n">
        <v>0</v>
      </c>
      <c r="N509" t="n">
        <v>0</v>
      </c>
      <c r="O509" t="n">
        <v>0</v>
      </c>
      <c r="P509" t="n">
        <v>0</v>
      </c>
      <c r="Q509" t="n">
        <v>0</v>
      </c>
      <c r="R509" s="2" t="inlineStr"/>
    </row>
    <row r="510" ht="15" customHeight="1">
      <c r="A510" t="inlineStr">
        <is>
          <t>A 22488-2025</t>
        </is>
      </c>
      <c r="B510" s="1" t="n">
        <v>45786.64865740741</v>
      </c>
      <c r="C510" s="1" t="n">
        <v>45934</v>
      </c>
      <c r="D510" t="inlineStr">
        <is>
          <t>UPPSALA LÄN</t>
        </is>
      </c>
      <c r="E510" t="inlineStr">
        <is>
          <t>ÖSTHAMMAR</t>
        </is>
      </c>
      <c r="F510" t="inlineStr">
        <is>
          <t>Bergvik skog öst AB</t>
        </is>
      </c>
      <c r="G510" t="n">
        <v>14.9</v>
      </c>
      <c r="H510" t="n">
        <v>0</v>
      </c>
      <c r="I510" t="n">
        <v>0</v>
      </c>
      <c r="J510" t="n">
        <v>0</v>
      </c>
      <c r="K510" t="n">
        <v>0</v>
      </c>
      <c r="L510" t="n">
        <v>0</v>
      </c>
      <c r="M510" t="n">
        <v>0</v>
      </c>
      <c r="N510" t="n">
        <v>0</v>
      </c>
      <c r="O510" t="n">
        <v>0</v>
      </c>
      <c r="P510" t="n">
        <v>0</v>
      </c>
      <c r="Q510" t="n">
        <v>0</v>
      </c>
      <c r="R510" s="2" t="inlineStr"/>
    </row>
    <row r="511" ht="15" customHeight="1">
      <c r="A511" t="inlineStr">
        <is>
          <t>A 14595-2023</t>
        </is>
      </c>
      <c r="B511" s="1" t="n">
        <v>45013.57858796296</v>
      </c>
      <c r="C511" s="1" t="n">
        <v>45934</v>
      </c>
      <c r="D511" t="inlineStr">
        <is>
          <t>UPPSALA LÄN</t>
        </is>
      </c>
      <c r="E511" t="inlineStr">
        <is>
          <t>ÖSTHAMMAR</t>
        </is>
      </c>
      <c r="G511" t="n">
        <v>5</v>
      </c>
      <c r="H511" t="n">
        <v>0</v>
      </c>
      <c r="I511" t="n">
        <v>0</v>
      </c>
      <c r="J511" t="n">
        <v>0</v>
      </c>
      <c r="K511" t="n">
        <v>0</v>
      </c>
      <c r="L511" t="n">
        <v>0</v>
      </c>
      <c r="M511" t="n">
        <v>0</v>
      </c>
      <c r="N511" t="n">
        <v>0</v>
      </c>
      <c r="O511" t="n">
        <v>0</v>
      </c>
      <c r="P511" t="n">
        <v>0</v>
      </c>
      <c r="Q511" t="n">
        <v>0</v>
      </c>
      <c r="R511" s="2" t="inlineStr"/>
    </row>
    <row r="512" ht="15" customHeight="1">
      <c r="A512" t="inlineStr">
        <is>
          <t>A 32483-2024</t>
        </is>
      </c>
      <c r="B512" s="1" t="n">
        <v>45513.36644675926</v>
      </c>
      <c r="C512" s="1" t="n">
        <v>45934</v>
      </c>
      <c r="D512" t="inlineStr">
        <is>
          <t>UPPSALA LÄN</t>
        </is>
      </c>
      <c r="E512" t="inlineStr">
        <is>
          <t>ÖSTHAMMAR</t>
        </is>
      </c>
      <c r="F512" t="inlineStr">
        <is>
          <t>Kyrkan</t>
        </is>
      </c>
      <c r="G512" t="n">
        <v>4.7</v>
      </c>
      <c r="H512" t="n">
        <v>0</v>
      </c>
      <c r="I512" t="n">
        <v>0</v>
      </c>
      <c r="J512" t="n">
        <v>0</v>
      </c>
      <c r="K512" t="n">
        <v>0</v>
      </c>
      <c r="L512" t="n">
        <v>0</v>
      </c>
      <c r="M512" t="n">
        <v>0</v>
      </c>
      <c r="N512" t="n">
        <v>0</v>
      </c>
      <c r="O512" t="n">
        <v>0</v>
      </c>
      <c r="P512" t="n">
        <v>0</v>
      </c>
      <c r="Q512" t="n">
        <v>0</v>
      </c>
      <c r="R512" s="2" t="inlineStr"/>
    </row>
    <row r="513" ht="15" customHeight="1">
      <c r="A513" t="inlineStr">
        <is>
          <t>A 38575-2024</t>
        </is>
      </c>
      <c r="B513" s="1" t="n">
        <v>45546.64221064815</v>
      </c>
      <c r="C513" s="1" t="n">
        <v>45934</v>
      </c>
      <c r="D513" t="inlineStr">
        <is>
          <t>UPPSALA LÄN</t>
        </is>
      </c>
      <c r="E513" t="inlineStr">
        <is>
          <t>ÖSTHAMMAR</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43685-2024</t>
        </is>
      </c>
      <c r="B514" s="1" t="n">
        <v>45569</v>
      </c>
      <c r="C514" s="1" t="n">
        <v>45934</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44796-2024</t>
        </is>
      </c>
      <c r="B515" s="1" t="n">
        <v>45574</v>
      </c>
      <c r="C515" s="1" t="n">
        <v>45934</v>
      </c>
      <c r="D515" t="inlineStr">
        <is>
          <t>UPPSALA LÄN</t>
        </is>
      </c>
      <c r="E515" t="inlineStr">
        <is>
          <t>ÖSTHAMMAR</t>
        </is>
      </c>
      <c r="G515" t="n">
        <v>4.7</v>
      </c>
      <c r="H515" t="n">
        <v>0</v>
      </c>
      <c r="I515" t="n">
        <v>0</v>
      </c>
      <c r="J515" t="n">
        <v>0</v>
      </c>
      <c r="K515" t="n">
        <v>0</v>
      </c>
      <c r="L515" t="n">
        <v>0</v>
      </c>
      <c r="M515" t="n">
        <v>0</v>
      </c>
      <c r="N515" t="n">
        <v>0</v>
      </c>
      <c r="O515" t="n">
        <v>0</v>
      </c>
      <c r="P515" t="n">
        <v>0</v>
      </c>
      <c r="Q515" t="n">
        <v>0</v>
      </c>
      <c r="R515" s="2" t="inlineStr"/>
    </row>
    <row r="516" ht="15" customHeight="1">
      <c r="A516" t="inlineStr">
        <is>
          <t>A 14859-2025</t>
        </is>
      </c>
      <c r="B516" s="1" t="n">
        <v>45743.42427083333</v>
      </c>
      <c r="C516" s="1" t="n">
        <v>45934</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44027-2024</t>
        </is>
      </c>
      <c r="B517" s="1" t="n">
        <v>45572</v>
      </c>
      <c r="C517" s="1" t="n">
        <v>45934</v>
      </c>
      <c r="D517" t="inlineStr">
        <is>
          <t>UPPSALA LÄN</t>
        </is>
      </c>
      <c r="E517" t="inlineStr">
        <is>
          <t>ÖSTHAMMAR</t>
        </is>
      </c>
      <c r="G517" t="n">
        <v>6</v>
      </c>
      <c r="H517" t="n">
        <v>0</v>
      </c>
      <c r="I517" t="n">
        <v>0</v>
      </c>
      <c r="J517" t="n">
        <v>0</v>
      </c>
      <c r="K517" t="n">
        <v>0</v>
      </c>
      <c r="L517" t="n">
        <v>0</v>
      </c>
      <c r="M517" t="n">
        <v>0</v>
      </c>
      <c r="N517" t="n">
        <v>0</v>
      </c>
      <c r="O517" t="n">
        <v>0</v>
      </c>
      <c r="P517" t="n">
        <v>0</v>
      </c>
      <c r="Q517" t="n">
        <v>0</v>
      </c>
      <c r="R517" s="2" t="inlineStr"/>
    </row>
    <row r="518" ht="15" customHeight="1">
      <c r="A518" t="inlineStr">
        <is>
          <t>A 5931-2022</t>
        </is>
      </c>
      <c r="B518" s="1" t="n">
        <v>44598.82700231481</v>
      </c>
      <c r="C518" s="1" t="n">
        <v>45934</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14671-2022</t>
        </is>
      </c>
      <c r="B519" s="1" t="n">
        <v>44655.80475694445</v>
      </c>
      <c r="C519" s="1" t="n">
        <v>45934</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43683-2024</t>
        </is>
      </c>
      <c r="B520" s="1" t="n">
        <v>45569.57518518518</v>
      </c>
      <c r="C520" s="1" t="n">
        <v>45934</v>
      </c>
      <c r="D520" t="inlineStr">
        <is>
          <t>UPPSALA LÄN</t>
        </is>
      </c>
      <c r="E520" t="inlineStr">
        <is>
          <t>ÖSTHAMMAR</t>
        </is>
      </c>
      <c r="G520" t="n">
        <v>4.7</v>
      </c>
      <c r="H520" t="n">
        <v>0</v>
      </c>
      <c r="I520" t="n">
        <v>0</v>
      </c>
      <c r="J520" t="n">
        <v>0</v>
      </c>
      <c r="K520" t="n">
        <v>0</v>
      </c>
      <c r="L520" t="n">
        <v>0</v>
      </c>
      <c r="M520" t="n">
        <v>0</v>
      </c>
      <c r="N520" t="n">
        <v>0</v>
      </c>
      <c r="O520" t="n">
        <v>0</v>
      </c>
      <c r="P520" t="n">
        <v>0</v>
      </c>
      <c r="Q520" t="n">
        <v>0</v>
      </c>
      <c r="R520" s="2" t="inlineStr"/>
    </row>
    <row r="521" ht="15" customHeight="1">
      <c r="A521" t="inlineStr">
        <is>
          <t>A 43993-2024</t>
        </is>
      </c>
      <c r="B521" s="1" t="n">
        <v>45572.52690972222</v>
      </c>
      <c r="C521" s="1" t="n">
        <v>45934</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46399-2023</t>
        </is>
      </c>
      <c r="B522" s="1" t="n">
        <v>45197.49262731482</v>
      </c>
      <c r="C522" s="1" t="n">
        <v>45934</v>
      </c>
      <c r="D522" t="inlineStr">
        <is>
          <t>UPPSALA LÄN</t>
        </is>
      </c>
      <c r="E522" t="inlineStr">
        <is>
          <t>ÖSTHAMMAR</t>
        </is>
      </c>
      <c r="G522" t="n">
        <v>5.8</v>
      </c>
      <c r="H522" t="n">
        <v>0</v>
      </c>
      <c r="I522" t="n">
        <v>0</v>
      </c>
      <c r="J522" t="n">
        <v>0</v>
      </c>
      <c r="K522" t="n">
        <v>0</v>
      </c>
      <c r="L522" t="n">
        <v>0</v>
      </c>
      <c r="M522" t="n">
        <v>0</v>
      </c>
      <c r="N522" t="n">
        <v>0</v>
      </c>
      <c r="O522" t="n">
        <v>0</v>
      </c>
      <c r="P522" t="n">
        <v>0</v>
      </c>
      <c r="Q522" t="n">
        <v>0</v>
      </c>
      <c r="R522" s="2" t="inlineStr"/>
    </row>
    <row r="523" ht="15" customHeight="1">
      <c r="A523" t="inlineStr">
        <is>
          <t>A 22492-2025</t>
        </is>
      </c>
      <c r="B523" s="1" t="n">
        <v>45786.65072916666</v>
      </c>
      <c r="C523" s="1" t="n">
        <v>45934</v>
      </c>
      <c r="D523" t="inlineStr">
        <is>
          <t>UPPSALA LÄN</t>
        </is>
      </c>
      <c r="E523" t="inlineStr">
        <is>
          <t>ÖSTHAMMAR</t>
        </is>
      </c>
      <c r="F523" t="inlineStr">
        <is>
          <t>Bergvik skog öst AB</t>
        </is>
      </c>
      <c r="G523" t="n">
        <v>16.6</v>
      </c>
      <c r="H523" t="n">
        <v>0</v>
      </c>
      <c r="I523" t="n">
        <v>0</v>
      </c>
      <c r="J523" t="n">
        <v>0</v>
      </c>
      <c r="K523" t="n">
        <v>0</v>
      </c>
      <c r="L523" t="n">
        <v>0</v>
      </c>
      <c r="M523" t="n">
        <v>0</v>
      </c>
      <c r="N523" t="n">
        <v>0</v>
      </c>
      <c r="O523" t="n">
        <v>0</v>
      </c>
      <c r="P523" t="n">
        <v>0</v>
      </c>
      <c r="Q523" t="n">
        <v>0</v>
      </c>
      <c r="R523" s="2" t="inlineStr"/>
    </row>
    <row r="524" ht="15" customHeight="1">
      <c r="A524" t="inlineStr">
        <is>
          <t>A 22483-2025</t>
        </is>
      </c>
      <c r="B524" s="1" t="n">
        <v>45786.64141203704</v>
      </c>
      <c r="C524" s="1" t="n">
        <v>45934</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59291-2023</t>
        </is>
      </c>
      <c r="B525" s="1" t="n">
        <v>45253.57559027777</v>
      </c>
      <c r="C525" s="1" t="n">
        <v>45934</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45550-2023</t>
        </is>
      </c>
      <c r="B526" s="1" t="n">
        <v>45194.57125</v>
      </c>
      <c r="C526" s="1" t="n">
        <v>45934</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15445-2022</t>
        </is>
      </c>
      <c r="B527" s="1" t="n">
        <v>44660.4987962963</v>
      </c>
      <c r="C527" s="1" t="n">
        <v>45934</v>
      </c>
      <c r="D527" t="inlineStr">
        <is>
          <t>UPPSALA LÄN</t>
        </is>
      </c>
      <c r="E527" t="inlineStr">
        <is>
          <t>ÖSTHAMMAR</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23305-2025</t>
        </is>
      </c>
      <c r="B528" s="1" t="n">
        <v>45791.60127314815</v>
      </c>
      <c r="C528" s="1" t="n">
        <v>45934</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20634-2024</t>
        </is>
      </c>
      <c r="B529" s="1" t="n">
        <v>45436</v>
      </c>
      <c r="C529" s="1" t="n">
        <v>45934</v>
      </c>
      <c r="D529" t="inlineStr">
        <is>
          <t>UPPSALA LÄN</t>
        </is>
      </c>
      <c r="E529" t="inlineStr">
        <is>
          <t>ÖSTHAMMAR</t>
        </is>
      </c>
      <c r="G529" t="n">
        <v>6.5</v>
      </c>
      <c r="H529" t="n">
        <v>0</v>
      </c>
      <c r="I529" t="n">
        <v>0</v>
      </c>
      <c r="J529" t="n">
        <v>0</v>
      </c>
      <c r="K529" t="n">
        <v>0</v>
      </c>
      <c r="L529" t="n">
        <v>0</v>
      </c>
      <c r="M529" t="n">
        <v>0</v>
      </c>
      <c r="N529" t="n">
        <v>0</v>
      </c>
      <c r="O529" t="n">
        <v>0</v>
      </c>
      <c r="P529" t="n">
        <v>0</v>
      </c>
      <c r="Q529" t="n">
        <v>0</v>
      </c>
      <c r="R529" s="2" t="inlineStr"/>
    </row>
    <row r="530" ht="15" customHeight="1">
      <c r="A530" t="inlineStr">
        <is>
          <t>A 18088-2025</t>
        </is>
      </c>
      <c r="B530" s="1" t="n">
        <v>45761.53104166667</v>
      </c>
      <c r="C530" s="1" t="n">
        <v>45934</v>
      </c>
      <c r="D530" t="inlineStr">
        <is>
          <t>UPPSALA LÄN</t>
        </is>
      </c>
      <c r="E530" t="inlineStr">
        <is>
          <t>ÖSTHAMMAR</t>
        </is>
      </c>
      <c r="F530" t="inlineStr">
        <is>
          <t>Bergvik skog öst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18095-2025</t>
        </is>
      </c>
      <c r="B531" s="1" t="n">
        <v>45761.54925925926</v>
      </c>
      <c r="C531" s="1" t="n">
        <v>45934</v>
      </c>
      <c r="D531" t="inlineStr">
        <is>
          <t>UPPSALA LÄN</t>
        </is>
      </c>
      <c r="E531" t="inlineStr">
        <is>
          <t>ÖSTHAMMAR</t>
        </is>
      </c>
      <c r="F531" t="inlineStr">
        <is>
          <t>Bergvik skog öst AB</t>
        </is>
      </c>
      <c r="G531" t="n">
        <v>1.4</v>
      </c>
      <c r="H531" t="n">
        <v>0</v>
      </c>
      <c r="I531" t="n">
        <v>0</v>
      </c>
      <c r="J531" t="n">
        <v>0</v>
      </c>
      <c r="K531" t="n">
        <v>0</v>
      </c>
      <c r="L531" t="n">
        <v>0</v>
      </c>
      <c r="M531" t="n">
        <v>0</v>
      </c>
      <c r="N531" t="n">
        <v>0</v>
      </c>
      <c r="O531" t="n">
        <v>0</v>
      </c>
      <c r="P531" t="n">
        <v>0</v>
      </c>
      <c r="Q531" t="n">
        <v>0</v>
      </c>
      <c r="R531" s="2" t="inlineStr"/>
    </row>
    <row r="532" ht="15" customHeight="1">
      <c r="A532" t="inlineStr">
        <is>
          <t>A 1584-2025</t>
        </is>
      </c>
      <c r="B532" s="1" t="n">
        <v>45670</v>
      </c>
      <c r="C532" s="1" t="n">
        <v>45934</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30972-2024</t>
        </is>
      </c>
      <c r="B533" s="1" t="n">
        <v>45499.47106481482</v>
      </c>
      <c r="C533" s="1" t="n">
        <v>45934</v>
      </c>
      <c r="D533" t="inlineStr">
        <is>
          <t>UPPSALA LÄN</t>
        </is>
      </c>
      <c r="E533" t="inlineStr">
        <is>
          <t>ÖSTHAMMAR</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24160-2024</t>
        </is>
      </c>
      <c r="B534" s="1" t="n">
        <v>45456</v>
      </c>
      <c r="C534" s="1" t="n">
        <v>45934</v>
      </c>
      <c r="D534" t="inlineStr">
        <is>
          <t>UPPSALA LÄN</t>
        </is>
      </c>
      <c r="E534" t="inlineStr">
        <is>
          <t>ÖSTHAMMAR</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61257-2022</t>
        </is>
      </c>
      <c r="B535" s="1" t="n">
        <v>44915.59418981482</v>
      </c>
      <c r="C535" s="1" t="n">
        <v>45934</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24415-2025</t>
        </is>
      </c>
      <c r="B536" s="1" t="n">
        <v>45797.67381944445</v>
      </c>
      <c r="C536" s="1" t="n">
        <v>45934</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45934</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45934</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23968-2025</t>
        </is>
      </c>
      <c r="B539" s="1" t="n">
        <v>45796</v>
      </c>
      <c r="C539" s="1" t="n">
        <v>45934</v>
      </c>
      <c r="D539" t="inlineStr">
        <is>
          <t>UPPSALA LÄN</t>
        </is>
      </c>
      <c r="E539" t="inlineStr">
        <is>
          <t>ÖSTHAMMAR</t>
        </is>
      </c>
      <c r="F539" t="inlineStr">
        <is>
          <t>Bergvik skog öst AB</t>
        </is>
      </c>
      <c r="G539" t="n">
        <v>7.5</v>
      </c>
      <c r="H539" t="n">
        <v>0</v>
      </c>
      <c r="I539" t="n">
        <v>0</v>
      </c>
      <c r="J539" t="n">
        <v>0</v>
      </c>
      <c r="K539" t="n">
        <v>0</v>
      </c>
      <c r="L539" t="n">
        <v>0</v>
      </c>
      <c r="M539" t="n">
        <v>0</v>
      </c>
      <c r="N539" t="n">
        <v>0</v>
      </c>
      <c r="O539" t="n">
        <v>0</v>
      </c>
      <c r="P539" t="n">
        <v>0</v>
      </c>
      <c r="Q539" t="n">
        <v>0</v>
      </c>
      <c r="R539" s="2" t="inlineStr"/>
    </row>
    <row r="540" ht="15" customHeight="1">
      <c r="A540" t="inlineStr">
        <is>
          <t>A 24174-2025</t>
        </is>
      </c>
      <c r="B540" s="1" t="n">
        <v>45796.69207175926</v>
      </c>
      <c r="C540" s="1" t="n">
        <v>45934</v>
      </c>
      <c r="D540" t="inlineStr">
        <is>
          <t>UPPSALA LÄN</t>
        </is>
      </c>
      <c r="E540" t="inlineStr">
        <is>
          <t>ÖSTHAMMAR</t>
        </is>
      </c>
      <c r="G540" t="n">
        <v>4.9</v>
      </c>
      <c r="H540" t="n">
        <v>0</v>
      </c>
      <c r="I540" t="n">
        <v>0</v>
      </c>
      <c r="J540" t="n">
        <v>0</v>
      </c>
      <c r="K540" t="n">
        <v>0</v>
      </c>
      <c r="L540" t="n">
        <v>0</v>
      </c>
      <c r="M540" t="n">
        <v>0</v>
      </c>
      <c r="N540" t="n">
        <v>0</v>
      </c>
      <c r="O540" t="n">
        <v>0</v>
      </c>
      <c r="P540" t="n">
        <v>0</v>
      </c>
      <c r="Q540" t="n">
        <v>0</v>
      </c>
      <c r="R540" s="2" t="inlineStr"/>
    </row>
    <row r="541" ht="15" customHeight="1">
      <c r="A541" t="inlineStr">
        <is>
          <t>A 24408-2025</t>
        </is>
      </c>
      <c r="B541" s="1" t="n">
        <v>45797.65774305556</v>
      </c>
      <c r="C541" s="1" t="n">
        <v>45934</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24606-2024</t>
        </is>
      </c>
      <c r="B542" s="1" t="n">
        <v>45460</v>
      </c>
      <c r="C542" s="1" t="n">
        <v>45934</v>
      </c>
      <c r="D542" t="inlineStr">
        <is>
          <t>UPPSALA LÄN</t>
        </is>
      </c>
      <c r="E542" t="inlineStr">
        <is>
          <t>ÖSTHAMMAR</t>
        </is>
      </c>
      <c r="F542" t="inlineStr">
        <is>
          <t>Bergvik skog öst AB</t>
        </is>
      </c>
      <c r="G542" t="n">
        <v>2.9</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45934</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25049-2025</t>
        </is>
      </c>
      <c r="B544" s="1" t="n">
        <v>45799.66876157407</v>
      </c>
      <c r="C544" s="1" t="n">
        <v>45934</v>
      </c>
      <c r="D544" t="inlineStr">
        <is>
          <t>UPPSALA LÄN</t>
        </is>
      </c>
      <c r="E544" t="inlineStr">
        <is>
          <t>ÖSTHAMMAR</t>
        </is>
      </c>
      <c r="F544" t="inlineStr">
        <is>
          <t>Bergvik skog öst AB</t>
        </is>
      </c>
      <c r="G544" t="n">
        <v>3.8</v>
      </c>
      <c r="H544" t="n">
        <v>0</v>
      </c>
      <c r="I544" t="n">
        <v>0</v>
      </c>
      <c r="J544" t="n">
        <v>0</v>
      </c>
      <c r="K544" t="n">
        <v>0</v>
      </c>
      <c r="L544" t="n">
        <v>0</v>
      </c>
      <c r="M544" t="n">
        <v>0</v>
      </c>
      <c r="N544" t="n">
        <v>0</v>
      </c>
      <c r="O544" t="n">
        <v>0</v>
      </c>
      <c r="P544" t="n">
        <v>0</v>
      </c>
      <c r="Q544" t="n">
        <v>0</v>
      </c>
      <c r="R544" s="2" t="inlineStr"/>
    </row>
    <row r="545" ht="15" customHeight="1">
      <c r="A545" t="inlineStr">
        <is>
          <t>A 32778-2023</t>
        </is>
      </c>
      <c r="B545" s="1" t="n">
        <v>45123.88789351852</v>
      </c>
      <c r="C545" s="1" t="n">
        <v>45934</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1436-2025</t>
        </is>
      </c>
      <c r="B546" s="1" t="n">
        <v>45669.67625</v>
      </c>
      <c r="C546" s="1" t="n">
        <v>45934</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1525-2025</t>
        </is>
      </c>
      <c r="B547" s="1" t="n">
        <v>45670.47300925926</v>
      </c>
      <c r="C547" s="1" t="n">
        <v>45934</v>
      </c>
      <c r="D547" t="inlineStr">
        <is>
          <t>UPPSALA LÄN</t>
        </is>
      </c>
      <c r="E547" t="inlineStr">
        <is>
          <t>ÖSTHAMMAR</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24367-2022</t>
        </is>
      </c>
      <c r="B548" s="1" t="n">
        <v>44726.42716435185</v>
      </c>
      <c r="C548" s="1" t="n">
        <v>45934</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5933-2022</t>
        </is>
      </c>
      <c r="B549" s="1" t="n">
        <v>44598.82957175926</v>
      </c>
      <c r="C549" s="1" t="n">
        <v>45934</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24944-2025</t>
        </is>
      </c>
      <c r="B550" s="1" t="n">
        <v>45799.56347222222</v>
      </c>
      <c r="C550" s="1" t="n">
        <v>45934</v>
      </c>
      <c r="D550" t="inlineStr">
        <is>
          <t>UPPSALA LÄN</t>
        </is>
      </c>
      <c r="E550" t="inlineStr">
        <is>
          <t>ÖSTHAMMAR</t>
        </is>
      </c>
      <c r="G550" t="n">
        <v>7.3</v>
      </c>
      <c r="H550" t="n">
        <v>0</v>
      </c>
      <c r="I550" t="n">
        <v>0</v>
      </c>
      <c r="J550" t="n">
        <v>0</v>
      </c>
      <c r="K550" t="n">
        <v>0</v>
      </c>
      <c r="L550" t="n">
        <v>0</v>
      </c>
      <c r="M550" t="n">
        <v>0</v>
      </c>
      <c r="N550" t="n">
        <v>0</v>
      </c>
      <c r="O550" t="n">
        <v>0</v>
      </c>
      <c r="P550" t="n">
        <v>0</v>
      </c>
      <c r="Q550" t="n">
        <v>0</v>
      </c>
      <c r="R550" s="2" t="inlineStr"/>
    </row>
    <row r="551" ht="15" customHeight="1">
      <c r="A551" t="inlineStr">
        <is>
          <t>A 64774-2023</t>
        </is>
      </c>
      <c r="B551" s="1" t="n">
        <v>45282</v>
      </c>
      <c r="C551" s="1" t="n">
        <v>45934</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12945-2025</t>
        </is>
      </c>
      <c r="B552" s="1" t="n">
        <v>45734.38159722222</v>
      </c>
      <c r="C552" s="1" t="n">
        <v>45934</v>
      </c>
      <c r="D552" t="inlineStr">
        <is>
          <t>UPPSALA LÄN</t>
        </is>
      </c>
      <c r="E552" t="inlineStr">
        <is>
          <t>ÖSTHAMMAR</t>
        </is>
      </c>
      <c r="G552" t="n">
        <v>2.1</v>
      </c>
      <c r="H552" t="n">
        <v>0</v>
      </c>
      <c r="I552" t="n">
        <v>0</v>
      </c>
      <c r="J552" t="n">
        <v>0</v>
      </c>
      <c r="K552" t="n">
        <v>0</v>
      </c>
      <c r="L552" t="n">
        <v>0</v>
      </c>
      <c r="M552" t="n">
        <v>0</v>
      </c>
      <c r="N552" t="n">
        <v>0</v>
      </c>
      <c r="O552" t="n">
        <v>0</v>
      </c>
      <c r="P552" t="n">
        <v>0</v>
      </c>
      <c r="Q552" t="n">
        <v>0</v>
      </c>
      <c r="R552" s="2" t="inlineStr"/>
    </row>
    <row r="553" ht="15" customHeight="1">
      <c r="A553" t="inlineStr">
        <is>
          <t>A 34185-2024</t>
        </is>
      </c>
      <c r="B553" s="1" t="n">
        <v>45524</v>
      </c>
      <c r="C553" s="1" t="n">
        <v>45934</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16089-2025</t>
        </is>
      </c>
      <c r="B554" s="1" t="n">
        <v>45749.84232638889</v>
      </c>
      <c r="C554" s="1" t="n">
        <v>45934</v>
      </c>
      <c r="D554" t="inlineStr">
        <is>
          <t>UPPSALA LÄN</t>
        </is>
      </c>
      <c r="E554" t="inlineStr">
        <is>
          <t>ÖSTHAMMAR</t>
        </is>
      </c>
      <c r="F554" t="inlineStr">
        <is>
          <t>Bergvik skog öst AB</t>
        </is>
      </c>
      <c r="G554" t="n">
        <v>2.6</v>
      </c>
      <c r="H554" t="n">
        <v>0</v>
      </c>
      <c r="I554" t="n">
        <v>0</v>
      </c>
      <c r="J554" t="n">
        <v>0</v>
      </c>
      <c r="K554" t="n">
        <v>0</v>
      </c>
      <c r="L554" t="n">
        <v>0</v>
      </c>
      <c r="M554" t="n">
        <v>0</v>
      </c>
      <c r="N554" t="n">
        <v>0</v>
      </c>
      <c r="O554" t="n">
        <v>0</v>
      </c>
      <c r="P554" t="n">
        <v>0</v>
      </c>
      <c r="Q554" t="n">
        <v>0</v>
      </c>
      <c r="R554" s="2" t="inlineStr"/>
    </row>
    <row r="555" ht="15" customHeight="1">
      <c r="A555" t="inlineStr">
        <is>
          <t>A 27308-2023</t>
        </is>
      </c>
      <c r="B555" s="1" t="n">
        <v>45096.65381944444</v>
      </c>
      <c r="C555" s="1" t="n">
        <v>45934</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5254-2025</t>
        </is>
      </c>
      <c r="B556" s="1" t="n">
        <v>45692</v>
      </c>
      <c r="C556" s="1" t="n">
        <v>45934</v>
      </c>
      <c r="D556" t="inlineStr">
        <is>
          <t>UPPSALA LÄN</t>
        </is>
      </c>
      <c r="E556" t="inlineStr">
        <is>
          <t>ÖSTHAMMAR</t>
        </is>
      </c>
      <c r="G556" t="n">
        <v>5</v>
      </c>
      <c r="H556" t="n">
        <v>0</v>
      </c>
      <c r="I556" t="n">
        <v>0</v>
      </c>
      <c r="J556" t="n">
        <v>0</v>
      </c>
      <c r="K556" t="n">
        <v>0</v>
      </c>
      <c r="L556" t="n">
        <v>0</v>
      </c>
      <c r="M556" t="n">
        <v>0</v>
      </c>
      <c r="N556" t="n">
        <v>0</v>
      </c>
      <c r="O556" t="n">
        <v>0</v>
      </c>
      <c r="P556" t="n">
        <v>0</v>
      </c>
      <c r="Q556" t="n">
        <v>0</v>
      </c>
      <c r="R556" s="2" t="inlineStr"/>
    </row>
    <row r="557" ht="15" customHeight="1">
      <c r="A557" t="inlineStr">
        <is>
          <t>A 59807-2020</t>
        </is>
      </c>
      <c r="B557" s="1" t="n">
        <v>44151</v>
      </c>
      <c r="C557" s="1" t="n">
        <v>45934</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29873-2023</t>
        </is>
      </c>
      <c r="B558" s="1" t="n">
        <v>45107</v>
      </c>
      <c r="C558" s="1" t="n">
        <v>45934</v>
      </c>
      <c r="D558" t="inlineStr">
        <is>
          <t>UPPSALA LÄN</t>
        </is>
      </c>
      <c r="E558" t="inlineStr">
        <is>
          <t>ÖSTHAMMAR</t>
        </is>
      </c>
      <c r="F558" t="inlineStr">
        <is>
          <t>Naturvårdsverket</t>
        </is>
      </c>
      <c r="G558" t="n">
        <v>7.8</v>
      </c>
      <c r="H558" t="n">
        <v>0</v>
      </c>
      <c r="I558" t="n">
        <v>0</v>
      </c>
      <c r="J558" t="n">
        <v>0</v>
      </c>
      <c r="K558" t="n">
        <v>0</v>
      </c>
      <c r="L558" t="n">
        <v>0</v>
      </c>
      <c r="M558" t="n">
        <v>0</v>
      </c>
      <c r="N558" t="n">
        <v>0</v>
      </c>
      <c r="O558" t="n">
        <v>0</v>
      </c>
      <c r="P558" t="n">
        <v>0</v>
      </c>
      <c r="Q558" t="n">
        <v>0</v>
      </c>
      <c r="R558" s="2" t="inlineStr"/>
    </row>
    <row r="559" ht="15" customHeight="1">
      <c r="A559" t="inlineStr">
        <is>
          <t>A 61062-2023</t>
        </is>
      </c>
      <c r="B559" s="1" t="n">
        <v>45259</v>
      </c>
      <c r="C559" s="1" t="n">
        <v>45934</v>
      </c>
      <c r="D559" t="inlineStr">
        <is>
          <t>UPPSALA LÄN</t>
        </is>
      </c>
      <c r="E559" t="inlineStr">
        <is>
          <t>ÖSTHAMMAR</t>
        </is>
      </c>
      <c r="G559" t="n">
        <v>5.3</v>
      </c>
      <c r="H559" t="n">
        <v>0</v>
      </c>
      <c r="I559" t="n">
        <v>0</v>
      </c>
      <c r="J559" t="n">
        <v>0</v>
      </c>
      <c r="K559" t="n">
        <v>0</v>
      </c>
      <c r="L559" t="n">
        <v>0</v>
      </c>
      <c r="M559" t="n">
        <v>0</v>
      </c>
      <c r="N559" t="n">
        <v>0</v>
      </c>
      <c r="O559" t="n">
        <v>0</v>
      </c>
      <c r="P559" t="n">
        <v>0</v>
      </c>
      <c r="Q559" t="n">
        <v>0</v>
      </c>
      <c r="R559" s="2" t="inlineStr"/>
    </row>
    <row r="560" ht="15" customHeight="1">
      <c r="A560" t="inlineStr">
        <is>
          <t>A 14170-2025</t>
        </is>
      </c>
      <c r="B560" s="1" t="n">
        <v>45740.51895833333</v>
      </c>
      <c r="C560" s="1" t="n">
        <v>45934</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55100-2024</t>
        </is>
      </c>
      <c r="B561" s="1" t="n">
        <v>45621.4405787037</v>
      </c>
      <c r="C561" s="1" t="n">
        <v>45934</v>
      </c>
      <c r="D561" t="inlineStr">
        <is>
          <t>UPPSALA LÄN</t>
        </is>
      </c>
      <c r="E561" t="inlineStr">
        <is>
          <t>ÖSTHAMMAR</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45632.59780092593</v>
      </c>
      <c r="C562" s="1" t="n">
        <v>45934</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45805.68263888889</v>
      </c>
      <c r="C563" s="1" t="n">
        <v>45934</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45934</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18094-2025</t>
        </is>
      </c>
      <c r="B565" s="1" t="n">
        <v>45761.54710648148</v>
      </c>
      <c r="C565" s="1" t="n">
        <v>45934</v>
      </c>
      <c r="D565" t="inlineStr">
        <is>
          <t>UPPSALA LÄN</t>
        </is>
      </c>
      <c r="E565" t="inlineStr">
        <is>
          <t>ÖSTHAMMAR</t>
        </is>
      </c>
      <c r="F565" t="inlineStr">
        <is>
          <t>Bergvik skog öst AB</t>
        </is>
      </c>
      <c r="G565" t="n">
        <v>6.5</v>
      </c>
      <c r="H565" t="n">
        <v>0</v>
      </c>
      <c r="I565" t="n">
        <v>0</v>
      </c>
      <c r="J565" t="n">
        <v>0</v>
      </c>
      <c r="K565" t="n">
        <v>0</v>
      </c>
      <c r="L565" t="n">
        <v>0</v>
      </c>
      <c r="M565" t="n">
        <v>0</v>
      </c>
      <c r="N565" t="n">
        <v>0</v>
      </c>
      <c r="O565" t="n">
        <v>0</v>
      </c>
      <c r="P565" t="n">
        <v>0</v>
      </c>
      <c r="Q565" t="n">
        <v>0</v>
      </c>
      <c r="R565" s="2" t="inlineStr"/>
    </row>
    <row r="566" ht="15" customHeight="1">
      <c r="A566" t="inlineStr">
        <is>
          <t>A 67151-2021</t>
        </is>
      </c>
      <c r="B566" s="1" t="n">
        <v>44523</v>
      </c>
      <c r="C566" s="1" t="n">
        <v>45934</v>
      </c>
      <c r="D566" t="inlineStr">
        <is>
          <t>UPPSALA LÄN</t>
        </is>
      </c>
      <c r="E566" t="inlineStr">
        <is>
          <t>ÖSTHAMMAR</t>
        </is>
      </c>
      <c r="G566" t="n">
        <v>2.4</v>
      </c>
      <c r="H566" t="n">
        <v>0</v>
      </c>
      <c r="I566" t="n">
        <v>0</v>
      </c>
      <c r="J566" t="n">
        <v>0</v>
      </c>
      <c r="K566" t="n">
        <v>0</v>
      </c>
      <c r="L566" t="n">
        <v>0</v>
      </c>
      <c r="M566" t="n">
        <v>0</v>
      </c>
      <c r="N566" t="n">
        <v>0</v>
      </c>
      <c r="O566" t="n">
        <v>0</v>
      </c>
      <c r="P566" t="n">
        <v>0</v>
      </c>
      <c r="Q566" t="n">
        <v>0</v>
      </c>
      <c r="R566" s="2" t="inlineStr"/>
    </row>
    <row r="567" ht="15" customHeight="1">
      <c r="A567" t="inlineStr">
        <is>
          <t>A 26319-2025</t>
        </is>
      </c>
      <c r="B567" s="1" t="n">
        <v>45805.65960648148</v>
      </c>
      <c r="C567" s="1" t="n">
        <v>45934</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26328-2025</t>
        </is>
      </c>
      <c r="B568" s="1" t="n">
        <v>45805.67305555556</v>
      </c>
      <c r="C568" s="1" t="n">
        <v>45934</v>
      </c>
      <c r="D568" t="inlineStr">
        <is>
          <t>UPPSALA LÄN</t>
        </is>
      </c>
      <c r="E568" t="inlineStr">
        <is>
          <t>ÖSTHAMMAR</t>
        </is>
      </c>
      <c r="G568" t="n">
        <v>1.6</v>
      </c>
      <c r="H568" t="n">
        <v>0</v>
      </c>
      <c r="I568" t="n">
        <v>0</v>
      </c>
      <c r="J568" t="n">
        <v>0</v>
      </c>
      <c r="K568" t="n">
        <v>0</v>
      </c>
      <c r="L568" t="n">
        <v>0</v>
      </c>
      <c r="M568" t="n">
        <v>0</v>
      </c>
      <c r="N568" t="n">
        <v>0</v>
      </c>
      <c r="O568" t="n">
        <v>0</v>
      </c>
      <c r="P568" t="n">
        <v>0</v>
      </c>
      <c r="Q568" t="n">
        <v>0</v>
      </c>
      <c r="R568" s="2" t="inlineStr"/>
    </row>
    <row r="569" ht="15" customHeight="1">
      <c r="A569" t="inlineStr">
        <is>
          <t>A 26055-2025</t>
        </is>
      </c>
      <c r="B569" s="1" t="n">
        <v>45804.77559027778</v>
      </c>
      <c r="C569" s="1" t="n">
        <v>45934</v>
      </c>
      <c r="D569" t="inlineStr">
        <is>
          <t>UPPSALA LÄN</t>
        </is>
      </c>
      <c r="E569" t="inlineStr">
        <is>
          <t>ÖSTHAMMAR</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9542-2023</t>
        </is>
      </c>
      <c r="B570" s="1" t="n">
        <v>44981</v>
      </c>
      <c r="C570" s="1" t="n">
        <v>45934</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44803.78524305556</v>
      </c>
      <c r="C571" s="1" t="n">
        <v>45934</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16933-2022</t>
        </is>
      </c>
      <c r="B572" s="1" t="n">
        <v>44676</v>
      </c>
      <c r="C572" s="1" t="n">
        <v>45934</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48083-2024</t>
        </is>
      </c>
      <c r="B573" s="1" t="n">
        <v>45589.58766203704</v>
      </c>
      <c r="C573" s="1" t="n">
        <v>45934</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14269-2025</t>
        </is>
      </c>
      <c r="B574" s="1" t="n">
        <v>45740.64078703704</v>
      </c>
      <c r="C574" s="1" t="n">
        <v>45934</v>
      </c>
      <c r="D574" t="inlineStr">
        <is>
          <t>UPPSALA LÄN</t>
        </is>
      </c>
      <c r="E574" t="inlineStr">
        <is>
          <t>ÖSTHAMMAR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26521-2025</t>
        </is>
      </c>
      <c r="B575" s="1" t="n">
        <v>45807.56275462963</v>
      </c>
      <c r="C575" s="1" t="n">
        <v>45934</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26526-2025</t>
        </is>
      </c>
      <c r="B576" s="1" t="n">
        <v>45807.56612268519</v>
      </c>
      <c r="C576" s="1" t="n">
        <v>45934</v>
      </c>
      <c r="D576" t="inlineStr">
        <is>
          <t>UPPSALA LÄN</t>
        </is>
      </c>
      <c r="E576" t="inlineStr">
        <is>
          <t>ÖSTHAMMAR</t>
        </is>
      </c>
      <c r="G576" t="n">
        <v>0.7</v>
      </c>
      <c r="H576" t="n">
        <v>0</v>
      </c>
      <c r="I576" t="n">
        <v>0</v>
      </c>
      <c r="J576" t="n">
        <v>0</v>
      </c>
      <c r="K576" t="n">
        <v>0</v>
      </c>
      <c r="L576" t="n">
        <v>0</v>
      </c>
      <c r="M576" t="n">
        <v>0</v>
      </c>
      <c r="N576" t="n">
        <v>0</v>
      </c>
      <c r="O576" t="n">
        <v>0</v>
      </c>
      <c r="P576" t="n">
        <v>0</v>
      </c>
      <c r="Q576" t="n">
        <v>0</v>
      </c>
      <c r="R576" s="2" t="inlineStr"/>
    </row>
    <row r="577" ht="15" customHeight="1">
      <c r="A577" t="inlineStr">
        <is>
          <t>A 5855-2022</t>
        </is>
      </c>
      <c r="B577" s="1" t="n">
        <v>44596.63290509259</v>
      </c>
      <c r="C577" s="1" t="n">
        <v>45934</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13622-2025</t>
        </is>
      </c>
      <c r="B578" s="1" t="n">
        <v>45736</v>
      </c>
      <c r="C578" s="1" t="n">
        <v>45934</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27131-2025</t>
        </is>
      </c>
      <c r="B579" s="1" t="n">
        <v>45811</v>
      </c>
      <c r="C579" s="1" t="n">
        <v>45934</v>
      </c>
      <c r="D579" t="inlineStr">
        <is>
          <t>UPPSALA LÄN</t>
        </is>
      </c>
      <c r="E579" t="inlineStr">
        <is>
          <t>ÖSTHAMMAR</t>
        </is>
      </c>
      <c r="G579" t="n">
        <v>1.9</v>
      </c>
      <c r="H579" t="n">
        <v>0</v>
      </c>
      <c r="I579" t="n">
        <v>0</v>
      </c>
      <c r="J579" t="n">
        <v>0</v>
      </c>
      <c r="K579" t="n">
        <v>0</v>
      </c>
      <c r="L579" t="n">
        <v>0</v>
      </c>
      <c r="M579" t="n">
        <v>0</v>
      </c>
      <c r="N579" t="n">
        <v>0</v>
      </c>
      <c r="O579" t="n">
        <v>0</v>
      </c>
      <c r="P579" t="n">
        <v>0</v>
      </c>
      <c r="Q579" t="n">
        <v>0</v>
      </c>
      <c r="R579" s="2" t="inlineStr"/>
    </row>
    <row r="580" ht="15" customHeight="1">
      <c r="A580" t="inlineStr">
        <is>
          <t>A 53137-2020</t>
        </is>
      </c>
      <c r="B580" s="1" t="n">
        <v>44120</v>
      </c>
      <c r="C580" s="1" t="n">
        <v>45934</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56759-2024</t>
        </is>
      </c>
      <c r="B581" s="1" t="n">
        <v>45628.39877314815</v>
      </c>
      <c r="C581" s="1" t="n">
        <v>45934</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27132-2025</t>
        </is>
      </c>
      <c r="B582" s="1" t="n">
        <v>45811</v>
      </c>
      <c r="C582" s="1" t="n">
        <v>45934</v>
      </c>
      <c r="D582" t="inlineStr">
        <is>
          <t>UPPSALA LÄN</t>
        </is>
      </c>
      <c r="E582" t="inlineStr">
        <is>
          <t>ÖSTHAMMAR</t>
        </is>
      </c>
      <c r="G582" t="n">
        <v>2.3</v>
      </c>
      <c r="H582" t="n">
        <v>0</v>
      </c>
      <c r="I582" t="n">
        <v>0</v>
      </c>
      <c r="J582" t="n">
        <v>0</v>
      </c>
      <c r="K582" t="n">
        <v>0</v>
      </c>
      <c r="L582" t="n">
        <v>0</v>
      </c>
      <c r="M582" t="n">
        <v>0</v>
      </c>
      <c r="N582" t="n">
        <v>0</v>
      </c>
      <c r="O582" t="n">
        <v>0</v>
      </c>
      <c r="P582" t="n">
        <v>0</v>
      </c>
      <c r="Q582" t="n">
        <v>0</v>
      </c>
      <c r="R582" s="2" t="inlineStr"/>
    </row>
    <row r="583" ht="15" customHeight="1">
      <c r="A583" t="inlineStr">
        <is>
          <t>A 10275-2025</t>
        </is>
      </c>
      <c r="B583" s="1" t="n">
        <v>45720.39715277778</v>
      </c>
      <c r="C583" s="1" t="n">
        <v>45934</v>
      </c>
      <c r="D583" t="inlineStr">
        <is>
          <t>UPPSALA LÄN</t>
        </is>
      </c>
      <c r="E583" t="inlineStr">
        <is>
          <t>ÖSTHAMMAR</t>
        </is>
      </c>
      <c r="G583" t="n">
        <v>6.2</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45934</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27347-2025</t>
        </is>
      </c>
      <c r="B585" s="1" t="n">
        <v>45812.62390046296</v>
      </c>
      <c r="C585" s="1" t="n">
        <v>45934</v>
      </c>
      <c r="D585" t="inlineStr">
        <is>
          <t>UPPSALA LÄN</t>
        </is>
      </c>
      <c r="E585" t="inlineStr">
        <is>
          <t>ÖSTHAMMAR</t>
        </is>
      </c>
      <c r="G585" t="n">
        <v>0.4</v>
      </c>
      <c r="H585" t="n">
        <v>0</v>
      </c>
      <c r="I585" t="n">
        <v>0</v>
      </c>
      <c r="J585" t="n">
        <v>0</v>
      </c>
      <c r="K585" t="n">
        <v>0</v>
      </c>
      <c r="L585" t="n">
        <v>0</v>
      </c>
      <c r="M585" t="n">
        <v>0</v>
      </c>
      <c r="N585" t="n">
        <v>0</v>
      </c>
      <c r="O585" t="n">
        <v>0</v>
      </c>
      <c r="P585" t="n">
        <v>0</v>
      </c>
      <c r="Q585" t="n">
        <v>0</v>
      </c>
      <c r="R585" s="2" t="inlineStr"/>
    </row>
    <row r="586" ht="15" customHeight="1">
      <c r="A586" t="inlineStr">
        <is>
          <t>A 27392-2025</t>
        </is>
      </c>
      <c r="B586" s="1" t="n">
        <v>45812.68268518519</v>
      </c>
      <c r="C586" s="1" t="n">
        <v>45934</v>
      </c>
      <c r="D586" t="inlineStr">
        <is>
          <t>UPPSALA LÄN</t>
        </is>
      </c>
      <c r="E586" t="inlineStr">
        <is>
          <t>ÖSTHAMMAR</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24493-2023</t>
        </is>
      </c>
      <c r="B587" s="1" t="n">
        <v>45082.62603009259</v>
      </c>
      <c r="C587" s="1" t="n">
        <v>45934</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27352-2025</t>
        </is>
      </c>
      <c r="B588" s="1" t="n">
        <v>45812.62694444445</v>
      </c>
      <c r="C588" s="1" t="n">
        <v>45934</v>
      </c>
      <c r="D588" t="inlineStr">
        <is>
          <t>UPPSALA LÄN</t>
        </is>
      </c>
      <c r="E588" t="inlineStr">
        <is>
          <t>ÖSTHAMMAR</t>
        </is>
      </c>
      <c r="G588" t="n">
        <v>2.5</v>
      </c>
      <c r="H588" t="n">
        <v>0</v>
      </c>
      <c r="I588" t="n">
        <v>0</v>
      </c>
      <c r="J588" t="n">
        <v>0</v>
      </c>
      <c r="K588" t="n">
        <v>0</v>
      </c>
      <c r="L588" t="n">
        <v>0</v>
      </c>
      <c r="M588" t="n">
        <v>0</v>
      </c>
      <c r="N588" t="n">
        <v>0</v>
      </c>
      <c r="O588" t="n">
        <v>0</v>
      </c>
      <c r="P588" t="n">
        <v>0</v>
      </c>
      <c r="Q588" t="n">
        <v>0</v>
      </c>
      <c r="R588" s="2" t="inlineStr"/>
    </row>
    <row r="589" ht="15" customHeight="1">
      <c r="A589" t="inlineStr">
        <is>
          <t>A 27350-2025</t>
        </is>
      </c>
      <c r="B589" s="1" t="n">
        <v>45812.62571759259</v>
      </c>
      <c r="C589" s="1" t="n">
        <v>45934</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27384-2025</t>
        </is>
      </c>
      <c r="B590" s="1" t="n">
        <v>45812.6672337963</v>
      </c>
      <c r="C590" s="1" t="n">
        <v>45934</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27383-2025</t>
        </is>
      </c>
      <c r="B591" s="1" t="n">
        <v>45812.66628472223</v>
      </c>
      <c r="C591" s="1" t="n">
        <v>45934</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27385-2025</t>
        </is>
      </c>
      <c r="B592" s="1" t="n">
        <v>45812.66829861111</v>
      </c>
      <c r="C592" s="1" t="n">
        <v>45934</v>
      </c>
      <c r="D592" t="inlineStr">
        <is>
          <t>UPPSALA LÄN</t>
        </is>
      </c>
      <c r="E592" t="inlineStr">
        <is>
          <t>ÖSTHAMMAR</t>
        </is>
      </c>
      <c r="G592" t="n">
        <v>0.6</v>
      </c>
      <c r="H592" t="n">
        <v>0</v>
      </c>
      <c r="I592" t="n">
        <v>0</v>
      </c>
      <c r="J592" t="n">
        <v>0</v>
      </c>
      <c r="K592" t="n">
        <v>0</v>
      </c>
      <c r="L592" t="n">
        <v>0</v>
      </c>
      <c r="M592" t="n">
        <v>0</v>
      </c>
      <c r="N592" t="n">
        <v>0</v>
      </c>
      <c r="O592" t="n">
        <v>0</v>
      </c>
      <c r="P592" t="n">
        <v>0</v>
      </c>
      <c r="Q592" t="n">
        <v>0</v>
      </c>
      <c r="R592" s="2" t="inlineStr"/>
    </row>
    <row r="593" ht="15" customHeight="1">
      <c r="A593" t="inlineStr">
        <is>
          <t>A 27395-2025</t>
        </is>
      </c>
      <c r="B593" s="1" t="n">
        <v>45812.6850462963</v>
      </c>
      <c r="C593" s="1" t="n">
        <v>45934</v>
      </c>
      <c r="D593" t="inlineStr">
        <is>
          <t>UPPSALA LÄN</t>
        </is>
      </c>
      <c r="E593" t="inlineStr">
        <is>
          <t>ÖSTHAMMAR</t>
        </is>
      </c>
      <c r="F593" t="inlineStr">
        <is>
          <t>Bergvik skog öst AB</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27563-2025</t>
        </is>
      </c>
      <c r="B594" s="1" t="n">
        <v>45813.48471064815</v>
      </c>
      <c r="C594" s="1" t="n">
        <v>45934</v>
      </c>
      <c r="D594" t="inlineStr">
        <is>
          <t>UPPSALA LÄN</t>
        </is>
      </c>
      <c r="E594" t="inlineStr">
        <is>
          <t>ÖSTHAMMAR</t>
        </is>
      </c>
      <c r="F594" t="inlineStr">
        <is>
          <t>Bergvik skog öst AB</t>
        </is>
      </c>
      <c r="G594" t="n">
        <v>4</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45934</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45934</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45934</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27919-2025</t>
        </is>
      </c>
      <c r="B598" s="1" t="n">
        <v>45817.48384259259</v>
      </c>
      <c r="C598" s="1" t="n">
        <v>45934</v>
      </c>
      <c r="D598" t="inlineStr">
        <is>
          <t>UPPSALA LÄN</t>
        </is>
      </c>
      <c r="E598" t="inlineStr">
        <is>
          <t>ÖSTHAMMAR</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27853-2025</t>
        </is>
      </c>
      <c r="B599" s="1" t="n">
        <v>45817.40178240741</v>
      </c>
      <c r="C599" s="1" t="n">
        <v>45934</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45934</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27920-2025</t>
        </is>
      </c>
      <c r="B601" s="1" t="n">
        <v>45817.48454861111</v>
      </c>
      <c r="C601" s="1" t="n">
        <v>45934</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31549-2022</t>
        </is>
      </c>
      <c r="B602" s="1" t="n">
        <v>44775.400625</v>
      </c>
      <c r="C602" s="1" t="n">
        <v>45934</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8330-2025</t>
        </is>
      </c>
      <c r="B603" s="1" t="n">
        <v>45708</v>
      </c>
      <c r="C603" s="1" t="n">
        <v>45934</v>
      </c>
      <c r="D603" t="inlineStr">
        <is>
          <t>UPPSALA LÄN</t>
        </is>
      </c>
      <c r="E603" t="inlineStr">
        <is>
          <t>ÖSTHAMMAR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27509-2025</t>
        </is>
      </c>
      <c r="B604" s="1" t="n">
        <v>45813.4278125</v>
      </c>
      <c r="C604" s="1" t="n">
        <v>45934</v>
      </c>
      <c r="D604" t="inlineStr">
        <is>
          <t>UPPSALA LÄN</t>
        </is>
      </c>
      <c r="E604" t="inlineStr">
        <is>
          <t>ÖSTHAMMAR</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28442-2025</t>
        </is>
      </c>
      <c r="B605" s="1" t="n">
        <v>45819</v>
      </c>
      <c r="C605" s="1" t="n">
        <v>45934</v>
      </c>
      <c r="D605" t="inlineStr">
        <is>
          <t>UPPSALA LÄN</t>
        </is>
      </c>
      <c r="E605" t="inlineStr">
        <is>
          <t>ÖSTHAMMAR</t>
        </is>
      </c>
      <c r="F605" t="inlineStr">
        <is>
          <t>Övriga Aktiebolag</t>
        </is>
      </c>
      <c r="G605" t="n">
        <v>1.8</v>
      </c>
      <c r="H605" t="n">
        <v>0</v>
      </c>
      <c r="I605" t="n">
        <v>0</v>
      </c>
      <c r="J605" t="n">
        <v>0</v>
      </c>
      <c r="K605" t="n">
        <v>0</v>
      </c>
      <c r="L605" t="n">
        <v>0</v>
      </c>
      <c r="M605" t="n">
        <v>0</v>
      </c>
      <c r="N605" t="n">
        <v>0</v>
      </c>
      <c r="O605" t="n">
        <v>0</v>
      </c>
      <c r="P605" t="n">
        <v>0</v>
      </c>
      <c r="Q605" t="n">
        <v>0</v>
      </c>
      <c r="R605" s="2" t="inlineStr"/>
    </row>
    <row r="606" ht="15" customHeight="1">
      <c r="A606" t="inlineStr">
        <is>
          <t>A 28101-2025</t>
        </is>
      </c>
      <c r="B606" s="1" t="n">
        <v>45817.83736111111</v>
      </c>
      <c r="C606" s="1" t="n">
        <v>45934</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28100-2025</t>
        </is>
      </c>
      <c r="B607" s="1" t="n">
        <v>45817.83487268518</v>
      </c>
      <c r="C607" s="1" t="n">
        <v>45934</v>
      </c>
      <c r="D607" t="inlineStr">
        <is>
          <t>UPPSALA LÄN</t>
        </is>
      </c>
      <c r="E607" t="inlineStr">
        <is>
          <t>ÖSTHAMMAR</t>
        </is>
      </c>
      <c r="F607" t="inlineStr">
        <is>
          <t>Bergvik skog öst AB</t>
        </is>
      </c>
      <c r="G607" t="n">
        <v>3.2</v>
      </c>
      <c r="H607" t="n">
        <v>0</v>
      </c>
      <c r="I607" t="n">
        <v>0</v>
      </c>
      <c r="J607" t="n">
        <v>0</v>
      </c>
      <c r="K607" t="n">
        <v>0</v>
      </c>
      <c r="L607" t="n">
        <v>0</v>
      </c>
      <c r="M607" t="n">
        <v>0</v>
      </c>
      <c r="N607" t="n">
        <v>0</v>
      </c>
      <c r="O607" t="n">
        <v>0</v>
      </c>
      <c r="P607" t="n">
        <v>0</v>
      </c>
      <c r="Q607" t="n">
        <v>0</v>
      </c>
      <c r="R607" s="2" t="inlineStr"/>
    </row>
    <row r="608" ht="15" customHeight="1">
      <c r="A608" t="inlineStr">
        <is>
          <t>A 28099-2025</t>
        </is>
      </c>
      <c r="B608" s="1" t="n">
        <v>45817.82967592592</v>
      </c>
      <c r="C608" s="1" t="n">
        <v>45934</v>
      </c>
      <c r="D608" t="inlineStr">
        <is>
          <t>UPPSALA LÄN</t>
        </is>
      </c>
      <c r="E608" t="inlineStr">
        <is>
          <t>ÖSTHAMMAR</t>
        </is>
      </c>
      <c r="F608" t="inlineStr">
        <is>
          <t>Bergvik skog öst AB</t>
        </is>
      </c>
      <c r="G608" t="n">
        <v>2.2</v>
      </c>
      <c r="H608" t="n">
        <v>0</v>
      </c>
      <c r="I608" t="n">
        <v>0</v>
      </c>
      <c r="J608" t="n">
        <v>0</v>
      </c>
      <c r="K608" t="n">
        <v>0</v>
      </c>
      <c r="L608" t="n">
        <v>0</v>
      </c>
      <c r="M608" t="n">
        <v>0</v>
      </c>
      <c r="N608" t="n">
        <v>0</v>
      </c>
      <c r="O608" t="n">
        <v>0</v>
      </c>
      <c r="P608" t="n">
        <v>0</v>
      </c>
      <c r="Q608" t="n">
        <v>0</v>
      </c>
      <c r="R608" s="2" t="inlineStr"/>
    </row>
    <row r="609" ht="15" customHeight="1">
      <c r="A609" t="inlineStr">
        <is>
          <t>A 23728-2025</t>
        </is>
      </c>
      <c r="B609" s="1" t="n">
        <v>45793.41719907407</v>
      </c>
      <c r="C609" s="1" t="n">
        <v>45934</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28745-2025</t>
        </is>
      </c>
      <c r="B610" s="1" t="n">
        <v>45820.39076388889</v>
      </c>
      <c r="C610" s="1" t="n">
        <v>45934</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28748-2025</t>
        </is>
      </c>
      <c r="B611" s="1" t="n">
        <v>45820.39540509259</v>
      </c>
      <c r="C611" s="1" t="n">
        <v>45934</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29024-2025</t>
        </is>
      </c>
      <c r="B612" s="1" t="n">
        <v>45821.43233796296</v>
      </c>
      <c r="C612" s="1" t="n">
        <v>45934</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29031-2025</t>
        </is>
      </c>
      <c r="B613" s="1" t="n">
        <v>45821.44159722222</v>
      </c>
      <c r="C613" s="1" t="n">
        <v>45934</v>
      </c>
      <c r="D613" t="inlineStr">
        <is>
          <t>UPPSALA LÄN</t>
        </is>
      </c>
      <c r="E613" t="inlineStr">
        <is>
          <t>ÖSTHAMMAR</t>
        </is>
      </c>
      <c r="F613" t="inlineStr">
        <is>
          <t>Bergvik skog öst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28739-2025</t>
        </is>
      </c>
      <c r="B614" s="1" t="n">
        <v>45820</v>
      </c>
      <c r="C614" s="1" t="n">
        <v>45934</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29028-2025</t>
        </is>
      </c>
      <c r="B615" s="1" t="n">
        <v>45821.4384375</v>
      </c>
      <c r="C615" s="1" t="n">
        <v>45934</v>
      </c>
      <c r="D615" t="inlineStr">
        <is>
          <t>UPPSALA LÄN</t>
        </is>
      </c>
      <c r="E615" t="inlineStr">
        <is>
          <t>ÖSTHAMMAR</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29029-2025</t>
        </is>
      </c>
      <c r="B616" s="1" t="n">
        <v>45821.43973379629</v>
      </c>
      <c r="C616" s="1" t="n">
        <v>45934</v>
      </c>
      <c r="D616" t="inlineStr">
        <is>
          <t>UPPSALA LÄN</t>
        </is>
      </c>
      <c r="E616" t="inlineStr">
        <is>
          <t>ÖSTHAMMAR</t>
        </is>
      </c>
      <c r="F616" t="inlineStr">
        <is>
          <t>Bergvik skog öst AB</t>
        </is>
      </c>
      <c r="G616" t="n">
        <v>4.2</v>
      </c>
      <c r="H616" t="n">
        <v>0</v>
      </c>
      <c r="I616" t="n">
        <v>0</v>
      </c>
      <c r="J616" t="n">
        <v>0</v>
      </c>
      <c r="K616" t="n">
        <v>0</v>
      </c>
      <c r="L616" t="n">
        <v>0</v>
      </c>
      <c r="M616" t="n">
        <v>0</v>
      </c>
      <c r="N616" t="n">
        <v>0</v>
      </c>
      <c r="O616" t="n">
        <v>0</v>
      </c>
      <c r="P616" t="n">
        <v>0</v>
      </c>
      <c r="Q616" t="n">
        <v>0</v>
      </c>
      <c r="R616" s="2" t="inlineStr"/>
    </row>
    <row r="617" ht="15" customHeight="1">
      <c r="A617" t="inlineStr">
        <is>
          <t>A 36857-2023</t>
        </is>
      </c>
      <c r="B617" s="1" t="n">
        <v>45154.55175925926</v>
      </c>
      <c r="C617" s="1" t="n">
        <v>45934</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1800-2023</t>
        </is>
      </c>
      <c r="B618" s="1" t="n">
        <v>44938</v>
      </c>
      <c r="C618" s="1" t="n">
        <v>45934</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45934</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8699-2025</t>
        </is>
      </c>
      <c r="B620" s="1" t="n">
        <v>45712.47983796296</v>
      </c>
      <c r="C620" s="1" t="n">
        <v>45934</v>
      </c>
      <c r="D620" t="inlineStr">
        <is>
          <t>UPPSALA LÄN</t>
        </is>
      </c>
      <c r="E620" t="inlineStr">
        <is>
          <t>ÖSTHAMMAR</t>
        </is>
      </c>
      <c r="G620" t="n">
        <v>5.6</v>
      </c>
      <c r="H620" t="n">
        <v>0</v>
      </c>
      <c r="I620" t="n">
        <v>0</v>
      </c>
      <c r="J620" t="n">
        <v>0</v>
      </c>
      <c r="K620" t="n">
        <v>0</v>
      </c>
      <c r="L620" t="n">
        <v>0</v>
      </c>
      <c r="M620" t="n">
        <v>0</v>
      </c>
      <c r="N620" t="n">
        <v>0</v>
      </c>
      <c r="O620" t="n">
        <v>0</v>
      </c>
      <c r="P620" t="n">
        <v>0</v>
      </c>
      <c r="Q620" t="n">
        <v>0</v>
      </c>
      <c r="R620" s="2" t="inlineStr"/>
    </row>
    <row r="621" ht="15" customHeight="1">
      <c r="A621" t="inlineStr">
        <is>
          <t>A 8791-2025</t>
        </is>
      </c>
      <c r="B621" s="1" t="n">
        <v>45712</v>
      </c>
      <c r="C621" s="1" t="n">
        <v>45934</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29384-2025</t>
        </is>
      </c>
      <c r="B622" s="1" t="n">
        <v>45824</v>
      </c>
      <c r="C622" s="1" t="n">
        <v>45934</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31485-2023</t>
        </is>
      </c>
      <c r="B623" s="1" t="n">
        <v>45114</v>
      </c>
      <c r="C623" s="1" t="n">
        <v>45934</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27490-2025</t>
        </is>
      </c>
      <c r="B624" s="1" t="n">
        <v>45813.39273148148</v>
      </c>
      <c r="C624" s="1" t="n">
        <v>45934</v>
      </c>
      <c r="D624" t="inlineStr">
        <is>
          <t>UPPSALA LÄN</t>
        </is>
      </c>
      <c r="E624" t="inlineStr">
        <is>
          <t>ÖSTHAMMAR</t>
        </is>
      </c>
      <c r="F624" t="inlineStr">
        <is>
          <t>Bergvik skog öst AB</t>
        </is>
      </c>
      <c r="G624" t="n">
        <v>6.1</v>
      </c>
      <c r="H624" t="n">
        <v>0</v>
      </c>
      <c r="I624" t="n">
        <v>0</v>
      </c>
      <c r="J624" t="n">
        <v>0</v>
      </c>
      <c r="K624" t="n">
        <v>0</v>
      </c>
      <c r="L624" t="n">
        <v>0</v>
      </c>
      <c r="M624" t="n">
        <v>0</v>
      </c>
      <c r="N624" t="n">
        <v>0</v>
      </c>
      <c r="O624" t="n">
        <v>0</v>
      </c>
      <c r="P624" t="n">
        <v>0</v>
      </c>
      <c r="Q624" t="n">
        <v>0</v>
      </c>
      <c r="R624" s="2" t="inlineStr"/>
    </row>
    <row r="625" ht="15" customHeight="1">
      <c r="A625" t="inlineStr">
        <is>
          <t>A 29775-2025</t>
        </is>
      </c>
      <c r="B625" s="1" t="n">
        <v>45825.63803240741</v>
      </c>
      <c r="C625" s="1" t="n">
        <v>45934</v>
      </c>
      <c r="D625" t="inlineStr">
        <is>
          <t>UPPSALA LÄN</t>
        </is>
      </c>
      <c r="E625" t="inlineStr">
        <is>
          <t>ÖSTHAMMAR</t>
        </is>
      </c>
      <c r="G625" t="n">
        <v>0.9</v>
      </c>
      <c r="H625" t="n">
        <v>0</v>
      </c>
      <c r="I625" t="n">
        <v>0</v>
      </c>
      <c r="J625" t="n">
        <v>0</v>
      </c>
      <c r="K625" t="n">
        <v>0</v>
      </c>
      <c r="L625" t="n">
        <v>0</v>
      </c>
      <c r="M625" t="n">
        <v>0</v>
      </c>
      <c r="N625" t="n">
        <v>0</v>
      </c>
      <c r="O625" t="n">
        <v>0</v>
      </c>
      <c r="P625" t="n">
        <v>0</v>
      </c>
      <c r="Q625" t="n">
        <v>0</v>
      </c>
      <c r="R625" s="2" t="inlineStr"/>
    </row>
    <row r="626" ht="15" customHeight="1">
      <c r="A626" t="inlineStr">
        <is>
          <t>A 27486-2025</t>
        </is>
      </c>
      <c r="B626" s="1" t="n">
        <v>45813.38521990741</v>
      </c>
      <c r="C626" s="1" t="n">
        <v>45934</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25897-2023</t>
        </is>
      </c>
      <c r="B627" s="1" t="n">
        <v>45090.63300925926</v>
      </c>
      <c r="C627" s="1" t="n">
        <v>45934</v>
      </c>
      <c r="D627" t="inlineStr">
        <is>
          <t>UPPSALA LÄN</t>
        </is>
      </c>
      <c r="E627" t="inlineStr">
        <is>
          <t>ÖSTHAMMAR</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30244-2025</t>
        </is>
      </c>
      <c r="B628" s="1" t="n">
        <v>45827.40902777778</v>
      </c>
      <c r="C628" s="1" t="n">
        <v>45934</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45934</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30610-2025</t>
        </is>
      </c>
      <c r="B630" s="1" t="n">
        <v>45831.45965277778</v>
      </c>
      <c r="C630" s="1" t="n">
        <v>45934</v>
      </c>
      <c r="D630" t="inlineStr">
        <is>
          <t>UPPSALA LÄN</t>
        </is>
      </c>
      <c r="E630" t="inlineStr">
        <is>
          <t>ÖSTHAMMAR</t>
        </is>
      </c>
      <c r="G630" t="n">
        <v>0.2</v>
      </c>
      <c r="H630" t="n">
        <v>0</v>
      </c>
      <c r="I630" t="n">
        <v>0</v>
      </c>
      <c r="J630" t="n">
        <v>0</v>
      </c>
      <c r="K630" t="n">
        <v>0</v>
      </c>
      <c r="L630" t="n">
        <v>0</v>
      </c>
      <c r="M630" t="n">
        <v>0</v>
      </c>
      <c r="N630" t="n">
        <v>0</v>
      </c>
      <c r="O630" t="n">
        <v>0</v>
      </c>
      <c r="P630" t="n">
        <v>0</v>
      </c>
      <c r="Q630" t="n">
        <v>0</v>
      </c>
      <c r="R630" s="2" t="inlineStr"/>
    </row>
    <row r="631" ht="15" customHeight="1">
      <c r="A631" t="inlineStr">
        <is>
          <t>A 2839-2025</t>
        </is>
      </c>
      <c r="B631" s="1" t="n">
        <v>45677</v>
      </c>
      <c r="C631" s="1" t="n">
        <v>45934</v>
      </c>
      <c r="D631" t="inlineStr">
        <is>
          <t>UPPSALA LÄN</t>
        </is>
      </c>
      <c r="E631" t="inlineStr">
        <is>
          <t>ÖSTHAMMAR</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30504-2025</t>
        </is>
      </c>
      <c r="B632" s="1" t="n">
        <v>45830.8558912037</v>
      </c>
      <c r="C632" s="1" t="n">
        <v>45934</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67848-2021</t>
        </is>
      </c>
      <c r="B633" s="1" t="n">
        <v>44525</v>
      </c>
      <c r="C633" s="1" t="n">
        <v>45934</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30503-2025</t>
        </is>
      </c>
      <c r="B634" s="1" t="n">
        <v>45830.8500462963</v>
      </c>
      <c r="C634" s="1" t="n">
        <v>45934</v>
      </c>
      <c r="D634" t="inlineStr">
        <is>
          <t>UPPSALA LÄN</t>
        </is>
      </c>
      <c r="E634" t="inlineStr">
        <is>
          <t>ÖSTHAMMAR</t>
        </is>
      </c>
      <c r="G634" t="n">
        <v>0.8</v>
      </c>
      <c r="H634" t="n">
        <v>0</v>
      </c>
      <c r="I634" t="n">
        <v>0</v>
      </c>
      <c r="J634" t="n">
        <v>0</v>
      </c>
      <c r="K634" t="n">
        <v>0</v>
      </c>
      <c r="L634" t="n">
        <v>0</v>
      </c>
      <c r="M634" t="n">
        <v>0</v>
      </c>
      <c r="N634" t="n">
        <v>0</v>
      </c>
      <c r="O634" t="n">
        <v>0</v>
      </c>
      <c r="P634" t="n">
        <v>0</v>
      </c>
      <c r="Q634" t="n">
        <v>0</v>
      </c>
      <c r="R634" s="2" t="inlineStr"/>
    </row>
    <row r="635" ht="15" customHeight="1">
      <c r="A635" t="inlineStr">
        <is>
          <t>A 38600-2023</t>
        </is>
      </c>
      <c r="B635" s="1" t="n">
        <v>45162</v>
      </c>
      <c r="C635" s="1" t="n">
        <v>45934</v>
      </c>
      <c r="D635" t="inlineStr">
        <is>
          <t>UPPSALA LÄN</t>
        </is>
      </c>
      <c r="E635" t="inlineStr">
        <is>
          <t>ÖSTHAMMAR</t>
        </is>
      </c>
      <c r="F635" t="inlineStr">
        <is>
          <t>Bergvik skog väst AB</t>
        </is>
      </c>
      <c r="G635" t="n">
        <v>0.1</v>
      </c>
      <c r="H635" t="n">
        <v>0</v>
      </c>
      <c r="I635" t="n">
        <v>0</v>
      </c>
      <c r="J635" t="n">
        <v>0</v>
      </c>
      <c r="K635" t="n">
        <v>0</v>
      </c>
      <c r="L635" t="n">
        <v>0</v>
      </c>
      <c r="M635" t="n">
        <v>0</v>
      </c>
      <c r="N635" t="n">
        <v>0</v>
      </c>
      <c r="O635" t="n">
        <v>0</v>
      </c>
      <c r="P635" t="n">
        <v>0</v>
      </c>
      <c r="Q635" t="n">
        <v>0</v>
      </c>
      <c r="R635" s="2" t="inlineStr"/>
    </row>
    <row r="636" ht="15" customHeight="1">
      <c r="A636" t="inlineStr">
        <is>
          <t>A 31249-2025</t>
        </is>
      </c>
      <c r="B636" s="1" t="n">
        <v>45832.89476851852</v>
      </c>
      <c r="C636" s="1" t="n">
        <v>45934</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31579-2025</t>
        </is>
      </c>
      <c r="B637" s="1" t="n">
        <v>45833.68211805556</v>
      </c>
      <c r="C637" s="1" t="n">
        <v>45934</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31360-2025</t>
        </is>
      </c>
      <c r="B638" s="1" t="n">
        <v>45833.43527777777</v>
      </c>
      <c r="C638" s="1" t="n">
        <v>45934</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64811-2021</t>
        </is>
      </c>
      <c r="B639" s="1" t="n">
        <v>44512</v>
      </c>
      <c r="C639" s="1" t="n">
        <v>45934</v>
      </c>
      <c r="D639" t="inlineStr">
        <is>
          <t>UPPSALA LÄN</t>
        </is>
      </c>
      <c r="E639" t="inlineStr">
        <is>
          <t>ÖSTHAMMAR</t>
        </is>
      </c>
      <c r="G639" t="n">
        <v>4.2</v>
      </c>
      <c r="H639" t="n">
        <v>0</v>
      </c>
      <c r="I639" t="n">
        <v>0</v>
      </c>
      <c r="J639" t="n">
        <v>0</v>
      </c>
      <c r="K639" t="n">
        <v>0</v>
      </c>
      <c r="L639" t="n">
        <v>0</v>
      </c>
      <c r="M639" t="n">
        <v>0</v>
      </c>
      <c r="N639" t="n">
        <v>0</v>
      </c>
      <c r="O639" t="n">
        <v>0</v>
      </c>
      <c r="P639" t="n">
        <v>0</v>
      </c>
      <c r="Q639" t="n">
        <v>0</v>
      </c>
      <c r="R639" s="2" t="inlineStr"/>
    </row>
    <row r="640" ht="15" customHeight="1">
      <c r="A640" t="inlineStr">
        <is>
          <t>A 56382-2022</t>
        </is>
      </c>
      <c r="B640" s="1" t="n">
        <v>44890.75795138889</v>
      </c>
      <c r="C640" s="1" t="n">
        <v>45934</v>
      </c>
      <c r="D640" t="inlineStr">
        <is>
          <t>UPPSALA LÄN</t>
        </is>
      </c>
      <c r="E640" t="inlineStr">
        <is>
          <t>ÖSTHAMMAR</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57043-2022</t>
        </is>
      </c>
      <c r="B641" s="1" t="n">
        <v>44895.36748842592</v>
      </c>
      <c r="C641" s="1" t="n">
        <v>45934</v>
      </c>
      <c r="D641" t="inlineStr">
        <is>
          <t>UPPSALA LÄN</t>
        </is>
      </c>
      <c r="E641" t="inlineStr">
        <is>
          <t>ÖSTHAMMAR</t>
        </is>
      </c>
      <c r="F641" t="inlineStr">
        <is>
          <t>Bergvik skog öst AB</t>
        </is>
      </c>
      <c r="G641" t="n">
        <v>5.7</v>
      </c>
      <c r="H641" t="n">
        <v>0</v>
      </c>
      <c r="I641" t="n">
        <v>0</v>
      </c>
      <c r="J641" t="n">
        <v>0</v>
      </c>
      <c r="K641" t="n">
        <v>0</v>
      </c>
      <c r="L641" t="n">
        <v>0</v>
      </c>
      <c r="M641" t="n">
        <v>0</v>
      </c>
      <c r="N641" t="n">
        <v>0</v>
      </c>
      <c r="O641" t="n">
        <v>0</v>
      </c>
      <c r="P641" t="n">
        <v>0</v>
      </c>
      <c r="Q641" t="n">
        <v>0</v>
      </c>
      <c r="R641" s="2" t="inlineStr"/>
    </row>
    <row r="642" ht="15" customHeight="1">
      <c r="A642" t="inlineStr">
        <is>
          <t>A 59880-2022</t>
        </is>
      </c>
      <c r="B642" s="1" t="n">
        <v>44908.69575231482</v>
      </c>
      <c r="C642" s="1" t="n">
        <v>45934</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31896-2025</t>
        </is>
      </c>
      <c r="B643" s="1" t="n">
        <v>45834.67556712963</v>
      </c>
      <c r="C643" s="1" t="n">
        <v>45934</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31956-2025</t>
        </is>
      </c>
      <c r="B644" s="1" t="n">
        <v>45835.34184027778</v>
      </c>
      <c r="C644" s="1" t="n">
        <v>45934</v>
      </c>
      <c r="D644" t="inlineStr">
        <is>
          <t>UPPSALA LÄN</t>
        </is>
      </c>
      <c r="E644" t="inlineStr">
        <is>
          <t>ÖSTHAMMAR</t>
        </is>
      </c>
      <c r="F644" t="inlineStr">
        <is>
          <t>Övriga Aktiebolag</t>
        </is>
      </c>
      <c r="G644" t="n">
        <v>4.2</v>
      </c>
      <c r="H644" t="n">
        <v>0</v>
      </c>
      <c r="I644" t="n">
        <v>0</v>
      </c>
      <c r="J644" t="n">
        <v>0</v>
      </c>
      <c r="K644" t="n">
        <v>0</v>
      </c>
      <c r="L644" t="n">
        <v>0</v>
      </c>
      <c r="M644" t="n">
        <v>0</v>
      </c>
      <c r="N644" t="n">
        <v>0</v>
      </c>
      <c r="O644" t="n">
        <v>0</v>
      </c>
      <c r="P644" t="n">
        <v>0</v>
      </c>
      <c r="Q644" t="n">
        <v>0</v>
      </c>
      <c r="R644" s="2" t="inlineStr"/>
    </row>
    <row r="645" ht="15" customHeight="1">
      <c r="A645" t="inlineStr">
        <is>
          <t>A 31977-2025</t>
        </is>
      </c>
      <c r="B645" s="1" t="n">
        <v>45835.3554050926</v>
      </c>
      <c r="C645" s="1" t="n">
        <v>45934</v>
      </c>
      <c r="D645" t="inlineStr">
        <is>
          <t>UPPSALA LÄN</t>
        </is>
      </c>
      <c r="E645" t="inlineStr">
        <is>
          <t>ÖSTHAMMAR</t>
        </is>
      </c>
      <c r="F645" t="inlineStr">
        <is>
          <t>Övriga Aktiebolag</t>
        </is>
      </c>
      <c r="G645" t="n">
        <v>35.3</v>
      </c>
      <c r="H645" t="n">
        <v>0</v>
      </c>
      <c r="I645" t="n">
        <v>0</v>
      </c>
      <c r="J645" t="n">
        <v>0</v>
      </c>
      <c r="K645" t="n">
        <v>0</v>
      </c>
      <c r="L645" t="n">
        <v>0</v>
      </c>
      <c r="M645" t="n">
        <v>0</v>
      </c>
      <c r="N645" t="n">
        <v>0</v>
      </c>
      <c r="O645" t="n">
        <v>0</v>
      </c>
      <c r="P645" t="n">
        <v>0</v>
      </c>
      <c r="Q645" t="n">
        <v>0</v>
      </c>
      <c r="R645" s="2" t="inlineStr"/>
    </row>
    <row r="646" ht="15" customHeight="1">
      <c r="A646" t="inlineStr">
        <is>
          <t>A 27476-2025</t>
        </is>
      </c>
      <c r="B646" s="1" t="n">
        <v>45813.37517361111</v>
      </c>
      <c r="C646" s="1" t="n">
        <v>45934</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7944-2023</t>
        </is>
      </c>
      <c r="B647" s="1" t="n">
        <v>44973.66458333333</v>
      </c>
      <c r="C647" s="1" t="n">
        <v>45934</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52659-2021</t>
        </is>
      </c>
      <c r="B648" s="1" t="n">
        <v>44466</v>
      </c>
      <c r="C648" s="1" t="n">
        <v>45934</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7216-2025</t>
        </is>
      </c>
      <c r="B649" s="1" t="n">
        <v>45702.47630787037</v>
      </c>
      <c r="C649" s="1" t="n">
        <v>45934</v>
      </c>
      <c r="D649" t="inlineStr">
        <is>
          <t>UPPSALA LÄN</t>
        </is>
      </c>
      <c r="E649" t="inlineStr">
        <is>
          <t>ÖSTHAMMAR</t>
        </is>
      </c>
      <c r="F649" t="inlineStr">
        <is>
          <t>Övriga Aktiebolag</t>
        </is>
      </c>
      <c r="G649" t="n">
        <v>12.5</v>
      </c>
      <c r="H649" t="n">
        <v>0</v>
      </c>
      <c r="I649" t="n">
        <v>0</v>
      </c>
      <c r="J649" t="n">
        <v>0</v>
      </c>
      <c r="K649" t="n">
        <v>0</v>
      </c>
      <c r="L649" t="n">
        <v>0</v>
      </c>
      <c r="M649" t="n">
        <v>0</v>
      </c>
      <c r="N649" t="n">
        <v>0</v>
      </c>
      <c r="O649" t="n">
        <v>0</v>
      </c>
      <c r="P649" t="n">
        <v>0</v>
      </c>
      <c r="Q649" t="n">
        <v>0</v>
      </c>
      <c r="R649" s="2" t="inlineStr"/>
    </row>
    <row r="650" ht="15" customHeight="1">
      <c r="A650" t="inlineStr">
        <is>
          <t>A 32718-2025</t>
        </is>
      </c>
      <c r="B650" s="1" t="n">
        <v>45839.37740740741</v>
      </c>
      <c r="C650" s="1" t="n">
        <v>45934</v>
      </c>
      <c r="D650" t="inlineStr">
        <is>
          <t>UPPSALA LÄN</t>
        </is>
      </c>
      <c r="E650" t="inlineStr">
        <is>
          <t>ÖSTHAMMAR</t>
        </is>
      </c>
      <c r="G650" t="n">
        <v>10.4</v>
      </c>
      <c r="H650" t="n">
        <v>0</v>
      </c>
      <c r="I650" t="n">
        <v>0</v>
      </c>
      <c r="J650" t="n">
        <v>0</v>
      </c>
      <c r="K650" t="n">
        <v>0</v>
      </c>
      <c r="L650" t="n">
        <v>0</v>
      </c>
      <c r="M650" t="n">
        <v>0</v>
      </c>
      <c r="N650" t="n">
        <v>0</v>
      </c>
      <c r="O650" t="n">
        <v>0</v>
      </c>
      <c r="P650" t="n">
        <v>0</v>
      </c>
      <c r="Q650" t="n">
        <v>0</v>
      </c>
      <c r="R650" s="2" t="inlineStr"/>
    </row>
    <row r="651" ht="15" customHeight="1">
      <c r="A651" t="inlineStr">
        <is>
          <t>A 73965-2021</t>
        </is>
      </c>
      <c r="B651" s="1" t="n">
        <v>44553.80824074074</v>
      </c>
      <c r="C651" s="1" t="n">
        <v>45934</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3418-2025</t>
        </is>
      </c>
      <c r="B652" s="1" t="n">
        <v>45680</v>
      </c>
      <c r="C652" s="1" t="n">
        <v>45934</v>
      </c>
      <c r="D652" t="inlineStr">
        <is>
          <t>UPPSALA LÄN</t>
        </is>
      </c>
      <c r="E652" t="inlineStr">
        <is>
          <t>ÖSTHAMMAR</t>
        </is>
      </c>
      <c r="F652" t="inlineStr">
        <is>
          <t>Bergvik skog väst AB</t>
        </is>
      </c>
      <c r="G652" t="n">
        <v>0.4</v>
      </c>
      <c r="H652" t="n">
        <v>0</v>
      </c>
      <c r="I652" t="n">
        <v>0</v>
      </c>
      <c r="J652" t="n">
        <v>0</v>
      </c>
      <c r="K652" t="n">
        <v>0</v>
      </c>
      <c r="L652" t="n">
        <v>0</v>
      </c>
      <c r="M652" t="n">
        <v>0</v>
      </c>
      <c r="N652" t="n">
        <v>0</v>
      </c>
      <c r="O652" t="n">
        <v>0</v>
      </c>
      <c r="P652" t="n">
        <v>0</v>
      </c>
      <c r="Q652" t="n">
        <v>0</v>
      </c>
      <c r="R652" s="2" t="inlineStr"/>
    </row>
    <row r="653" ht="15" customHeight="1">
      <c r="A653" t="inlineStr">
        <is>
          <t>A 3420-2025</t>
        </is>
      </c>
      <c r="B653" s="1" t="n">
        <v>45680</v>
      </c>
      <c r="C653" s="1" t="n">
        <v>45934</v>
      </c>
      <c r="D653" t="inlineStr">
        <is>
          <t>UPPSALA LÄN</t>
        </is>
      </c>
      <c r="E653" t="inlineStr">
        <is>
          <t>ÖSTHAMMAR</t>
        </is>
      </c>
      <c r="F653" t="inlineStr">
        <is>
          <t>Bergvik skog väst AB</t>
        </is>
      </c>
      <c r="G653" t="n">
        <v>3.6</v>
      </c>
      <c r="H653" t="n">
        <v>0</v>
      </c>
      <c r="I653" t="n">
        <v>0</v>
      </c>
      <c r="J653" t="n">
        <v>0</v>
      </c>
      <c r="K653" t="n">
        <v>0</v>
      </c>
      <c r="L653" t="n">
        <v>0</v>
      </c>
      <c r="M653" t="n">
        <v>0</v>
      </c>
      <c r="N653" t="n">
        <v>0</v>
      </c>
      <c r="O653" t="n">
        <v>0</v>
      </c>
      <c r="P653" t="n">
        <v>0</v>
      </c>
      <c r="Q653" t="n">
        <v>0</v>
      </c>
      <c r="R653" s="2" t="inlineStr"/>
    </row>
    <row r="654" ht="15" customHeight="1">
      <c r="A654" t="inlineStr">
        <is>
          <t>A 5303-2025</t>
        </is>
      </c>
      <c r="B654" s="1" t="n">
        <v>45692</v>
      </c>
      <c r="C654" s="1" t="n">
        <v>45934</v>
      </c>
      <c r="D654" t="inlineStr">
        <is>
          <t>UPPSALA LÄN</t>
        </is>
      </c>
      <c r="E654" t="inlineStr">
        <is>
          <t>ÖSTHAMMAR</t>
        </is>
      </c>
      <c r="G654" t="n">
        <v>5</v>
      </c>
      <c r="H654" t="n">
        <v>0</v>
      </c>
      <c r="I654" t="n">
        <v>0</v>
      </c>
      <c r="J654" t="n">
        <v>0</v>
      </c>
      <c r="K654" t="n">
        <v>0</v>
      </c>
      <c r="L654" t="n">
        <v>0</v>
      </c>
      <c r="M654" t="n">
        <v>0</v>
      </c>
      <c r="N654" t="n">
        <v>0</v>
      </c>
      <c r="O654" t="n">
        <v>0</v>
      </c>
      <c r="P654" t="n">
        <v>0</v>
      </c>
      <c r="Q654" t="n">
        <v>0</v>
      </c>
      <c r="R654" s="2" t="inlineStr"/>
    </row>
    <row r="655" ht="15" customHeight="1">
      <c r="A655" t="inlineStr">
        <is>
          <t>A 52661-2022</t>
        </is>
      </c>
      <c r="B655" s="1" t="n">
        <v>44874</v>
      </c>
      <c r="C655" s="1" t="n">
        <v>45934</v>
      </c>
      <c r="D655" t="inlineStr">
        <is>
          <t>UPPSALA LÄN</t>
        </is>
      </c>
      <c r="E655" t="inlineStr">
        <is>
          <t>ÖSTHAMMAR</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33529-2025</t>
        </is>
      </c>
      <c r="B656" s="1" t="n">
        <v>45841.55199074074</v>
      </c>
      <c r="C656" s="1" t="n">
        <v>45934</v>
      </c>
      <c r="D656" t="inlineStr">
        <is>
          <t>UPPSALA LÄN</t>
        </is>
      </c>
      <c r="E656" t="inlineStr">
        <is>
          <t>ÖSTHAMMAR</t>
        </is>
      </c>
      <c r="F656" t="inlineStr">
        <is>
          <t>Bergvik skog öst AB</t>
        </is>
      </c>
      <c r="G656" t="n">
        <v>11.8</v>
      </c>
      <c r="H656" t="n">
        <v>0</v>
      </c>
      <c r="I656" t="n">
        <v>0</v>
      </c>
      <c r="J656" t="n">
        <v>0</v>
      </c>
      <c r="K656" t="n">
        <v>0</v>
      </c>
      <c r="L656" t="n">
        <v>0</v>
      </c>
      <c r="M656" t="n">
        <v>0</v>
      </c>
      <c r="N656" t="n">
        <v>0</v>
      </c>
      <c r="O656" t="n">
        <v>0</v>
      </c>
      <c r="P656" t="n">
        <v>0</v>
      </c>
      <c r="Q656" t="n">
        <v>0</v>
      </c>
      <c r="R656" s="2" t="inlineStr"/>
    </row>
    <row r="657" ht="15" customHeight="1">
      <c r="A657" t="inlineStr">
        <is>
          <t>A 33048-2025</t>
        </is>
      </c>
      <c r="B657" s="1" t="n">
        <v>45840.41451388889</v>
      </c>
      <c r="C657" s="1" t="n">
        <v>45934</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33271-2025</t>
        </is>
      </c>
      <c r="B658" s="1" t="n">
        <v>45840.68381944444</v>
      </c>
      <c r="C658" s="1" t="n">
        <v>45934</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65028-2021</t>
        </is>
      </c>
      <c r="B659" s="1" t="n">
        <v>44515</v>
      </c>
      <c r="C659" s="1" t="n">
        <v>45934</v>
      </c>
      <c r="D659" t="inlineStr">
        <is>
          <t>UPPSALA LÄN</t>
        </is>
      </c>
      <c r="E659" t="inlineStr">
        <is>
          <t>ÖSTHAMMAR</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26395-2025</t>
        </is>
      </c>
      <c r="B660" s="1" t="n">
        <v>45807</v>
      </c>
      <c r="C660" s="1" t="n">
        <v>45934</v>
      </c>
      <c r="D660" t="inlineStr">
        <is>
          <t>UPPSALA LÄN</t>
        </is>
      </c>
      <c r="E660" t="inlineStr">
        <is>
          <t>ÖSTHAMMAR</t>
        </is>
      </c>
      <c r="G660" t="n">
        <v>7</v>
      </c>
      <c r="H660" t="n">
        <v>0</v>
      </c>
      <c r="I660" t="n">
        <v>0</v>
      </c>
      <c r="J660" t="n">
        <v>0</v>
      </c>
      <c r="K660" t="n">
        <v>0</v>
      </c>
      <c r="L660" t="n">
        <v>0</v>
      </c>
      <c r="M660" t="n">
        <v>0</v>
      </c>
      <c r="N660" t="n">
        <v>0</v>
      </c>
      <c r="O660" t="n">
        <v>0</v>
      </c>
      <c r="P660" t="n">
        <v>0</v>
      </c>
      <c r="Q660" t="n">
        <v>0</v>
      </c>
      <c r="R660" s="2" t="inlineStr"/>
    </row>
    <row r="661" ht="15" customHeight="1">
      <c r="A661" t="inlineStr">
        <is>
          <t>A 33927-2025</t>
        </is>
      </c>
      <c r="B661" s="1" t="n">
        <v>45842.62363425926</v>
      </c>
      <c r="C661" s="1" t="n">
        <v>45934</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33972-2025</t>
        </is>
      </c>
      <c r="B662" s="1" t="n">
        <v>45842.97236111111</v>
      </c>
      <c r="C662" s="1" t="n">
        <v>45934</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row>
    <row r="663" ht="15" customHeight="1">
      <c r="A663" t="inlineStr">
        <is>
          <t>A 40547-2023</t>
        </is>
      </c>
      <c r="B663" s="1" t="n">
        <v>45170.45050925926</v>
      </c>
      <c r="C663" s="1" t="n">
        <v>45934</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8874-2025</t>
        </is>
      </c>
      <c r="B664" s="1" t="n">
        <v>45713</v>
      </c>
      <c r="C664" s="1" t="n">
        <v>45934</v>
      </c>
      <c r="D664" t="inlineStr">
        <is>
          <t>UPPSALA LÄN</t>
        </is>
      </c>
      <c r="E664" t="inlineStr">
        <is>
          <t>ÖSTHAMMAR</t>
        </is>
      </c>
      <c r="G664" t="n">
        <v>6.3</v>
      </c>
      <c r="H664" t="n">
        <v>0</v>
      </c>
      <c r="I664" t="n">
        <v>0</v>
      </c>
      <c r="J664" t="n">
        <v>0</v>
      </c>
      <c r="K664" t="n">
        <v>0</v>
      </c>
      <c r="L664" t="n">
        <v>0</v>
      </c>
      <c r="M664" t="n">
        <v>0</v>
      </c>
      <c r="N664" t="n">
        <v>0</v>
      </c>
      <c r="O664" t="n">
        <v>0</v>
      </c>
      <c r="P664" t="n">
        <v>0</v>
      </c>
      <c r="Q664" t="n">
        <v>0</v>
      </c>
      <c r="R664" s="2" t="inlineStr"/>
    </row>
    <row r="665" ht="15" customHeight="1">
      <c r="A665" t="inlineStr">
        <is>
          <t>A 14505-2023</t>
        </is>
      </c>
      <c r="B665" s="1" t="n">
        <v>45012.7975</v>
      </c>
      <c r="C665" s="1" t="n">
        <v>45934</v>
      </c>
      <c r="D665" t="inlineStr">
        <is>
          <t>UPPSALA LÄN</t>
        </is>
      </c>
      <c r="E665" t="inlineStr">
        <is>
          <t>ÖSTHAMMAR</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47341-2023</t>
        </is>
      </c>
      <c r="B666" s="1" t="n">
        <v>45202.55721064815</v>
      </c>
      <c r="C666" s="1" t="n">
        <v>45934</v>
      </c>
      <c r="D666" t="inlineStr">
        <is>
          <t>UPPSALA LÄN</t>
        </is>
      </c>
      <c r="E666" t="inlineStr">
        <is>
          <t>ÖSTHAMMAR</t>
        </is>
      </c>
      <c r="G666" t="n">
        <v>4.9</v>
      </c>
      <c r="H666" t="n">
        <v>0</v>
      </c>
      <c r="I666" t="n">
        <v>0</v>
      </c>
      <c r="J666" t="n">
        <v>0</v>
      </c>
      <c r="K666" t="n">
        <v>0</v>
      </c>
      <c r="L666" t="n">
        <v>0</v>
      </c>
      <c r="M666" t="n">
        <v>0</v>
      </c>
      <c r="N666" t="n">
        <v>0</v>
      </c>
      <c r="O666" t="n">
        <v>0</v>
      </c>
      <c r="P666" t="n">
        <v>0</v>
      </c>
      <c r="Q666" t="n">
        <v>0</v>
      </c>
      <c r="R666" s="2" t="inlineStr"/>
    </row>
    <row r="667" ht="15" customHeight="1">
      <c r="A667" t="inlineStr">
        <is>
          <t>A 3732-2022</t>
        </is>
      </c>
      <c r="B667" s="1" t="n">
        <v>44586.64851851852</v>
      </c>
      <c r="C667" s="1" t="n">
        <v>45934</v>
      </c>
      <c r="D667" t="inlineStr">
        <is>
          <t>UPPSALA LÄN</t>
        </is>
      </c>
      <c r="E667" t="inlineStr">
        <is>
          <t>ÖSTHAMMAR</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33056-2021</t>
        </is>
      </c>
      <c r="B668" s="1" t="n">
        <v>44376.52438657408</v>
      </c>
      <c r="C668" s="1" t="n">
        <v>45934</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33973-2025</t>
        </is>
      </c>
      <c r="B669" s="1" t="n">
        <v>45842.98429398148</v>
      </c>
      <c r="C669" s="1" t="n">
        <v>45934</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25269-2024</t>
        </is>
      </c>
      <c r="B670" s="1" t="n">
        <v>45462</v>
      </c>
      <c r="C670" s="1" t="n">
        <v>45934</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13352-2023</t>
        </is>
      </c>
      <c r="B671" s="1" t="n">
        <v>45005</v>
      </c>
      <c r="C671" s="1" t="n">
        <v>45934</v>
      </c>
      <c r="D671" t="inlineStr">
        <is>
          <t>UPPSALA LÄN</t>
        </is>
      </c>
      <c r="E671" t="inlineStr">
        <is>
          <t>ÖSTHAMMAR</t>
        </is>
      </c>
      <c r="G671" t="n">
        <v>1.8</v>
      </c>
      <c r="H671" t="n">
        <v>0</v>
      </c>
      <c r="I671" t="n">
        <v>0</v>
      </c>
      <c r="J671" t="n">
        <v>0</v>
      </c>
      <c r="K671" t="n">
        <v>0</v>
      </c>
      <c r="L671" t="n">
        <v>0</v>
      </c>
      <c r="M671" t="n">
        <v>0</v>
      </c>
      <c r="N671" t="n">
        <v>0</v>
      </c>
      <c r="O671" t="n">
        <v>0</v>
      </c>
      <c r="P671" t="n">
        <v>0</v>
      </c>
      <c r="Q671" t="n">
        <v>0</v>
      </c>
      <c r="R671" s="2" t="inlineStr"/>
    </row>
    <row r="672" ht="15" customHeight="1">
      <c r="A672" t="inlineStr">
        <is>
          <t>A 22804-2022</t>
        </is>
      </c>
      <c r="B672" s="1" t="n">
        <v>44715</v>
      </c>
      <c r="C672" s="1" t="n">
        <v>45934</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45795-2023</t>
        </is>
      </c>
      <c r="B673" s="1" t="n">
        <v>45195</v>
      </c>
      <c r="C673" s="1" t="n">
        <v>45934</v>
      </c>
      <c r="D673" t="inlineStr">
        <is>
          <t>UPPSALA LÄN</t>
        </is>
      </c>
      <c r="E673" t="inlineStr">
        <is>
          <t>ÖSTHAMMAR</t>
        </is>
      </c>
      <c r="G673" t="n">
        <v>4</v>
      </c>
      <c r="H673" t="n">
        <v>0</v>
      </c>
      <c r="I673" t="n">
        <v>0</v>
      </c>
      <c r="J673" t="n">
        <v>0</v>
      </c>
      <c r="K673" t="n">
        <v>0</v>
      </c>
      <c r="L673" t="n">
        <v>0</v>
      </c>
      <c r="M673" t="n">
        <v>0</v>
      </c>
      <c r="N673" t="n">
        <v>0</v>
      </c>
      <c r="O673" t="n">
        <v>0</v>
      </c>
      <c r="P673" t="n">
        <v>0</v>
      </c>
      <c r="Q673" t="n">
        <v>0</v>
      </c>
      <c r="R673" s="2" t="inlineStr"/>
    </row>
    <row r="674" ht="15" customHeight="1">
      <c r="A674" t="inlineStr">
        <is>
          <t>A 25859-2024</t>
        </is>
      </c>
      <c r="B674" s="1" t="n">
        <v>45467</v>
      </c>
      <c r="C674" s="1" t="n">
        <v>45934</v>
      </c>
      <c r="D674" t="inlineStr">
        <is>
          <t>UPPSALA LÄN</t>
        </is>
      </c>
      <c r="E674" t="inlineStr">
        <is>
          <t>ÖSTHAMMAR</t>
        </is>
      </c>
      <c r="G674" t="n">
        <v>7.9</v>
      </c>
      <c r="H674" t="n">
        <v>0</v>
      </c>
      <c r="I674" t="n">
        <v>0</v>
      </c>
      <c r="J674" t="n">
        <v>0</v>
      </c>
      <c r="K674" t="n">
        <v>0</v>
      </c>
      <c r="L674" t="n">
        <v>0</v>
      </c>
      <c r="M674" t="n">
        <v>0</v>
      </c>
      <c r="N674" t="n">
        <v>0</v>
      </c>
      <c r="O674" t="n">
        <v>0</v>
      </c>
      <c r="P674" t="n">
        <v>0</v>
      </c>
      <c r="Q674" t="n">
        <v>0</v>
      </c>
      <c r="R674" s="2" t="inlineStr"/>
    </row>
    <row r="675" ht="15" customHeight="1">
      <c r="A675" t="inlineStr">
        <is>
          <t>A 10117-2025</t>
        </is>
      </c>
      <c r="B675" s="1" t="n">
        <v>45719.59866898148</v>
      </c>
      <c r="C675" s="1" t="n">
        <v>45934</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7997-2022</t>
        </is>
      </c>
      <c r="B676" s="1" t="n">
        <v>44609</v>
      </c>
      <c r="C676" s="1" t="n">
        <v>45934</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21478-2023</t>
        </is>
      </c>
      <c r="B677" s="1" t="n">
        <v>45063.47773148148</v>
      </c>
      <c r="C677" s="1" t="n">
        <v>45934</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40460-2025</t>
        </is>
      </c>
      <c r="B678" s="1" t="n">
        <v>45895.65013888889</v>
      </c>
      <c r="C678" s="1" t="n">
        <v>45934</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40462-2025</t>
        </is>
      </c>
      <c r="B679" s="1" t="n">
        <v>45895.65179398148</v>
      </c>
      <c r="C679" s="1" t="n">
        <v>45934</v>
      </c>
      <c r="D679" t="inlineStr">
        <is>
          <t>UPPSALA LÄN</t>
        </is>
      </c>
      <c r="E679" t="inlineStr">
        <is>
          <t>ÖSTHAMMAR</t>
        </is>
      </c>
      <c r="G679" t="n">
        <v>4.5</v>
      </c>
      <c r="H679" t="n">
        <v>0</v>
      </c>
      <c r="I679" t="n">
        <v>0</v>
      </c>
      <c r="J679" t="n">
        <v>0</v>
      </c>
      <c r="K679" t="n">
        <v>0</v>
      </c>
      <c r="L679" t="n">
        <v>0</v>
      </c>
      <c r="M679" t="n">
        <v>0</v>
      </c>
      <c r="N679" t="n">
        <v>0</v>
      </c>
      <c r="O679" t="n">
        <v>0</v>
      </c>
      <c r="P679" t="n">
        <v>0</v>
      </c>
      <c r="Q679" t="n">
        <v>0</v>
      </c>
      <c r="R679" s="2" t="inlineStr"/>
    </row>
    <row r="680" ht="15" customHeight="1">
      <c r="A680" t="inlineStr">
        <is>
          <t>A 40016-2025</t>
        </is>
      </c>
      <c r="B680" s="1" t="n">
        <v>45894.34747685185</v>
      </c>
      <c r="C680" s="1" t="n">
        <v>45934</v>
      </c>
      <c r="D680" t="inlineStr">
        <is>
          <t>UPPSALA LÄN</t>
        </is>
      </c>
      <c r="E680" t="inlineStr">
        <is>
          <t>ÖSTHAMMAR</t>
        </is>
      </c>
      <c r="F680" t="inlineStr">
        <is>
          <t>Kyrkan</t>
        </is>
      </c>
      <c r="G680" t="n">
        <v>6.6</v>
      </c>
      <c r="H680" t="n">
        <v>0</v>
      </c>
      <c r="I680" t="n">
        <v>0</v>
      </c>
      <c r="J680" t="n">
        <v>0</v>
      </c>
      <c r="K680" t="n">
        <v>0</v>
      </c>
      <c r="L680" t="n">
        <v>0</v>
      </c>
      <c r="M680" t="n">
        <v>0</v>
      </c>
      <c r="N680" t="n">
        <v>0</v>
      </c>
      <c r="O680" t="n">
        <v>0</v>
      </c>
      <c r="P680" t="n">
        <v>0</v>
      </c>
      <c r="Q680" t="n">
        <v>0</v>
      </c>
      <c r="R680" s="2" t="inlineStr"/>
    </row>
    <row r="681" ht="15" customHeight="1">
      <c r="A681" t="inlineStr">
        <is>
          <t>A 19640-2025</t>
        </is>
      </c>
      <c r="B681" s="1" t="n">
        <v>45770.65739583333</v>
      </c>
      <c r="C681" s="1" t="n">
        <v>45934</v>
      </c>
      <c r="D681" t="inlineStr">
        <is>
          <t>UPPSALA LÄN</t>
        </is>
      </c>
      <c r="E681" t="inlineStr">
        <is>
          <t>ÖSTHAMMAR</t>
        </is>
      </c>
      <c r="F681" t="inlineStr">
        <is>
          <t>Övriga Aktiebolag</t>
        </is>
      </c>
      <c r="G681" t="n">
        <v>1.7</v>
      </c>
      <c r="H681" t="n">
        <v>0</v>
      </c>
      <c r="I681" t="n">
        <v>0</v>
      </c>
      <c r="J681" t="n">
        <v>0</v>
      </c>
      <c r="K681" t="n">
        <v>0</v>
      </c>
      <c r="L681" t="n">
        <v>0</v>
      </c>
      <c r="M681" t="n">
        <v>0</v>
      </c>
      <c r="N681" t="n">
        <v>0</v>
      </c>
      <c r="O681" t="n">
        <v>0</v>
      </c>
      <c r="P681" t="n">
        <v>0</v>
      </c>
      <c r="Q681" t="n">
        <v>0</v>
      </c>
      <c r="R681" s="2" t="inlineStr"/>
    </row>
    <row r="682" ht="15" customHeight="1">
      <c r="A682" t="inlineStr">
        <is>
          <t>A 67199-2021</t>
        </is>
      </c>
      <c r="B682" s="1" t="n">
        <v>44523.46197916667</v>
      </c>
      <c r="C682" s="1" t="n">
        <v>45934</v>
      </c>
      <c r="D682" t="inlineStr">
        <is>
          <t>UPPSALA LÄN</t>
        </is>
      </c>
      <c r="E682" t="inlineStr">
        <is>
          <t>ÖSTHAMMAR</t>
        </is>
      </c>
      <c r="G682" t="n">
        <v>2.3</v>
      </c>
      <c r="H682" t="n">
        <v>0</v>
      </c>
      <c r="I682" t="n">
        <v>0</v>
      </c>
      <c r="J682" t="n">
        <v>0</v>
      </c>
      <c r="K682" t="n">
        <v>0</v>
      </c>
      <c r="L682" t="n">
        <v>0</v>
      </c>
      <c r="M682" t="n">
        <v>0</v>
      </c>
      <c r="N682" t="n">
        <v>0</v>
      </c>
      <c r="O682" t="n">
        <v>0</v>
      </c>
      <c r="P682" t="n">
        <v>0</v>
      </c>
      <c r="Q682" t="n">
        <v>0</v>
      </c>
      <c r="R682" s="2" t="inlineStr"/>
    </row>
    <row r="683" ht="15" customHeight="1">
      <c r="A683" t="inlineStr">
        <is>
          <t>A 15449-2022</t>
        </is>
      </c>
      <c r="B683" s="1" t="n">
        <v>44660.91659722223</v>
      </c>
      <c r="C683" s="1" t="n">
        <v>45934</v>
      </c>
      <c r="D683" t="inlineStr">
        <is>
          <t>UPPSALA LÄN</t>
        </is>
      </c>
      <c r="E683" t="inlineStr">
        <is>
          <t>ÖSTHAMMAR</t>
        </is>
      </c>
      <c r="F683" t="inlineStr">
        <is>
          <t>Bergvik skog öst AB</t>
        </is>
      </c>
      <c r="G683" t="n">
        <v>2</v>
      </c>
      <c r="H683" t="n">
        <v>0</v>
      </c>
      <c r="I683" t="n">
        <v>0</v>
      </c>
      <c r="J683" t="n">
        <v>0</v>
      </c>
      <c r="K683" t="n">
        <v>0</v>
      </c>
      <c r="L683" t="n">
        <v>0</v>
      </c>
      <c r="M683" t="n">
        <v>0</v>
      </c>
      <c r="N683" t="n">
        <v>0</v>
      </c>
      <c r="O683" t="n">
        <v>0</v>
      </c>
      <c r="P683" t="n">
        <v>0</v>
      </c>
      <c r="Q683" t="n">
        <v>0</v>
      </c>
      <c r="R683" s="2" t="inlineStr"/>
    </row>
    <row r="684" ht="15" customHeight="1">
      <c r="A684" t="inlineStr">
        <is>
          <t>A 40044-2025</t>
        </is>
      </c>
      <c r="B684" s="1" t="n">
        <v>45894.40133101852</v>
      </c>
      <c r="C684" s="1" t="n">
        <v>45934</v>
      </c>
      <c r="D684" t="inlineStr">
        <is>
          <t>UPPSALA LÄN</t>
        </is>
      </c>
      <c r="E684" t="inlineStr">
        <is>
          <t>ÖSTHAMMAR</t>
        </is>
      </c>
      <c r="F684" t="inlineStr">
        <is>
          <t>Kyrkan</t>
        </is>
      </c>
      <c r="G684" t="n">
        <v>8.9</v>
      </c>
      <c r="H684" t="n">
        <v>0</v>
      </c>
      <c r="I684" t="n">
        <v>0</v>
      </c>
      <c r="J684" t="n">
        <v>0</v>
      </c>
      <c r="K684" t="n">
        <v>0</v>
      </c>
      <c r="L684" t="n">
        <v>0</v>
      </c>
      <c r="M684" t="n">
        <v>0</v>
      </c>
      <c r="N684" t="n">
        <v>0</v>
      </c>
      <c r="O684" t="n">
        <v>0</v>
      </c>
      <c r="P684" t="n">
        <v>0</v>
      </c>
      <c r="Q684" t="n">
        <v>0</v>
      </c>
      <c r="R684" s="2" t="inlineStr"/>
    </row>
    <row r="685" ht="15" customHeight="1">
      <c r="A685" t="inlineStr">
        <is>
          <t>A 40377-2025</t>
        </is>
      </c>
      <c r="B685" s="1" t="n">
        <v>45895.53020833333</v>
      </c>
      <c r="C685" s="1" t="n">
        <v>45934</v>
      </c>
      <c r="D685" t="inlineStr">
        <is>
          <t>UPPSALA LÄN</t>
        </is>
      </c>
      <c r="E685" t="inlineStr">
        <is>
          <t>ÖSTHAMMAR</t>
        </is>
      </c>
      <c r="G685" t="n">
        <v>0.6</v>
      </c>
      <c r="H685" t="n">
        <v>0</v>
      </c>
      <c r="I685" t="n">
        <v>0</v>
      </c>
      <c r="J685" t="n">
        <v>0</v>
      </c>
      <c r="K685" t="n">
        <v>0</v>
      </c>
      <c r="L685" t="n">
        <v>0</v>
      </c>
      <c r="M685" t="n">
        <v>0</v>
      </c>
      <c r="N685" t="n">
        <v>0</v>
      </c>
      <c r="O685" t="n">
        <v>0</v>
      </c>
      <c r="P685" t="n">
        <v>0</v>
      </c>
      <c r="Q685" t="n">
        <v>0</v>
      </c>
      <c r="R685" s="2" t="inlineStr"/>
    </row>
    <row r="686" ht="15" customHeight="1">
      <c r="A686" t="inlineStr">
        <is>
          <t>A 40416-2025</t>
        </is>
      </c>
      <c r="B686" s="1" t="n">
        <v>45895.57736111111</v>
      </c>
      <c r="C686" s="1" t="n">
        <v>45934</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40384-2025</t>
        </is>
      </c>
      <c r="B687" s="1" t="n">
        <v>45895.54085648148</v>
      </c>
      <c r="C687" s="1" t="n">
        <v>45934</v>
      </c>
      <c r="D687" t="inlineStr">
        <is>
          <t>UPPSALA LÄN</t>
        </is>
      </c>
      <c r="E687" t="inlineStr">
        <is>
          <t>ÖSTHAMMAR</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18183-2022</t>
        </is>
      </c>
      <c r="B688" s="1" t="n">
        <v>44684</v>
      </c>
      <c r="C688" s="1" t="n">
        <v>45934</v>
      </c>
      <c r="D688" t="inlineStr">
        <is>
          <t>UPPSALA LÄN</t>
        </is>
      </c>
      <c r="E688" t="inlineStr">
        <is>
          <t>ÖSTHAMMAR</t>
        </is>
      </c>
      <c r="G688" t="n">
        <v>0.2</v>
      </c>
      <c r="H688" t="n">
        <v>0</v>
      </c>
      <c r="I688" t="n">
        <v>0</v>
      </c>
      <c r="J688" t="n">
        <v>0</v>
      </c>
      <c r="K688" t="n">
        <v>0</v>
      </c>
      <c r="L688" t="n">
        <v>0</v>
      </c>
      <c r="M688" t="n">
        <v>0</v>
      </c>
      <c r="N688" t="n">
        <v>0</v>
      </c>
      <c r="O688" t="n">
        <v>0</v>
      </c>
      <c r="P688" t="n">
        <v>0</v>
      </c>
      <c r="Q688" t="n">
        <v>0</v>
      </c>
      <c r="R688" s="2" t="inlineStr"/>
    </row>
    <row r="689" ht="15" customHeight="1">
      <c r="A689" t="inlineStr">
        <is>
          <t>A 55389-2020</t>
        </is>
      </c>
      <c r="B689" s="1" t="n">
        <v>44131.38030092593</v>
      </c>
      <c r="C689" s="1" t="n">
        <v>45934</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6892-2022</t>
        </is>
      </c>
      <c r="B690" s="1" t="n">
        <v>44602</v>
      </c>
      <c r="C690" s="1" t="n">
        <v>45934</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62295-2022</t>
        </is>
      </c>
      <c r="B691" s="1" t="n">
        <v>44916</v>
      </c>
      <c r="C691" s="1" t="n">
        <v>45934</v>
      </c>
      <c r="D691" t="inlineStr">
        <is>
          <t>UPPSALA LÄN</t>
        </is>
      </c>
      <c r="E691" t="inlineStr">
        <is>
          <t>ÖSTHAMMAR</t>
        </is>
      </c>
      <c r="G691" t="n">
        <v>3.3</v>
      </c>
      <c r="H691" t="n">
        <v>0</v>
      </c>
      <c r="I691" t="n">
        <v>0</v>
      </c>
      <c r="J691" t="n">
        <v>0</v>
      </c>
      <c r="K691" t="n">
        <v>0</v>
      </c>
      <c r="L691" t="n">
        <v>0</v>
      </c>
      <c r="M691" t="n">
        <v>0</v>
      </c>
      <c r="N691" t="n">
        <v>0</v>
      </c>
      <c r="O691" t="n">
        <v>0</v>
      </c>
      <c r="P691" t="n">
        <v>0</v>
      </c>
      <c r="Q691" t="n">
        <v>0</v>
      </c>
      <c r="R691" s="2" t="inlineStr"/>
    </row>
    <row r="692" ht="15" customHeight="1">
      <c r="A692" t="inlineStr">
        <is>
          <t>A 8830-2023</t>
        </is>
      </c>
      <c r="B692" s="1" t="n">
        <v>44978</v>
      </c>
      <c r="C692" s="1" t="n">
        <v>45934</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40570-2025</t>
        </is>
      </c>
      <c r="B693" s="1" t="n">
        <v>45896.47878472223</v>
      </c>
      <c r="C693" s="1" t="n">
        <v>45934</v>
      </c>
      <c r="D693" t="inlineStr">
        <is>
          <t>UPPSALA LÄN</t>
        </is>
      </c>
      <c r="E693" t="inlineStr">
        <is>
          <t>ÖSTHAMMAR</t>
        </is>
      </c>
      <c r="F693" t="inlineStr">
        <is>
          <t>Övriga Aktiebolag</t>
        </is>
      </c>
      <c r="G693" t="n">
        <v>4.8</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45934</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41519-2025</t>
        </is>
      </c>
      <c r="B695" s="1" t="n">
        <v>45901.54751157408</v>
      </c>
      <c r="C695" s="1" t="n">
        <v>45934</v>
      </c>
      <c r="D695" t="inlineStr">
        <is>
          <t>UPPSALA LÄN</t>
        </is>
      </c>
      <c r="E695" t="inlineStr">
        <is>
          <t>ÖSTHAMMAR</t>
        </is>
      </c>
      <c r="F695" t="inlineStr">
        <is>
          <t>Övriga Aktiebolag</t>
        </is>
      </c>
      <c r="G695" t="n">
        <v>17.1</v>
      </c>
      <c r="H695" t="n">
        <v>0</v>
      </c>
      <c r="I695" t="n">
        <v>0</v>
      </c>
      <c r="J695" t="n">
        <v>0</v>
      </c>
      <c r="K695" t="n">
        <v>0</v>
      </c>
      <c r="L695" t="n">
        <v>0</v>
      </c>
      <c r="M695" t="n">
        <v>0</v>
      </c>
      <c r="N695" t="n">
        <v>0</v>
      </c>
      <c r="O695" t="n">
        <v>0</v>
      </c>
      <c r="P695" t="n">
        <v>0</v>
      </c>
      <c r="Q695" t="n">
        <v>0</v>
      </c>
      <c r="R695" s="2" t="inlineStr"/>
    </row>
    <row r="696" ht="15" customHeight="1">
      <c r="A696" t="inlineStr">
        <is>
          <t>A 47522-2023</t>
        </is>
      </c>
      <c r="B696" s="1" t="n">
        <v>45203</v>
      </c>
      <c r="C696" s="1" t="n">
        <v>45934</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13358-2024</t>
        </is>
      </c>
      <c r="B697" s="1" t="n">
        <v>45387.3503125</v>
      </c>
      <c r="C697" s="1" t="n">
        <v>45934</v>
      </c>
      <c r="D697" t="inlineStr">
        <is>
          <t>UPPSALA LÄN</t>
        </is>
      </c>
      <c r="E697" t="inlineStr">
        <is>
          <t>ÖSTHAMMAR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29282-2021</t>
        </is>
      </c>
      <c r="B698" s="1" t="n">
        <v>44361</v>
      </c>
      <c r="C698" s="1" t="n">
        <v>45934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54366-2023</t>
        </is>
      </c>
      <c r="B699" s="1" t="n">
        <v>45233</v>
      </c>
      <c r="C699" s="1" t="n">
        <v>45934</v>
      </c>
      <c r="D699" t="inlineStr">
        <is>
          <t>UPPSALA LÄN</t>
        </is>
      </c>
      <c r="E699" t="inlineStr">
        <is>
          <t>ÖSTHAMMAR</t>
        </is>
      </c>
      <c r="F699" t="inlineStr">
        <is>
          <t>Bergvik skog öst AB</t>
        </is>
      </c>
      <c r="G699" t="n">
        <v>2.9</v>
      </c>
      <c r="H699" t="n">
        <v>0</v>
      </c>
      <c r="I699" t="n">
        <v>0</v>
      </c>
      <c r="J699" t="n">
        <v>0</v>
      </c>
      <c r="K699" t="n">
        <v>0</v>
      </c>
      <c r="L699" t="n">
        <v>0</v>
      </c>
      <c r="M699" t="n">
        <v>0</v>
      </c>
      <c r="N699" t="n">
        <v>0</v>
      </c>
      <c r="O699" t="n">
        <v>0</v>
      </c>
      <c r="P699" t="n">
        <v>0</v>
      </c>
      <c r="Q699" t="n">
        <v>0</v>
      </c>
      <c r="R699" s="2" t="inlineStr"/>
    </row>
    <row r="700" ht="15" customHeight="1">
      <c r="A700" t="inlineStr">
        <is>
          <t>A 52694-2023</t>
        </is>
      </c>
      <c r="B700" s="1" t="n">
        <v>45225.76836805556</v>
      </c>
      <c r="C700" s="1" t="n">
        <v>45934</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23120-2021</t>
        </is>
      </c>
      <c r="B701" s="1" t="n">
        <v>44330</v>
      </c>
      <c r="C701" s="1" t="n">
        <v>45934</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36873-2022</t>
        </is>
      </c>
      <c r="B702" s="1" t="n">
        <v>44805.63708333333</v>
      </c>
      <c r="C702" s="1" t="n">
        <v>45934</v>
      </c>
      <c r="D702" t="inlineStr">
        <is>
          <t>UPPSALA LÄN</t>
        </is>
      </c>
      <c r="E702" t="inlineStr">
        <is>
          <t>ÖSTHAMMAR</t>
        </is>
      </c>
      <c r="G702" t="n">
        <v>2.5</v>
      </c>
      <c r="H702" t="n">
        <v>0</v>
      </c>
      <c r="I702" t="n">
        <v>0</v>
      </c>
      <c r="J702" t="n">
        <v>0</v>
      </c>
      <c r="K702" t="n">
        <v>0</v>
      </c>
      <c r="L702" t="n">
        <v>0</v>
      </c>
      <c r="M702" t="n">
        <v>0</v>
      </c>
      <c r="N702" t="n">
        <v>0</v>
      </c>
      <c r="O702" t="n">
        <v>0</v>
      </c>
      <c r="P702" t="n">
        <v>0</v>
      </c>
      <c r="Q702" t="n">
        <v>0</v>
      </c>
      <c r="R702" s="2" t="inlineStr"/>
    </row>
    <row r="703" ht="15" customHeight="1">
      <c r="A703" t="inlineStr">
        <is>
          <t>A 54666-2022</t>
        </is>
      </c>
      <c r="B703" s="1" t="n">
        <v>44883</v>
      </c>
      <c r="C703" s="1" t="n">
        <v>45934</v>
      </c>
      <c r="D703" t="inlineStr">
        <is>
          <t>UPPSALA LÄN</t>
        </is>
      </c>
      <c r="E703" t="inlineStr">
        <is>
          <t>ÖSTHAMMAR</t>
        </is>
      </c>
      <c r="G703" t="n">
        <v>14.3</v>
      </c>
      <c r="H703" t="n">
        <v>0</v>
      </c>
      <c r="I703" t="n">
        <v>0</v>
      </c>
      <c r="J703" t="n">
        <v>0</v>
      </c>
      <c r="K703" t="n">
        <v>0</v>
      </c>
      <c r="L703" t="n">
        <v>0</v>
      </c>
      <c r="M703" t="n">
        <v>0</v>
      </c>
      <c r="N703" t="n">
        <v>0</v>
      </c>
      <c r="O703" t="n">
        <v>0</v>
      </c>
      <c r="P703" t="n">
        <v>0</v>
      </c>
      <c r="Q703" t="n">
        <v>0</v>
      </c>
      <c r="R703" s="2" t="inlineStr"/>
    </row>
    <row r="704" ht="15" customHeight="1">
      <c r="A704" t="inlineStr">
        <is>
          <t>A 42213-2025</t>
        </is>
      </c>
      <c r="B704" s="1" t="n">
        <v>45904.50652777778</v>
      </c>
      <c r="C704" s="1" t="n">
        <v>45934</v>
      </c>
      <c r="D704" t="inlineStr">
        <is>
          <t>UPPSALA LÄN</t>
        </is>
      </c>
      <c r="E704" t="inlineStr">
        <is>
          <t>ÖSTHAMMAR</t>
        </is>
      </c>
      <c r="G704" t="n">
        <v>0.8</v>
      </c>
      <c r="H704" t="n">
        <v>0</v>
      </c>
      <c r="I704" t="n">
        <v>0</v>
      </c>
      <c r="J704" t="n">
        <v>0</v>
      </c>
      <c r="K704" t="n">
        <v>0</v>
      </c>
      <c r="L704" t="n">
        <v>0</v>
      </c>
      <c r="M704" t="n">
        <v>0</v>
      </c>
      <c r="N704" t="n">
        <v>0</v>
      </c>
      <c r="O704" t="n">
        <v>0</v>
      </c>
      <c r="P704" t="n">
        <v>0</v>
      </c>
      <c r="Q704" t="n">
        <v>0</v>
      </c>
      <c r="R704" s="2" t="inlineStr"/>
    </row>
    <row r="705" ht="15" customHeight="1">
      <c r="A705" t="inlineStr">
        <is>
          <t>A 40382-2025</t>
        </is>
      </c>
      <c r="B705" s="1" t="n">
        <v>45895.53689814815</v>
      </c>
      <c r="C705" s="1" t="n">
        <v>45934</v>
      </c>
      <c r="D705" t="inlineStr">
        <is>
          <t>UPPSALA LÄN</t>
        </is>
      </c>
      <c r="E705" t="inlineStr">
        <is>
          <t>ÖSTHAMMAR</t>
        </is>
      </c>
      <c r="G705" t="n">
        <v>2.2</v>
      </c>
      <c r="H705" t="n">
        <v>0</v>
      </c>
      <c r="I705" t="n">
        <v>0</v>
      </c>
      <c r="J705" t="n">
        <v>0</v>
      </c>
      <c r="K705" t="n">
        <v>0</v>
      </c>
      <c r="L705" t="n">
        <v>0</v>
      </c>
      <c r="M705" t="n">
        <v>0</v>
      </c>
      <c r="N705" t="n">
        <v>0</v>
      </c>
      <c r="O705" t="n">
        <v>0</v>
      </c>
      <c r="P705" t="n">
        <v>0</v>
      </c>
      <c r="Q705" t="n">
        <v>0</v>
      </c>
      <c r="R705" s="2" t="inlineStr"/>
    </row>
    <row r="706" ht="15" customHeight="1">
      <c r="A706" t="inlineStr">
        <is>
          <t>A 61817-2021</t>
        </is>
      </c>
      <c r="B706" s="1" t="n">
        <v>44501.76855324074</v>
      </c>
      <c r="C706" s="1" t="n">
        <v>45934</v>
      </c>
      <c r="D706" t="inlineStr">
        <is>
          <t>UPPSALA LÄN</t>
        </is>
      </c>
      <c r="E706" t="inlineStr">
        <is>
          <t>ÖSTHAMMAR</t>
        </is>
      </c>
      <c r="F706" t="inlineStr">
        <is>
          <t>Bergvik skog öst AB</t>
        </is>
      </c>
      <c r="G706" t="n">
        <v>2.3</v>
      </c>
      <c r="H706" t="n">
        <v>0</v>
      </c>
      <c r="I706" t="n">
        <v>0</v>
      </c>
      <c r="J706" t="n">
        <v>0</v>
      </c>
      <c r="K706" t="n">
        <v>0</v>
      </c>
      <c r="L706" t="n">
        <v>0</v>
      </c>
      <c r="M706" t="n">
        <v>0</v>
      </c>
      <c r="N706" t="n">
        <v>0</v>
      </c>
      <c r="O706" t="n">
        <v>0</v>
      </c>
      <c r="P706" t="n">
        <v>0</v>
      </c>
      <c r="Q706" t="n">
        <v>0</v>
      </c>
      <c r="R706" s="2" t="inlineStr"/>
    </row>
    <row r="707" ht="15" customHeight="1">
      <c r="A707" t="inlineStr">
        <is>
          <t>A 54437-2024</t>
        </is>
      </c>
      <c r="B707" s="1" t="n">
        <v>45617</v>
      </c>
      <c r="C707" s="1" t="n">
        <v>45934</v>
      </c>
      <c r="D707" t="inlineStr">
        <is>
          <t>UPPSALA LÄN</t>
        </is>
      </c>
      <c r="E707" t="inlineStr">
        <is>
          <t>ÖSTHAMMAR</t>
        </is>
      </c>
      <c r="G707" t="n">
        <v>2.1</v>
      </c>
      <c r="H707" t="n">
        <v>0</v>
      </c>
      <c r="I707" t="n">
        <v>0</v>
      </c>
      <c r="J707" t="n">
        <v>0</v>
      </c>
      <c r="K707" t="n">
        <v>0</v>
      </c>
      <c r="L707" t="n">
        <v>0</v>
      </c>
      <c r="M707" t="n">
        <v>0</v>
      </c>
      <c r="N707" t="n">
        <v>0</v>
      </c>
      <c r="O707" t="n">
        <v>0</v>
      </c>
      <c r="P707" t="n">
        <v>0</v>
      </c>
      <c r="Q707" t="n">
        <v>0</v>
      </c>
      <c r="R707" s="2" t="inlineStr"/>
    </row>
    <row r="708" ht="15" customHeight="1">
      <c r="A708" t="inlineStr">
        <is>
          <t>A 9052-2023</t>
        </is>
      </c>
      <c r="B708" s="1" t="n">
        <v>44979</v>
      </c>
      <c r="C708" s="1" t="n">
        <v>45934</v>
      </c>
      <c r="D708" t="inlineStr">
        <is>
          <t>UPPSALA LÄN</t>
        </is>
      </c>
      <c r="E708" t="inlineStr">
        <is>
          <t>ÖSTHAMMAR</t>
        </is>
      </c>
      <c r="F708" t="inlineStr">
        <is>
          <t>Kyrkan</t>
        </is>
      </c>
      <c r="G708" t="n">
        <v>0.2</v>
      </c>
      <c r="H708" t="n">
        <v>0</v>
      </c>
      <c r="I708" t="n">
        <v>0</v>
      </c>
      <c r="J708" t="n">
        <v>0</v>
      </c>
      <c r="K708" t="n">
        <v>0</v>
      </c>
      <c r="L708" t="n">
        <v>0</v>
      </c>
      <c r="M708" t="n">
        <v>0</v>
      </c>
      <c r="N708" t="n">
        <v>0</v>
      </c>
      <c r="O708" t="n">
        <v>0</v>
      </c>
      <c r="P708" t="n">
        <v>0</v>
      </c>
      <c r="Q708" t="n">
        <v>0</v>
      </c>
      <c r="R708" s="2" t="inlineStr"/>
    </row>
    <row r="709" ht="15" customHeight="1">
      <c r="A709" t="inlineStr">
        <is>
          <t>A 28152-2024</t>
        </is>
      </c>
      <c r="B709" s="1" t="n">
        <v>45476.77056712963</v>
      </c>
      <c r="C709" s="1" t="n">
        <v>45934</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20326-2021</t>
        </is>
      </c>
      <c r="B710" s="1" t="n">
        <v>44308</v>
      </c>
      <c r="C710" s="1" t="n">
        <v>45934</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36092-2025</t>
        </is>
      </c>
      <c r="B711" s="1" t="n">
        <v>45866.48244212963</v>
      </c>
      <c r="C711" s="1" t="n">
        <v>45934</v>
      </c>
      <c r="D711" t="inlineStr">
        <is>
          <t>UPPSALA LÄN</t>
        </is>
      </c>
      <c r="E711" t="inlineStr">
        <is>
          <t>ÖSTHAMMAR</t>
        </is>
      </c>
      <c r="G711" t="n">
        <v>1.2</v>
      </c>
      <c r="H711" t="n">
        <v>0</v>
      </c>
      <c r="I711" t="n">
        <v>0</v>
      </c>
      <c r="J711" t="n">
        <v>0</v>
      </c>
      <c r="K711" t="n">
        <v>0</v>
      </c>
      <c r="L711" t="n">
        <v>0</v>
      </c>
      <c r="M711" t="n">
        <v>0</v>
      </c>
      <c r="N711" t="n">
        <v>0</v>
      </c>
      <c r="O711" t="n">
        <v>0</v>
      </c>
      <c r="P711" t="n">
        <v>0</v>
      </c>
      <c r="Q711" t="n">
        <v>0</v>
      </c>
      <c r="R711" s="2" t="inlineStr"/>
    </row>
    <row r="712" ht="15" customHeight="1">
      <c r="A712" t="inlineStr">
        <is>
          <t>A 42940-2025</t>
        </is>
      </c>
      <c r="B712" s="1" t="n">
        <v>45909.33440972222</v>
      </c>
      <c r="C712" s="1" t="n">
        <v>45934</v>
      </c>
      <c r="D712" t="inlineStr">
        <is>
          <t>UPPSALA LÄN</t>
        </is>
      </c>
      <c r="E712" t="inlineStr">
        <is>
          <t>ÖSTHAMMAR</t>
        </is>
      </c>
      <c r="G712" t="n">
        <v>2.1</v>
      </c>
      <c r="H712" t="n">
        <v>0</v>
      </c>
      <c r="I712" t="n">
        <v>0</v>
      </c>
      <c r="J712" t="n">
        <v>0</v>
      </c>
      <c r="K712" t="n">
        <v>0</v>
      </c>
      <c r="L712" t="n">
        <v>0</v>
      </c>
      <c r="M712" t="n">
        <v>0</v>
      </c>
      <c r="N712" t="n">
        <v>0</v>
      </c>
      <c r="O712" t="n">
        <v>0</v>
      </c>
      <c r="P712" t="n">
        <v>0</v>
      </c>
      <c r="Q712" t="n">
        <v>0</v>
      </c>
      <c r="R712" s="2" t="inlineStr"/>
    </row>
    <row r="713" ht="15" customHeight="1">
      <c r="A713" t="inlineStr">
        <is>
          <t>A 17929-2025</t>
        </is>
      </c>
      <c r="B713" s="1" t="n">
        <v>45759.56462962963</v>
      </c>
      <c r="C713" s="1" t="n">
        <v>45934</v>
      </c>
      <c r="D713" t="inlineStr">
        <is>
          <t>UPPSALA LÄN</t>
        </is>
      </c>
      <c r="E713" t="inlineStr">
        <is>
          <t>ÖSTHAMMAR</t>
        </is>
      </c>
      <c r="G713" t="n">
        <v>3.4</v>
      </c>
      <c r="H713" t="n">
        <v>0</v>
      </c>
      <c r="I713" t="n">
        <v>0</v>
      </c>
      <c r="J713" t="n">
        <v>0</v>
      </c>
      <c r="K713" t="n">
        <v>0</v>
      </c>
      <c r="L713" t="n">
        <v>0</v>
      </c>
      <c r="M713" t="n">
        <v>0</v>
      </c>
      <c r="N713" t="n">
        <v>0</v>
      </c>
      <c r="O713" t="n">
        <v>0</v>
      </c>
      <c r="P713" t="n">
        <v>0</v>
      </c>
      <c r="Q713" t="n">
        <v>0</v>
      </c>
      <c r="R713" s="2" t="inlineStr"/>
    </row>
    <row r="714" ht="15" customHeight="1">
      <c r="A714" t="inlineStr">
        <is>
          <t>A 17643-2025</t>
        </is>
      </c>
      <c r="B714" s="1" t="n">
        <v>45758.32454861111</v>
      </c>
      <c r="C714" s="1" t="n">
        <v>45934</v>
      </c>
      <c r="D714" t="inlineStr">
        <is>
          <t>UPPSALA LÄN</t>
        </is>
      </c>
      <c r="E714" t="inlineStr">
        <is>
          <t>ÖSTHAMMAR</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43011-2025</t>
        </is>
      </c>
      <c r="B715" s="1" t="n">
        <v>45909.48989583334</v>
      </c>
      <c r="C715" s="1" t="n">
        <v>45934</v>
      </c>
      <c r="D715" t="inlineStr">
        <is>
          <t>UPPSALA LÄN</t>
        </is>
      </c>
      <c r="E715" t="inlineStr">
        <is>
          <t>ÖSTHAMMAR</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12262-2023</t>
        </is>
      </c>
      <c r="B716" s="1" t="n">
        <v>44998.66662037037</v>
      </c>
      <c r="C716" s="1" t="n">
        <v>45934</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41478-2024</t>
        </is>
      </c>
      <c r="B717" s="1" t="n">
        <v>45560.44158564815</v>
      </c>
      <c r="C717" s="1" t="n">
        <v>45934</v>
      </c>
      <c r="D717" t="inlineStr">
        <is>
          <t>UPPSALA LÄN</t>
        </is>
      </c>
      <c r="E717" t="inlineStr">
        <is>
          <t>ÖSTHAMMAR</t>
        </is>
      </c>
      <c r="G717" t="n">
        <v>1</v>
      </c>
      <c r="H717" t="n">
        <v>0</v>
      </c>
      <c r="I717" t="n">
        <v>0</v>
      </c>
      <c r="J717" t="n">
        <v>0</v>
      </c>
      <c r="K717" t="n">
        <v>0</v>
      </c>
      <c r="L717" t="n">
        <v>0</v>
      </c>
      <c r="M717" t="n">
        <v>0</v>
      </c>
      <c r="N717" t="n">
        <v>0</v>
      </c>
      <c r="O717" t="n">
        <v>0</v>
      </c>
      <c r="P717" t="n">
        <v>0</v>
      </c>
      <c r="Q717" t="n">
        <v>0</v>
      </c>
      <c r="R717" s="2" t="inlineStr"/>
    </row>
    <row r="718" ht="15" customHeight="1">
      <c r="A718" t="inlineStr">
        <is>
          <t>A 16141-2022</t>
        </is>
      </c>
      <c r="B718" s="1" t="n">
        <v>44665</v>
      </c>
      <c r="C718" s="1" t="n">
        <v>45934</v>
      </c>
      <c r="D718" t="inlineStr">
        <is>
          <t>UPPSALA LÄN</t>
        </is>
      </c>
      <c r="E718" t="inlineStr">
        <is>
          <t>ÖSTHAMMAR</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43604-2025</t>
        </is>
      </c>
      <c r="B719" s="1" t="n">
        <v>45911.66671296296</v>
      </c>
      <c r="C719" s="1" t="n">
        <v>45934</v>
      </c>
      <c r="D719" t="inlineStr">
        <is>
          <t>UPPSALA LÄN</t>
        </is>
      </c>
      <c r="E719" t="inlineStr">
        <is>
          <t>ÖSTHAMMAR</t>
        </is>
      </c>
      <c r="G719" t="n">
        <v>8.5</v>
      </c>
      <c r="H719" t="n">
        <v>0</v>
      </c>
      <c r="I719" t="n">
        <v>0</v>
      </c>
      <c r="J719" t="n">
        <v>0</v>
      </c>
      <c r="K719" t="n">
        <v>0</v>
      </c>
      <c r="L719" t="n">
        <v>0</v>
      </c>
      <c r="M719" t="n">
        <v>0</v>
      </c>
      <c r="N719" t="n">
        <v>0</v>
      </c>
      <c r="O719" t="n">
        <v>0</v>
      </c>
      <c r="P719" t="n">
        <v>0</v>
      </c>
      <c r="Q719" t="n">
        <v>0</v>
      </c>
      <c r="R719" s="2" t="inlineStr"/>
    </row>
    <row r="720" ht="15" customHeight="1">
      <c r="A720" t="inlineStr">
        <is>
          <t>A 34922-2023</t>
        </is>
      </c>
      <c r="B720" s="1" t="n">
        <v>45142.48359953704</v>
      </c>
      <c r="C720" s="1" t="n">
        <v>45934</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43622-2025</t>
        </is>
      </c>
      <c r="B721" s="1" t="n">
        <v>45911.68295138889</v>
      </c>
      <c r="C721" s="1" t="n">
        <v>45934</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36451-2025</t>
        </is>
      </c>
      <c r="B722" s="1" t="n">
        <v>45869.4290625</v>
      </c>
      <c r="C722" s="1" t="n">
        <v>45934</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c r="A723" t="inlineStr">
        <is>
          <t>A 23495-2023</t>
        </is>
      </c>
      <c r="B723" s="1" t="n">
        <v>45076.71652777777</v>
      </c>
      <c r="C723" s="1" t="n">
        <v>45934</v>
      </c>
      <c r="D723" t="inlineStr">
        <is>
          <t>UPPSALA LÄN</t>
        </is>
      </c>
      <c r="E723" t="inlineStr">
        <is>
          <t>ÖSTHAMMAR</t>
        </is>
      </c>
      <c r="F723" t="inlineStr">
        <is>
          <t>Sveaskog</t>
        </is>
      </c>
      <c r="G723" t="n">
        <v>2.3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2025-10-04T12:34:58Z</dcterms:created>
  <dcterms:modified xmlns:dcterms="http://purl.org/dc/terms/" xmlns:xsi="http://www.w3.org/2001/XMLSchema-instance" xsi:type="dcterms:W3CDTF">2025-10-04T12:34:59Z</dcterms:modified>
</cp:coreProperties>
</file>