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45713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45713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45713</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45713</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45713</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45713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45713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45713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45713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45713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45713</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45713</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45713</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45713</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45713</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45713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45713</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45713</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45713</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45713</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45713</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45713</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45713</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45713</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45713</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45713</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45713</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45713</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45713</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45713</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45713</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45713</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45713</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45713</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45713</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45713</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45713</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45713</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45713</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45713</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45713</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45713</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45713</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45713</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45713</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45713</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45713</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45713</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45713</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45713</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45713</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45713</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45713</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45713</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45713</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45713</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45713</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45713</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45713</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45713</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45713</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45713</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45713</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45713</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45713</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45713</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45713</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45713</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45713</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45713</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45713</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45713</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45713</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45713</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45713</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45713</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45713</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45713</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45713</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45713</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45713</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45713</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45713</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45713</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45713</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45713</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45713</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45713</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45713</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45713</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45713</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45713</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45713</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45713</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45713</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45713</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45713</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45713</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45713</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45713</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45713</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45713</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45713</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45713</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45713</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45713</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45713</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45713</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45713</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45713</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45713</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45713</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45713</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45713</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45713</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45713</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45713</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45713</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45713</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45713</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45713</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45713</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45713</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45713</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45713</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45713</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45713</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45713</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45713</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45713</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45713</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45713</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45713</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45713</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45713</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45713</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45713</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45713</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45713</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45713</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45713</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45713</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45713</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45713</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45713</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45713</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45713</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45713</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45713</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45713</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45713</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45713</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45713</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45713</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45713</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45713</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45713</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45713</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45713</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45713</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45713</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45713</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45713</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45713</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45713</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45713</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45713</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45713</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45713</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45713</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45713</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45713</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45713</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45713</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45713</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45713</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45713</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45713</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45713</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45713</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45713</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45713</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45713</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45713</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45713</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45713</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45713</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45713</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45713</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45713</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45713</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45713</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45713</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45713</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45713</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45713</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45713</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45713</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45713</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45713</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45713</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45713</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45713</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45713</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45713</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45713</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45713</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45713</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45713</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45713</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45713</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45713</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45713</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45713</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45713</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45713</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45713</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45713</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45713</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45713</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45713</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45713</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45713</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45713</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45713</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45713</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45713</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45713</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45713</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45713</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45713</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45713</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45713</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45713</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45713</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45713</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45713</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45713</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45713</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45713</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45713</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45713</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45713</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45713</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45713</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45713</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45713</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45713</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45713</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45713</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45713</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45713</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45713</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45713</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45713</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45713</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45713</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45713</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45713</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45713</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45713</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45713</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45713</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45713</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45713</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45713</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45713</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45713</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45713</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45713</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45713</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45713</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45713</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45713</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45713</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45713</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45713</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45713</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45713</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45713</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45713</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45713</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45713</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45713</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45713</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45713</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45713</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45713</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45713</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45713</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45713</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45713</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45713</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45713</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45713</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45713</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45713</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45713</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45713</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45713</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45713</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45713</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45713</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45713</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45713</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45713</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45713</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45713</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45713</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45713</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45713</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45713</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45713</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45713</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45713</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45713</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45713</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45713</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45713</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45713</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45713</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45713</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45713</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45713</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45713</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45713</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45713</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45713</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45713</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45713</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45713</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45713</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45713</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45713</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45713</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45713</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45713</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45713</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45713</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45713</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45713</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45713</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45713</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45713</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45713</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45713</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45713</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45713</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45713</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45713</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45713</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45713</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45713</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45713</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45713</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45713</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45713</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45713</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45713</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45713</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45713</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45713</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45713</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45713</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45713</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45713</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45713</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45713</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45713</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45713</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45713</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45713</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45713</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45713</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45713</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45713</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45713</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45713</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45713</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45713</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45713</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45713</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45713</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45713</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45713</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45713</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45713</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45713</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45713</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45713</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45713</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45713</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45713</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45713</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45713</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45713</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45713</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45713</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45713</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45713</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45713</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45713</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45713</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45713</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45713</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45713</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45713</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45713</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45713</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45713</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45713</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45713</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45713</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45713</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45713</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45713</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45713</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45713</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45713</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45713</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45713</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45713</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45713</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45713</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45713</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45713</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45713</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45713</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45713</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45713</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45713</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45713</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45713</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45713</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45713</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45713</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45713</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45713</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45713</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45713</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45713</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45713</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45713</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45713</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45713</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45713</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45713</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45713</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45713</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45713</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45713</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45713</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45713</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45713</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45713</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45713</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45713</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45713</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45713</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45713</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45713</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45713</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45713</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45713</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45713</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45713</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45713</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45713</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45713</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45713</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45713</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45713</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45713</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45713</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45713</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45713</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45713</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45713</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45713</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45713</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45713</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45713</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45713</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45713</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45713</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45713</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45713</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45713</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45713</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45713</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45713</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45713</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45713</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45713</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45713</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45713</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45713</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45713</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45713</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45713</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45713</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45713</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45713</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45713</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45713</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45713</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45713</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45713</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45713</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45713</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45713</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45713</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45713</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45713</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45713</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45713</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45713</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45713</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45713</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45713</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45713</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45713</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45713</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45713</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45713</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45713</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45713</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45713</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45713</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45713</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45713</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45713</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45713</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45713</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45713</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45713</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45713</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45713</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45713</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45713</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45713</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45713</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45713</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45713</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45713</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45713</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45713</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45713</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45713</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45713</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45713</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45713</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45713</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45713</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45713</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45713</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45713</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45713</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45713</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45713</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45713</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45713</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45713</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45713</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45713</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45713</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45713</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45713</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45713</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45713</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45713</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45713</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45713</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45713</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45713</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45713</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45713</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45713</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45713</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45713</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45713</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45713</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45713</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45713</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45713</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45713</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45713</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45713</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45713</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45713</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45713</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45713</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45713</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45713</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45713</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45713</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45713</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45713</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45713</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45713</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45713</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45713</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45713</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45713</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45713</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45713</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45713</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45713</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45713</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45713</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45713</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45713</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45713</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45713</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45713</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45713</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45713</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45713</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45713</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45713</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45713</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45713</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45713</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45713</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45713</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45713</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45713</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45713</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45713</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45713</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45713</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45713</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45713</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45713</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45713</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45713</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45713</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45713</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45713</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45713</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45713</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45713</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45713</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45713</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45713</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45713</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45713</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45713</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45713</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45713</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45713</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45713</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45713</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45713</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45713</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45713</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45713</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45713</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45713</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45713</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45713</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45713</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45713</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45713</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45713</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45713</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45713</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45713</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45713</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45713</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45713</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45713</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45713</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45713</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45713</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45713</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45713</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45713</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45713</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45713</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45713</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45713</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45713</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45713</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45713</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45713</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45713</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45713</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45713</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45713</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45713</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45713</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45713</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45713</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45713</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45713</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45713</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45713</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45713</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45713</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45713</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45713</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45713</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45713</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45713</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45713</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45713</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45713</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45713</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45713</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45713</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45713</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45713</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45713</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45713</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45713</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45713</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45713</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45713</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45713</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45713</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45713</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45713</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45713</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45713</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45713</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45713</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45713</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45713</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45713</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45713</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45713</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45713</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45713</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45713</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45713</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45713</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45713</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45713</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45713</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45713</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45713</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45713</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45713</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45713</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45713</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45713</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45713</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45713</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45713</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45713</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45713</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45713</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45713</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45713</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45713</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45713</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45713</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45713</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45713</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45713</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45713</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45713</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45713</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45713</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45713</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45713</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45713</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45713</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45713</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45713</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45713</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45713</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45713</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45713</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45713</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45713</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45713</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45713</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45713</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45713</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45713</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45713</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45713</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45713</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45713</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45713</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45713</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45713</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45713</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45713</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45713</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45713</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45713</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45713</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45713</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45713</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45713</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45713</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45713</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45713</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45713</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45713</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45713</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45713</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45713</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45713</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45713</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45713</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45713</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45713</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45713</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45713</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45713</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45713</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45713</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45713</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45713</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45713</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45713</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45713</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45713</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45713</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45713</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45713</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45713</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45713</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45713</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45713</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45713</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45713</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45713</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45713</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45713</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45713</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45713</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45713</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45713</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45713</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45713</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45713</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45713</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45713</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45713</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45713</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45713</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45713</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45713</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45713</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45713</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45713</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45713</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45713</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45713</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45713</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45713</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45713</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45713</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45713</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45713</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45713</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45713</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45713</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45713</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45713</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45713</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45713</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45713</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45713</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45713</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45713</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45713</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45713</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45713</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45713</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45713</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45713</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45713</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45713</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45713</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45713</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45713</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45713</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45713</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45713</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45713</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45713</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45713</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45713</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45713</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45713</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45713</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45713</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45713</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45713</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45713</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45713</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45713</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45713</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45713</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45713</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45713</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45713</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45713</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45713</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45713</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45713</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45713</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45713</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45713</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45713</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45713</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45713</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45713</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45713</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45713</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45713</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45713</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45713</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45713</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45713</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45713</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45713</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45713</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45713</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45713</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45713</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45713</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45713</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45713</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45713</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45713</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45713</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45713</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45713</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45713</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45713</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45713</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45713</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45713</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45713</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45713</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45713</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45713</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45713</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45713</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45713</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45713</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45713</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45713</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45713</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45713</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45713</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45713</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45713</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45713</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45713</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45713</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45713</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45713</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45713</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45713</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45713</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45713</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45713</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45713</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45713</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45713</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45713</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45713</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45713</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45713</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45713</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45713</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45713</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45713</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45713</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45713</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45713</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45713</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45713</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45713</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45713</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45713</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45713</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45713</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45713</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45713</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45713</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45713</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45713</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45713</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45713</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45713</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45713</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45713</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45713</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45713</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45713</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45713</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45713</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45713</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45713</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45713</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45713</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45713</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45713</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45713</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45713</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45713</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45713</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45713</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45713</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45713</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45713</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45713</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45713</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45713</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45713</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45713</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45713</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45713</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45713</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45713</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45713</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45713</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45713</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45713</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45713</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45713</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45713</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45713</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45713</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45713</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45713</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45713</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45713</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45713</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45713</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45713</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45713</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45713</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45713</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45713</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45713</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45713</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45713</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45713</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45713</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45713</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45713</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45713</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45713</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45713</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45713</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45713</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45713</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45713</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45713</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45713</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45713</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45713</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45713</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45713</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45713</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45713</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45713</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45713</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45713</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45713</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45713</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45713</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45713</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45713</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45713</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45713</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45713</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45713</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45713</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45713</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45713</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45713</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45713</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45713</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45713</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45713</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45713</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45713</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45713</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45713</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45713</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45713</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45713</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45713</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45713</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45713</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45713</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45713</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45713</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45713</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45713</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45713</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45713</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45713</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45713</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45713</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45713</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45713</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45713</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45713</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45713</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45713</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45713</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45713</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45713</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45713</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45713</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45713</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45713</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45713</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45713</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45713</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45713</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45713</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45713</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45713</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45713</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45713</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45713</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45713</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45713</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45713</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45713</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45713</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45713</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45713</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45713</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45713</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45713</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45713</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45713</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45713</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45713</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45713</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45713</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45713</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45713</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45713</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45713</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45713</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45713</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45713</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45713</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45713</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45713</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45713</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45713</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45713</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45713</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45713</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45713</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45713</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45713</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45713</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45713</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45713</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45713</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45713</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45713</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45713</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45713</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45713</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45713</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45713</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45713</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45713</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45713</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45713</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45713</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45713</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45713</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45713</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45713</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45713</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45713</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45713</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45713</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45713</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45713</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45713</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45713</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45713</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45713</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45713</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45713</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45713</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45713</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45713</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45713</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45713</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45713</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45713</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45713</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45713</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45713</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45713</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45713</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45713</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45713</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45713</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45713</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45713</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45713</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45713</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45713</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45713</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45713</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45713</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45713</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45713</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45713</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45713</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45713</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45713</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45713</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45713</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45713</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45713</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45713</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45713</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45713</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45713</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45713</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45713</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45713</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45713</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45713</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45713</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45713</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45713</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45713</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45713</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45713</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45713</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45713</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45713</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45713</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45713</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45713</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45713</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45713</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45713</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45713</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45713</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45713</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45713</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45713</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45713</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45713</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45713</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45713</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45713</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45713</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45713</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45713</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45713</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45713</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45713</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45713</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45713</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45713</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45713</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45713</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45713</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45713</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45713</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45713</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45713</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45713</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45713</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45713</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45713</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45713</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45713</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45713</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45713</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45713</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45713</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45713</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45713</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45713</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45713</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45713</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45713</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45713</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45713</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45713</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45713</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45713</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45713</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45713</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45713</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45713</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45713</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45713</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45713</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45713</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45713</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45713</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45713</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45713</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45713</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45713</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45713</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45713</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45713</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45713</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45713</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45713</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45713</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45713</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45713</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45713</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45713</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45713</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45713</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45713</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45713</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45713</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45713</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45713</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45713</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45713</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45713</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45713</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45713</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45713</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45713</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45713</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45713</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45713</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45713</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45713</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45713</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45713</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45713</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45713</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4637-2025</t>
        </is>
      </c>
      <c r="B1350" s="1" t="n">
        <v>45687</v>
      </c>
      <c r="C1350" s="1" t="n">
        <v>45713</v>
      </c>
      <c r="D1350" t="inlineStr">
        <is>
          <t>UPPSALA LÄN</t>
        </is>
      </c>
      <c r="E1350" t="inlineStr">
        <is>
          <t>ÖSTHAMMAR</t>
        </is>
      </c>
      <c r="F1350" t="inlineStr">
        <is>
          <t>Övriga Aktiebolag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4676-2025</t>
        </is>
      </c>
      <c r="B1351" s="1" t="n">
        <v>45687</v>
      </c>
      <c r="C1351" s="1" t="n">
        <v>45713</v>
      </c>
      <c r="D1351" t="inlineStr">
        <is>
          <t>UPPSALA LÄN</t>
        </is>
      </c>
      <c r="E1351" t="inlineStr">
        <is>
          <t>ÖSTHAMMAR</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45713</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45713</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45713</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5189-2025</t>
        </is>
      </c>
      <c r="B1355" s="1" t="n">
        <v>45691</v>
      </c>
      <c r="C1355" s="1" t="n">
        <v>45713</v>
      </c>
      <c r="D1355" t="inlineStr">
        <is>
          <t>UPPSALA LÄN</t>
        </is>
      </c>
      <c r="E1355" t="inlineStr">
        <is>
          <t>ÖSTHAMMAR</t>
        </is>
      </c>
      <c r="F1355" t="inlineStr">
        <is>
          <t>Bergvik skog öst AB</t>
        </is>
      </c>
      <c r="G1355" t="n">
        <v>24.4</v>
      </c>
      <c r="H1355" t="n">
        <v>0</v>
      </c>
      <c r="I1355" t="n">
        <v>0</v>
      </c>
      <c r="J1355" t="n">
        <v>0</v>
      </c>
      <c r="K1355" t="n">
        <v>0</v>
      </c>
      <c r="L1355" t="n">
        <v>0</v>
      </c>
      <c r="M1355" t="n">
        <v>0</v>
      </c>
      <c r="N1355" t="n">
        <v>0</v>
      </c>
      <c r="O1355" t="n">
        <v>0</v>
      </c>
      <c r="P1355" t="n">
        <v>0</v>
      </c>
      <c r="Q1355" t="n">
        <v>0</v>
      </c>
      <c r="R1355" s="2" t="inlineStr"/>
    </row>
    <row r="1356" ht="15" customHeight="1">
      <c r="A1356" t="inlineStr">
        <is>
          <t>A 5188-2025</t>
        </is>
      </c>
      <c r="B1356" s="1" t="n">
        <v>45691</v>
      </c>
      <c r="C1356" s="1" t="n">
        <v>45713</v>
      </c>
      <c r="D1356" t="inlineStr">
        <is>
          <t>UPPSALA LÄN</t>
        </is>
      </c>
      <c r="E1356" t="inlineStr">
        <is>
          <t>ÖSTHAMMAR</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45713</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45713</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5303-2025</t>
        </is>
      </c>
      <c r="B1359" s="1" t="n">
        <v>45692</v>
      </c>
      <c r="C1359" s="1" t="n">
        <v>45713</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45713</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5344-2025</t>
        </is>
      </c>
      <c r="B1361" s="1" t="n">
        <v>45692</v>
      </c>
      <c r="C1361" s="1" t="n">
        <v>45713</v>
      </c>
      <c r="D1361" t="inlineStr">
        <is>
          <t>UPPSALA LÄN</t>
        </is>
      </c>
      <c r="E1361" t="inlineStr">
        <is>
          <t>ÖSTHAMMAR</t>
        </is>
      </c>
      <c r="F1361" t="inlineStr">
        <is>
          <t>Bergvik skog öst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45713</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45713</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6046-2025</t>
        </is>
      </c>
      <c r="B1364" s="1" t="n">
        <v>45695</v>
      </c>
      <c r="C1364" s="1" t="n">
        <v>45713</v>
      </c>
      <c r="D1364" t="inlineStr">
        <is>
          <t>UPPSALA LÄN</t>
        </is>
      </c>
      <c r="E1364" t="inlineStr">
        <is>
          <t>ÖSTHAMMAR</t>
        </is>
      </c>
      <c r="G1364" t="n">
        <v>0.8</v>
      </c>
      <c r="H1364" t="n">
        <v>0</v>
      </c>
      <c r="I1364" t="n">
        <v>0</v>
      </c>
      <c r="J1364" t="n">
        <v>0</v>
      </c>
      <c r="K1364" t="n">
        <v>0</v>
      </c>
      <c r="L1364" t="n">
        <v>0</v>
      </c>
      <c r="M1364" t="n">
        <v>0</v>
      </c>
      <c r="N1364" t="n">
        <v>0</v>
      </c>
      <c r="O1364" t="n">
        <v>0</v>
      </c>
      <c r="P1364" t="n">
        <v>0</v>
      </c>
      <c r="Q1364" t="n">
        <v>0</v>
      </c>
      <c r="R1364" s="2" t="inlineStr"/>
      <c r="U1364">
        <f>HYPERLINK("https://klasma.github.io/Logging_0382/knärot/A 6046-2025 karta knärot.png", "A 6046-2025")</f>
        <v/>
      </c>
      <c r="V1364">
        <f>HYPERLINK("https://klasma.github.io/Logging_0382/klagomål/A 6046-2025 FSC-klagomål.docx", "A 6046-2025")</f>
        <v/>
      </c>
      <c r="W1364">
        <f>HYPERLINK("https://klasma.github.io/Logging_0382/klagomålsmail/A 6046-2025 FSC-klagomål mail.docx", "A 6046-2025")</f>
        <v/>
      </c>
      <c r="X1364">
        <f>HYPERLINK("https://klasma.github.io/Logging_0382/tillsyn/A 6046-2025 tillsynsbegäran.docx", "A 6046-2025")</f>
        <v/>
      </c>
      <c r="Y1364">
        <f>HYPERLINK("https://klasma.github.io/Logging_0382/tillsynsmail/A 6046-2025 tillsynsbegäran mail.docx", "A 6046-2025")</f>
        <v/>
      </c>
    </row>
    <row r="1365" ht="15" customHeight="1">
      <c r="A1365" t="inlineStr">
        <is>
          <t>A 5962-2025</t>
        </is>
      </c>
      <c r="B1365" s="1" t="n">
        <v>45695</v>
      </c>
      <c r="C1365" s="1" t="n">
        <v>45713</v>
      </c>
      <c r="D1365" t="inlineStr">
        <is>
          <t>UPPSALA LÄN</t>
        </is>
      </c>
      <c r="E1365" t="inlineStr">
        <is>
          <t>ÖSTHAMMAR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6039-2025</t>
        </is>
      </c>
      <c r="B1366" s="1" t="n">
        <v>45695</v>
      </c>
      <c r="C1366" s="1" t="n">
        <v>45713</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6048-2025</t>
        </is>
      </c>
      <c r="B1367" s="1" t="n">
        <v>45695</v>
      </c>
      <c r="C1367" s="1" t="n">
        <v>45713</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6184-2025</t>
        </is>
      </c>
      <c r="B1368" s="1" t="n">
        <v>45698</v>
      </c>
      <c r="C1368" s="1" t="n">
        <v>45713</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6325-2025</t>
        </is>
      </c>
      <c r="B1369" s="1" t="n">
        <v>45698</v>
      </c>
      <c r="C1369" s="1" t="n">
        <v>45713</v>
      </c>
      <c r="D1369" t="inlineStr">
        <is>
          <t>UPPSALA LÄN</t>
        </is>
      </c>
      <c r="E1369" t="inlineStr">
        <is>
          <t>ÖSTHAMMAR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45713</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45713</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6359-2025</t>
        </is>
      </c>
      <c r="B1372" s="1" t="n">
        <v>45699</v>
      </c>
      <c r="C1372" s="1" t="n">
        <v>45713</v>
      </c>
      <c r="D1372" t="inlineStr">
        <is>
          <t>UPPSALA LÄN</t>
        </is>
      </c>
      <c r="E1372" t="inlineStr">
        <is>
          <t>ÖSTHAMMAR</t>
        </is>
      </c>
      <c r="F1372" t="inlineStr">
        <is>
          <t>Bergvik skog öst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6537-2025</t>
        </is>
      </c>
      <c r="B1373" s="1" t="n">
        <v>45699</v>
      </c>
      <c r="C1373" s="1" t="n">
        <v>45713</v>
      </c>
      <c r="D1373" t="inlineStr">
        <is>
          <t>UPPSALA LÄN</t>
        </is>
      </c>
      <c r="E1373" t="inlineStr">
        <is>
          <t>ÖSTHAMMAR</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6543-2025</t>
        </is>
      </c>
      <c r="B1374" s="1" t="n">
        <v>45699</v>
      </c>
      <c r="C1374" s="1" t="n">
        <v>45713</v>
      </c>
      <c r="D1374" t="inlineStr">
        <is>
          <t>UPPSALA LÄN</t>
        </is>
      </c>
      <c r="E1374" t="inlineStr">
        <is>
          <t>ÖSTHAMMAR</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6360-2025</t>
        </is>
      </c>
      <c r="B1375" s="1" t="n">
        <v>45699</v>
      </c>
      <c r="C1375" s="1" t="n">
        <v>45713</v>
      </c>
      <c r="D1375" t="inlineStr">
        <is>
          <t>UPPSALA LÄN</t>
        </is>
      </c>
      <c r="E1375" t="inlineStr">
        <is>
          <t>ÖSTHAMMAR</t>
        </is>
      </c>
      <c r="F1375" t="inlineStr">
        <is>
          <t>Bergvik skog öst AB</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6548-2025</t>
        </is>
      </c>
      <c r="B1376" s="1" t="n">
        <v>45699</v>
      </c>
      <c r="C1376" s="1" t="n">
        <v>45713</v>
      </c>
      <c r="D1376" t="inlineStr">
        <is>
          <t>UPPSALA LÄN</t>
        </is>
      </c>
      <c r="E1376" t="inlineStr">
        <is>
          <t>ÖSTHAMMAR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6552-2025</t>
        </is>
      </c>
      <c r="B1377" s="1" t="n">
        <v>45699</v>
      </c>
      <c r="C1377" s="1" t="n">
        <v>45713</v>
      </c>
      <c r="D1377" t="inlineStr">
        <is>
          <t>UPPSALA LÄN</t>
        </is>
      </c>
      <c r="E1377" t="inlineStr">
        <is>
          <t>ÖSTHAMMAR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45713</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45713</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45713</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45713</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45713</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8626-2025</t>
        </is>
      </c>
      <c r="B1383" s="1" t="n">
        <v>45711</v>
      </c>
      <c r="C1383" s="1" t="n">
        <v>45713</v>
      </c>
      <c r="D1383" t="inlineStr">
        <is>
          <t>UPPSALA LÄN</t>
        </is>
      </c>
      <c r="E1383" t="inlineStr">
        <is>
          <t>ÖSTHAMMAR</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8623-2025</t>
        </is>
      </c>
      <c r="B1384" s="1" t="n">
        <v>45711</v>
      </c>
      <c r="C1384" s="1" t="n">
        <v>45713</v>
      </c>
      <c r="D1384" t="inlineStr">
        <is>
          <t>UPPSALA LÄN</t>
        </is>
      </c>
      <c r="E1384" t="inlineStr">
        <is>
          <t>ÖSTHAMMAR</t>
        </is>
      </c>
      <c r="F1384" t="inlineStr">
        <is>
          <t>Bergvik skog väst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45713</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8763-2025</t>
        </is>
      </c>
      <c r="B1386" s="1" t="n">
        <v>45712</v>
      </c>
      <c r="C1386" s="1" t="n">
        <v>45713</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c r="A1387" t="inlineStr">
        <is>
          <t>A 8769-2025</t>
        </is>
      </c>
      <c r="B1387" s="1" t="n">
        <v>45712</v>
      </c>
      <c r="C1387" s="1" t="n">
        <v>45713</v>
      </c>
      <c r="D1387" t="inlineStr">
        <is>
          <t>UPPSALA LÄN</t>
        </is>
      </c>
      <c r="E1387" t="inlineStr">
        <is>
          <t>ÖSTHAMMAR</t>
        </is>
      </c>
      <c r="G1387" t="n">
        <v>1.9</v>
      </c>
      <c r="H1387" t="n">
        <v>0</v>
      </c>
      <c r="I1387" t="n">
        <v>0</v>
      </c>
      <c r="J1387" t="n">
        <v>0</v>
      </c>
      <c r="K1387" t="n">
        <v>0</v>
      </c>
      <c r="L1387" t="n">
        <v>0</v>
      </c>
      <c r="M1387" t="n">
        <v>0</v>
      </c>
      <c r="N1387" t="n">
        <v>0</v>
      </c>
      <c r="O1387" t="n">
        <v>0</v>
      </c>
      <c r="P1387" t="n">
        <v>0</v>
      </c>
      <c r="Q1387" t="n">
        <v>0</v>
      </c>
      <c r="R1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2025-02-25T16:29:04Z</dcterms:created>
  <dcterms:modified xmlns:dcterms="http://purl.org/dc/terms/" xmlns:xsi="http://www.w3.org/2001/XMLSchema-instance" xsi:type="dcterms:W3CDTF">2025-02-25T16:29:05Z</dcterms:modified>
</cp:coreProperties>
</file>