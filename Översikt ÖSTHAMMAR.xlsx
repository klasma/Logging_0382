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46188</v>
      </c>
      <c r="D3" t="inlineStr">
        <is>
          <t>UPPSALA LÄN</t>
        </is>
      </c>
      <c r="E3" t="inlineStr">
        <is>
          <t>ÖSTHAMMAR</t>
        </is>
      </c>
      <c r="F3" t="inlineStr">
        <is>
          <t>Bergvik skog öst AB</t>
        </is>
      </c>
      <c r="G3" t="n">
        <v>15.7</v>
      </c>
      <c r="H3" t="n">
        <v>5</v>
      </c>
      <c r="I3" t="n">
        <v>13</v>
      </c>
      <c r="J3" t="n">
        <v>8</v>
      </c>
      <c r="K3" t="n">
        <v>6</v>
      </c>
      <c r="L3" t="n">
        <v>0</v>
      </c>
      <c r="M3" t="n">
        <v>0</v>
      </c>
      <c r="N3" t="n">
        <v>0</v>
      </c>
      <c r="O3" t="n">
        <v>14</v>
      </c>
      <c r="P3" t="n">
        <v>6</v>
      </c>
      <c r="Q3" t="n">
        <v>29</v>
      </c>
      <c r="R3"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46188</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19250-2026</t>
        </is>
      </c>
      <c r="B5" s="1" t="n">
        <v>46132.67543981481</v>
      </c>
      <c r="C5" s="1" t="n">
        <v>46188</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357-2025</t>
        </is>
      </c>
      <c r="B6" s="1" t="n">
        <v>45659</v>
      </c>
      <c r="C6" s="1" t="n">
        <v>46188</v>
      </c>
      <c r="D6" t="inlineStr">
        <is>
          <t>UPPSALA LÄN</t>
        </is>
      </c>
      <c r="E6" t="inlineStr">
        <is>
          <t>ÖSTHAMMAR</t>
        </is>
      </c>
      <c r="G6" t="n">
        <v>15.8</v>
      </c>
      <c r="H6" t="n">
        <v>8</v>
      </c>
      <c r="I6" t="n">
        <v>15</v>
      </c>
      <c r="J6" t="n">
        <v>5</v>
      </c>
      <c r="K6" t="n">
        <v>1</v>
      </c>
      <c r="L6" t="n">
        <v>0</v>
      </c>
      <c r="M6" t="n">
        <v>0</v>
      </c>
      <c r="N6" t="n">
        <v>0</v>
      </c>
      <c r="O6" t="n">
        <v>6</v>
      </c>
      <c r="P6" t="n">
        <v>1</v>
      </c>
      <c r="Q6" t="n">
        <v>25</v>
      </c>
      <c r="R6"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6">
        <f>HYPERLINK("https://klasma.github.io/Logging_0382/artfynd/A 357-2025 artfynd.xlsx", "A 357-2025")</f>
        <v/>
      </c>
      <c r="T6">
        <f>HYPERLINK("https://klasma.github.io/Logging_0382/kartor/A 357-2025 karta.png", "A 357-2025")</f>
        <v/>
      </c>
      <c r="V6">
        <f>HYPERLINK("https://klasma.github.io/Logging_0382/klagomål/A 357-2025 FSC-klagomål.docx", "A 357-2025")</f>
        <v/>
      </c>
      <c r="W6">
        <f>HYPERLINK("https://klasma.github.io/Logging_0382/klagomålsmail/A 357-2025 FSC-klagomål mail.docx", "A 357-2025")</f>
        <v/>
      </c>
      <c r="X6">
        <f>HYPERLINK("https://klasma.github.io/Logging_0382/tillsyn/A 357-2025 tillsynsbegäran.docx", "A 357-2025")</f>
        <v/>
      </c>
      <c r="Y6">
        <f>HYPERLINK("https://klasma.github.io/Logging_0382/tillsynsmail/A 357-2025 tillsynsbegäran mail.docx", "A 357-2025")</f>
        <v/>
      </c>
      <c r="Z6">
        <f>HYPERLINK("https://klasma.github.io/Logging_0382/fåglar/A 357-2025 prioriterade fågelarter.docx", "A 357-2025")</f>
        <v/>
      </c>
    </row>
    <row r="7" ht="15" customHeight="1">
      <c r="A7" t="inlineStr">
        <is>
          <t>A 19253-2026</t>
        </is>
      </c>
      <c r="B7" s="1" t="n">
        <v>46132.68019675926</v>
      </c>
      <c r="C7" s="1" t="n">
        <v>46188</v>
      </c>
      <c r="D7" t="inlineStr">
        <is>
          <t>UPPSALA LÄN</t>
        </is>
      </c>
      <c r="E7" t="inlineStr">
        <is>
          <t>ÖSTHAMMAR</t>
        </is>
      </c>
      <c r="F7" t="inlineStr">
        <is>
          <t>Naturvårdsverket</t>
        </is>
      </c>
      <c r="G7" t="n">
        <v>14.4</v>
      </c>
      <c r="H7" t="n">
        <v>7</v>
      </c>
      <c r="I7" t="n">
        <v>11</v>
      </c>
      <c r="J7" t="n">
        <v>8</v>
      </c>
      <c r="K7" t="n">
        <v>2</v>
      </c>
      <c r="L7" t="n">
        <v>0</v>
      </c>
      <c r="M7" t="n">
        <v>0</v>
      </c>
      <c r="N7" t="n">
        <v>0</v>
      </c>
      <c r="O7" t="n">
        <v>10</v>
      </c>
      <c r="P7" t="n">
        <v>2</v>
      </c>
      <c r="Q7" t="n">
        <v>24</v>
      </c>
      <c r="R7"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7">
        <f>HYPERLINK("https://klasma.github.io/Logging_0382/artfynd/A 19253-2026 artfynd.xlsx", "A 19253-2026")</f>
        <v/>
      </c>
      <c r="T7">
        <f>HYPERLINK("https://klasma.github.io/Logging_0382/kartor/A 19253-2026 karta.png", "A 19253-2026")</f>
        <v/>
      </c>
      <c r="U7">
        <f>HYPERLINK("https://klasma.github.io/Logging_0382/knärot/A 19253-2026 karta knärot.png", "A 19253-2026")</f>
        <v/>
      </c>
      <c r="V7">
        <f>HYPERLINK("https://klasma.github.io/Logging_0382/klagomål/A 19253-2026 FSC-klagomål.docx", "A 19253-2026")</f>
        <v/>
      </c>
      <c r="W7">
        <f>HYPERLINK("https://klasma.github.io/Logging_0382/klagomålsmail/A 19253-2026 FSC-klagomål mail.docx", "A 19253-2026")</f>
        <v/>
      </c>
      <c r="X7">
        <f>HYPERLINK("https://klasma.github.io/Logging_0382/tillsyn/A 19253-2026 tillsynsbegäran.docx", "A 19253-2026")</f>
        <v/>
      </c>
      <c r="Y7">
        <f>HYPERLINK("https://klasma.github.io/Logging_0382/tillsynsmail/A 19253-2026 tillsynsbegäran mail.docx", "A 19253-2026")</f>
        <v/>
      </c>
      <c r="Z7">
        <f>HYPERLINK("https://klasma.github.io/Logging_0382/fåglar/A 19253-2026 prioriterade fågelarter.docx", "A 19253-2026")</f>
        <v/>
      </c>
    </row>
    <row r="8" ht="15" customHeight="1">
      <c r="A8" t="inlineStr">
        <is>
          <t>A 21006-2024</t>
        </is>
      </c>
      <c r="B8" s="1" t="n">
        <v>45439</v>
      </c>
      <c r="C8" s="1" t="n">
        <v>46188</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45170-2024</t>
        </is>
      </c>
      <c r="B9" s="1" t="n">
        <v>45575</v>
      </c>
      <c r="C9" s="1" t="n">
        <v>46188</v>
      </c>
      <c r="D9" t="inlineStr">
        <is>
          <t>UPPSALA LÄN</t>
        </is>
      </c>
      <c r="E9" t="inlineStr">
        <is>
          <t>ÖSTHAMMAR</t>
        </is>
      </c>
      <c r="F9" t="inlineStr">
        <is>
          <t>Bergvik skog väst AB</t>
        </is>
      </c>
      <c r="G9" t="n">
        <v>19.7</v>
      </c>
      <c r="H9" t="n">
        <v>5</v>
      </c>
      <c r="I9" t="n">
        <v>11</v>
      </c>
      <c r="J9" t="n">
        <v>7</v>
      </c>
      <c r="K9" t="n">
        <v>1</v>
      </c>
      <c r="L9" t="n">
        <v>0</v>
      </c>
      <c r="M9" t="n">
        <v>0</v>
      </c>
      <c r="N9" t="n">
        <v>0</v>
      </c>
      <c r="O9" t="n">
        <v>8</v>
      </c>
      <c r="P9" t="n">
        <v>1</v>
      </c>
      <c r="Q9" t="n">
        <v>20</v>
      </c>
      <c r="R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9">
        <f>HYPERLINK("https://klasma.github.io/Logging_0382/artfynd/A 45170-2024 artfynd.xlsx", "A 45170-2024")</f>
        <v/>
      </c>
      <c r="T9">
        <f>HYPERLINK("https://klasma.github.io/Logging_0382/kartor/A 45170-2024 karta.png", "A 45170-2024")</f>
        <v/>
      </c>
      <c r="V9">
        <f>HYPERLINK("https://klasma.github.io/Logging_0382/klagomål/A 45170-2024 FSC-klagomål.docx", "A 45170-2024")</f>
        <v/>
      </c>
      <c r="W9">
        <f>HYPERLINK("https://klasma.github.io/Logging_0382/klagomålsmail/A 45170-2024 FSC-klagomål mail.docx", "A 45170-2024")</f>
        <v/>
      </c>
      <c r="X9">
        <f>HYPERLINK("https://klasma.github.io/Logging_0382/tillsyn/A 45170-2024 tillsynsbegäran.docx", "A 45170-2024")</f>
        <v/>
      </c>
      <c r="Y9">
        <f>HYPERLINK("https://klasma.github.io/Logging_0382/tillsynsmail/A 45170-2024 tillsynsbegäran mail.docx", "A 45170-2024")</f>
        <v/>
      </c>
      <c r="Z9">
        <f>HYPERLINK("https://klasma.github.io/Logging_0382/fåglar/A 45170-2024 prioriterade fågelarter.docx", "A 45170-2024")</f>
        <v/>
      </c>
    </row>
    <row r="10" ht="15" customHeight="1">
      <c r="A10" t="inlineStr">
        <is>
          <t>A 3733-2025</t>
        </is>
      </c>
      <c r="B10" s="1" t="n">
        <v>45681</v>
      </c>
      <c r="C10" s="1" t="n">
        <v>46188</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46188</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19252-2026</t>
        </is>
      </c>
      <c r="B12" s="1" t="n">
        <v>46132.67814814814</v>
      </c>
      <c r="C12" s="1" t="n">
        <v>46188</v>
      </c>
      <c r="D12" t="inlineStr">
        <is>
          <t>UPPSALA LÄN</t>
        </is>
      </c>
      <c r="E12" t="inlineStr">
        <is>
          <t>ÖSTHAMMAR</t>
        </is>
      </c>
      <c r="F12" t="inlineStr">
        <is>
          <t>Naturvårdsverket</t>
        </is>
      </c>
      <c r="G12" t="n">
        <v>10</v>
      </c>
      <c r="H12" t="n">
        <v>3</v>
      </c>
      <c r="I12" t="n">
        <v>6</v>
      </c>
      <c r="J12" t="n">
        <v>3</v>
      </c>
      <c r="K12" t="n">
        <v>0</v>
      </c>
      <c r="L12" t="n">
        <v>0</v>
      </c>
      <c r="M12" t="n">
        <v>0</v>
      </c>
      <c r="N12" t="n">
        <v>0</v>
      </c>
      <c r="O12" t="n">
        <v>3</v>
      </c>
      <c r="P12" t="n">
        <v>0</v>
      </c>
      <c r="Q12" t="n">
        <v>11</v>
      </c>
      <c r="R12" s="2" t="inlineStr">
        <is>
          <t>Spillkråka
Ullticka
Vedskivlav
Bronshjon
Granbarkgnagare
Rödgul trumpetsvamp
Skarp dropptaggsvamp
Svavelriska
Vedticka
Tjäder
Fläcknycklar</t>
        </is>
      </c>
      <c r="S12">
        <f>HYPERLINK("https://klasma.github.io/Logging_0382/artfynd/A 19252-2026 artfynd.xlsx", "A 19252-2026")</f>
        <v/>
      </c>
      <c r="T12">
        <f>HYPERLINK("https://klasma.github.io/Logging_0382/kartor/A 19252-2026 karta.png", "A 19252-2026")</f>
        <v/>
      </c>
      <c r="V12">
        <f>HYPERLINK("https://klasma.github.io/Logging_0382/klagomål/A 19252-2026 FSC-klagomål.docx", "A 19252-2026")</f>
        <v/>
      </c>
      <c r="W12">
        <f>HYPERLINK("https://klasma.github.io/Logging_0382/klagomålsmail/A 19252-2026 FSC-klagomål mail.docx", "A 19252-2026")</f>
        <v/>
      </c>
      <c r="X12">
        <f>HYPERLINK("https://klasma.github.io/Logging_0382/tillsyn/A 19252-2026 tillsynsbegäran.docx", "A 19252-2026")</f>
        <v/>
      </c>
      <c r="Y12">
        <f>HYPERLINK("https://klasma.github.io/Logging_0382/tillsynsmail/A 19252-2026 tillsynsbegäran mail.docx", "A 19252-2026")</f>
        <v/>
      </c>
      <c r="Z12">
        <f>HYPERLINK("https://klasma.github.io/Logging_0382/fåglar/A 19252-2026 prioriterade fågelarter.docx", "A 19252-2026")</f>
        <v/>
      </c>
    </row>
    <row r="13" ht="15" customHeight="1">
      <c r="A13" t="inlineStr">
        <is>
          <t>A 45111-2021</t>
        </is>
      </c>
      <c r="B13" s="1" t="n">
        <v>44439</v>
      </c>
      <c r="C13" s="1" t="n">
        <v>46188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46188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46188</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35911-2021</t>
        </is>
      </c>
      <c r="B16" s="1" t="n">
        <v>44387</v>
      </c>
      <c r="C16" s="1" t="n">
        <v>46188</v>
      </c>
      <c r="D16" t="inlineStr">
        <is>
          <t>UPPSALA LÄN</t>
        </is>
      </c>
      <c r="E16" t="inlineStr">
        <is>
          <t>ÖSTHAMMAR</t>
        </is>
      </c>
      <c r="F16" t="inlineStr">
        <is>
          <t>Sveaskog</t>
        </is>
      </c>
      <c r="G16" t="n">
        <v>5.5</v>
      </c>
      <c r="H16" t="n">
        <v>4</v>
      </c>
      <c r="I16" t="n">
        <v>4</v>
      </c>
      <c r="J16" t="n">
        <v>4</v>
      </c>
      <c r="K16" t="n">
        <v>0</v>
      </c>
      <c r="L16" t="n">
        <v>0</v>
      </c>
      <c r="M16" t="n">
        <v>0</v>
      </c>
      <c r="N16" t="n">
        <v>0</v>
      </c>
      <c r="O16" t="n">
        <v>4</v>
      </c>
      <c r="P16" t="n">
        <v>0</v>
      </c>
      <c r="Q16" t="n">
        <v>9</v>
      </c>
      <c r="R16" s="2" t="inlineStr">
        <is>
          <t>Grönsångare
Gulsparv
Lunglav
Mindre hackspett
Brandticka
Lönnlav
Tibast
Vårärt
Blåsippa</t>
        </is>
      </c>
      <c r="S16">
        <f>HYPERLINK("https://klasma.github.io/Logging_0382/artfynd/A 35911-2021 artfynd.xlsx", "A 35911-2021")</f>
        <v/>
      </c>
      <c r="T16">
        <f>HYPERLINK("https://klasma.github.io/Logging_0382/kartor/A 35911-2021 karta.png", "A 35911-2021")</f>
        <v/>
      </c>
      <c r="V16">
        <f>HYPERLINK("https://klasma.github.io/Logging_0382/klagomål/A 35911-2021 FSC-klagomål.docx", "A 35911-2021")</f>
        <v/>
      </c>
      <c r="W16">
        <f>HYPERLINK("https://klasma.github.io/Logging_0382/klagomålsmail/A 35911-2021 FSC-klagomål mail.docx", "A 35911-2021")</f>
        <v/>
      </c>
      <c r="X16">
        <f>HYPERLINK("https://klasma.github.io/Logging_0382/tillsyn/A 35911-2021 tillsynsbegäran.docx", "A 35911-2021")</f>
        <v/>
      </c>
      <c r="Y16">
        <f>HYPERLINK("https://klasma.github.io/Logging_0382/tillsynsmail/A 35911-2021 tillsynsbegäran mail.docx", "A 35911-2021")</f>
        <v/>
      </c>
      <c r="Z16">
        <f>HYPERLINK("https://klasma.github.io/Logging_0382/fåglar/A 35911-2021 prioriterade fågelarter.docx", "A 35911-2021")</f>
        <v/>
      </c>
    </row>
    <row r="17" ht="15" customHeight="1">
      <c r="A17" t="inlineStr">
        <is>
          <t>A 31207-2022</t>
        </is>
      </c>
      <c r="B17" s="1" t="n">
        <v>44771</v>
      </c>
      <c r="C17" s="1" t="n">
        <v>46188</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46188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46188</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221-2025</t>
        </is>
      </c>
      <c r="B20" s="1" t="n">
        <v>45660</v>
      </c>
      <c r="C20" s="1" t="n">
        <v>46188</v>
      </c>
      <c r="D20" t="inlineStr">
        <is>
          <t>UPPSALA LÄN</t>
        </is>
      </c>
      <c r="E20" t="inlineStr">
        <is>
          <t>ÖSTHAMMAR</t>
        </is>
      </c>
      <c r="F20" t="inlineStr">
        <is>
          <t>Bergvik skog öst AB</t>
        </is>
      </c>
      <c r="G20" t="n">
        <v>1.3</v>
      </c>
      <c r="H20" t="n">
        <v>3</v>
      </c>
      <c r="I20" t="n">
        <v>4</v>
      </c>
      <c r="J20" t="n">
        <v>2</v>
      </c>
      <c r="K20" t="n">
        <v>0</v>
      </c>
      <c r="L20" t="n">
        <v>0</v>
      </c>
      <c r="M20" t="n">
        <v>0</v>
      </c>
      <c r="N20" t="n">
        <v>0</v>
      </c>
      <c r="O20" t="n">
        <v>2</v>
      </c>
      <c r="P20" t="n">
        <v>0</v>
      </c>
      <c r="Q20" t="n">
        <v>7</v>
      </c>
      <c r="R20" s="2" t="inlineStr">
        <is>
          <t>Gul taggsvamp
Talltita
Fjällig taggsvamp s.str.
Grön sköldmossa
Korallblylav
Rödgul trumpetsvamp
Blåsippa</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9569-2026</t>
        </is>
      </c>
      <c r="B21" s="1" t="n">
        <v>46071.65847222223</v>
      </c>
      <c r="C21" s="1" t="n">
        <v>46188</v>
      </c>
      <c r="D21" t="inlineStr">
        <is>
          <t>UPPSALA LÄN</t>
        </is>
      </c>
      <c r="E21" t="inlineStr">
        <is>
          <t>ÖSTHAMMAR</t>
        </is>
      </c>
      <c r="G21" t="n">
        <v>1.4</v>
      </c>
      <c r="H21" t="n">
        <v>0</v>
      </c>
      <c r="I21" t="n">
        <v>4</v>
      </c>
      <c r="J21" t="n">
        <v>1</v>
      </c>
      <c r="K21" t="n">
        <v>2</v>
      </c>
      <c r="L21" t="n">
        <v>0</v>
      </c>
      <c r="M21" t="n">
        <v>0</v>
      </c>
      <c r="N21" t="n">
        <v>0</v>
      </c>
      <c r="O21" t="n">
        <v>3</v>
      </c>
      <c r="P21" t="n">
        <v>2</v>
      </c>
      <c r="Q21" t="n">
        <v>7</v>
      </c>
      <c r="R21" s="2" t="inlineStr">
        <is>
          <t>Gyllenfingersvamp
Koppartaggsvamp
Äggspindling
Anisspindling
Olivspindling
Skarp dropptaggsvamp
Trådticka</t>
        </is>
      </c>
      <c r="S21">
        <f>HYPERLINK("https://klasma.github.io/Logging_0382/artfynd/A 9569-2026 artfynd.xlsx", "A 9569-2026")</f>
        <v/>
      </c>
      <c r="T21">
        <f>HYPERLINK("https://klasma.github.io/Logging_0382/kartor/A 9569-2026 karta.png", "A 9569-2026")</f>
        <v/>
      </c>
      <c r="V21">
        <f>HYPERLINK("https://klasma.github.io/Logging_0382/klagomål/A 9569-2026 FSC-klagomål.docx", "A 9569-2026")</f>
        <v/>
      </c>
      <c r="W21">
        <f>HYPERLINK("https://klasma.github.io/Logging_0382/klagomålsmail/A 9569-2026 FSC-klagomål mail.docx", "A 9569-2026")</f>
        <v/>
      </c>
      <c r="X21">
        <f>HYPERLINK("https://klasma.github.io/Logging_0382/tillsyn/A 9569-2026 tillsynsbegäran.docx", "A 9569-2026")</f>
        <v/>
      </c>
      <c r="Y21">
        <f>HYPERLINK("https://klasma.github.io/Logging_0382/tillsynsmail/A 9569-2026 tillsynsbegäran mail.docx", "A 9569-2026")</f>
        <v/>
      </c>
    </row>
    <row r="22" ht="15" customHeight="1">
      <c r="A22" t="inlineStr">
        <is>
          <t>A 49910-2022</t>
        </is>
      </c>
      <c r="B22" s="1" t="n">
        <v>44865</v>
      </c>
      <c r="C22" s="1" t="n">
        <v>46188</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46188</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32140-2022</t>
        </is>
      </c>
      <c r="B24" s="1" t="n">
        <v>44779</v>
      </c>
      <c r="C24" s="1" t="n">
        <v>46188</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46188</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46188</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agg.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46188</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46785-2023</t>
        </is>
      </c>
      <c r="B28" s="1" t="n">
        <v>45198</v>
      </c>
      <c r="C28" s="1" t="n">
        <v>46188</v>
      </c>
      <c r="D28" t="inlineStr">
        <is>
          <t>UPPSALA LÄN</t>
        </is>
      </c>
      <c r="E28" t="inlineStr">
        <is>
          <t>ÖSTHAMMAR</t>
        </is>
      </c>
      <c r="G28" t="n">
        <v>1.6</v>
      </c>
      <c r="H28" t="n">
        <v>3</v>
      </c>
      <c r="I28" t="n">
        <v>5</v>
      </c>
      <c r="J28" t="n">
        <v>0</v>
      </c>
      <c r="K28" t="n">
        <v>0</v>
      </c>
      <c r="L28" t="n">
        <v>0</v>
      </c>
      <c r="M28" t="n">
        <v>0</v>
      </c>
      <c r="N28" t="n">
        <v>0</v>
      </c>
      <c r="O28" t="n">
        <v>0</v>
      </c>
      <c r="P28" t="n">
        <v>0</v>
      </c>
      <c r="Q28" t="n">
        <v>6</v>
      </c>
      <c r="R28" s="2" t="inlineStr">
        <is>
          <t>Nästrot
Skogsknipprot
Sårläka
Tibast
Vågbandad barkbock
Blåsippa</t>
        </is>
      </c>
      <c r="S28">
        <f>HYPERLINK("https://klasma.github.io/Logging_0382/artfynd/A 46785-2023 artfynd.xlsx", "A 46785-2023")</f>
        <v/>
      </c>
      <c r="T28">
        <f>HYPERLINK("https://klasma.github.io/Logging_0382/kartor/A 46785-2023 karta.png", "A 46785-2023")</f>
        <v/>
      </c>
      <c r="V28">
        <f>HYPERLINK("https://klasma.github.io/Logging_0382/klagomål/A 46785-2023 FSC-klagomål.docx", "A 46785-2023")</f>
        <v/>
      </c>
      <c r="W28">
        <f>HYPERLINK("https://klasma.github.io/Logging_0382/klagomålsmail/A 46785-2023 FSC-klagomål mail.docx", "A 46785-2023")</f>
        <v/>
      </c>
      <c r="X28">
        <f>HYPERLINK("https://klasma.github.io/Logging_0382/tillsyn/A 46785-2023 tillsynsbegäran.docx", "A 46785-2023")</f>
        <v/>
      </c>
      <c r="Y28">
        <f>HYPERLINK("https://klasma.github.io/Logging_0382/tillsynsmail/A 46785-2023 tillsynsbegäran mail.docx", "A 46785-2023")</f>
        <v/>
      </c>
    </row>
    <row r="29" ht="15" customHeight="1">
      <c r="A29" t="inlineStr">
        <is>
          <t>A 39763-2022</t>
        </is>
      </c>
      <c r="B29" s="1" t="n">
        <v>44819.44055555556</v>
      </c>
      <c r="C29" s="1" t="n">
        <v>46188</v>
      </c>
      <c r="D29" t="inlineStr">
        <is>
          <t>UPPSALA LÄN</t>
        </is>
      </c>
      <c r="E29" t="inlineStr">
        <is>
          <t>ÖSTHAMMAR</t>
        </is>
      </c>
      <c r="G29" t="n">
        <v>7</v>
      </c>
      <c r="H29" t="n">
        <v>1</v>
      </c>
      <c r="I29" t="n">
        <v>1</v>
      </c>
      <c r="J29" t="n">
        <v>2</v>
      </c>
      <c r="K29" t="n">
        <v>2</v>
      </c>
      <c r="L29" t="n">
        <v>0</v>
      </c>
      <c r="M29" t="n">
        <v>0</v>
      </c>
      <c r="N29" t="n">
        <v>0</v>
      </c>
      <c r="O29" t="n">
        <v>4</v>
      </c>
      <c r="P29" t="n">
        <v>2</v>
      </c>
      <c r="Q29" t="n">
        <v>5</v>
      </c>
      <c r="R29" s="2" t="inlineStr">
        <is>
          <t>Knärot
Violgubbe
Blek fingersvamp
Orange taggsvamp
Fjällig taggsvamp s.str.</t>
        </is>
      </c>
      <c r="S29">
        <f>HYPERLINK("https://klasma.github.io/Logging_0382/artfynd/A 39763-2022 artfynd.xlsx", "A 39763-2022")</f>
        <v/>
      </c>
      <c r="T29">
        <f>HYPERLINK("https://klasma.github.io/Logging_0382/kartor/A 39763-2022 karta.png", "A 39763-2022")</f>
        <v/>
      </c>
      <c r="U29">
        <f>HYPERLINK("https://klasma.github.io/Logging_0382/knärot/A 39763-2022 karta knärot.png", "A 39763-2022")</f>
        <v/>
      </c>
      <c r="V29">
        <f>HYPERLINK("https://klasma.github.io/Logging_0382/klagomål/A 39763-2022 FSC-klagomål.docx", "A 39763-2022")</f>
        <v/>
      </c>
      <c r="W29">
        <f>HYPERLINK("https://klasma.github.io/Logging_0382/klagomålsmail/A 39763-2022 FSC-klagomål mail.docx", "A 39763-2022")</f>
        <v/>
      </c>
      <c r="X29">
        <f>HYPERLINK("https://klasma.github.io/Logging_0382/tillsyn/A 39763-2022 tillsynsbegäran.docx", "A 39763-2022")</f>
        <v/>
      </c>
      <c r="Y29">
        <f>HYPERLINK("https://klasma.github.io/Logging_0382/tillsynsmail/A 39763-2022 tillsynsbegäran mail.docx", "A 39763-2022")</f>
        <v/>
      </c>
    </row>
    <row r="30" ht="15" customHeight="1">
      <c r="A30" t="inlineStr">
        <is>
          <t>A 64564-2021</t>
        </is>
      </c>
      <c r="B30" s="1" t="n">
        <v>44511</v>
      </c>
      <c r="C30" s="1" t="n">
        <v>46188</v>
      </c>
      <c r="D30" t="inlineStr">
        <is>
          <t>UPPSALA LÄN</t>
        </is>
      </c>
      <c r="E30" t="inlineStr">
        <is>
          <t>ÖSTHAMMAR</t>
        </is>
      </c>
      <c r="G30" t="n">
        <v>7.2</v>
      </c>
      <c r="H30" t="n">
        <v>1</v>
      </c>
      <c r="I30" t="n">
        <v>2</v>
      </c>
      <c r="J30" t="n">
        <v>1</v>
      </c>
      <c r="K30" t="n">
        <v>1</v>
      </c>
      <c r="L30" t="n">
        <v>0</v>
      </c>
      <c r="M30" t="n">
        <v>0</v>
      </c>
      <c r="N30" t="n">
        <v>0</v>
      </c>
      <c r="O30" t="n">
        <v>2</v>
      </c>
      <c r="P30" t="n">
        <v>1</v>
      </c>
      <c r="Q30" t="n">
        <v>5</v>
      </c>
      <c r="R30" s="2" t="inlineStr">
        <is>
          <t>Violgubbe
Gultoppig fingersvamp
Kalktallört
Rödgul trumpetsvamp
Tjäder</t>
        </is>
      </c>
      <c r="S30">
        <f>HYPERLINK("https://klasma.github.io/Logging_0382/artfynd/A 64564-2021 artfynd.xlsx", "A 64564-2021")</f>
        <v/>
      </c>
      <c r="T30">
        <f>HYPERLINK("https://klasma.github.io/Logging_0382/kartor/A 64564-2021 karta.png", "A 64564-2021")</f>
        <v/>
      </c>
      <c r="V30">
        <f>HYPERLINK("https://klasma.github.io/Logging_0382/klagomål/A 64564-2021 FSC-klagomål.docx", "A 64564-2021")</f>
        <v/>
      </c>
      <c r="W30">
        <f>HYPERLINK("https://klasma.github.io/Logging_0382/klagomålsmail/A 64564-2021 FSC-klagomål mail.docx", "A 64564-2021")</f>
        <v/>
      </c>
      <c r="X30">
        <f>HYPERLINK("https://klasma.github.io/Logging_0382/tillsyn/A 64564-2021 tillsynsbegäran.docx", "A 64564-2021")</f>
        <v/>
      </c>
      <c r="Y30">
        <f>HYPERLINK("https://klasma.github.io/Logging_0382/tillsynsmail/A 64564-2021 tillsynsbegäran mail.docx", "A 64564-2021")</f>
        <v/>
      </c>
      <c r="Z30">
        <f>HYPERLINK("https://klasma.github.io/Logging_0382/fåglar/A 64564-2021 prioriterade fågelarter.docx", "A 64564-2021")</f>
        <v/>
      </c>
    </row>
    <row r="31" ht="15" customHeight="1">
      <c r="A31" t="inlineStr">
        <is>
          <t>A 8753-2022</t>
        </is>
      </c>
      <c r="B31" s="1" t="n">
        <v>44614</v>
      </c>
      <c r="C31" s="1" t="n">
        <v>46188</v>
      </c>
      <c r="D31" t="inlineStr">
        <is>
          <t>UPPSALA LÄN</t>
        </is>
      </c>
      <c r="E31" t="inlineStr">
        <is>
          <t>ÖSTHAMMAR</t>
        </is>
      </c>
      <c r="G31" t="n">
        <v>5.3</v>
      </c>
      <c r="H31" t="n">
        <v>0</v>
      </c>
      <c r="I31" t="n">
        <v>3</v>
      </c>
      <c r="J31" t="n">
        <v>0</v>
      </c>
      <c r="K31" t="n">
        <v>2</v>
      </c>
      <c r="L31" t="n">
        <v>0</v>
      </c>
      <c r="M31" t="n">
        <v>0</v>
      </c>
      <c r="N31" t="n">
        <v>0</v>
      </c>
      <c r="O31" t="n">
        <v>2</v>
      </c>
      <c r="P31" t="n">
        <v>2</v>
      </c>
      <c r="Q31" t="n">
        <v>5</v>
      </c>
      <c r="R31" s="2" t="inlineStr">
        <is>
          <t>Gyllenspindling
Spricktaggsvamp
Olivspindling
Skarp dropptaggsvamp
Svavelriska</t>
        </is>
      </c>
      <c r="S31">
        <f>HYPERLINK("https://klasma.github.io/Logging_0382/artfynd/A 8753-2022 artfynd.xlsx", "A 8753-2022")</f>
        <v/>
      </c>
      <c r="T31">
        <f>HYPERLINK("https://klasma.github.io/Logging_0382/kartor/A 8753-2022 karta.png", "A 8753-2022")</f>
        <v/>
      </c>
      <c r="V31">
        <f>HYPERLINK("https://klasma.github.io/Logging_0382/klagomål/A 8753-2022 FSC-klagomål.docx", "A 8753-2022")</f>
        <v/>
      </c>
      <c r="W31">
        <f>HYPERLINK("https://klasma.github.io/Logging_0382/klagomålsmail/A 8753-2022 FSC-klagomål mail.docx", "A 8753-2022")</f>
        <v/>
      </c>
      <c r="X31">
        <f>HYPERLINK("https://klasma.github.io/Logging_0382/tillsyn/A 8753-2022 tillsynsbegäran.docx", "A 8753-2022")</f>
        <v/>
      </c>
      <c r="Y31">
        <f>HYPERLINK("https://klasma.github.io/Logging_0382/tillsynsmail/A 8753-2022 tillsynsbegäran mail.docx", "A 8753-2022")</f>
        <v/>
      </c>
    </row>
    <row r="32" ht="15" customHeight="1">
      <c r="A32" t="inlineStr">
        <is>
          <t>A 55492-2023</t>
        </is>
      </c>
      <c r="B32" s="1" t="n">
        <v>45238</v>
      </c>
      <c r="C32" s="1" t="n">
        <v>46188</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51154-2025</t>
        </is>
      </c>
      <c r="B33" s="1" t="n">
        <v>45947.57583333334</v>
      </c>
      <c r="C33" s="1" t="n">
        <v>46188</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15556-2022</t>
        </is>
      </c>
      <c r="B34" s="1" t="n">
        <v>44662</v>
      </c>
      <c r="C34" s="1" t="n">
        <v>46188</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1101-2026</t>
        </is>
      </c>
      <c r="B35" s="1" t="n">
        <v>46030.66722222222</v>
      </c>
      <c r="C35" s="1" t="n">
        <v>46188</v>
      </c>
      <c r="D35" t="inlineStr">
        <is>
          <t>UPPSALA LÄN</t>
        </is>
      </c>
      <c r="E35" t="inlineStr">
        <is>
          <t>ÖSTHAMMAR</t>
        </is>
      </c>
      <c r="G35" t="n">
        <v>4.1</v>
      </c>
      <c r="H35" t="n">
        <v>2</v>
      </c>
      <c r="I35" t="n">
        <v>3</v>
      </c>
      <c r="J35" t="n">
        <v>1</v>
      </c>
      <c r="K35" t="n">
        <v>0</v>
      </c>
      <c r="L35" t="n">
        <v>1</v>
      </c>
      <c r="M35" t="n">
        <v>0</v>
      </c>
      <c r="N35" t="n">
        <v>0</v>
      </c>
      <c r="O35" t="n">
        <v>2</v>
      </c>
      <c r="P35" t="n">
        <v>1</v>
      </c>
      <c r="Q35" t="n">
        <v>5</v>
      </c>
      <c r="R35" s="2" t="inlineStr">
        <is>
          <t>Bredgentiana
Loppstarr
Fjällig taggsvamp s.str.
Nästrot
Tjockfotad fingersvamp</t>
        </is>
      </c>
      <c r="S35">
        <f>HYPERLINK("https://klasma.github.io/Logging_0382/artfynd/A 1101-2026 artfynd.xlsx", "A 1101-2026")</f>
        <v/>
      </c>
      <c r="T35">
        <f>HYPERLINK("https://klasma.github.io/Logging_0382/kartor/A 1101-2026 karta.png", "A 1101-2026")</f>
        <v/>
      </c>
      <c r="U35">
        <f>HYPERLINK("https://klasma.github.io/Logging_0382/knärot/A 1101-2026 karta knärot.png", "A 1101-2026")</f>
        <v/>
      </c>
      <c r="V35">
        <f>HYPERLINK("https://klasma.github.io/Logging_0382/klagomål/A 1101-2026 FSC-klagomål.docx", "A 1101-2026")</f>
        <v/>
      </c>
      <c r="W35">
        <f>HYPERLINK("https://klasma.github.io/Logging_0382/klagomålsmail/A 1101-2026 FSC-klagomål mail.docx", "A 1101-2026")</f>
        <v/>
      </c>
      <c r="X35">
        <f>HYPERLINK("https://klasma.github.io/Logging_0382/tillsyn/A 1101-2026 tillsynsbegäran.docx", "A 1101-2026")</f>
        <v/>
      </c>
      <c r="Y35">
        <f>HYPERLINK("https://klasma.github.io/Logging_0382/tillsynsmail/A 1101-2026 tillsynsbegäran mail.docx", "A 1101-2026")</f>
        <v/>
      </c>
    </row>
    <row r="36" ht="15" customHeight="1">
      <c r="A36" t="inlineStr">
        <is>
          <t>A 24563-2022</t>
        </is>
      </c>
      <c r="B36" s="1" t="n">
        <v>44727</v>
      </c>
      <c r="C36" s="1" t="n">
        <v>46188</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43992-2022</t>
        </is>
      </c>
      <c r="B37" s="1" t="n">
        <v>44837</v>
      </c>
      <c r="C37" s="1" t="n">
        <v>46188</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23498-2023</t>
        </is>
      </c>
      <c r="B38" s="1" t="n">
        <v>45076</v>
      </c>
      <c r="C38" s="1" t="n">
        <v>46188</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18150-2022</t>
        </is>
      </c>
      <c r="B39" s="1" t="n">
        <v>44684</v>
      </c>
      <c r="C39" s="1" t="n">
        <v>46188</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60889-2025</t>
        </is>
      </c>
      <c r="B40" s="1" t="n">
        <v>45999.56931712963</v>
      </c>
      <c r="C40" s="1" t="n">
        <v>46188</v>
      </c>
      <c r="D40" t="inlineStr">
        <is>
          <t>UPPSALA LÄN</t>
        </is>
      </c>
      <c r="E40" t="inlineStr">
        <is>
          <t>ÖSTHAMMAR</t>
        </is>
      </c>
      <c r="G40" t="n">
        <v>10.8</v>
      </c>
      <c r="H40" t="n">
        <v>0</v>
      </c>
      <c r="I40" t="n">
        <v>4</v>
      </c>
      <c r="J40" t="n">
        <v>0</v>
      </c>
      <c r="K40" t="n">
        <v>0</v>
      </c>
      <c r="L40" t="n">
        <v>0</v>
      </c>
      <c r="M40" t="n">
        <v>0</v>
      </c>
      <c r="N40" t="n">
        <v>0</v>
      </c>
      <c r="O40" t="n">
        <v>0</v>
      </c>
      <c r="P40" t="n">
        <v>0</v>
      </c>
      <c r="Q40" t="n">
        <v>4</v>
      </c>
      <c r="R40" s="2" t="inlineStr">
        <is>
          <t>Fjällig taggsvamp s.str.
Guldkremla
Skarp dropptaggsvamp
Sårläka</t>
        </is>
      </c>
      <c r="S40">
        <f>HYPERLINK("https://klasma.github.io/Logging_0382/artfynd/A 60889-2025 artfynd.xlsx", "A 60889-2025")</f>
        <v/>
      </c>
      <c r="T40">
        <f>HYPERLINK("https://klasma.github.io/Logging_0382/kartor/A 60889-2025 karta.png", "A 60889-2025")</f>
        <v/>
      </c>
      <c r="V40">
        <f>HYPERLINK("https://klasma.github.io/Logging_0382/klagomål/A 60889-2025 FSC-klagomål.docx", "A 60889-2025")</f>
        <v/>
      </c>
      <c r="W40">
        <f>HYPERLINK("https://klasma.github.io/Logging_0382/klagomålsmail/A 60889-2025 FSC-klagomål mail.docx", "A 60889-2025")</f>
        <v/>
      </c>
      <c r="X40">
        <f>HYPERLINK("https://klasma.github.io/Logging_0382/tillsyn/A 60889-2025 tillsynsbegäran.docx", "A 60889-2025")</f>
        <v/>
      </c>
      <c r="Y40">
        <f>HYPERLINK("https://klasma.github.io/Logging_0382/tillsynsmail/A 60889-2025 tillsynsbegäran mail.docx", "A 60889-2025")</f>
        <v/>
      </c>
    </row>
    <row r="41" ht="15" customHeight="1">
      <c r="A41" t="inlineStr">
        <is>
          <t>A 33051-2021</t>
        </is>
      </c>
      <c r="B41" s="1" t="n">
        <v>44376</v>
      </c>
      <c r="C41" s="1" t="n">
        <v>46188</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18158-2026</t>
        </is>
      </c>
      <c r="B42" s="1" t="n">
        <v>46125.64015046296</v>
      </c>
      <c r="C42" s="1" t="n">
        <v>46188</v>
      </c>
      <c r="D42" t="inlineStr">
        <is>
          <t>UPPSALA LÄN</t>
        </is>
      </c>
      <c r="E42" t="inlineStr">
        <is>
          <t>ÖSTHAMMAR</t>
        </is>
      </c>
      <c r="F42" t="inlineStr">
        <is>
          <t>Övriga Aktiebolag</t>
        </is>
      </c>
      <c r="G42" t="n">
        <v>3.7</v>
      </c>
      <c r="H42" t="n">
        <v>3</v>
      </c>
      <c r="I42" t="n">
        <v>2</v>
      </c>
      <c r="J42" t="n">
        <v>1</v>
      </c>
      <c r="K42" t="n">
        <v>0</v>
      </c>
      <c r="L42" t="n">
        <v>0</v>
      </c>
      <c r="M42" t="n">
        <v>0</v>
      </c>
      <c r="N42" t="n">
        <v>0</v>
      </c>
      <c r="O42" t="n">
        <v>1</v>
      </c>
      <c r="P42" t="n">
        <v>0</v>
      </c>
      <c r="Q42" t="n">
        <v>4</v>
      </c>
      <c r="R42" s="2" t="inlineStr">
        <is>
          <t>Gulsparv
Nästrot
Tibast
Blåsippa</t>
        </is>
      </c>
      <c r="S42">
        <f>HYPERLINK("https://klasma.github.io/Logging_0382/artfynd/A 18158-2026 artfynd.xlsx", "A 18158-2026")</f>
        <v/>
      </c>
      <c r="T42">
        <f>HYPERLINK("https://klasma.github.io/Logging_0382/kartor/A 18158-2026 karta.png", "A 18158-2026")</f>
        <v/>
      </c>
      <c r="V42">
        <f>HYPERLINK("https://klasma.github.io/Logging_0382/klagomål/A 18158-2026 FSC-klagomål.docx", "A 18158-2026")</f>
        <v/>
      </c>
      <c r="W42">
        <f>HYPERLINK("https://klasma.github.io/Logging_0382/klagomålsmail/A 18158-2026 FSC-klagomål mail.docx", "A 18158-2026")</f>
        <v/>
      </c>
      <c r="X42">
        <f>HYPERLINK("https://klasma.github.io/Logging_0382/tillsyn/A 18158-2026 tillsynsbegäran.docx", "A 18158-2026")</f>
        <v/>
      </c>
      <c r="Y42">
        <f>HYPERLINK("https://klasma.github.io/Logging_0382/tillsynsmail/A 18158-2026 tillsynsbegäran mail.docx", "A 18158-2026")</f>
        <v/>
      </c>
      <c r="Z42">
        <f>HYPERLINK("https://klasma.github.io/Logging_0382/fåglar/A 18158-2026 prioriterade fågelarter.docx", "A 18158-2026")</f>
        <v/>
      </c>
    </row>
    <row r="43" ht="15" customHeight="1">
      <c r="A43" t="inlineStr">
        <is>
          <t>A 48352-2022</t>
        </is>
      </c>
      <c r="B43" s="1" t="n">
        <v>44858</v>
      </c>
      <c r="C43" s="1" t="n">
        <v>46188</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agg.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54492-2024</t>
        </is>
      </c>
      <c r="B44" s="1" t="n">
        <v>45617</v>
      </c>
      <c r="C44" s="1" t="n">
        <v>46188</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26552-2022</t>
        </is>
      </c>
      <c r="B45" s="1" t="n">
        <v>44739</v>
      </c>
      <c r="C45" s="1" t="n">
        <v>46188</v>
      </c>
      <c r="D45" t="inlineStr">
        <is>
          <t>UPPSALA LÄN</t>
        </is>
      </c>
      <c r="E45" t="inlineStr">
        <is>
          <t>ÖSTHAMMAR</t>
        </is>
      </c>
      <c r="G45" t="n">
        <v>2.2</v>
      </c>
      <c r="H45" t="n">
        <v>3</v>
      </c>
      <c r="I45" t="n">
        <v>0</v>
      </c>
      <c r="J45" t="n">
        <v>1</v>
      </c>
      <c r="K45" t="n">
        <v>0</v>
      </c>
      <c r="L45" t="n">
        <v>0</v>
      </c>
      <c r="M45" t="n">
        <v>0</v>
      </c>
      <c r="N45" t="n">
        <v>0</v>
      </c>
      <c r="O45" t="n">
        <v>1</v>
      </c>
      <c r="P45" t="n">
        <v>0</v>
      </c>
      <c r="Q45" t="n">
        <v>3</v>
      </c>
      <c r="R45" s="2" t="inlineStr">
        <is>
          <t>Nordfladdermus
Dvärgpipistrell
Vattenfladdermus</t>
        </is>
      </c>
      <c r="S45">
        <f>HYPERLINK("https://klasma.github.io/Logging_0382/artfynd/A 26552-2022 artfynd.xlsx", "A 26552-2022")</f>
        <v/>
      </c>
      <c r="T45">
        <f>HYPERLINK("https://klasma.github.io/Logging_0382/kartor/A 26552-2022 karta.png", "A 26552-2022")</f>
        <v/>
      </c>
      <c r="V45">
        <f>HYPERLINK("https://klasma.github.io/Logging_0382/klagomål/A 26552-2022 FSC-klagomål.docx", "A 26552-2022")</f>
        <v/>
      </c>
      <c r="W45">
        <f>HYPERLINK("https://klasma.github.io/Logging_0382/klagomålsmail/A 26552-2022 FSC-klagomål mail.docx", "A 26552-2022")</f>
        <v/>
      </c>
      <c r="X45">
        <f>HYPERLINK("https://klasma.github.io/Logging_0382/tillsyn/A 26552-2022 tillsynsbegäran.docx", "A 26552-2022")</f>
        <v/>
      </c>
      <c r="Y45">
        <f>HYPERLINK("https://klasma.github.io/Logging_0382/tillsynsmail/A 26552-2022 tillsynsbegäran mail.docx", "A 26552-2022")</f>
        <v/>
      </c>
    </row>
    <row r="46" ht="15" customHeight="1">
      <c r="A46" t="inlineStr">
        <is>
          <t>A 55051-2021</t>
        </is>
      </c>
      <c r="B46" s="1" t="n">
        <v>44474</v>
      </c>
      <c r="C46" s="1" t="n">
        <v>46188</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17004-2024</t>
        </is>
      </c>
      <c r="B47" s="1" t="n">
        <v>45412</v>
      </c>
      <c r="C47" s="1" t="n">
        <v>46188</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9683-2023</t>
        </is>
      </c>
      <c r="B48" s="1" t="n">
        <v>44984.43856481482</v>
      </c>
      <c r="C48" s="1" t="n">
        <v>46188</v>
      </c>
      <c r="D48" t="inlineStr">
        <is>
          <t>UPPSALA LÄN</t>
        </is>
      </c>
      <c r="E48" t="inlineStr">
        <is>
          <t>ÖSTHAMMAR</t>
        </is>
      </c>
      <c r="G48" t="n">
        <v>4</v>
      </c>
      <c r="H48" t="n">
        <v>3</v>
      </c>
      <c r="I48" t="n">
        <v>1</v>
      </c>
      <c r="J48" t="n">
        <v>0</v>
      </c>
      <c r="K48" t="n">
        <v>0</v>
      </c>
      <c r="L48" t="n">
        <v>0</v>
      </c>
      <c r="M48" t="n">
        <v>0</v>
      </c>
      <c r="N48" t="n">
        <v>0</v>
      </c>
      <c r="O48" t="n">
        <v>0</v>
      </c>
      <c r="P48" t="n">
        <v>0</v>
      </c>
      <c r="Q48" t="n">
        <v>3</v>
      </c>
      <c r="R48" s="2" t="inlineStr">
        <is>
          <t>Tvåblad
Blåsippa
Gullviva</t>
        </is>
      </c>
      <c r="S48">
        <f>HYPERLINK("https://klasma.github.io/Logging_0382/artfynd/A 9683-2023 artfynd.xlsx", "A 9683-2023")</f>
        <v/>
      </c>
      <c r="T48">
        <f>HYPERLINK("https://klasma.github.io/Logging_0382/kartor/A 9683-2023 karta.png", "A 9683-2023")</f>
        <v/>
      </c>
      <c r="V48">
        <f>HYPERLINK("https://klasma.github.io/Logging_0382/klagomål/A 9683-2023 FSC-klagomål.docx", "A 9683-2023")</f>
        <v/>
      </c>
      <c r="W48">
        <f>HYPERLINK("https://klasma.github.io/Logging_0382/klagomålsmail/A 9683-2023 FSC-klagomål mail.docx", "A 9683-2023")</f>
        <v/>
      </c>
      <c r="X48">
        <f>HYPERLINK("https://klasma.github.io/Logging_0382/tillsyn/A 9683-2023 tillsynsbegäran.docx", "A 9683-2023")</f>
        <v/>
      </c>
      <c r="Y48">
        <f>HYPERLINK("https://klasma.github.io/Logging_0382/tillsynsmail/A 9683-2023 tillsynsbegäran mail.docx", "A 9683-2023")</f>
        <v/>
      </c>
    </row>
    <row r="49" ht="15" customHeight="1">
      <c r="A49" t="inlineStr">
        <is>
          <t>A 33035-2021</t>
        </is>
      </c>
      <c r="B49" s="1" t="n">
        <v>44376</v>
      </c>
      <c r="C49" s="1" t="n">
        <v>46188</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46204-2023</t>
        </is>
      </c>
      <c r="B50" s="1" t="n">
        <v>45190</v>
      </c>
      <c r="C50" s="1" t="n">
        <v>46188</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26557-2022</t>
        </is>
      </c>
      <c r="B51" s="1" t="n">
        <v>44739</v>
      </c>
      <c r="C51" s="1" t="n">
        <v>46188</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26522-2026</t>
        </is>
      </c>
      <c r="B52" s="1" t="n">
        <v>46183.58791666666</v>
      </c>
      <c r="C52" s="1" t="n">
        <v>46188</v>
      </c>
      <c r="D52" t="inlineStr">
        <is>
          <t>UPPSALA LÄN</t>
        </is>
      </c>
      <c r="E52" t="inlineStr">
        <is>
          <t>ÖSTHAMMAR</t>
        </is>
      </c>
      <c r="G52" t="n">
        <v>0.9</v>
      </c>
      <c r="H52" t="n">
        <v>1</v>
      </c>
      <c r="I52" t="n">
        <v>0</v>
      </c>
      <c r="J52" t="n">
        <v>2</v>
      </c>
      <c r="K52" t="n">
        <v>0</v>
      </c>
      <c r="L52" t="n">
        <v>0</v>
      </c>
      <c r="M52" t="n">
        <v>0</v>
      </c>
      <c r="N52" t="n">
        <v>0</v>
      </c>
      <c r="O52" t="n">
        <v>2</v>
      </c>
      <c r="P52" t="n">
        <v>0</v>
      </c>
      <c r="Q52" t="n">
        <v>3</v>
      </c>
      <c r="R52" s="2" t="inlineStr">
        <is>
          <t>Solvända
Säfferot
Gullviva</t>
        </is>
      </c>
      <c r="S52">
        <f>HYPERLINK("https://klasma.github.io/Logging_0382/artfynd/A 26522-2026 artfynd.xlsx", "A 26522-2026")</f>
        <v/>
      </c>
      <c r="T52">
        <f>HYPERLINK("https://klasma.github.io/Logging_0382/kartor/A 26522-2026 karta.png", "A 26522-2026")</f>
        <v/>
      </c>
      <c r="V52">
        <f>HYPERLINK("https://klasma.github.io/Logging_0382/klagomål/A 26522-2026 FSC-klagomål.docx", "A 26522-2026")</f>
        <v/>
      </c>
      <c r="W52">
        <f>HYPERLINK("https://klasma.github.io/Logging_0382/klagomålsmail/A 26522-2026 FSC-klagomål mail.docx", "A 26522-2026")</f>
        <v/>
      </c>
      <c r="X52">
        <f>HYPERLINK("https://klasma.github.io/Logging_0382/tillsyn/A 26522-2026 tillsynsbegäran.docx", "A 26522-2026")</f>
        <v/>
      </c>
      <c r="Y52">
        <f>HYPERLINK("https://klasma.github.io/Logging_0382/tillsynsmail/A 26522-2026 tillsynsbegäran mail.docx", "A 26522-2026")</f>
        <v/>
      </c>
    </row>
    <row r="53" ht="15" customHeight="1">
      <c r="A53" t="inlineStr">
        <is>
          <t>A 60078-2021</t>
        </is>
      </c>
      <c r="B53" s="1" t="n">
        <v>44495</v>
      </c>
      <c r="C53" s="1" t="n">
        <v>46188</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46188</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46188</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60898-2025</t>
        </is>
      </c>
      <c r="B56" s="1" t="n">
        <v>45999.58256944444</v>
      </c>
      <c r="C56" s="1" t="n">
        <v>46188</v>
      </c>
      <c r="D56" t="inlineStr">
        <is>
          <t>UPPSALA LÄN</t>
        </is>
      </c>
      <c r="E56" t="inlineStr">
        <is>
          <t>ÖSTHAMMAR</t>
        </is>
      </c>
      <c r="G56" t="n">
        <v>3.9</v>
      </c>
      <c r="H56" t="n">
        <v>0</v>
      </c>
      <c r="I56" t="n">
        <v>2</v>
      </c>
      <c r="J56" t="n">
        <v>0</v>
      </c>
      <c r="K56" t="n">
        <v>0</v>
      </c>
      <c r="L56" t="n">
        <v>0</v>
      </c>
      <c r="M56" t="n">
        <v>0</v>
      </c>
      <c r="N56" t="n">
        <v>0</v>
      </c>
      <c r="O56" t="n">
        <v>0</v>
      </c>
      <c r="P56" t="n">
        <v>0</v>
      </c>
      <c r="Q56" t="n">
        <v>2</v>
      </c>
      <c r="R56" s="2" t="inlineStr">
        <is>
          <t>Anisspindling
Svavelriska</t>
        </is>
      </c>
      <c r="S56">
        <f>HYPERLINK("https://klasma.github.io/Logging_0382/artfynd/A 60898-2025 artfynd.xlsx", "A 60898-2025")</f>
        <v/>
      </c>
      <c r="T56">
        <f>HYPERLINK("https://klasma.github.io/Logging_0382/kartor/A 60898-2025 karta.png", "A 60898-2025")</f>
        <v/>
      </c>
      <c r="V56">
        <f>HYPERLINK("https://klasma.github.io/Logging_0382/klagomål/A 60898-2025 FSC-klagomål.docx", "A 60898-2025")</f>
        <v/>
      </c>
      <c r="W56">
        <f>HYPERLINK("https://klasma.github.io/Logging_0382/klagomålsmail/A 60898-2025 FSC-klagomål mail.docx", "A 60898-2025")</f>
        <v/>
      </c>
      <c r="X56">
        <f>HYPERLINK("https://klasma.github.io/Logging_0382/tillsyn/A 60898-2025 tillsynsbegäran.docx", "A 60898-2025")</f>
        <v/>
      </c>
      <c r="Y56">
        <f>HYPERLINK("https://klasma.github.io/Logging_0382/tillsynsmail/A 60898-2025 tillsynsbegäran mail.docx", "A 60898-2025")</f>
        <v/>
      </c>
    </row>
    <row r="57" ht="15" customHeight="1">
      <c r="A57" t="inlineStr">
        <is>
          <t>A 61400-2025</t>
        </is>
      </c>
      <c r="B57" s="1" t="n">
        <v>46001.47858796296</v>
      </c>
      <c r="C57" s="1" t="n">
        <v>46188</v>
      </c>
      <c r="D57" t="inlineStr">
        <is>
          <t>UPPSALA LÄN</t>
        </is>
      </c>
      <c r="E57" t="inlineStr">
        <is>
          <t>ÖSTHAMMAR</t>
        </is>
      </c>
      <c r="F57" t="inlineStr">
        <is>
          <t>Naturvårdsverket</t>
        </is>
      </c>
      <c r="G57" t="n">
        <v>10.9</v>
      </c>
      <c r="H57" t="n">
        <v>0</v>
      </c>
      <c r="I57" t="n">
        <v>2</v>
      </c>
      <c r="J57" t="n">
        <v>0</v>
      </c>
      <c r="K57" t="n">
        <v>0</v>
      </c>
      <c r="L57" t="n">
        <v>0</v>
      </c>
      <c r="M57" t="n">
        <v>0</v>
      </c>
      <c r="N57" t="n">
        <v>0</v>
      </c>
      <c r="O57" t="n">
        <v>0</v>
      </c>
      <c r="P57" t="n">
        <v>0</v>
      </c>
      <c r="Q57" t="n">
        <v>2</v>
      </c>
      <c r="R57" s="2" t="inlineStr">
        <is>
          <t>Granbarkgnagare
Kattfotslav</t>
        </is>
      </c>
      <c r="S57">
        <f>HYPERLINK("https://klasma.github.io/Logging_0382/artfynd/A 61400-2025 artfynd.xlsx", "A 61400-2025")</f>
        <v/>
      </c>
      <c r="T57">
        <f>HYPERLINK("https://klasma.github.io/Logging_0382/kartor/A 61400-2025 karta.png", "A 61400-2025")</f>
        <v/>
      </c>
      <c r="V57">
        <f>HYPERLINK("https://klasma.github.io/Logging_0382/klagomål/A 61400-2025 FSC-klagomål.docx", "A 61400-2025")</f>
        <v/>
      </c>
      <c r="W57">
        <f>HYPERLINK("https://klasma.github.io/Logging_0382/klagomålsmail/A 61400-2025 FSC-klagomål mail.docx", "A 61400-2025")</f>
        <v/>
      </c>
      <c r="X57">
        <f>HYPERLINK("https://klasma.github.io/Logging_0382/tillsyn/A 61400-2025 tillsynsbegäran.docx", "A 61400-2025")</f>
        <v/>
      </c>
      <c r="Y57">
        <f>HYPERLINK("https://klasma.github.io/Logging_0382/tillsynsmail/A 61400-2025 tillsynsbegäran mail.docx", "A 61400-2025")</f>
        <v/>
      </c>
    </row>
    <row r="58" ht="15" customHeight="1">
      <c r="A58" t="inlineStr">
        <is>
          <t>A 18539-2024</t>
        </is>
      </c>
      <c r="B58" s="1" t="n">
        <v>45425.63697916667</v>
      </c>
      <c r="C58" s="1" t="n">
        <v>46188</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20553-2025</t>
        </is>
      </c>
      <c r="B59" s="1" t="n">
        <v>45775.63983796296</v>
      </c>
      <c r="C59" s="1" t="n">
        <v>46188</v>
      </c>
      <c r="D59" t="inlineStr">
        <is>
          <t>UPPSALA LÄN</t>
        </is>
      </c>
      <c r="E59" t="inlineStr">
        <is>
          <t>ÖSTHAMMAR</t>
        </is>
      </c>
      <c r="G59" t="n">
        <v>0.4</v>
      </c>
      <c r="H59" t="n">
        <v>0</v>
      </c>
      <c r="I59" t="n">
        <v>2</v>
      </c>
      <c r="J59" t="n">
        <v>0</v>
      </c>
      <c r="K59" t="n">
        <v>0</v>
      </c>
      <c r="L59" t="n">
        <v>0</v>
      </c>
      <c r="M59" t="n">
        <v>0</v>
      </c>
      <c r="N59" t="n">
        <v>0</v>
      </c>
      <c r="O59" t="n">
        <v>0</v>
      </c>
      <c r="P59" t="n">
        <v>0</v>
      </c>
      <c r="Q59" t="n">
        <v>2</v>
      </c>
      <c r="R59" s="2" t="inlineStr">
        <is>
          <t>Jättesvampmal
Robust tickgnagare</t>
        </is>
      </c>
      <c r="S59">
        <f>HYPERLINK("https://klasma.github.io/Logging_0382/artfynd/A 20553-2025 artfynd.xlsx", "A 20553-2025")</f>
        <v/>
      </c>
      <c r="T59">
        <f>HYPERLINK("https://klasma.github.io/Logging_0382/kartor/A 20553-2025 karta.png", "A 20553-2025")</f>
        <v/>
      </c>
      <c r="V59">
        <f>HYPERLINK("https://klasma.github.io/Logging_0382/klagomål/A 20553-2025 FSC-klagomål.docx", "A 20553-2025")</f>
        <v/>
      </c>
      <c r="W59">
        <f>HYPERLINK("https://klasma.github.io/Logging_0382/klagomålsmail/A 20553-2025 FSC-klagomål mail.docx", "A 20553-2025")</f>
        <v/>
      </c>
      <c r="X59">
        <f>HYPERLINK("https://klasma.github.io/Logging_0382/tillsyn/A 20553-2025 tillsynsbegäran.docx", "A 20553-2025")</f>
        <v/>
      </c>
      <c r="Y59">
        <f>HYPERLINK("https://klasma.github.io/Logging_0382/tillsynsmail/A 20553-2025 tillsynsbegäran mail.docx", "A 20553-2025")</f>
        <v/>
      </c>
    </row>
    <row r="60" ht="15" customHeight="1">
      <c r="A60" t="inlineStr">
        <is>
          <t>A 13287-2022</t>
        </is>
      </c>
      <c r="B60" s="1" t="n">
        <v>44644</v>
      </c>
      <c r="C60" s="1" t="n">
        <v>46188</v>
      </c>
      <c r="D60" t="inlineStr">
        <is>
          <t>UPPSALA LÄN</t>
        </is>
      </c>
      <c r="E60" t="inlineStr">
        <is>
          <t>ÖSTHAMMAR</t>
        </is>
      </c>
      <c r="G60" t="n">
        <v>14.6</v>
      </c>
      <c r="H60" t="n">
        <v>0</v>
      </c>
      <c r="I60" t="n">
        <v>1</v>
      </c>
      <c r="J60" t="n">
        <v>0</v>
      </c>
      <c r="K60" t="n">
        <v>1</v>
      </c>
      <c r="L60" t="n">
        <v>0</v>
      </c>
      <c r="M60" t="n">
        <v>0</v>
      </c>
      <c r="N60" t="n">
        <v>0</v>
      </c>
      <c r="O60" t="n">
        <v>1</v>
      </c>
      <c r="P60" t="n">
        <v>1</v>
      </c>
      <c r="Q60" t="n">
        <v>2</v>
      </c>
      <c r="R60" s="2" t="inlineStr">
        <is>
          <t>Bullspindling
Olivspindling</t>
        </is>
      </c>
      <c r="S60">
        <f>HYPERLINK("https://klasma.github.io/Logging_0382/artfynd/A 13287-2022 artfynd.xlsx", "A 13287-2022")</f>
        <v/>
      </c>
      <c r="T60">
        <f>HYPERLINK("https://klasma.github.io/Logging_0382/kartor/A 13287-2022 karta.png", "A 13287-2022")</f>
        <v/>
      </c>
      <c r="V60">
        <f>HYPERLINK("https://klasma.github.io/Logging_0382/klagomål/A 13287-2022 FSC-klagomål.docx", "A 13287-2022")</f>
        <v/>
      </c>
      <c r="W60">
        <f>HYPERLINK("https://klasma.github.io/Logging_0382/klagomålsmail/A 13287-2022 FSC-klagomål mail.docx", "A 13287-2022")</f>
        <v/>
      </c>
      <c r="X60">
        <f>HYPERLINK("https://klasma.github.io/Logging_0382/tillsyn/A 13287-2022 tillsynsbegäran.docx", "A 13287-2022")</f>
        <v/>
      </c>
      <c r="Y60">
        <f>HYPERLINK("https://klasma.github.io/Logging_0382/tillsynsmail/A 13287-2022 tillsynsbegäran mail.docx", "A 13287-2022")</f>
        <v/>
      </c>
    </row>
    <row r="61" ht="15" customHeight="1">
      <c r="A61" t="inlineStr">
        <is>
          <t>A 30943-2024</t>
        </is>
      </c>
      <c r="B61" s="1" t="n">
        <v>45499</v>
      </c>
      <c r="C61" s="1" t="n">
        <v>46188</v>
      </c>
      <c r="D61" t="inlineStr">
        <is>
          <t>UPPSALA LÄN</t>
        </is>
      </c>
      <c r="E61" t="inlineStr">
        <is>
          <t>ÖSTHAMMAR</t>
        </is>
      </c>
      <c r="G61" t="n">
        <v>4.5</v>
      </c>
      <c r="H61" t="n">
        <v>0</v>
      </c>
      <c r="I61" t="n">
        <v>2</v>
      </c>
      <c r="J61" t="n">
        <v>0</v>
      </c>
      <c r="K61" t="n">
        <v>0</v>
      </c>
      <c r="L61" t="n">
        <v>0</v>
      </c>
      <c r="M61" t="n">
        <v>0</v>
      </c>
      <c r="N61" t="n">
        <v>0</v>
      </c>
      <c r="O61" t="n">
        <v>0</v>
      </c>
      <c r="P61" t="n">
        <v>0</v>
      </c>
      <c r="Q61" t="n">
        <v>2</v>
      </c>
      <c r="R61" s="2" t="inlineStr">
        <is>
          <t>Tibast
Underviol</t>
        </is>
      </c>
      <c r="S61">
        <f>HYPERLINK("https://klasma.github.io/Logging_0382/artfynd/A 30943-2024 artfynd.xlsx", "A 30943-2024")</f>
        <v/>
      </c>
      <c r="T61">
        <f>HYPERLINK("https://klasma.github.io/Logging_0382/kartor/A 30943-2024 karta.png", "A 30943-2024")</f>
        <v/>
      </c>
      <c r="V61">
        <f>HYPERLINK("https://klasma.github.io/Logging_0382/klagomål/A 30943-2024 FSC-klagomål.docx", "A 30943-2024")</f>
        <v/>
      </c>
      <c r="W61">
        <f>HYPERLINK("https://klasma.github.io/Logging_0382/klagomålsmail/A 30943-2024 FSC-klagomål mail.docx", "A 30943-2024")</f>
        <v/>
      </c>
      <c r="X61">
        <f>HYPERLINK("https://klasma.github.io/Logging_0382/tillsyn/A 30943-2024 tillsynsbegäran.docx", "A 30943-2024")</f>
        <v/>
      </c>
      <c r="Y61">
        <f>HYPERLINK("https://klasma.github.io/Logging_0382/tillsynsmail/A 30943-2024 tillsynsbegäran mail.docx", "A 30943-2024")</f>
        <v/>
      </c>
    </row>
    <row r="62" ht="15" customHeight="1">
      <c r="A62" t="inlineStr">
        <is>
          <t>A 9646-2024</t>
        </is>
      </c>
      <c r="B62" s="1" t="n">
        <v>45362.37055555556</v>
      </c>
      <c r="C62" s="1" t="n">
        <v>46188</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17694-2026</t>
        </is>
      </c>
      <c r="B63" s="1" t="n">
        <v>46121.65268518519</v>
      </c>
      <c r="C63" s="1" t="n">
        <v>46188</v>
      </c>
      <c r="D63" t="inlineStr">
        <is>
          <t>UPPSALA LÄN</t>
        </is>
      </c>
      <c r="E63" t="inlineStr">
        <is>
          <t>ÖSTHAMMAR</t>
        </is>
      </c>
      <c r="G63" t="n">
        <v>3.4</v>
      </c>
      <c r="H63" t="n">
        <v>1</v>
      </c>
      <c r="I63" t="n">
        <v>1</v>
      </c>
      <c r="J63" t="n">
        <v>0</v>
      </c>
      <c r="K63" t="n">
        <v>0</v>
      </c>
      <c r="L63" t="n">
        <v>1</v>
      </c>
      <c r="M63" t="n">
        <v>0</v>
      </c>
      <c r="N63" t="n">
        <v>0</v>
      </c>
      <c r="O63" t="n">
        <v>1</v>
      </c>
      <c r="P63" t="n">
        <v>1</v>
      </c>
      <c r="Q63" t="n">
        <v>2</v>
      </c>
      <c r="R63" s="2" t="inlineStr">
        <is>
          <t>Ask
Guckusko</t>
        </is>
      </c>
      <c r="S63">
        <f>HYPERLINK("https://klasma.github.io/Logging_0382/artfynd/A 17694-2026 artfynd.xlsx", "A 17694-2026")</f>
        <v/>
      </c>
      <c r="T63">
        <f>HYPERLINK("https://klasma.github.io/Logging_0382/kartor/A 17694-2026 karta.png", "A 17694-2026")</f>
        <v/>
      </c>
      <c r="V63">
        <f>HYPERLINK("https://klasma.github.io/Logging_0382/klagomål/A 17694-2026 FSC-klagomål.docx", "A 17694-2026")</f>
        <v/>
      </c>
      <c r="W63">
        <f>HYPERLINK("https://klasma.github.io/Logging_0382/klagomålsmail/A 17694-2026 FSC-klagomål mail.docx", "A 17694-2026")</f>
        <v/>
      </c>
      <c r="X63">
        <f>HYPERLINK("https://klasma.github.io/Logging_0382/tillsyn/A 17694-2026 tillsynsbegäran.docx", "A 17694-2026")</f>
        <v/>
      </c>
      <c r="Y63">
        <f>HYPERLINK("https://klasma.github.io/Logging_0382/tillsynsmail/A 17694-2026 tillsynsbegäran mail.docx", "A 17694-2026")</f>
        <v/>
      </c>
    </row>
    <row r="64" ht="15" customHeight="1">
      <c r="A64" t="inlineStr">
        <is>
          <t>A 33269-2025</t>
        </is>
      </c>
      <c r="B64" s="1" t="n">
        <v>45840.68208333333</v>
      </c>
      <c r="C64" s="1" t="n">
        <v>46188</v>
      </c>
      <c r="D64" t="inlineStr">
        <is>
          <t>UPPSALA LÄN</t>
        </is>
      </c>
      <c r="E64" t="inlineStr">
        <is>
          <t>ÖSTHAMMAR</t>
        </is>
      </c>
      <c r="G64" t="n">
        <v>14.9</v>
      </c>
      <c r="H64" t="n">
        <v>0</v>
      </c>
      <c r="I64" t="n">
        <v>1</v>
      </c>
      <c r="J64" t="n">
        <v>0</v>
      </c>
      <c r="K64" t="n">
        <v>1</v>
      </c>
      <c r="L64" t="n">
        <v>0</v>
      </c>
      <c r="M64" t="n">
        <v>0</v>
      </c>
      <c r="N64" t="n">
        <v>0</v>
      </c>
      <c r="O64" t="n">
        <v>1</v>
      </c>
      <c r="P64" t="n">
        <v>1</v>
      </c>
      <c r="Q64" t="n">
        <v>2</v>
      </c>
      <c r="R64" s="2" t="inlineStr">
        <is>
          <t>Violgubbe
Kamjordstjärna</t>
        </is>
      </c>
      <c r="S64">
        <f>HYPERLINK("https://klasma.github.io/Logging_0382/artfynd/A 33269-2025 artfynd.xlsx", "A 33269-2025")</f>
        <v/>
      </c>
      <c r="T64">
        <f>HYPERLINK("https://klasma.github.io/Logging_0382/kartor/A 33269-2025 karta.png", "A 33269-2025")</f>
        <v/>
      </c>
      <c r="V64">
        <f>HYPERLINK("https://klasma.github.io/Logging_0382/klagomål/A 33269-2025 FSC-klagomål.docx", "A 33269-2025")</f>
        <v/>
      </c>
      <c r="W64">
        <f>HYPERLINK("https://klasma.github.io/Logging_0382/klagomålsmail/A 33269-2025 FSC-klagomål mail.docx", "A 33269-2025")</f>
        <v/>
      </c>
      <c r="X64">
        <f>HYPERLINK("https://klasma.github.io/Logging_0382/tillsyn/A 33269-2025 tillsynsbegäran.docx", "A 33269-2025")</f>
        <v/>
      </c>
      <c r="Y64">
        <f>HYPERLINK("https://klasma.github.io/Logging_0382/tillsynsmail/A 33269-2025 tillsynsbegäran mail.docx", "A 33269-2025")</f>
        <v/>
      </c>
    </row>
    <row r="65" ht="15" customHeight="1">
      <c r="A65" t="inlineStr">
        <is>
          <t>A 26277-2024</t>
        </is>
      </c>
      <c r="B65" s="1" t="n">
        <v>45468</v>
      </c>
      <c r="C65" s="1" t="n">
        <v>46188</v>
      </c>
      <c r="D65" t="inlineStr">
        <is>
          <t>UPPSALA LÄN</t>
        </is>
      </c>
      <c r="E65" t="inlineStr">
        <is>
          <t>ÖSTHAMMAR</t>
        </is>
      </c>
      <c r="G65" t="n">
        <v>3.5</v>
      </c>
      <c r="H65" t="n">
        <v>1</v>
      </c>
      <c r="I65" t="n">
        <v>2</v>
      </c>
      <c r="J65" t="n">
        <v>0</v>
      </c>
      <c r="K65" t="n">
        <v>0</v>
      </c>
      <c r="L65" t="n">
        <v>0</v>
      </c>
      <c r="M65" t="n">
        <v>0</v>
      </c>
      <c r="N65" t="n">
        <v>0</v>
      </c>
      <c r="O65" t="n">
        <v>0</v>
      </c>
      <c r="P65" t="n">
        <v>0</v>
      </c>
      <c r="Q65" t="n">
        <v>2</v>
      </c>
      <c r="R65" s="2" t="inlineStr">
        <is>
          <t>Nästrot
Sårläka</t>
        </is>
      </c>
      <c r="S65">
        <f>HYPERLINK("https://klasma.github.io/Logging_0382/artfynd/A 26277-2024 artfynd.xlsx", "A 26277-2024")</f>
        <v/>
      </c>
      <c r="T65">
        <f>HYPERLINK("https://klasma.github.io/Logging_0382/kartor/A 26277-2024 karta.png", "A 26277-2024")</f>
        <v/>
      </c>
      <c r="V65">
        <f>HYPERLINK("https://klasma.github.io/Logging_0382/klagomål/A 26277-2024 FSC-klagomål.docx", "A 26277-2024")</f>
        <v/>
      </c>
      <c r="W65">
        <f>HYPERLINK("https://klasma.github.io/Logging_0382/klagomålsmail/A 26277-2024 FSC-klagomål mail.docx", "A 26277-2024")</f>
        <v/>
      </c>
      <c r="X65">
        <f>HYPERLINK("https://klasma.github.io/Logging_0382/tillsyn/A 26277-2024 tillsynsbegäran.docx", "A 26277-2024")</f>
        <v/>
      </c>
      <c r="Y65">
        <f>HYPERLINK("https://klasma.github.io/Logging_0382/tillsynsmail/A 26277-2024 tillsynsbegäran mail.docx", "A 26277-2024")</f>
        <v/>
      </c>
    </row>
    <row r="66" ht="15" customHeight="1">
      <c r="A66" t="inlineStr">
        <is>
          <t>A 67855-2021</t>
        </is>
      </c>
      <c r="B66" s="1" t="n">
        <v>44525</v>
      </c>
      <c r="C66" s="1" t="n">
        <v>46188</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46188</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73981-2021</t>
        </is>
      </c>
      <c r="B68" s="1" t="n">
        <v>44555</v>
      </c>
      <c r="C68" s="1" t="n">
        <v>46188</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46188</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25098-2022</t>
        </is>
      </c>
      <c r="B70" s="1" t="n">
        <v>44729.44149305556</v>
      </c>
      <c r="C70" s="1" t="n">
        <v>46188</v>
      </c>
      <c r="D70" t="inlineStr">
        <is>
          <t>UPPSALA LÄN</t>
        </is>
      </c>
      <c r="E70" t="inlineStr">
        <is>
          <t>ÖSTHAMMAR</t>
        </is>
      </c>
      <c r="G70" t="n">
        <v>2.9</v>
      </c>
      <c r="H70" t="n">
        <v>2</v>
      </c>
      <c r="I70" t="n">
        <v>0</v>
      </c>
      <c r="J70" t="n">
        <v>0</v>
      </c>
      <c r="K70" t="n">
        <v>0</v>
      </c>
      <c r="L70" t="n">
        <v>0</v>
      </c>
      <c r="M70" t="n">
        <v>0</v>
      </c>
      <c r="N70" t="n">
        <v>0</v>
      </c>
      <c r="O70" t="n">
        <v>0</v>
      </c>
      <c r="P70" t="n">
        <v>0</v>
      </c>
      <c r="Q70" t="n">
        <v>2</v>
      </c>
      <c r="R70" s="2" t="inlineStr">
        <is>
          <t>Blåsippa
Gullviva</t>
        </is>
      </c>
      <c r="S70">
        <f>HYPERLINK("https://klasma.github.io/Logging_0382/artfynd/A 25098-2022 artfynd.xlsx", "A 25098-2022")</f>
        <v/>
      </c>
      <c r="T70">
        <f>HYPERLINK("https://klasma.github.io/Logging_0382/kartor/A 25098-2022 karta.png", "A 25098-2022")</f>
        <v/>
      </c>
      <c r="V70">
        <f>HYPERLINK("https://klasma.github.io/Logging_0382/klagomål/A 25098-2022 FSC-klagomål.docx", "A 25098-2022")</f>
        <v/>
      </c>
      <c r="W70">
        <f>HYPERLINK("https://klasma.github.io/Logging_0382/klagomålsmail/A 25098-2022 FSC-klagomål mail.docx", "A 25098-2022")</f>
        <v/>
      </c>
      <c r="X70">
        <f>HYPERLINK("https://klasma.github.io/Logging_0382/tillsyn/A 25098-2022 tillsynsbegäran.docx", "A 25098-2022")</f>
        <v/>
      </c>
      <c r="Y70">
        <f>HYPERLINK("https://klasma.github.io/Logging_0382/tillsynsmail/A 25098-2022 tillsynsbegäran mail.docx", "A 25098-2022")</f>
        <v/>
      </c>
    </row>
    <row r="71" ht="15" customHeight="1">
      <c r="A71" t="inlineStr">
        <is>
          <t>A 38442-2022</t>
        </is>
      </c>
      <c r="B71" s="1" t="n">
        <v>44813</v>
      </c>
      <c r="C71" s="1" t="n">
        <v>46188</v>
      </c>
      <c r="D71" t="inlineStr">
        <is>
          <t>UPPSALA LÄN</t>
        </is>
      </c>
      <c r="E71" t="inlineStr">
        <is>
          <t>ÖSTHAMMAR</t>
        </is>
      </c>
      <c r="F71" t="inlineStr">
        <is>
          <t>Kyrkan</t>
        </is>
      </c>
      <c r="G71" t="n">
        <v>2.9</v>
      </c>
      <c r="H71" t="n">
        <v>0</v>
      </c>
      <c r="I71" t="n">
        <v>0</v>
      </c>
      <c r="J71" t="n">
        <v>1</v>
      </c>
      <c r="K71" t="n">
        <v>0</v>
      </c>
      <c r="L71" t="n">
        <v>0</v>
      </c>
      <c r="M71" t="n">
        <v>0</v>
      </c>
      <c r="N71" t="n">
        <v>0</v>
      </c>
      <c r="O71" t="n">
        <v>1</v>
      </c>
      <c r="P71" t="n">
        <v>0</v>
      </c>
      <c r="Q71" t="n">
        <v>1</v>
      </c>
      <c r="R71" s="2" t="inlineStr">
        <is>
          <t>Slåtterfibbla</t>
        </is>
      </c>
      <c r="S71">
        <f>HYPERLINK("https://klasma.github.io/Logging_0382/artfynd/A 38442-2022 artfynd.xlsx", "A 38442-2022")</f>
        <v/>
      </c>
      <c r="T71">
        <f>HYPERLINK("https://klasma.github.io/Logging_0382/kartor/A 38442-2022 karta.png", "A 38442-2022")</f>
        <v/>
      </c>
      <c r="V71">
        <f>HYPERLINK("https://klasma.github.io/Logging_0382/klagomål/A 38442-2022 FSC-klagomål.docx", "A 38442-2022")</f>
        <v/>
      </c>
      <c r="W71">
        <f>HYPERLINK("https://klasma.github.io/Logging_0382/klagomålsmail/A 38442-2022 FSC-klagomål mail.docx", "A 38442-2022")</f>
        <v/>
      </c>
      <c r="X71">
        <f>HYPERLINK("https://klasma.github.io/Logging_0382/tillsyn/A 38442-2022 tillsynsbegäran.docx", "A 38442-2022")</f>
        <v/>
      </c>
      <c r="Y71">
        <f>HYPERLINK("https://klasma.github.io/Logging_0382/tillsynsmail/A 38442-2022 tillsynsbegäran mail.docx", "A 38442-2022")</f>
        <v/>
      </c>
    </row>
    <row r="72" ht="15" customHeight="1">
      <c r="A72" t="inlineStr">
        <is>
          <t>A 61536-2021</t>
        </is>
      </c>
      <c r="B72" s="1" t="n">
        <v>44501</v>
      </c>
      <c r="C72" s="1" t="n">
        <v>46188</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49871-2021</t>
        </is>
      </c>
      <c r="B73" s="1" t="n">
        <v>44455</v>
      </c>
      <c r="C73" s="1" t="n">
        <v>46188</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52651-2022</t>
        </is>
      </c>
      <c r="B74" s="1" t="n">
        <v>44874</v>
      </c>
      <c r="C74" s="1" t="n">
        <v>46188</v>
      </c>
      <c r="D74" t="inlineStr">
        <is>
          <t>UPPSALA LÄN</t>
        </is>
      </c>
      <c r="E74" t="inlineStr">
        <is>
          <t>ÖSTHAMMAR</t>
        </is>
      </c>
      <c r="F74" t="inlineStr">
        <is>
          <t>Bergvik skog öst AB</t>
        </is>
      </c>
      <c r="G74" t="n">
        <v>0.6</v>
      </c>
      <c r="H74" t="n">
        <v>1</v>
      </c>
      <c r="I74" t="n">
        <v>0</v>
      </c>
      <c r="J74" t="n">
        <v>1</v>
      </c>
      <c r="K74" t="n">
        <v>0</v>
      </c>
      <c r="L74" t="n">
        <v>0</v>
      </c>
      <c r="M74" t="n">
        <v>0</v>
      </c>
      <c r="N74" t="n">
        <v>0</v>
      </c>
      <c r="O74" t="n">
        <v>1</v>
      </c>
      <c r="P74" t="n">
        <v>0</v>
      </c>
      <c r="Q74" t="n">
        <v>1</v>
      </c>
      <c r="R74" s="2" t="inlineStr">
        <is>
          <t>Svartvit flugsnappare</t>
        </is>
      </c>
      <c r="S74">
        <f>HYPERLINK("https://klasma.github.io/Logging_0382/artfynd/A 52651-2022 artfynd.xlsx", "A 52651-2022")</f>
        <v/>
      </c>
      <c r="T74">
        <f>HYPERLINK("https://klasma.github.io/Logging_0382/kartor/A 52651-2022 karta.png", "A 52651-2022")</f>
        <v/>
      </c>
      <c r="V74">
        <f>HYPERLINK("https://klasma.github.io/Logging_0382/klagomål/A 52651-2022 FSC-klagomål.docx", "A 52651-2022")</f>
        <v/>
      </c>
      <c r="W74">
        <f>HYPERLINK("https://klasma.github.io/Logging_0382/klagomålsmail/A 52651-2022 FSC-klagomål mail.docx", "A 52651-2022")</f>
        <v/>
      </c>
      <c r="X74">
        <f>HYPERLINK("https://klasma.github.io/Logging_0382/tillsyn/A 52651-2022 tillsynsbegäran.docx", "A 52651-2022")</f>
        <v/>
      </c>
      <c r="Y74">
        <f>HYPERLINK("https://klasma.github.io/Logging_0382/tillsynsmail/A 52651-2022 tillsynsbegäran mail.docx", "A 52651-2022")</f>
        <v/>
      </c>
      <c r="Z74">
        <f>HYPERLINK("https://klasma.github.io/Logging_0382/fåglar/A 52651-2022 prioriterade fågelarter.docx", "A 52651-2022")</f>
        <v/>
      </c>
    </row>
    <row r="75" ht="15" customHeight="1">
      <c r="A75" t="inlineStr">
        <is>
          <t>A 41220-2025</t>
        </is>
      </c>
      <c r="B75" s="1" t="n">
        <v>45898.58630787037</v>
      </c>
      <c r="C75" s="1" t="n">
        <v>46188</v>
      </c>
      <c r="D75" t="inlineStr">
        <is>
          <t>UPPSALA LÄN</t>
        </is>
      </c>
      <c r="E75" t="inlineStr">
        <is>
          <t>ÖSTHAMMAR</t>
        </is>
      </c>
      <c r="F75" t="inlineStr">
        <is>
          <t>Bergvik skog öst AB</t>
        </is>
      </c>
      <c r="G75" t="n">
        <v>2.5</v>
      </c>
      <c r="H75" t="n">
        <v>1</v>
      </c>
      <c r="I75" t="n">
        <v>0</v>
      </c>
      <c r="J75" t="n">
        <v>1</v>
      </c>
      <c r="K75" t="n">
        <v>0</v>
      </c>
      <c r="L75" t="n">
        <v>0</v>
      </c>
      <c r="M75" t="n">
        <v>0</v>
      </c>
      <c r="N75" t="n">
        <v>0</v>
      </c>
      <c r="O75" t="n">
        <v>1</v>
      </c>
      <c r="P75" t="n">
        <v>0</v>
      </c>
      <c r="Q75" t="n">
        <v>1</v>
      </c>
      <c r="R75" s="2" t="inlineStr">
        <is>
          <t>Spillkråka</t>
        </is>
      </c>
      <c r="S75">
        <f>HYPERLINK("https://klasma.github.io/Logging_0382/artfynd/A 41220-2025 artfynd.xlsx", "A 41220-2025")</f>
        <v/>
      </c>
      <c r="T75">
        <f>HYPERLINK("https://klasma.github.io/Logging_0382/kartor/A 41220-2025 karta.png", "A 41220-2025")</f>
        <v/>
      </c>
      <c r="V75">
        <f>HYPERLINK("https://klasma.github.io/Logging_0382/klagomål/A 41220-2025 FSC-klagomål.docx", "A 41220-2025")</f>
        <v/>
      </c>
      <c r="W75">
        <f>HYPERLINK("https://klasma.github.io/Logging_0382/klagomålsmail/A 41220-2025 FSC-klagomål mail.docx", "A 41220-2025")</f>
        <v/>
      </c>
      <c r="X75">
        <f>HYPERLINK("https://klasma.github.io/Logging_0382/tillsyn/A 41220-2025 tillsynsbegäran.docx", "A 41220-2025")</f>
        <v/>
      </c>
      <c r="Y75">
        <f>HYPERLINK("https://klasma.github.io/Logging_0382/tillsynsmail/A 41220-2025 tillsynsbegäran mail.docx", "A 41220-2025")</f>
        <v/>
      </c>
      <c r="Z75">
        <f>HYPERLINK("https://klasma.github.io/Logging_0382/fåglar/A 41220-2025 prioriterade fågelarter.docx", "A 41220-2025")</f>
        <v/>
      </c>
    </row>
    <row r="76" ht="15" customHeight="1">
      <c r="A76" t="inlineStr">
        <is>
          <t>A 7446-2022</t>
        </is>
      </c>
      <c r="B76" s="1" t="n">
        <v>44606</v>
      </c>
      <c r="C76" s="1" t="n">
        <v>46188</v>
      </c>
      <c r="D76" t="inlineStr">
        <is>
          <t>UPPSALA LÄN</t>
        </is>
      </c>
      <c r="E76" t="inlineStr">
        <is>
          <t>ÖSTHAMMAR</t>
        </is>
      </c>
      <c r="G76" t="n">
        <v>5</v>
      </c>
      <c r="H76" t="n">
        <v>1</v>
      </c>
      <c r="I76" t="n">
        <v>0</v>
      </c>
      <c r="J76" t="n">
        <v>0</v>
      </c>
      <c r="K76" t="n">
        <v>0</v>
      </c>
      <c r="L76" t="n">
        <v>0</v>
      </c>
      <c r="M76" t="n">
        <v>0</v>
      </c>
      <c r="N76" t="n">
        <v>0</v>
      </c>
      <c r="O76" t="n">
        <v>0</v>
      </c>
      <c r="P76" t="n">
        <v>0</v>
      </c>
      <c r="Q76" t="n">
        <v>1</v>
      </c>
      <c r="R76" s="2" t="inlineStr">
        <is>
          <t>Mattlummer</t>
        </is>
      </c>
      <c r="S76">
        <f>HYPERLINK("https://klasma.github.io/Logging_0382/artfynd/A 7446-2022 artfynd.xlsx", "A 7446-2022")</f>
        <v/>
      </c>
      <c r="T76">
        <f>HYPERLINK("https://klasma.github.io/Logging_0382/kartor/A 7446-2022 karta.png", "A 7446-2022")</f>
        <v/>
      </c>
      <c r="V76">
        <f>HYPERLINK("https://klasma.github.io/Logging_0382/klagomål/A 7446-2022 FSC-klagomål.docx", "A 7446-2022")</f>
        <v/>
      </c>
      <c r="W76">
        <f>HYPERLINK("https://klasma.github.io/Logging_0382/klagomålsmail/A 7446-2022 FSC-klagomål mail.docx", "A 7446-2022")</f>
        <v/>
      </c>
      <c r="X76">
        <f>HYPERLINK("https://klasma.github.io/Logging_0382/tillsyn/A 7446-2022 tillsynsbegäran.docx", "A 7446-2022")</f>
        <v/>
      </c>
      <c r="Y76">
        <f>HYPERLINK("https://klasma.github.io/Logging_0382/tillsynsmail/A 7446-2022 tillsynsbegäran mail.docx", "A 7446-2022")</f>
        <v/>
      </c>
    </row>
    <row r="77" ht="15" customHeight="1">
      <c r="A77" t="inlineStr">
        <is>
          <t>A 63615-2021</t>
        </is>
      </c>
      <c r="B77" s="1" t="n">
        <v>44509</v>
      </c>
      <c r="C77" s="1" t="n">
        <v>46188</v>
      </c>
      <c r="D77" t="inlineStr">
        <is>
          <t>UPPSALA LÄN</t>
        </is>
      </c>
      <c r="E77" t="inlineStr">
        <is>
          <t>ÖSTHAMMAR</t>
        </is>
      </c>
      <c r="G77" t="n">
        <v>1.9</v>
      </c>
      <c r="H77" t="n">
        <v>0</v>
      </c>
      <c r="I77" t="n">
        <v>0</v>
      </c>
      <c r="J77" t="n">
        <v>1</v>
      </c>
      <c r="K77" t="n">
        <v>0</v>
      </c>
      <c r="L77" t="n">
        <v>0</v>
      </c>
      <c r="M77" t="n">
        <v>0</v>
      </c>
      <c r="N77" t="n">
        <v>0</v>
      </c>
      <c r="O77" t="n">
        <v>1</v>
      </c>
      <c r="P77" t="n">
        <v>0</v>
      </c>
      <c r="Q77" t="n">
        <v>1</v>
      </c>
      <c r="R77" s="2" t="inlineStr">
        <is>
          <t>Gul taggsvamp</t>
        </is>
      </c>
      <c r="S77">
        <f>HYPERLINK("https://klasma.github.io/Logging_0382/artfynd/A 63615-2021 artfynd.xlsx", "A 63615-2021")</f>
        <v/>
      </c>
      <c r="T77">
        <f>HYPERLINK("https://klasma.github.io/Logging_0382/kartor/A 63615-2021 karta.png", "A 63615-2021")</f>
        <v/>
      </c>
      <c r="V77">
        <f>HYPERLINK("https://klasma.github.io/Logging_0382/klagomål/A 63615-2021 FSC-klagomål.docx", "A 63615-2021")</f>
        <v/>
      </c>
      <c r="W77">
        <f>HYPERLINK("https://klasma.github.io/Logging_0382/klagomålsmail/A 63615-2021 FSC-klagomål mail.docx", "A 63615-2021")</f>
        <v/>
      </c>
      <c r="X77">
        <f>HYPERLINK("https://klasma.github.io/Logging_0382/tillsyn/A 63615-2021 tillsynsbegäran.docx", "A 63615-2021")</f>
        <v/>
      </c>
      <c r="Y77">
        <f>HYPERLINK("https://klasma.github.io/Logging_0382/tillsynsmail/A 63615-2021 tillsynsbegäran mail.docx", "A 63615-2021")</f>
        <v/>
      </c>
    </row>
    <row r="78" ht="15" customHeight="1">
      <c r="A78" t="inlineStr">
        <is>
          <t>A 14203-2024</t>
        </is>
      </c>
      <c r="B78" s="1" t="n">
        <v>45393</v>
      </c>
      <c r="C78" s="1" t="n">
        <v>46188</v>
      </c>
      <c r="D78" t="inlineStr">
        <is>
          <t>UPPSALA LÄN</t>
        </is>
      </c>
      <c r="E78" t="inlineStr">
        <is>
          <t>ÖSTHAMMAR</t>
        </is>
      </c>
      <c r="G78" t="n">
        <v>1.4</v>
      </c>
      <c r="H78" t="n">
        <v>0</v>
      </c>
      <c r="I78" t="n">
        <v>0</v>
      </c>
      <c r="J78" t="n">
        <v>1</v>
      </c>
      <c r="K78" t="n">
        <v>0</v>
      </c>
      <c r="L78" t="n">
        <v>0</v>
      </c>
      <c r="M78" t="n">
        <v>0</v>
      </c>
      <c r="N78" t="n">
        <v>0</v>
      </c>
      <c r="O78" t="n">
        <v>1</v>
      </c>
      <c r="P78" t="n">
        <v>0</v>
      </c>
      <c r="Q78" t="n">
        <v>1</v>
      </c>
      <c r="R78" s="2" t="inlineStr">
        <is>
          <t>Scharlakansvaxing</t>
        </is>
      </c>
      <c r="S78">
        <f>HYPERLINK("https://klasma.github.io/Logging_0382/artfynd/A 14203-2024 artfynd.xlsx", "A 14203-2024")</f>
        <v/>
      </c>
      <c r="T78">
        <f>HYPERLINK("https://klasma.github.io/Logging_0382/kartor/A 14203-2024 karta.png", "A 14203-2024")</f>
        <v/>
      </c>
      <c r="V78">
        <f>HYPERLINK("https://klasma.github.io/Logging_0382/klagomål/A 14203-2024 FSC-klagomål.docx", "A 14203-2024")</f>
        <v/>
      </c>
      <c r="W78">
        <f>HYPERLINK("https://klasma.github.io/Logging_0382/klagomålsmail/A 14203-2024 FSC-klagomål mail.docx", "A 14203-2024")</f>
        <v/>
      </c>
      <c r="X78">
        <f>HYPERLINK("https://klasma.github.io/Logging_0382/tillsyn/A 14203-2024 tillsynsbegäran.docx", "A 14203-2024")</f>
        <v/>
      </c>
      <c r="Y78">
        <f>HYPERLINK("https://klasma.github.io/Logging_0382/tillsynsmail/A 14203-2024 tillsynsbegäran mail.docx", "A 14203-2024")</f>
        <v/>
      </c>
    </row>
    <row r="79" ht="15" customHeight="1">
      <c r="A79" t="inlineStr">
        <is>
          <t>A 22287-2023</t>
        </is>
      </c>
      <c r="B79" s="1" t="n">
        <v>45070</v>
      </c>
      <c r="C79" s="1" t="n">
        <v>46188</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4714-2026</t>
        </is>
      </c>
      <c r="B80" s="1" t="n">
        <v>46048.46175925926</v>
      </c>
      <c r="C80" s="1" t="n">
        <v>46188</v>
      </c>
      <c r="D80" t="inlineStr">
        <is>
          <t>UPPSALA LÄN</t>
        </is>
      </c>
      <c r="E80" t="inlineStr">
        <is>
          <t>ÖSTHAMMAR</t>
        </is>
      </c>
      <c r="G80" t="n">
        <v>6.3</v>
      </c>
      <c r="H80" t="n">
        <v>1</v>
      </c>
      <c r="I80" t="n">
        <v>0</v>
      </c>
      <c r="J80" t="n">
        <v>1</v>
      </c>
      <c r="K80" t="n">
        <v>0</v>
      </c>
      <c r="L80" t="n">
        <v>0</v>
      </c>
      <c r="M80" t="n">
        <v>0</v>
      </c>
      <c r="N80" t="n">
        <v>0</v>
      </c>
      <c r="O80" t="n">
        <v>1</v>
      </c>
      <c r="P80" t="n">
        <v>0</v>
      </c>
      <c r="Q80" t="n">
        <v>1</v>
      </c>
      <c r="R80" s="2" t="inlineStr">
        <is>
          <t>Nordfladdermus</t>
        </is>
      </c>
      <c r="S80">
        <f>HYPERLINK("https://klasma.github.io/Logging_0382/artfynd/A 4714-2026 artfynd.xlsx", "A 4714-2026")</f>
        <v/>
      </c>
      <c r="T80">
        <f>HYPERLINK("https://klasma.github.io/Logging_0382/kartor/A 4714-2026 karta.png", "A 4714-2026")</f>
        <v/>
      </c>
      <c r="V80">
        <f>HYPERLINK("https://klasma.github.io/Logging_0382/klagomål/A 4714-2026 FSC-klagomål.docx", "A 4714-2026")</f>
        <v/>
      </c>
      <c r="W80">
        <f>HYPERLINK("https://klasma.github.io/Logging_0382/klagomålsmail/A 4714-2026 FSC-klagomål mail.docx", "A 4714-2026")</f>
        <v/>
      </c>
      <c r="X80">
        <f>HYPERLINK("https://klasma.github.io/Logging_0382/tillsyn/A 4714-2026 tillsynsbegäran.docx", "A 4714-2026")</f>
        <v/>
      </c>
      <c r="Y80">
        <f>HYPERLINK("https://klasma.github.io/Logging_0382/tillsynsmail/A 4714-2026 tillsynsbegäran mail.docx", "A 4714-2026")</f>
        <v/>
      </c>
    </row>
    <row r="81" ht="15" customHeight="1">
      <c r="A81" t="inlineStr">
        <is>
          <t>A 6507-2026</t>
        </is>
      </c>
      <c r="B81" s="1" t="n">
        <v>46056.38474537037</v>
      </c>
      <c r="C81" s="1" t="n">
        <v>46188</v>
      </c>
      <c r="D81" t="inlineStr">
        <is>
          <t>UPPSALA LÄN</t>
        </is>
      </c>
      <c r="E81" t="inlineStr">
        <is>
          <t>ÖSTHAMMAR</t>
        </is>
      </c>
      <c r="F81" t="inlineStr">
        <is>
          <t>Bergvik skog öst AB</t>
        </is>
      </c>
      <c r="G81" t="n">
        <v>1.5</v>
      </c>
      <c r="H81" t="n">
        <v>0</v>
      </c>
      <c r="I81" t="n">
        <v>1</v>
      </c>
      <c r="J81" t="n">
        <v>0</v>
      </c>
      <c r="K81" t="n">
        <v>0</v>
      </c>
      <c r="L81" t="n">
        <v>0</v>
      </c>
      <c r="M81" t="n">
        <v>0</v>
      </c>
      <c r="N81" t="n">
        <v>0</v>
      </c>
      <c r="O81" t="n">
        <v>0</v>
      </c>
      <c r="P81" t="n">
        <v>0</v>
      </c>
      <c r="Q81" t="n">
        <v>1</v>
      </c>
      <c r="R81" s="2" t="inlineStr">
        <is>
          <t>Tibast</t>
        </is>
      </c>
      <c r="S81">
        <f>HYPERLINK("https://klasma.github.io/Logging_0382/artfynd/A 6507-2026 artfynd.xlsx", "A 6507-2026")</f>
        <v/>
      </c>
      <c r="T81">
        <f>HYPERLINK("https://klasma.github.io/Logging_0382/kartor/A 6507-2026 karta.png", "A 6507-2026")</f>
        <v/>
      </c>
      <c r="V81">
        <f>HYPERLINK("https://klasma.github.io/Logging_0382/klagomål/A 6507-2026 FSC-klagomål.docx", "A 6507-2026")</f>
        <v/>
      </c>
      <c r="W81">
        <f>HYPERLINK("https://klasma.github.io/Logging_0382/klagomålsmail/A 6507-2026 FSC-klagomål mail.docx", "A 6507-2026")</f>
        <v/>
      </c>
      <c r="X81">
        <f>HYPERLINK("https://klasma.github.io/Logging_0382/tillsyn/A 6507-2026 tillsynsbegäran.docx", "A 6507-2026")</f>
        <v/>
      </c>
      <c r="Y81">
        <f>HYPERLINK("https://klasma.github.io/Logging_0382/tillsynsmail/A 6507-2026 tillsynsbegäran mail.docx", "A 6507-2026")</f>
        <v/>
      </c>
    </row>
    <row r="82" ht="15" customHeight="1">
      <c r="A82" t="inlineStr">
        <is>
          <t>A 46629-2024</t>
        </is>
      </c>
      <c r="B82" s="1" t="n">
        <v>45583.33221064815</v>
      </c>
      <c r="C82" s="1" t="n">
        <v>46188</v>
      </c>
      <c r="D82" t="inlineStr">
        <is>
          <t>UPPSALA LÄN</t>
        </is>
      </c>
      <c r="E82" t="inlineStr">
        <is>
          <t>ÖSTHAMMAR</t>
        </is>
      </c>
      <c r="F82" t="inlineStr">
        <is>
          <t>Bergvik skog öst AB</t>
        </is>
      </c>
      <c r="G82" t="n">
        <v>0.7</v>
      </c>
      <c r="H82" t="n">
        <v>0</v>
      </c>
      <c r="I82" t="n">
        <v>0</v>
      </c>
      <c r="J82" t="n">
        <v>1</v>
      </c>
      <c r="K82" t="n">
        <v>0</v>
      </c>
      <c r="L82" t="n">
        <v>0</v>
      </c>
      <c r="M82" t="n">
        <v>0</v>
      </c>
      <c r="N82" t="n">
        <v>0</v>
      </c>
      <c r="O82" t="n">
        <v>1</v>
      </c>
      <c r="P82" t="n">
        <v>0</v>
      </c>
      <c r="Q82" t="n">
        <v>1</v>
      </c>
      <c r="R82" s="2" t="inlineStr">
        <is>
          <t>Slåtterfibbla</t>
        </is>
      </c>
      <c r="S82">
        <f>HYPERLINK("https://klasma.github.io/Logging_0382/artfynd/A 46629-2024 artfynd.xlsx", "A 46629-2024")</f>
        <v/>
      </c>
      <c r="T82">
        <f>HYPERLINK("https://klasma.github.io/Logging_0382/kartor/A 46629-2024 karta.png", "A 46629-2024")</f>
        <v/>
      </c>
      <c r="V82">
        <f>HYPERLINK("https://klasma.github.io/Logging_0382/klagomål/A 46629-2024 FSC-klagomål.docx", "A 46629-2024")</f>
        <v/>
      </c>
      <c r="W82">
        <f>HYPERLINK("https://klasma.github.io/Logging_0382/klagomålsmail/A 46629-2024 FSC-klagomål mail.docx", "A 46629-2024")</f>
        <v/>
      </c>
      <c r="X82">
        <f>HYPERLINK("https://klasma.github.io/Logging_0382/tillsyn/A 46629-2024 tillsynsbegäran.docx", "A 46629-2024")</f>
        <v/>
      </c>
      <c r="Y82">
        <f>HYPERLINK("https://klasma.github.io/Logging_0382/tillsynsmail/A 46629-2024 tillsynsbegäran mail.docx", "A 46629-2024")</f>
        <v/>
      </c>
    </row>
    <row r="83" ht="15" customHeight="1">
      <c r="A83" t="inlineStr">
        <is>
          <t>A 7470-2022</t>
        </is>
      </c>
      <c r="B83" s="1" t="n">
        <v>44607</v>
      </c>
      <c r="C83" s="1" t="n">
        <v>46188</v>
      </c>
      <c r="D83" t="inlineStr">
        <is>
          <t>UPPSALA LÄN</t>
        </is>
      </c>
      <c r="E83" t="inlineStr">
        <is>
          <t>ÖSTHAMMAR</t>
        </is>
      </c>
      <c r="G83" t="n">
        <v>2.6</v>
      </c>
      <c r="H83" t="n">
        <v>1</v>
      </c>
      <c r="I83" t="n">
        <v>1</v>
      </c>
      <c r="J83" t="n">
        <v>0</v>
      </c>
      <c r="K83" t="n">
        <v>0</v>
      </c>
      <c r="L83" t="n">
        <v>0</v>
      </c>
      <c r="M83" t="n">
        <v>0</v>
      </c>
      <c r="N83" t="n">
        <v>0</v>
      </c>
      <c r="O83" t="n">
        <v>0</v>
      </c>
      <c r="P83" t="n">
        <v>0</v>
      </c>
      <c r="Q83" t="n">
        <v>1</v>
      </c>
      <c r="R83" s="2" t="inlineStr">
        <is>
          <t>Grön sköldmossa</t>
        </is>
      </c>
      <c r="S83">
        <f>HYPERLINK("https://klasma.github.io/Logging_0382/artfynd/A 7470-2022 artfynd.xlsx", "A 7470-2022")</f>
        <v/>
      </c>
      <c r="T83">
        <f>HYPERLINK("https://klasma.github.io/Logging_0382/kartor/A 7470-2022 karta.png", "A 7470-2022")</f>
        <v/>
      </c>
      <c r="V83">
        <f>HYPERLINK("https://klasma.github.io/Logging_0382/klagomål/A 7470-2022 FSC-klagomål.docx", "A 7470-2022")</f>
        <v/>
      </c>
      <c r="W83">
        <f>HYPERLINK("https://klasma.github.io/Logging_0382/klagomålsmail/A 7470-2022 FSC-klagomål mail.docx", "A 7470-2022")</f>
        <v/>
      </c>
      <c r="X83">
        <f>HYPERLINK("https://klasma.github.io/Logging_0382/tillsyn/A 7470-2022 tillsynsbegäran.docx", "A 7470-2022")</f>
        <v/>
      </c>
      <c r="Y83">
        <f>HYPERLINK("https://klasma.github.io/Logging_0382/tillsynsmail/A 7470-2022 tillsynsbegäran mail.docx", "A 7470-2022")</f>
        <v/>
      </c>
    </row>
    <row r="84" ht="15" customHeight="1">
      <c r="A84" t="inlineStr">
        <is>
          <t>A 15258-2026</t>
        </is>
      </c>
      <c r="B84" s="1" t="n">
        <v>46105.58886574074</v>
      </c>
      <c r="C84" s="1" t="n">
        <v>46188</v>
      </c>
      <c r="D84" t="inlineStr">
        <is>
          <t>UPPSALA LÄN</t>
        </is>
      </c>
      <c r="E84" t="inlineStr">
        <is>
          <t>ÖSTHAMMAR</t>
        </is>
      </c>
      <c r="F84" t="inlineStr">
        <is>
          <t>Övriga Aktiebolag</t>
        </is>
      </c>
      <c r="G84" t="n">
        <v>3.4</v>
      </c>
      <c r="H84" t="n">
        <v>0</v>
      </c>
      <c r="I84" t="n">
        <v>0</v>
      </c>
      <c r="J84" t="n">
        <v>1</v>
      </c>
      <c r="K84" t="n">
        <v>0</v>
      </c>
      <c r="L84" t="n">
        <v>0</v>
      </c>
      <c r="M84" t="n">
        <v>0</v>
      </c>
      <c r="N84" t="n">
        <v>0</v>
      </c>
      <c r="O84" t="n">
        <v>1</v>
      </c>
      <c r="P84" t="n">
        <v>0</v>
      </c>
      <c r="Q84" t="n">
        <v>1</v>
      </c>
      <c r="R84" s="2" t="inlineStr">
        <is>
          <t>Slåtterfibbla</t>
        </is>
      </c>
      <c r="S84">
        <f>HYPERLINK("https://klasma.github.io/Logging_0382/artfynd/A 15258-2026 artfynd.xlsx", "A 15258-2026")</f>
        <v/>
      </c>
      <c r="T84">
        <f>HYPERLINK("https://klasma.github.io/Logging_0382/kartor/A 15258-2026 karta.png", "A 15258-2026")</f>
        <v/>
      </c>
      <c r="V84">
        <f>HYPERLINK("https://klasma.github.io/Logging_0382/klagomål/A 15258-2026 FSC-klagomål.docx", "A 15258-2026")</f>
        <v/>
      </c>
      <c r="W84">
        <f>HYPERLINK("https://klasma.github.io/Logging_0382/klagomålsmail/A 15258-2026 FSC-klagomål mail.docx", "A 15258-2026")</f>
        <v/>
      </c>
      <c r="X84">
        <f>HYPERLINK("https://klasma.github.io/Logging_0382/tillsyn/A 15258-2026 tillsynsbegäran.docx", "A 15258-2026")</f>
        <v/>
      </c>
      <c r="Y84">
        <f>HYPERLINK("https://klasma.github.io/Logging_0382/tillsynsmail/A 15258-2026 tillsynsbegäran mail.docx", "A 15258-2026")</f>
        <v/>
      </c>
    </row>
    <row r="85" ht="15" customHeight="1">
      <c r="A85" t="inlineStr">
        <is>
          <t>A 15248-2026</t>
        </is>
      </c>
      <c r="B85" s="1" t="n">
        <v>46105.57002314815</v>
      </c>
      <c r="C85" s="1" t="n">
        <v>46188</v>
      </c>
      <c r="D85" t="inlineStr">
        <is>
          <t>UPPSALA LÄN</t>
        </is>
      </c>
      <c r="E85" t="inlineStr">
        <is>
          <t>ÖSTHAMMAR</t>
        </is>
      </c>
      <c r="F85" t="inlineStr">
        <is>
          <t>Övriga Aktiebolag</t>
        </is>
      </c>
      <c r="G85" t="n">
        <v>3.1</v>
      </c>
      <c r="H85" t="n">
        <v>1</v>
      </c>
      <c r="I85" t="n">
        <v>0</v>
      </c>
      <c r="J85" t="n">
        <v>0</v>
      </c>
      <c r="K85" t="n">
        <v>1</v>
      </c>
      <c r="L85" t="n">
        <v>0</v>
      </c>
      <c r="M85" t="n">
        <v>0</v>
      </c>
      <c r="N85" t="n">
        <v>0</v>
      </c>
      <c r="O85" t="n">
        <v>1</v>
      </c>
      <c r="P85" t="n">
        <v>1</v>
      </c>
      <c r="Q85" t="n">
        <v>1</v>
      </c>
      <c r="R85" s="2" t="inlineStr">
        <is>
          <t>Hällebräcka</t>
        </is>
      </c>
      <c r="S85">
        <f>HYPERLINK("https://klasma.github.io/Logging_0382/artfynd/A 15248-2026 artfynd.xlsx", "A 15248-2026")</f>
        <v/>
      </c>
      <c r="T85">
        <f>HYPERLINK("https://klasma.github.io/Logging_0382/kartor/A 15248-2026 karta.png", "A 15248-2026")</f>
        <v/>
      </c>
      <c r="V85">
        <f>HYPERLINK("https://klasma.github.io/Logging_0382/klagomål/A 15248-2026 FSC-klagomål.docx", "A 15248-2026")</f>
        <v/>
      </c>
      <c r="W85">
        <f>HYPERLINK("https://klasma.github.io/Logging_0382/klagomålsmail/A 15248-2026 FSC-klagomål mail.docx", "A 15248-2026")</f>
        <v/>
      </c>
      <c r="X85">
        <f>HYPERLINK("https://klasma.github.io/Logging_0382/tillsyn/A 15248-2026 tillsynsbegäran.docx", "A 15248-2026")</f>
        <v/>
      </c>
      <c r="Y85">
        <f>HYPERLINK("https://klasma.github.io/Logging_0382/tillsynsmail/A 15248-2026 tillsynsbegäran mail.docx", "A 15248-2026")</f>
        <v/>
      </c>
    </row>
    <row r="86" ht="15" customHeight="1">
      <c r="A86" t="inlineStr">
        <is>
          <t>A 22209-2022</t>
        </is>
      </c>
      <c r="B86" s="1" t="n">
        <v>44712</v>
      </c>
      <c r="C86" s="1" t="n">
        <v>46188</v>
      </c>
      <c r="D86" t="inlineStr">
        <is>
          <t>UPPSALA LÄN</t>
        </is>
      </c>
      <c r="E86" t="inlineStr">
        <is>
          <t>ÖSTHAMMAR</t>
        </is>
      </c>
      <c r="F86" t="inlineStr">
        <is>
          <t>Bergvik skog öst AB</t>
        </is>
      </c>
      <c r="G86" t="n">
        <v>1.5</v>
      </c>
      <c r="H86" t="n">
        <v>1</v>
      </c>
      <c r="I86" t="n">
        <v>0</v>
      </c>
      <c r="J86" t="n">
        <v>0</v>
      </c>
      <c r="K86" t="n">
        <v>0</v>
      </c>
      <c r="L86" t="n">
        <v>0</v>
      </c>
      <c r="M86" t="n">
        <v>0</v>
      </c>
      <c r="N86" t="n">
        <v>0</v>
      </c>
      <c r="O86" t="n">
        <v>0</v>
      </c>
      <c r="P86" t="n">
        <v>0</v>
      </c>
      <c r="Q86" t="n">
        <v>1</v>
      </c>
      <c r="R86" s="2" t="inlineStr">
        <is>
          <t>Blåsippa</t>
        </is>
      </c>
      <c r="S86">
        <f>HYPERLINK("https://klasma.github.io/Logging_0382/artfynd/A 22209-2022 artfynd.xlsx", "A 22209-2022")</f>
        <v/>
      </c>
      <c r="T86">
        <f>HYPERLINK("https://klasma.github.io/Logging_0382/kartor/A 22209-2022 karta.png", "A 22209-2022")</f>
        <v/>
      </c>
      <c r="V86">
        <f>HYPERLINK("https://klasma.github.io/Logging_0382/klagomål/A 22209-2022 FSC-klagomål.docx", "A 22209-2022")</f>
        <v/>
      </c>
      <c r="W86">
        <f>HYPERLINK("https://klasma.github.io/Logging_0382/klagomålsmail/A 22209-2022 FSC-klagomål mail.docx", "A 22209-2022")</f>
        <v/>
      </c>
      <c r="X86">
        <f>HYPERLINK("https://klasma.github.io/Logging_0382/tillsyn/A 22209-2022 tillsynsbegäran.docx", "A 22209-2022")</f>
        <v/>
      </c>
      <c r="Y86">
        <f>HYPERLINK("https://klasma.github.io/Logging_0382/tillsynsmail/A 22209-2022 tillsynsbegäran mail.docx", "A 22209-2022")</f>
        <v/>
      </c>
    </row>
    <row r="87" ht="15" customHeight="1">
      <c r="A87" t="inlineStr">
        <is>
          <t>A 12753-2024</t>
        </is>
      </c>
      <c r="B87" s="1" t="n">
        <v>45384</v>
      </c>
      <c r="C87" s="1" t="n">
        <v>46188</v>
      </c>
      <c r="D87" t="inlineStr">
        <is>
          <t>UPPSALA LÄN</t>
        </is>
      </c>
      <c r="E87" t="inlineStr">
        <is>
          <t>ÖSTHAMMAR</t>
        </is>
      </c>
      <c r="G87" t="n">
        <v>1.7</v>
      </c>
      <c r="H87" t="n">
        <v>0</v>
      </c>
      <c r="I87" t="n">
        <v>0</v>
      </c>
      <c r="J87" t="n">
        <v>1</v>
      </c>
      <c r="K87" t="n">
        <v>0</v>
      </c>
      <c r="L87" t="n">
        <v>0</v>
      </c>
      <c r="M87" t="n">
        <v>0</v>
      </c>
      <c r="N87" t="n">
        <v>0</v>
      </c>
      <c r="O87" t="n">
        <v>1</v>
      </c>
      <c r="P87" t="n">
        <v>0</v>
      </c>
      <c r="Q87" t="n">
        <v>1</v>
      </c>
      <c r="R87" s="2" t="inlineStr">
        <is>
          <t>Flattoppad klubbsvamp</t>
        </is>
      </c>
      <c r="S87">
        <f>HYPERLINK("https://klasma.github.io/Logging_0382/artfynd/A 12753-2024 artfynd.xlsx", "A 12753-2024")</f>
        <v/>
      </c>
      <c r="T87">
        <f>HYPERLINK("https://klasma.github.io/Logging_0382/kartor/A 12753-2024 karta.png", "A 12753-2024")</f>
        <v/>
      </c>
      <c r="V87">
        <f>HYPERLINK("https://klasma.github.io/Logging_0382/klagomål/A 12753-2024 FSC-klagomål.docx", "A 12753-2024")</f>
        <v/>
      </c>
      <c r="W87">
        <f>HYPERLINK("https://klasma.github.io/Logging_0382/klagomålsmail/A 12753-2024 FSC-klagomål mail.docx", "A 12753-2024")</f>
        <v/>
      </c>
      <c r="X87">
        <f>HYPERLINK("https://klasma.github.io/Logging_0382/tillsyn/A 12753-2024 tillsynsbegäran.docx", "A 12753-2024")</f>
        <v/>
      </c>
      <c r="Y87">
        <f>HYPERLINK("https://klasma.github.io/Logging_0382/tillsynsmail/A 12753-2024 tillsynsbegäran mail.docx", "A 12753-2024")</f>
        <v/>
      </c>
    </row>
    <row r="88" ht="15" customHeight="1">
      <c r="A88" t="inlineStr">
        <is>
          <t>A 24797-2022</t>
        </is>
      </c>
      <c r="B88" s="1" t="n">
        <v>44728</v>
      </c>
      <c r="C88" s="1" t="n">
        <v>46188</v>
      </c>
      <c r="D88" t="inlineStr">
        <is>
          <t>UPPSALA LÄN</t>
        </is>
      </c>
      <c r="E88" t="inlineStr">
        <is>
          <t>ÖSTHAMMAR</t>
        </is>
      </c>
      <c r="F88" t="inlineStr">
        <is>
          <t>Sveaskog</t>
        </is>
      </c>
      <c r="G88" t="n">
        <v>1.7</v>
      </c>
      <c r="H88" t="n">
        <v>1</v>
      </c>
      <c r="I88" t="n">
        <v>0</v>
      </c>
      <c r="J88" t="n">
        <v>1</v>
      </c>
      <c r="K88" t="n">
        <v>0</v>
      </c>
      <c r="L88" t="n">
        <v>0</v>
      </c>
      <c r="M88" t="n">
        <v>0</v>
      </c>
      <c r="N88" t="n">
        <v>0</v>
      </c>
      <c r="O88" t="n">
        <v>1</v>
      </c>
      <c r="P88" t="n">
        <v>0</v>
      </c>
      <c r="Q88" t="n">
        <v>1</v>
      </c>
      <c r="R88" s="2" t="inlineStr">
        <is>
          <t>Gulsparv</t>
        </is>
      </c>
      <c r="S88">
        <f>HYPERLINK("https://klasma.github.io/Logging_0382/artfynd/A 24797-2022 artfynd.xlsx", "A 24797-2022")</f>
        <v/>
      </c>
      <c r="T88">
        <f>HYPERLINK("https://klasma.github.io/Logging_0382/kartor/A 24797-2022 karta.png", "A 24797-2022")</f>
        <v/>
      </c>
      <c r="V88">
        <f>HYPERLINK("https://klasma.github.io/Logging_0382/klagomål/A 24797-2022 FSC-klagomål.docx", "A 24797-2022")</f>
        <v/>
      </c>
      <c r="W88">
        <f>HYPERLINK("https://klasma.github.io/Logging_0382/klagomålsmail/A 24797-2022 FSC-klagomål mail.docx", "A 24797-2022")</f>
        <v/>
      </c>
      <c r="X88">
        <f>HYPERLINK("https://klasma.github.io/Logging_0382/tillsyn/A 24797-2022 tillsynsbegäran.docx", "A 24797-2022")</f>
        <v/>
      </c>
      <c r="Y88">
        <f>HYPERLINK("https://klasma.github.io/Logging_0382/tillsynsmail/A 24797-2022 tillsynsbegäran mail.docx", "A 24797-2022")</f>
        <v/>
      </c>
      <c r="Z88">
        <f>HYPERLINK("https://klasma.github.io/Logging_0382/fåglar/A 24797-2022 prioriterade fågelarter.docx", "A 24797-2022")</f>
        <v/>
      </c>
    </row>
    <row r="89" ht="15" customHeight="1">
      <c r="A89" t="inlineStr">
        <is>
          <t>A 25179-2023</t>
        </is>
      </c>
      <c r="B89" s="1" t="n">
        <v>45078</v>
      </c>
      <c r="C89" s="1" t="n">
        <v>46188</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33800-2024</t>
        </is>
      </c>
      <c r="B90" s="1" t="n">
        <v>45520</v>
      </c>
      <c r="C90" s="1" t="n">
        <v>46188</v>
      </c>
      <c r="D90" t="inlineStr">
        <is>
          <t>UPPSALA LÄN</t>
        </is>
      </c>
      <c r="E90" t="inlineStr">
        <is>
          <t>ÖSTHAMMAR</t>
        </is>
      </c>
      <c r="F90" t="inlineStr">
        <is>
          <t>Naturvårdsverket</t>
        </is>
      </c>
      <c r="G90" t="n">
        <v>1.5</v>
      </c>
      <c r="H90" t="n">
        <v>1</v>
      </c>
      <c r="I90" t="n">
        <v>0</v>
      </c>
      <c r="J90" t="n">
        <v>0</v>
      </c>
      <c r="K90" t="n">
        <v>0</v>
      </c>
      <c r="L90" t="n">
        <v>0</v>
      </c>
      <c r="M90" t="n">
        <v>0</v>
      </c>
      <c r="N90" t="n">
        <v>0</v>
      </c>
      <c r="O90" t="n">
        <v>0</v>
      </c>
      <c r="P90" t="n">
        <v>0</v>
      </c>
      <c r="Q90" t="n">
        <v>1</v>
      </c>
      <c r="R90" s="2" t="inlineStr">
        <is>
          <t>Fläcknycklar</t>
        </is>
      </c>
      <c r="S90">
        <f>HYPERLINK("https://klasma.github.io/Logging_0382/artfynd/A 33800-2024 artfynd.xlsx", "A 33800-2024")</f>
        <v/>
      </c>
      <c r="T90">
        <f>HYPERLINK("https://klasma.github.io/Logging_0382/kartor/A 33800-2024 karta.png", "A 33800-2024")</f>
        <v/>
      </c>
      <c r="V90">
        <f>HYPERLINK("https://klasma.github.io/Logging_0382/klagomål/A 33800-2024 FSC-klagomål.docx", "A 33800-2024")</f>
        <v/>
      </c>
      <c r="W90">
        <f>HYPERLINK("https://klasma.github.io/Logging_0382/klagomålsmail/A 33800-2024 FSC-klagomål mail.docx", "A 33800-2024")</f>
        <v/>
      </c>
      <c r="X90">
        <f>HYPERLINK("https://klasma.github.io/Logging_0382/tillsyn/A 33800-2024 tillsynsbegäran.docx", "A 33800-2024")</f>
        <v/>
      </c>
      <c r="Y90">
        <f>HYPERLINK("https://klasma.github.io/Logging_0382/tillsynsmail/A 33800-2024 tillsynsbegäran mail.docx", "A 33800-2024")</f>
        <v/>
      </c>
    </row>
    <row r="91" ht="15" customHeight="1">
      <c r="A91" t="inlineStr">
        <is>
          <t>A 14706-2023</t>
        </is>
      </c>
      <c r="B91" s="1" t="n">
        <v>45013</v>
      </c>
      <c r="C91" s="1" t="n">
        <v>46188</v>
      </c>
      <c r="D91" t="inlineStr">
        <is>
          <t>UPPSALA LÄN</t>
        </is>
      </c>
      <c r="E91" t="inlineStr">
        <is>
          <t>ÖSTHAMMAR</t>
        </is>
      </c>
      <c r="G91" t="n">
        <v>0.9</v>
      </c>
      <c r="H91" t="n">
        <v>0</v>
      </c>
      <c r="I91" t="n">
        <v>1</v>
      </c>
      <c r="J91" t="n">
        <v>0</v>
      </c>
      <c r="K91" t="n">
        <v>0</v>
      </c>
      <c r="L91" t="n">
        <v>0</v>
      </c>
      <c r="M91" t="n">
        <v>0</v>
      </c>
      <c r="N91" t="n">
        <v>0</v>
      </c>
      <c r="O91" t="n">
        <v>0</v>
      </c>
      <c r="P91" t="n">
        <v>0</v>
      </c>
      <c r="Q91" t="n">
        <v>1</v>
      </c>
      <c r="R91" s="2" t="inlineStr">
        <is>
          <t>Olivspindling</t>
        </is>
      </c>
      <c r="S91">
        <f>HYPERLINK("https://klasma.github.io/Logging_0382/artfynd/A 14706-2023 artfynd.xlsx", "A 14706-2023")</f>
        <v/>
      </c>
      <c r="T91">
        <f>HYPERLINK("https://klasma.github.io/Logging_0382/kartor/A 14706-2023 karta.png", "A 14706-2023")</f>
        <v/>
      </c>
      <c r="V91">
        <f>HYPERLINK("https://klasma.github.io/Logging_0382/klagomål/A 14706-2023 FSC-klagomål.docx", "A 14706-2023")</f>
        <v/>
      </c>
      <c r="W91">
        <f>HYPERLINK("https://klasma.github.io/Logging_0382/klagomålsmail/A 14706-2023 FSC-klagomål mail.docx", "A 14706-2023")</f>
        <v/>
      </c>
      <c r="X91">
        <f>HYPERLINK("https://klasma.github.io/Logging_0382/tillsyn/A 14706-2023 tillsynsbegäran.docx", "A 14706-2023")</f>
        <v/>
      </c>
      <c r="Y91">
        <f>HYPERLINK("https://klasma.github.io/Logging_0382/tillsynsmail/A 14706-2023 tillsynsbegäran mail.docx", "A 14706-2023")</f>
        <v/>
      </c>
    </row>
    <row r="92" ht="15" customHeight="1">
      <c r="A92" t="inlineStr">
        <is>
          <t>A 1227-2022</t>
        </is>
      </c>
      <c r="B92" s="1" t="n">
        <v>44572.57641203704</v>
      </c>
      <c r="C92" s="1" t="n">
        <v>46188</v>
      </c>
      <c r="D92" t="inlineStr">
        <is>
          <t>UPPSALA LÄN</t>
        </is>
      </c>
      <c r="E92" t="inlineStr">
        <is>
          <t>ÖSTHAMMAR</t>
        </is>
      </c>
      <c r="G92" t="n">
        <v>1.7</v>
      </c>
      <c r="H92" t="n">
        <v>0</v>
      </c>
      <c r="I92" t="n">
        <v>1</v>
      </c>
      <c r="J92" t="n">
        <v>0</v>
      </c>
      <c r="K92" t="n">
        <v>0</v>
      </c>
      <c r="L92" t="n">
        <v>0</v>
      </c>
      <c r="M92" t="n">
        <v>0</v>
      </c>
      <c r="N92" t="n">
        <v>0</v>
      </c>
      <c r="O92" t="n">
        <v>0</v>
      </c>
      <c r="P92" t="n">
        <v>0</v>
      </c>
      <c r="Q92" t="n">
        <v>1</v>
      </c>
      <c r="R92" s="2" t="inlineStr">
        <is>
          <t>Guldkremla</t>
        </is>
      </c>
      <c r="S92">
        <f>HYPERLINK("https://klasma.github.io/Logging_0382/artfynd/A 1227-2022 artfynd.xlsx", "A 1227-2022")</f>
        <v/>
      </c>
      <c r="T92">
        <f>HYPERLINK("https://klasma.github.io/Logging_0382/kartor/A 1227-2022 karta.png", "A 1227-2022")</f>
        <v/>
      </c>
      <c r="V92">
        <f>HYPERLINK("https://klasma.github.io/Logging_0382/klagomål/A 1227-2022 FSC-klagomål.docx", "A 1227-2022")</f>
        <v/>
      </c>
      <c r="W92">
        <f>HYPERLINK("https://klasma.github.io/Logging_0382/klagomålsmail/A 1227-2022 FSC-klagomål mail.docx", "A 1227-2022")</f>
        <v/>
      </c>
      <c r="X92">
        <f>HYPERLINK("https://klasma.github.io/Logging_0382/tillsyn/A 1227-2022 tillsynsbegäran.docx", "A 1227-2022")</f>
        <v/>
      </c>
      <c r="Y92">
        <f>HYPERLINK("https://klasma.github.io/Logging_0382/tillsynsmail/A 1227-2022 tillsynsbegäran mail.docx", "A 1227-2022")</f>
        <v/>
      </c>
    </row>
    <row r="93" ht="15" customHeight="1">
      <c r="A93" t="inlineStr">
        <is>
          <t>A 34090-2023</t>
        </is>
      </c>
      <c r="B93" s="1" t="n">
        <v>45135</v>
      </c>
      <c r="C93" s="1" t="n">
        <v>46188</v>
      </c>
      <c r="D93" t="inlineStr">
        <is>
          <t>UPPSALA LÄN</t>
        </is>
      </c>
      <c r="E93" t="inlineStr">
        <is>
          <t>ÖSTHAMMAR</t>
        </is>
      </c>
      <c r="F93" t="inlineStr">
        <is>
          <t>Bergvik skog öst AB</t>
        </is>
      </c>
      <c r="G93" t="n">
        <v>5.7</v>
      </c>
      <c r="H93" t="n">
        <v>1</v>
      </c>
      <c r="I93" t="n">
        <v>0</v>
      </c>
      <c r="J93" t="n">
        <v>1</v>
      </c>
      <c r="K93" t="n">
        <v>0</v>
      </c>
      <c r="L93" t="n">
        <v>0</v>
      </c>
      <c r="M93" t="n">
        <v>0</v>
      </c>
      <c r="N93" t="n">
        <v>0</v>
      </c>
      <c r="O93" t="n">
        <v>1</v>
      </c>
      <c r="P93" t="n">
        <v>0</v>
      </c>
      <c r="Q93" t="n">
        <v>1</v>
      </c>
      <c r="R93" s="2" t="inlineStr">
        <is>
          <t>Spillkråka</t>
        </is>
      </c>
      <c r="S93">
        <f>HYPERLINK("https://klasma.github.io/Logging_0382/artfynd/A 34090-2023 artfynd.xlsx", "A 34090-2023")</f>
        <v/>
      </c>
      <c r="T93">
        <f>HYPERLINK("https://klasma.github.io/Logging_0382/kartor/A 34090-2023 karta.png", "A 34090-2023")</f>
        <v/>
      </c>
      <c r="V93">
        <f>HYPERLINK("https://klasma.github.io/Logging_0382/klagomål/A 34090-2023 FSC-klagomål.docx", "A 34090-2023")</f>
        <v/>
      </c>
      <c r="W93">
        <f>HYPERLINK("https://klasma.github.io/Logging_0382/klagomålsmail/A 34090-2023 FSC-klagomål mail.docx", "A 34090-2023")</f>
        <v/>
      </c>
      <c r="X93">
        <f>HYPERLINK("https://klasma.github.io/Logging_0382/tillsyn/A 34090-2023 tillsynsbegäran.docx", "A 34090-2023")</f>
        <v/>
      </c>
      <c r="Y93">
        <f>HYPERLINK("https://klasma.github.io/Logging_0382/tillsynsmail/A 34090-2023 tillsynsbegäran mail.docx", "A 34090-2023")</f>
        <v/>
      </c>
      <c r="Z93">
        <f>HYPERLINK("https://klasma.github.io/Logging_0382/fåglar/A 34090-2023 prioriterade fågelarter.docx", "A 34090-2023")</f>
        <v/>
      </c>
    </row>
    <row r="94" ht="15" customHeight="1">
      <c r="A94" t="inlineStr">
        <is>
          <t>A 11017-2023</t>
        </is>
      </c>
      <c r="B94" s="1" t="n">
        <v>44991</v>
      </c>
      <c r="C94" s="1" t="n">
        <v>46188</v>
      </c>
      <c r="D94" t="inlineStr">
        <is>
          <t>UPPSALA LÄN</t>
        </is>
      </c>
      <c r="E94" t="inlineStr">
        <is>
          <t>ÖSTHAMMAR</t>
        </is>
      </c>
      <c r="G94" t="n">
        <v>1.9</v>
      </c>
      <c r="H94" t="n">
        <v>1</v>
      </c>
      <c r="I94" t="n">
        <v>0</v>
      </c>
      <c r="J94" t="n">
        <v>1</v>
      </c>
      <c r="K94" t="n">
        <v>0</v>
      </c>
      <c r="L94" t="n">
        <v>0</v>
      </c>
      <c r="M94" t="n">
        <v>0</v>
      </c>
      <c r="N94" t="n">
        <v>0</v>
      </c>
      <c r="O94" t="n">
        <v>1</v>
      </c>
      <c r="P94" t="n">
        <v>0</v>
      </c>
      <c r="Q94" t="n">
        <v>1</v>
      </c>
      <c r="R94" s="2" t="inlineStr">
        <is>
          <t>Kornknarr</t>
        </is>
      </c>
      <c r="S94">
        <f>HYPERLINK("https://klasma.github.io/Logging_0382/artfynd/A 11017-2023 artfynd.xlsx", "A 11017-2023")</f>
        <v/>
      </c>
      <c r="T94">
        <f>HYPERLINK("https://klasma.github.io/Logging_0382/kartor/A 11017-2023 karta.png", "A 11017-2023")</f>
        <v/>
      </c>
      <c r="V94">
        <f>HYPERLINK("https://klasma.github.io/Logging_0382/klagomål/A 11017-2023 FSC-klagomål.docx", "A 11017-2023")</f>
        <v/>
      </c>
      <c r="W94">
        <f>HYPERLINK("https://klasma.github.io/Logging_0382/klagomålsmail/A 11017-2023 FSC-klagomål mail.docx", "A 11017-2023")</f>
        <v/>
      </c>
      <c r="X94">
        <f>HYPERLINK("https://klasma.github.io/Logging_0382/tillsyn/A 11017-2023 tillsynsbegäran.docx", "A 11017-2023")</f>
        <v/>
      </c>
      <c r="Y94">
        <f>HYPERLINK("https://klasma.github.io/Logging_0382/tillsynsmail/A 11017-2023 tillsynsbegäran mail.docx", "A 11017-2023")</f>
        <v/>
      </c>
    </row>
    <row r="95" ht="15" customHeight="1">
      <c r="A95" t="inlineStr">
        <is>
          <t>A 52818-2022</t>
        </is>
      </c>
      <c r="B95" s="1" t="n">
        <v>44875</v>
      </c>
      <c r="C95" s="1" t="n">
        <v>46188</v>
      </c>
      <c r="D95" t="inlineStr">
        <is>
          <t>UPPSALA LÄN</t>
        </is>
      </c>
      <c r="E95" t="inlineStr">
        <is>
          <t>ÖSTHAMMAR</t>
        </is>
      </c>
      <c r="G95" t="n">
        <v>0.9</v>
      </c>
      <c r="H95" t="n">
        <v>1</v>
      </c>
      <c r="I95" t="n">
        <v>1</v>
      </c>
      <c r="J95" t="n">
        <v>0</v>
      </c>
      <c r="K95" t="n">
        <v>0</v>
      </c>
      <c r="L95" t="n">
        <v>0</v>
      </c>
      <c r="M95" t="n">
        <v>0</v>
      </c>
      <c r="N95" t="n">
        <v>0</v>
      </c>
      <c r="O95" t="n">
        <v>0</v>
      </c>
      <c r="P95" t="n">
        <v>0</v>
      </c>
      <c r="Q95" t="n">
        <v>1</v>
      </c>
      <c r="R95" s="2" t="inlineStr">
        <is>
          <t>Guckusko</t>
        </is>
      </c>
      <c r="S95">
        <f>HYPERLINK("https://klasma.github.io/Logging_0382/artfynd/A 52818-2022 artfynd.xlsx", "A 52818-2022")</f>
        <v/>
      </c>
      <c r="T95">
        <f>HYPERLINK("https://klasma.github.io/Logging_0382/kartor/A 52818-2022 karta.png", "A 52818-2022")</f>
        <v/>
      </c>
      <c r="V95">
        <f>HYPERLINK("https://klasma.github.io/Logging_0382/klagomål/A 52818-2022 FSC-klagomål.docx", "A 52818-2022")</f>
        <v/>
      </c>
      <c r="W95">
        <f>HYPERLINK("https://klasma.github.io/Logging_0382/klagomålsmail/A 52818-2022 FSC-klagomål mail.docx", "A 52818-2022")</f>
        <v/>
      </c>
      <c r="X95">
        <f>HYPERLINK("https://klasma.github.io/Logging_0382/tillsyn/A 52818-2022 tillsynsbegäran.docx", "A 52818-2022")</f>
        <v/>
      </c>
      <c r="Y95">
        <f>HYPERLINK("https://klasma.github.io/Logging_0382/tillsynsmail/A 52818-2022 tillsynsbegäran mail.docx", "A 52818-2022")</f>
        <v/>
      </c>
    </row>
    <row r="96" ht="15" customHeight="1">
      <c r="A96" t="inlineStr">
        <is>
          <t>A 37296-2023</t>
        </is>
      </c>
      <c r="B96" s="1" t="n">
        <v>45156</v>
      </c>
      <c r="C96" s="1" t="n">
        <v>46188</v>
      </c>
      <c r="D96" t="inlineStr">
        <is>
          <t>UPPSALA LÄN</t>
        </is>
      </c>
      <c r="E96" t="inlineStr">
        <is>
          <t>ÖSTHAMMAR</t>
        </is>
      </c>
      <c r="G96" t="n">
        <v>4.7</v>
      </c>
      <c r="H96" t="n">
        <v>1</v>
      </c>
      <c r="I96" t="n">
        <v>0</v>
      </c>
      <c r="J96" t="n">
        <v>0</v>
      </c>
      <c r="K96" t="n">
        <v>1</v>
      </c>
      <c r="L96" t="n">
        <v>0</v>
      </c>
      <c r="M96" t="n">
        <v>0</v>
      </c>
      <c r="N96" t="n">
        <v>0</v>
      </c>
      <c r="O96" t="n">
        <v>1</v>
      </c>
      <c r="P96" t="n">
        <v>1</v>
      </c>
      <c r="Q96" t="n">
        <v>1</v>
      </c>
      <c r="R96" s="2" t="inlineStr">
        <is>
          <t>Backsippa</t>
        </is>
      </c>
      <c r="S96">
        <f>HYPERLINK("https://klasma.github.io/Logging_0382/artfynd/A 37296-2023 artfynd.xlsx", "A 37296-2023")</f>
        <v/>
      </c>
      <c r="T96">
        <f>HYPERLINK("https://klasma.github.io/Logging_0382/kartor/A 37296-2023 karta.png", "A 37296-2023")</f>
        <v/>
      </c>
      <c r="V96">
        <f>HYPERLINK("https://klasma.github.io/Logging_0382/klagomål/A 37296-2023 FSC-klagomål.docx", "A 37296-2023")</f>
        <v/>
      </c>
      <c r="W96">
        <f>HYPERLINK("https://klasma.github.io/Logging_0382/klagomålsmail/A 37296-2023 FSC-klagomål mail.docx", "A 37296-2023")</f>
        <v/>
      </c>
      <c r="X96">
        <f>HYPERLINK("https://klasma.github.io/Logging_0382/tillsyn/A 37296-2023 tillsynsbegäran.docx", "A 37296-2023")</f>
        <v/>
      </c>
      <c r="Y96">
        <f>HYPERLINK("https://klasma.github.io/Logging_0382/tillsynsmail/A 37296-2023 tillsynsbegäran mail.docx", "A 37296-2023")</f>
        <v/>
      </c>
    </row>
    <row r="97" ht="15" customHeight="1">
      <c r="A97" t="inlineStr">
        <is>
          <t>A 30605-2025</t>
        </is>
      </c>
      <c r="B97" s="1" t="n">
        <v>45831.45510416666</v>
      </c>
      <c r="C97" s="1" t="n">
        <v>46188</v>
      </c>
      <c r="D97" t="inlineStr">
        <is>
          <t>UPPSALA LÄN</t>
        </is>
      </c>
      <c r="E97" t="inlineStr">
        <is>
          <t>ÖSTHAMMAR</t>
        </is>
      </c>
      <c r="G97" t="n">
        <v>1.7</v>
      </c>
      <c r="H97" t="n">
        <v>0</v>
      </c>
      <c r="I97" t="n">
        <v>0</v>
      </c>
      <c r="J97" t="n">
        <v>0</v>
      </c>
      <c r="K97" t="n">
        <v>1</v>
      </c>
      <c r="L97" t="n">
        <v>0</v>
      </c>
      <c r="M97" t="n">
        <v>0</v>
      </c>
      <c r="N97" t="n">
        <v>0</v>
      </c>
      <c r="O97" t="n">
        <v>1</v>
      </c>
      <c r="P97" t="n">
        <v>1</v>
      </c>
      <c r="Q97" t="n">
        <v>1</v>
      </c>
      <c r="R97" s="2" t="inlineStr">
        <is>
          <t>Plattsäv</t>
        </is>
      </c>
      <c r="S97">
        <f>HYPERLINK("https://klasma.github.io/Logging_0382/artfynd/A 30605-2025 artfynd.xlsx", "A 30605-2025")</f>
        <v/>
      </c>
      <c r="T97">
        <f>HYPERLINK("https://klasma.github.io/Logging_0382/kartor/A 30605-2025 karta.png", "A 30605-2025")</f>
        <v/>
      </c>
      <c r="V97">
        <f>HYPERLINK("https://klasma.github.io/Logging_0382/klagomål/A 30605-2025 FSC-klagomål.docx", "A 30605-2025")</f>
        <v/>
      </c>
      <c r="W97">
        <f>HYPERLINK("https://klasma.github.io/Logging_0382/klagomålsmail/A 30605-2025 FSC-klagomål mail.docx", "A 30605-2025")</f>
        <v/>
      </c>
      <c r="X97">
        <f>HYPERLINK("https://klasma.github.io/Logging_0382/tillsyn/A 30605-2025 tillsynsbegäran.docx", "A 30605-2025")</f>
        <v/>
      </c>
      <c r="Y97">
        <f>HYPERLINK("https://klasma.github.io/Logging_0382/tillsynsmail/A 30605-2025 tillsynsbegäran mail.docx", "A 30605-2025")</f>
        <v/>
      </c>
    </row>
    <row r="98" ht="15" customHeight="1">
      <c r="A98" t="inlineStr">
        <is>
          <t>A 10034-2023</t>
        </is>
      </c>
      <c r="B98" s="1" t="n">
        <v>44985</v>
      </c>
      <c r="C98" s="1" t="n">
        <v>46188</v>
      </c>
      <c r="D98" t="inlineStr">
        <is>
          <t>UPPSALA LÄN</t>
        </is>
      </c>
      <c r="E98" t="inlineStr">
        <is>
          <t>ÖSTHAMMAR</t>
        </is>
      </c>
      <c r="G98" t="n">
        <v>2.1</v>
      </c>
      <c r="H98" t="n">
        <v>1</v>
      </c>
      <c r="I98" t="n">
        <v>0</v>
      </c>
      <c r="J98" t="n">
        <v>0</v>
      </c>
      <c r="K98" t="n">
        <v>0</v>
      </c>
      <c r="L98" t="n">
        <v>0</v>
      </c>
      <c r="M98" t="n">
        <v>0</v>
      </c>
      <c r="N98" t="n">
        <v>0</v>
      </c>
      <c r="O98" t="n">
        <v>0</v>
      </c>
      <c r="P98" t="n">
        <v>0</v>
      </c>
      <c r="Q98" t="n">
        <v>1</v>
      </c>
      <c r="R98" s="2" t="inlineStr">
        <is>
          <t>Blåsippa</t>
        </is>
      </c>
      <c r="S98">
        <f>HYPERLINK("https://klasma.github.io/Logging_0382/artfynd/A 10034-2023 artfynd.xlsx", "A 10034-2023")</f>
        <v/>
      </c>
      <c r="T98">
        <f>HYPERLINK("https://klasma.github.io/Logging_0382/kartor/A 10034-2023 karta.png", "A 10034-2023")</f>
        <v/>
      </c>
      <c r="V98">
        <f>HYPERLINK("https://klasma.github.io/Logging_0382/klagomål/A 10034-2023 FSC-klagomål.docx", "A 10034-2023")</f>
        <v/>
      </c>
      <c r="W98">
        <f>HYPERLINK("https://klasma.github.io/Logging_0382/klagomålsmail/A 10034-2023 FSC-klagomål mail.docx", "A 10034-2023")</f>
        <v/>
      </c>
      <c r="X98">
        <f>HYPERLINK("https://klasma.github.io/Logging_0382/tillsyn/A 10034-2023 tillsynsbegäran.docx", "A 10034-2023")</f>
        <v/>
      </c>
      <c r="Y98">
        <f>HYPERLINK("https://klasma.github.io/Logging_0382/tillsynsmail/A 10034-2023 tillsynsbegäran mail.docx", "A 10034-2023")</f>
        <v/>
      </c>
    </row>
    <row r="99" ht="15" customHeight="1">
      <c r="A99" t="inlineStr">
        <is>
          <t>A 20396-2026</t>
        </is>
      </c>
      <c r="B99" s="1" t="n">
        <v>46139.75104166667</v>
      </c>
      <c r="C99" s="1" t="n">
        <v>46188</v>
      </c>
      <c r="D99" t="inlineStr">
        <is>
          <t>UPPSALA LÄN</t>
        </is>
      </c>
      <c r="E99" t="inlineStr">
        <is>
          <t>ÖSTHAMMAR</t>
        </is>
      </c>
      <c r="G99" t="n">
        <v>1.4</v>
      </c>
      <c r="H99" t="n">
        <v>1</v>
      </c>
      <c r="I99" t="n">
        <v>0</v>
      </c>
      <c r="J99" t="n">
        <v>0</v>
      </c>
      <c r="K99" t="n">
        <v>0</v>
      </c>
      <c r="L99" t="n">
        <v>0</v>
      </c>
      <c r="M99" t="n">
        <v>0</v>
      </c>
      <c r="N99" t="n">
        <v>0</v>
      </c>
      <c r="O99" t="n">
        <v>0</v>
      </c>
      <c r="P99" t="n">
        <v>0</v>
      </c>
      <c r="Q99" t="n">
        <v>1</v>
      </c>
      <c r="R99" s="2" t="inlineStr">
        <is>
          <t>Bivråk</t>
        </is>
      </c>
      <c r="S99">
        <f>HYPERLINK("https://klasma.github.io/Logging_0382/artfynd/A 20396-2026 artfynd.xlsx", "A 20396-2026")</f>
        <v/>
      </c>
      <c r="T99">
        <f>HYPERLINK("https://klasma.github.io/Logging_0382/kartor/A 20396-2026 karta.png", "A 20396-2026")</f>
        <v/>
      </c>
      <c r="V99">
        <f>HYPERLINK("https://klasma.github.io/Logging_0382/klagomål/A 20396-2026 FSC-klagomål.docx", "A 20396-2026")</f>
        <v/>
      </c>
      <c r="W99">
        <f>HYPERLINK("https://klasma.github.io/Logging_0382/klagomålsmail/A 20396-2026 FSC-klagomål mail.docx", "A 20396-2026")</f>
        <v/>
      </c>
      <c r="X99">
        <f>HYPERLINK("https://klasma.github.io/Logging_0382/tillsyn/A 20396-2026 tillsynsbegäran.docx", "A 20396-2026")</f>
        <v/>
      </c>
      <c r="Y99">
        <f>HYPERLINK("https://klasma.github.io/Logging_0382/tillsynsmail/A 20396-2026 tillsynsbegäran mail.docx", "A 20396-2026")</f>
        <v/>
      </c>
      <c r="Z99">
        <f>HYPERLINK("https://klasma.github.io/Logging_0382/fåglar/A 20396-2026 prioriterade fågelarter.docx", "A 20396-2026")</f>
        <v/>
      </c>
    </row>
    <row r="100" ht="15" customHeight="1">
      <c r="A100" t="inlineStr">
        <is>
          <t>A 26552-2026</t>
        </is>
      </c>
      <c r="B100" s="1" t="n">
        <v>46183.63505787037</v>
      </c>
      <c r="C100" s="1" t="n">
        <v>46188</v>
      </c>
      <c r="D100" t="inlineStr">
        <is>
          <t>UPPSALA LÄN</t>
        </is>
      </c>
      <c r="E100" t="inlineStr">
        <is>
          <t>ÖSTHAMMAR</t>
        </is>
      </c>
      <c r="F100" t="inlineStr">
        <is>
          <t>Sveaskog</t>
        </is>
      </c>
      <c r="G100" t="n">
        <v>3.2</v>
      </c>
      <c r="H100" t="n">
        <v>0</v>
      </c>
      <c r="I100" t="n">
        <v>1</v>
      </c>
      <c r="J100" t="n">
        <v>0</v>
      </c>
      <c r="K100" t="n">
        <v>0</v>
      </c>
      <c r="L100" t="n">
        <v>0</v>
      </c>
      <c r="M100" t="n">
        <v>0</v>
      </c>
      <c r="N100" t="n">
        <v>0</v>
      </c>
      <c r="O100" t="n">
        <v>0</v>
      </c>
      <c r="P100" t="n">
        <v>0</v>
      </c>
      <c r="Q100" t="n">
        <v>1</v>
      </c>
      <c r="R100" s="2" t="inlineStr">
        <is>
          <t>Tibast</t>
        </is>
      </c>
      <c r="S100">
        <f>HYPERLINK("https://klasma.github.io/Logging_0382/artfynd/A 26552-2026 artfynd.xlsx", "A 26552-2026")</f>
        <v/>
      </c>
      <c r="T100">
        <f>HYPERLINK("https://klasma.github.io/Logging_0382/kartor/A 26552-2026 karta.png", "A 26552-2026")</f>
        <v/>
      </c>
      <c r="V100">
        <f>HYPERLINK("https://klasma.github.io/Logging_0382/klagomål/A 26552-2026 FSC-klagomål.docx", "A 26552-2026")</f>
        <v/>
      </c>
      <c r="W100">
        <f>HYPERLINK("https://klasma.github.io/Logging_0382/klagomålsmail/A 26552-2026 FSC-klagomål mail.docx", "A 26552-2026")</f>
        <v/>
      </c>
      <c r="X100">
        <f>HYPERLINK("https://klasma.github.io/Logging_0382/tillsyn/A 26552-2026 tillsynsbegäran.docx", "A 26552-2026")</f>
        <v/>
      </c>
      <c r="Y100">
        <f>HYPERLINK("https://klasma.github.io/Logging_0382/tillsynsmail/A 26552-2026 tillsynsbegäran mail.docx", "A 26552-2026")</f>
        <v/>
      </c>
    </row>
    <row r="101" ht="15" customHeight="1">
      <c r="A101" t="inlineStr">
        <is>
          <t>A 61574-2025</t>
        </is>
      </c>
      <c r="B101" s="1" t="n">
        <v>46002</v>
      </c>
      <c r="C101" s="1" t="n">
        <v>46188</v>
      </c>
      <c r="D101" t="inlineStr">
        <is>
          <t>UPPSALA LÄN</t>
        </is>
      </c>
      <c r="E101" t="inlineStr">
        <is>
          <t>ÖSTHAMMAR</t>
        </is>
      </c>
      <c r="F101" t="inlineStr">
        <is>
          <t>Övriga Aktiebolag</t>
        </is>
      </c>
      <c r="G101" t="n">
        <v>16.6</v>
      </c>
      <c r="H101" t="n">
        <v>1</v>
      </c>
      <c r="I101" t="n">
        <v>0</v>
      </c>
      <c r="J101" t="n">
        <v>0</v>
      </c>
      <c r="K101" t="n">
        <v>1</v>
      </c>
      <c r="L101" t="n">
        <v>0</v>
      </c>
      <c r="M101" t="n">
        <v>0</v>
      </c>
      <c r="N101" t="n">
        <v>0</v>
      </c>
      <c r="O101" t="n">
        <v>1</v>
      </c>
      <c r="P101" t="n">
        <v>1</v>
      </c>
      <c r="Q101" t="n">
        <v>1</v>
      </c>
      <c r="R101" s="2" t="inlineStr">
        <is>
          <t>Hällebräcka</t>
        </is>
      </c>
      <c r="S101">
        <f>HYPERLINK("https://klasma.github.io/Logging_0382/artfynd/A 61574-2025 artfynd.xlsx", "A 61574-2025")</f>
        <v/>
      </c>
      <c r="T101">
        <f>HYPERLINK("https://klasma.github.io/Logging_0382/kartor/A 61574-2025 karta.png", "A 61574-2025")</f>
        <v/>
      </c>
      <c r="V101">
        <f>HYPERLINK("https://klasma.github.io/Logging_0382/klagomål/A 61574-2025 FSC-klagomål.docx", "A 61574-2025")</f>
        <v/>
      </c>
      <c r="W101">
        <f>HYPERLINK("https://klasma.github.io/Logging_0382/klagomålsmail/A 61574-2025 FSC-klagomål mail.docx", "A 61574-2025")</f>
        <v/>
      </c>
      <c r="X101">
        <f>HYPERLINK("https://klasma.github.io/Logging_0382/tillsyn/A 61574-2025 tillsynsbegäran.docx", "A 61574-2025")</f>
        <v/>
      </c>
      <c r="Y101">
        <f>HYPERLINK("https://klasma.github.io/Logging_0382/tillsynsmail/A 61574-2025 tillsynsbegäran mail.docx", "A 61574-2025")</f>
        <v/>
      </c>
    </row>
    <row r="102" ht="15" customHeight="1">
      <c r="A102" t="inlineStr">
        <is>
          <t>A 65989-2021</t>
        </is>
      </c>
      <c r="B102" s="1" t="n">
        <v>44517</v>
      </c>
      <c r="C102" s="1" t="n">
        <v>46188</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22375-2024</t>
        </is>
      </c>
      <c r="B103" s="1" t="n">
        <v>45446</v>
      </c>
      <c r="C103" s="1" t="n">
        <v>46188</v>
      </c>
      <c r="D103" t="inlineStr">
        <is>
          <t>UPPSALA LÄN</t>
        </is>
      </c>
      <c r="E103" t="inlineStr">
        <is>
          <t>ÖSTHAMMAR</t>
        </is>
      </c>
      <c r="F103" t="inlineStr">
        <is>
          <t>Bergvik skog öst AB</t>
        </is>
      </c>
      <c r="G103" t="n">
        <v>2.2</v>
      </c>
      <c r="H103" t="n">
        <v>0</v>
      </c>
      <c r="I103" t="n">
        <v>0</v>
      </c>
      <c r="J103" t="n">
        <v>1</v>
      </c>
      <c r="K103" t="n">
        <v>0</v>
      </c>
      <c r="L103" t="n">
        <v>0</v>
      </c>
      <c r="M103" t="n">
        <v>0</v>
      </c>
      <c r="N103" t="n">
        <v>0</v>
      </c>
      <c r="O103" t="n">
        <v>1</v>
      </c>
      <c r="P103" t="n">
        <v>0</v>
      </c>
      <c r="Q103" t="n">
        <v>1</v>
      </c>
      <c r="R103" s="2" t="inlineStr">
        <is>
          <t>Slåtterfibbla</t>
        </is>
      </c>
      <c r="S103">
        <f>HYPERLINK("https://klasma.github.io/Logging_0382/artfynd/A 22375-2024 artfynd.xlsx", "A 22375-2024")</f>
        <v/>
      </c>
      <c r="T103">
        <f>HYPERLINK("https://klasma.github.io/Logging_0382/kartor/A 22375-2024 karta.png", "A 22375-2024")</f>
        <v/>
      </c>
      <c r="V103">
        <f>HYPERLINK("https://klasma.github.io/Logging_0382/klagomål/A 22375-2024 FSC-klagomål.docx", "A 22375-2024")</f>
        <v/>
      </c>
      <c r="W103">
        <f>HYPERLINK("https://klasma.github.io/Logging_0382/klagomålsmail/A 22375-2024 FSC-klagomål mail.docx", "A 22375-2024")</f>
        <v/>
      </c>
      <c r="X103">
        <f>HYPERLINK("https://klasma.github.io/Logging_0382/tillsyn/A 22375-2024 tillsynsbegäran.docx", "A 22375-2024")</f>
        <v/>
      </c>
      <c r="Y103">
        <f>HYPERLINK("https://klasma.github.io/Logging_0382/tillsynsmail/A 22375-2024 tillsynsbegäran mail.docx", "A 22375-2024")</f>
        <v/>
      </c>
    </row>
    <row r="104" ht="15" customHeight="1">
      <c r="A104" t="inlineStr">
        <is>
          <t>A 70495-2021</t>
        </is>
      </c>
      <c r="B104" s="1" t="n">
        <v>44536</v>
      </c>
      <c r="C104" s="1" t="n">
        <v>46188</v>
      </c>
      <c r="D104" t="inlineStr">
        <is>
          <t>UPPSALA LÄN</t>
        </is>
      </c>
      <c r="E104" t="inlineStr">
        <is>
          <t>ÖSTHAMMAR</t>
        </is>
      </c>
      <c r="G104" t="n">
        <v>1</v>
      </c>
      <c r="H104" t="n">
        <v>1</v>
      </c>
      <c r="I104" t="n">
        <v>0</v>
      </c>
      <c r="J104" t="n">
        <v>1</v>
      </c>
      <c r="K104" t="n">
        <v>0</v>
      </c>
      <c r="L104" t="n">
        <v>0</v>
      </c>
      <c r="M104" t="n">
        <v>0</v>
      </c>
      <c r="N104" t="n">
        <v>0</v>
      </c>
      <c r="O104" t="n">
        <v>1</v>
      </c>
      <c r="P104" t="n">
        <v>0</v>
      </c>
      <c r="Q104" t="n">
        <v>1</v>
      </c>
      <c r="R104" s="2" t="inlineStr">
        <is>
          <t>Slaguggla</t>
        </is>
      </c>
      <c r="S104">
        <f>HYPERLINK("https://klasma.github.io/Logging_0382/artfynd/A 70495-2021 artfynd.xlsx", "A 70495-2021")</f>
        <v/>
      </c>
      <c r="T104">
        <f>HYPERLINK("https://klasma.github.io/Logging_0382/kartor/A 70495-2021 karta.png", "A 70495-2021")</f>
        <v/>
      </c>
      <c r="V104">
        <f>HYPERLINK("https://klasma.github.io/Logging_0382/klagomål/A 70495-2021 FSC-klagomål.docx", "A 70495-2021")</f>
        <v/>
      </c>
      <c r="W104">
        <f>HYPERLINK("https://klasma.github.io/Logging_0382/klagomålsmail/A 70495-2021 FSC-klagomål mail.docx", "A 70495-2021")</f>
        <v/>
      </c>
      <c r="X104">
        <f>HYPERLINK("https://klasma.github.io/Logging_0382/tillsyn/A 70495-2021 tillsynsbegäran.docx", "A 70495-2021")</f>
        <v/>
      </c>
      <c r="Y104">
        <f>HYPERLINK("https://klasma.github.io/Logging_0382/tillsynsmail/A 70495-2021 tillsynsbegäran mail.docx", "A 70495-2021")</f>
        <v/>
      </c>
      <c r="Z104">
        <f>HYPERLINK("https://klasma.github.io/Logging_0382/fåglar/A 70495-2021 prioriterade fågelarter.docx", "A 70495-2021")</f>
        <v/>
      </c>
    </row>
    <row r="105" ht="15" customHeight="1">
      <c r="A105" t="inlineStr">
        <is>
          <t>A 29679-2023</t>
        </is>
      </c>
      <c r="B105" s="1" t="n">
        <v>45107</v>
      </c>
      <c r="C105" s="1" t="n">
        <v>46188</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70408-2021</t>
        </is>
      </c>
      <c r="B106" s="1" t="n">
        <v>44536</v>
      </c>
      <c r="C106" s="1" t="n">
        <v>46188</v>
      </c>
      <c r="D106" t="inlineStr">
        <is>
          <t>UPPSALA LÄN</t>
        </is>
      </c>
      <c r="E106" t="inlineStr">
        <is>
          <t>ÖSTHAMMAR</t>
        </is>
      </c>
      <c r="G106" t="n">
        <v>1</v>
      </c>
      <c r="H106" t="n">
        <v>0</v>
      </c>
      <c r="I106" t="n">
        <v>0</v>
      </c>
      <c r="J106" t="n">
        <v>0</v>
      </c>
      <c r="K106" t="n">
        <v>0</v>
      </c>
      <c r="L106" t="n">
        <v>0</v>
      </c>
      <c r="M106" t="n">
        <v>0</v>
      </c>
      <c r="N106" t="n">
        <v>0</v>
      </c>
      <c r="O106" t="n">
        <v>0</v>
      </c>
      <c r="P106" t="n">
        <v>0</v>
      </c>
      <c r="Q106" t="n">
        <v>0</v>
      </c>
      <c r="R106" s="2" t="inlineStr"/>
    </row>
    <row r="107" ht="15" customHeight="1">
      <c r="A107" t="inlineStr">
        <is>
          <t>A 73983-2021</t>
        </is>
      </c>
      <c r="B107" s="1" t="n">
        <v>44555.80506944445</v>
      </c>
      <c r="C107" s="1" t="n">
        <v>46188</v>
      </c>
      <c r="D107" t="inlineStr">
        <is>
          <t>UPPSALA LÄN</t>
        </is>
      </c>
      <c r="E107" t="inlineStr">
        <is>
          <t>ÖSTHAMMAR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46188</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46188</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46188</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46188</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61555-2021</t>
        </is>
      </c>
      <c r="B112" s="1" t="n">
        <v>44501.4250462963</v>
      </c>
      <c r="C112" s="1" t="n">
        <v>46188</v>
      </c>
      <c r="D112" t="inlineStr">
        <is>
          <t>UPPSALA LÄN</t>
        </is>
      </c>
      <c r="E112" t="inlineStr">
        <is>
          <t>ÖSTHAMMAR</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46188</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46188</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46188</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15847-2022</t>
        </is>
      </c>
      <c r="B116" s="1" t="n">
        <v>44664</v>
      </c>
      <c r="C116" s="1" t="n">
        <v>46188</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14271-2022</t>
        </is>
      </c>
      <c r="B117" s="1" t="n">
        <v>44651.88756944444</v>
      </c>
      <c r="C117" s="1" t="n">
        <v>46188</v>
      </c>
      <c r="D117" t="inlineStr">
        <is>
          <t>UPPSALA LÄN</t>
        </is>
      </c>
      <c r="E117" t="inlineStr">
        <is>
          <t>ÖSTHAMMAR</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46188</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46188</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46188</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46188</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46188</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46188</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46188</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46188</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46188</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46188</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46188</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46188</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10294-2022</t>
        </is>
      </c>
      <c r="B130" s="1" t="n">
        <v>44622</v>
      </c>
      <c r="C130" s="1" t="n">
        <v>46188</v>
      </c>
      <c r="D130" t="inlineStr">
        <is>
          <t>UPPSALA LÄN</t>
        </is>
      </c>
      <c r="E130" t="inlineStr">
        <is>
          <t>ÖSTHAMMAR</t>
        </is>
      </c>
      <c r="F130" t="inlineStr">
        <is>
          <t>Bergvik skog öst AB</t>
        </is>
      </c>
      <c r="G130" t="n">
        <v>1</v>
      </c>
      <c r="H130" t="n">
        <v>0</v>
      </c>
      <c r="I130" t="n">
        <v>0</v>
      </c>
      <c r="J130" t="n">
        <v>0</v>
      </c>
      <c r="K130" t="n">
        <v>0</v>
      </c>
      <c r="L130" t="n">
        <v>0</v>
      </c>
      <c r="M130" t="n">
        <v>0</v>
      </c>
      <c r="N130" t="n">
        <v>0</v>
      </c>
      <c r="O130" t="n">
        <v>0</v>
      </c>
      <c r="P130" t="n">
        <v>0</v>
      </c>
      <c r="Q130" t="n">
        <v>0</v>
      </c>
      <c r="R130" s="2" t="inlineStr"/>
    </row>
    <row r="131" ht="15" customHeight="1">
      <c r="A131" t="inlineStr">
        <is>
          <t>A 10298-2022</t>
        </is>
      </c>
      <c r="B131" s="1" t="n">
        <v>44622</v>
      </c>
      <c r="C131" s="1" t="n">
        <v>46188</v>
      </c>
      <c r="D131" t="inlineStr">
        <is>
          <t>UPPSALA LÄN</t>
        </is>
      </c>
      <c r="E131" t="inlineStr">
        <is>
          <t>ÖSTHAMMAR</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8556-2022</t>
        </is>
      </c>
      <c r="B132" s="1" t="n">
        <v>44613.51798611111</v>
      </c>
      <c r="C132" s="1" t="n">
        <v>46188</v>
      </c>
      <c r="D132" t="inlineStr">
        <is>
          <t>UPPSALA LÄN</t>
        </is>
      </c>
      <c r="E132" t="inlineStr">
        <is>
          <t>ÖSTHAMMAR</t>
        </is>
      </c>
      <c r="G132" t="n">
        <v>0.5</v>
      </c>
      <c r="H132" t="n">
        <v>0</v>
      </c>
      <c r="I132" t="n">
        <v>0</v>
      </c>
      <c r="J132" t="n">
        <v>0</v>
      </c>
      <c r="K132" t="n">
        <v>0</v>
      </c>
      <c r="L132" t="n">
        <v>0</v>
      </c>
      <c r="M132" t="n">
        <v>0</v>
      </c>
      <c r="N132" t="n">
        <v>0</v>
      </c>
      <c r="O132" t="n">
        <v>0</v>
      </c>
      <c r="P132" t="n">
        <v>0</v>
      </c>
      <c r="Q132" t="n">
        <v>0</v>
      </c>
      <c r="R132" s="2" t="inlineStr"/>
    </row>
    <row r="133" ht="15" customHeight="1">
      <c r="A133" t="inlineStr">
        <is>
          <t>A 32939-2021</t>
        </is>
      </c>
      <c r="B133" s="1" t="n">
        <v>44376.32519675926</v>
      </c>
      <c r="C133" s="1" t="n">
        <v>46188</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4315-2022</t>
        </is>
      </c>
      <c r="B134" s="1" t="n">
        <v>44588</v>
      </c>
      <c r="C134" s="1" t="n">
        <v>46188</v>
      </c>
      <c r="D134" t="inlineStr">
        <is>
          <t>UPPSALA LÄN</t>
        </is>
      </c>
      <c r="E134" t="inlineStr">
        <is>
          <t>ÖSTHAMMAR</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24149-2022</t>
        </is>
      </c>
      <c r="B135" s="1" t="n">
        <v>44725</v>
      </c>
      <c r="C135" s="1" t="n">
        <v>46188</v>
      </c>
      <c r="D135" t="inlineStr">
        <is>
          <t>UPPSALA LÄN</t>
        </is>
      </c>
      <c r="E135" t="inlineStr">
        <is>
          <t>ÖSTHAMMAR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24138-2022</t>
        </is>
      </c>
      <c r="B136" s="1" t="n">
        <v>44725.45895833334</v>
      </c>
      <c r="C136" s="1" t="n">
        <v>46188</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47163-2022</t>
        </is>
      </c>
      <c r="B137" s="1" t="n">
        <v>44852.59962962963</v>
      </c>
      <c r="C137" s="1" t="n">
        <v>46188</v>
      </c>
      <c r="D137" t="inlineStr">
        <is>
          <t>UPPSALA LÄN</t>
        </is>
      </c>
      <c r="E137" t="inlineStr">
        <is>
          <t>ÖSTHAMMAR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66549-2021</t>
        </is>
      </c>
      <c r="B138" s="1" t="n">
        <v>44519.3990162037</v>
      </c>
      <c r="C138" s="1" t="n">
        <v>46188</v>
      </c>
      <c r="D138" t="inlineStr">
        <is>
          <t>UPPSALA LÄN</t>
        </is>
      </c>
      <c r="E138" t="inlineStr">
        <is>
          <t>ÖSTHAMMAR</t>
        </is>
      </c>
      <c r="F138" t="inlineStr">
        <is>
          <t>Bergvik skog öst AB</t>
        </is>
      </c>
      <c r="G138" t="n">
        <v>2.8</v>
      </c>
      <c r="H138" t="n">
        <v>0</v>
      </c>
      <c r="I138" t="n">
        <v>0</v>
      </c>
      <c r="J138" t="n">
        <v>0</v>
      </c>
      <c r="K138" t="n">
        <v>0</v>
      </c>
      <c r="L138" t="n">
        <v>0</v>
      </c>
      <c r="M138" t="n">
        <v>0</v>
      </c>
      <c r="N138" t="n">
        <v>0</v>
      </c>
      <c r="O138" t="n">
        <v>0</v>
      </c>
      <c r="P138" t="n">
        <v>0</v>
      </c>
      <c r="Q138" t="n">
        <v>0</v>
      </c>
      <c r="R138" s="2" t="inlineStr"/>
    </row>
    <row r="139" ht="15" customHeight="1">
      <c r="A139" t="inlineStr">
        <is>
          <t>A 5932-2022</t>
        </is>
      </c>
      <c r="B139" s="1" t="n">
        <v>44598.8281712963</v>
      </c>
      <c r="C139" s="1" t="n">
        <v>46188</v>
      </c>
      <c r="D139" t="inlineStr">
        <is>
          <t>UPPSALA LÄN</t>
        </is>
      </c>
      <c r="E139" t="inlineStr">
        <is>
          <t>ÖSTHAMMAR</t>
        </is>
      </c>
      <c r="F139" t="inlineStr">
        <is>
          <t>Bergvik skog öst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48308-2021</t>
        </is>
      </c>
      <c r="B140" s="1" t="n">
        <v>44450</v>
      </c>
      <c r="C140" s="1" t="n">
        <v>46188</v>
      </c>
      <c r="D140" t="inlineStr">
        <is>
          <t>UPPSALA LÄN</t>
        </is>
      </c>
      <c r="E140" t="inlineStr">
        <is>
          <t>ÖSTHAMMAR</t>
        </is>
      </c>
      <c r="G140" t="n">
        <v>3.5</v>
      </c>
      <c r="H140" t="n">
        <v>0</v>
      </c>
      <c r="I140" t="n">
        <v>0</v>
      </c>
      <c r="J140" t="n">
        <v>0</v>
      </c>
      <c r="K140" t="n">
        <v>0</v>
      </c>
      <c r="L140" t="n">
        <v>0</v>
      </c>
      <c r="M140" t="n">
        <v>0</v>
      </c>
      <c r="N140" t="n">
        <v>0</v>
      </c>
      <c r="O140" t="n">
        <v>0</v>
      </c>
      <c r="P140" t="n">
        <v>0</v>
      </c>
      <c r="Q140" t="n">
        <v>0</v>
      </c>
      <c r="R140" s="2" t="inlineStr"/>
    </row>
    <row r="141" ht="15" customHeight="1">
      <c r="A141" t="inlineStr">
        <is>
          <t>A 19287-2022</t>
        </is>
      </c>
      <c r="B141" s="1" t="n">
        <v>44692.49559027778</v>
      </c>
      <c r="C141" s="1" t="n">
        <v>46188</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51612-2021</t>
        </is>
      </c>
      <c r="B142" s="1" t="n">
        <v>44462</v>
      </c>
      <c r="C142" s="1" t="n">
        <v>46188</v>
      </c>
      <c r="D142" t="inlineStr">
        <is>
          <t>UPPSALA LÄN</t>
        </is>
      </c>
      <c r="E142" t="inlineStr">
        <is>
          <t>ÖSTHAMMAR</t>
        </is>
      </c>
      <c r="G142" t="n">
        <v>2.7</v>
      </c>
      <c r="H142" t="n">
        <v>0</v>
      </c>
      <c r="I142" t="n">
        <v>0</v>
      </c>
      <c r="J142" t="n">
        <v>0</v>
      </c>
      <c r="K142" t="n">
        <v>0</v>
      </c>
      <c r="L142" t="n">
        <v>0</v>
      </c>
      <c r="M142" t="n">
        <v>0</v>
      </c>
      <c r="N142" t="n">
        <v>0</v>
      </c>
      <c r="O142" t="n">
        <v>0</v>
      </c>
      <c r="P142" t="n">
        <v>0</v>
      </c>
      <c r="Q142" t="n">
        <v>0</v>
      </c>
      <c r="R142" s="2" t="inlineStr"/>
    </row>
    <row r="143" ht="15" customHeight="1">
      <c r="A143" t="inlineStr">
        <is>
          <t>A 19181-2022</t>
        </is>
      </c>
      <c r="B143" s="1" t="n">
        <v>44691</v>
      </c>
      <c r="C143" s="1" t="n">
        <v>46188</v>
      </c>
      <c r="D143" t="inlineStr">
        <is>
          <t>UPPSALA LÄN</t>
        </is>
      </c>
      <c r="E143" t="inlineStr">
        <is>
          <t>ÖSTHAMMAR</t>
        </is>
      </c>
      <c r="G143" t="n">
        <v>0.6</v>
      </c>
      <c r="H143" t="n">
        <v>0</v>
      </c>
      <c r="I143" t="n">
        <v>0</v>
      </c>
      <c r="J143" t="n">
        <v>0</v>
      </c>
      <c r="K143" t="n">
        <v>0</v>
      </c>
      <c r="L143" t="n">
        <v>0</v>
      </c>
      <c r="M143" t="n">
        <v>0</v>
      </c>
      <c r="N143" t="n">
        <v>0</v>
      </c>
      <c r="O143" t="n">
        <v>0</v>
      </c>
      <c r="P143" t="n">
        <v>0</v>
      </c>
      <c r="Q143" t="n">
        <v>0</v>
      </c>
      <c r="R143" s="2" t="inlineStr"/>
    </row>
    <row r="144" ht="15" customHeight="1">
      <c r="A144" t="inlineStr">
        <is>
          <t>A 19707-2022</t>
        </is>
      </c>
      <c r="B144" s="1" t="n">
        <v>44694</v>
      </c>
      <c r="C144" s="1" t="n">
        <v>46188</v>
      </c>
      <c r="D144" t="inlineStr">
        <is>
          <t>UPPSALA LÄN</t>
        </is>
      </c>
      <c r="E144" t="inlineStr">
        <is>
          <t>ÖSTHAMMAR</t>
        </is>
      </c>
      <c r="F144" t="inlineStr">
        <is>
          <t>Allmännings- och besparingsskogar</t>
        </is>
      </c>
      <c r="G144" t="n">
        <v>0.5</v>
      </c>
      <c r="H144" t="n">
        <v>0</v>
      </c>
      <c r="I144" t="n">
        <v>0</v>
      </c>
      <c r="J144" t="n">
        <v>0</v>
      </c>
      <c r="K144" t="n">
        <v>0</v>
      </c>
      <c r="L144" t="n">
        <v>0</v>
      </c>
      <c r="M144" t="n">
        <v>0</v>
      </c>
      <c r="N144" t="n">
        <v>0</v>
      </c>
      <c r="O144" t="n">
        <v>0</v>
      </c>
      <c r="P144" t="n">
        <v>0</v>
      </c>
      <c r="Q144" t="n">
        <v>0</v>
      </c>
      <c r="R144" s="2" t="inlineStr"/>
    </row>
    <row r="145" ht="15" customHeight="1">
      <c r="A145" t="inlineStr">
        <is>
          <t>A 15334-2022</t>
        </is>
      </c>
      <c r="B145" s="1" t="n">
        <v>44659</v>
      </c>
      <c r="C145" s="1" t="n">
        <v>46188</v>
      </c>
      <c r="D145" t="inlineStr">
        <is>
          <t>UPPSALA LÄN</t>
        </is>
      </c>
      <c r="E145" t="inlineStr">
        <is>
          <t>ÖSTHAMMAR</t>
        </is>
      </c>
      <c r="G145" t="n">
        <v>1.4</v>
      </c>
      <c r="H145" t="n">
        <v>0</v>
      </c>
      <c r="I145" t="n">
        <v>0</v>
      </c>
      <c r="J145" t="n">
        <v>0</v>
      </c>
      <c r="K145" t="n">
        <v>0</v>
      </c>
      <c r="L145" t="n">
        <v>0</v>
      </c>
      <c r="M145" t="n">
        <v>0</v>
      </c>
      <c r="N145" t="n">
        <v>0</v>
      </c>
      <c r="O145" t="n">
        <v>0</v>
      </c>
      <c r="P145" t="n">
        <v>0</v>
      </c>
      <c r="Q145" t="n">
        <v>0</v>
      </c>
      <c r="R145" s="2" t="inlineStr"/>
    </row>
    <row r="146" ht="15" customHeight="1">
      <c r="A146" t="inlineStr">
        <is>
          <t>A 64872-2021</t>
        </is>
      </c>
      <c r="B146" s="1" t="n">
        <v>44512.6108912037</v>
      </c>
      <c r="C146" s="1" t="n">
        <v>46188</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43469-2021</t>
        </is>
      </c>
      <c r="B147" s="1" t="n">
        <v>44432</v>
      </c>
      <c r="C147" s="1" t="n">
        <v>46188</v>
      </c>
      <c r="D147" t="inlineStr">
        <is>
          <t>UPPSALA LÄN</t>
        </is>
      </c>
      <c r="E147" t="inlineStr">
        <is>
          <t>ÖSTHAMMAR</t>
        </is>
      </c>
      <c r="G147" t="n">
        <v>3.9</v>
      </c>
      <c r="H147" t="n">
        <v>0</v>
      </c>
      <c r="I147" t="n">
        <v>0</v>
      </c>
      <c r="J147" t="n">
        <v>0</v>
      </c>
      <c r="K147" t="n">
        <v>0</v>
      </c>
      <c r="L147" t="n">
        <v>0</v>
      </c>
      <c r="M147" t="n">
        <v>0</v>
      </c>
      <c r="N147" t="n">
        <v>0</v>
      </c>
      <c r="O147" t="n">
        <v>0</v>
      </c>
      <c r="P147" t="n">
        <v>0</v>
      </c>
      <c r="Q147" t="n">
        <v>0</v>
      </c>
      <c r="R147" s="2" t="inlineStr"/>
    </row>
    <row r="148" ht="15" customHeight="1">
      <c r="A148" t="inlineStr">
        <is>
          <t>A 49914-2022</t>
        </is>
      </c>
      <c r="B148" s="1" t="n">
        <v>44865</v>
      </c>
      <c r="C148" s="1" t="n">
        <v>46188</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22945-2022</t>
        </is>
      </c>
      <c r="B149" s="1" t="n">
        <v>44715.91158564815</v>
      </c>
      <c r="C149" s="1" t="n">
        <v>46188</v>
      </c>
      <c r="D149" t="inlineStr">
        <is>
          <t>UPPSALA LÄN</t>
        </is>
      </c>
      <c r="E149" t="inlineStr">
        <is>
          <t>ÖSTHAMMAR</t>
        </is>
      </c>
      <c r="F149" t="inlineStr">
        <is>
          <t>Bergvik skog öst AB</t>
        </is>
      </c>
      <c r="G149" t="n">
        <v>1</v>
      </c>
      <c r="H149" t="n">
        <v>0</v>
      </c>
      <c r="I149" t="n">
        <v>0</v>
      </c>
      <c r="J149" t="n">
        <v>0</v>
      </c>
      <c r="K149" t="n">
        <v>0</v>
      </c>
      <c r="L149" t="n">
        <v>0</v>
      </c>
      <c r="M149" t="n">
        <v>0</v>
      </c>
      <c r="N149" t="n">
        <v>0</v>
      </c>
      <c r="O149" t="n">
        <v>0</v>
      </c>
      <c r="P149" t="n">
        <v>0</v>
      </c>
      <c r="Q149" t="n">
        <v>0</v>
      </c>
      <c r="R149" s="2" t="inlineStr"/>
    </row>
    <row r="150" ht="15" customHeight="1">
      <c r="A150" t="inlineStr">
        <is>
          <t>A 15845-2022</t>
        </is>
      </c>
      <c r="B150" s="1" t="n">
        <v>44664</v>
      </c>
      <c r="C150" s="1" t="n">
        <v>46188</v>
      </c>
      <c r="D150" t="inlineStr">
        <is>
          <t>UPPSALA LÄN</t>
        </is>
      </c>
      <c r="E150" t="inlineStr">
        <is>
          <t>ÖSTHAMMAR</t>
        </is>
      </c>
      <c r="G150" t="n">
        <v>4.5</v>
      </c>
      <c r="H150" t="n">
        <v>0</v>
      </c>
      <c r="I150" t="n">
        <v>0</v>
      </c>
      <c r="J150" t="n">
        <v>0</v>
      </c>
      <c r="K150" t="n">
        <v>0</v>
      </c>
      <c r="L150" t="n">
        <v>0</v>
      </c>
      <c r="M150" t="n">
        <v>0</v>
      </c>
      <c r="N150" t="n">
        <v>0</v>
      </c>
      <c r="O150" t="n">
        <v>0</v>
      </c>
      <c r="P150" t="n">
        <v>0</v>
      </c>
      <c r="Q150" t="n">
        <v>0</v>
      </c>
      <c r="R150" s="2" t="inlineStr"/>
    </row>
    <row r="151" ht="15" customHeight="1">
      <c r="A151" t="inlineStr">
        <is>
          <t>A 30209-2022</t>
        </is>
      </c>
      <c r="B151" s="1" t="n">
        <v>44757.75236111111</v>
      </c>
      <c r="C151" s="1" t="n">
        <v>46188</v>
      </c>
      <c r="D151" t="inlineStr">
        <is>
          <t>UPPSALA LÄN</t>
        </is>
      </c>
      <c r="E151" t="inlineStr">
        <is>
          <t>ÖSTHAMMAR</t>
        </is>
      </c>
      <c r="F151" t="inlineStr">
        <is>
          <t>Bergvik skog öst AB</t>
        </is>
      </c>
      <c r="G151" t="n">
        <v>0.4</v>
      </c>
      <c r="H151" t="n">
        <v>0</v>
      </c>
      <c r="I151" t="n">
        <v>0</v>
      </c>
      <c r="J151" t="n">
        <v>0</v>
      </c>
      <c r="K151" t="n">
        <v>0</v>
      </c>
      <c r="L151" t="n">
        <v>0</v>
      </c>
      <c r="M151" t="n">
        <v>0</v>
      </c>
      <c r="N151" t="n">
        <v>0</v>
      </c>
      <c r="O151" t="n">
        <v>0</v>
      </c>
      <c r="P151" t="n">
        <v>0</v>
      </c>
      <c r="Q151" t="n">
        <v>0</v>
      </c>
      <c r="R151" s="2" t="inlineStr"/>
    </row>
    <row r="152" ht="15" customHeight="1">
      <c r="A152" t="inlineStr">
        <is>
          <t>A 49334-2022</t>
        </is>
      </c>
      <c r="B152" s="1" t="n">
        <v>44861</v>
      </c>
      <c r="C152" s="1" t="n">
        <v>46188</v>
      </c>
      <c r="D152" t="inlineStr">
        <is>
          <t>UPPSALA LÄN</t>
        </is>
      </c>
      <c r="E152" t="inlineStr">
        <is>
          <t>ÖSTHAMMAR</t>
        </is>
      </c>
      <c r="G152" t="n">
        <v>3.5</v>
      </c>
      <c r="H152" t="n">
        <v>0</v>
      </c>
      <c r="I152" t="n">
        <v>0</v>
      </c>
      <c r="J152" t="n">
        <v>0</v>
      </c>
      <c r="K152" t="n">
        <v>0</v>
      </c>
      <c r="L152" t="n">
        <v>0</v>
      </c>
      <c r="M152" t="n">
        <v>0</v>
      </c>
      <c r="N152" t="n">
        <v>0</v>
      </c>
      <c r="O152" t="n">
        <v>0</v>
      </c>
      <c r="P152" t="n">
        <v>0</v>
      </c>
      <c r="Q152" t="n">
        <v>0</v>
      </c>
      <c r="R152" s="2" t="inlineStr"/>
    </row>
    <row r="153" ht="15" customHeight="1">
      <c r="A153" t="inlineStr">
        <is>
          <t>A 52295-2022</t>
        </is>
      </c>
      <c r="B153" s="1" t="n">
        <v>44873.67842592593</v>
      </c>
      <c r="C153" s="1" t="n">
        <v>46188</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41558-2021</t>
        </is>
      </c>
      <c r="B154" s="1" t="n">
        <v>44425.37835648148</v>
      </c>
      <c r="C154" s="1" t="n">
        <v>46188</v>
      </c>
      <c r="D154" t="inlineStr">
        <is>
          <t>UPPSALA LÄN</t>
        </is>
      </c>
      <c r="E154" t="inlineStr">
        <is>
          <t>ÖSTHAMMAR</t>
        </is>
      </c>
      <c r="F154" t="inlineStr">
        <is>
          <t>Bergvik skog öst AB</t>
        </is>
      </c>
      <c r="G154" t="n">
        <v>1.4</v>
      </c>
      <c r="H154" t="n">
        <v>0</v>
      </c>
      <c r="I154" t="n">
        <v>0</v>
      </c>
      <c r="J154" t="n">
        <v>0</v>
      </c>
      <c r="K154" t="n">
        <v>0</v>
      </c>
      <c r="L154" t="n">
        <v>0</v>
      </c>
      <c r="M154" t="n">
        <v>0</v>
      </c>
      <c r="N154" t="n">
        <v>0</v>
      </c>
      <c r="O154" t="n">
        <v>0</v>
      </c>
      <c r="P154" t="n">
        <v>0</v>
      </c>
      <c r="Q154" t="n">
        <v>0</v>
      </c>
      <c r="R154" s="2" t="inlineStr"/>
    </row>
    <row r="155" ht="15" customHeight="1">
      <c r="A155" t="inlineStr">
        <is>
          <t>A 15457-2022</t>
        </is>
      </c>
      <c r="B155" s="1" t="n">
        <v>44661.74027777778</v>
      </c>
      <c r="C155" s="1" t="n">
        <v>46188</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25987-2022</t>
        </is>
      </c>
      <c r="B156" s="1" t="n">
        <v>44734.49601851852</v>
      </c>
      <c r="C156" s="1" t="n">
        <v>46188</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61560-2021</t>
        </is>
      </c>
      <c r="B157" s="1" t="n">
        <v>44501.42905092592</v>
      </c>
      <c r="C157" s="1" t="n">
        <v>46188</v>
      </c>
      <c r="D157" t="inlineStr">
        <is>
          <t>UPPSALA LÄN</t>
        </is>
      </c>
      <c r="E157" t="inlineStr">
        <is>
          <t>ÖSTHAMMAR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37570-2022</t>
        </is>
      </c>
      <c r="B158" s="1" t="n">
        <v>44809</v>
      </c>
      <c r="C158" s="1" t="n">
        <v>46188</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37545-2022</t>
        </is>
      </c>
      <c r="B159" s="1" t="n">
        <v>44809.63373842592</v>
      </c>
      <c r="C159" s="1" t="n">
        <v>46188</v>
      </c>
      <c r="D159" t="inlineStr">
        <is>
          <t>UPPSALA LÄN</t>
        </is>
      </c>
      <c r="E159" t="inlineStr">
        <is>
          <t>ÖSTHAMMAR</t>
        </is>
      </c>
      <c r="G159" t="n">
        <v>3.1</v>
      </c>
      <c r="H159" t="n">
        <v>0</v>
      </c>
      <c r="I159" t="n">
        <v>0</v>
      </c>
      <c r="J159" t="n">
        <v>0</v>
      </c>
      <c r="K159" t="n">
        <v>0</v>
      </c>
      <c r="L159" t="n">
        <v>0</v>
      </c>
      <c r="M159" t="n">
        <v>0</v>
      </c>
      <c r="N159" t="n">
        <v>0</v>
      </c>
      <c r="O159" t="n">
        <v>0</v>
      </c>
      <c r="P159" t="n">
        <v>0</v>
      </c>
      <c r="Q159" t="n">
        <v>0</v>
      </c>
      <c r="R159" s="2" t="inlineStr"/>
    </row>
    <row r="160" ht="15" customHeight="1">
      <c r="A160" t="inlineStr">
        <is>
          <t>A 38501-2022</t>
        </is>
      </c>
      <c r="B160" s="1" t="n">
        <v>44813</v>
      </c>
      <c r="C160" s="1" t="n">
        <v>46188</v>
      </c>
      <c r="D160" t="inlineStr">
        <is>
          <t>UPPSALA LÄN</t>
        </is>
      </c>
      <c r="E160" t="inlineStr">
        <is>
          <t>ÖSTHAMMAR</t>
        </is>
      </c>
      <c r="F160" t="inlineStr">
        <is>
          <t>Bergvik skog öst AB</t>
        </is>
      </c>
      <c r="G160" t="n">
        <v>2.2</v>
      </c>
      <c r="H160" t="n">
        <v>0</v>
      </c>
      <c r="I160" t="n">
        <v>0</v>
      </c>
      <c r="J160" t="n">
        <v>0</v>
      </c>
      <c r="K160" t="n">
        <v>0</v>
      </c>
      <c r="L160" t="n">
        <v>0</v>
      </c>
      <c r="M160" t="n">
        <v>0</v>
      </c>
      <c r="N160" t="n">
        <v>0</v>
      </c>
      <c r="O160" t="n">
        <v>0</v>
      </c>
      <c r="P160" t="n">
        <v>0</v>
      </c>
      <c r="Q160" t="n">
        <v>0</v>
      </c>
      <c r="R160" s="2" t="inlineStr"/>
    </row>
    <row r="161" ht="15" customHeight="1">
      <c r="A161" t="inlineStr">
        <is>
          <t>A 37813-2022</t>
        </is>
      </c>
      <c r="B161" s="1" t="n">
        <v>44810</v>
      </c>
      <c r="C161" s="1" t="n">
        <v>46188</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11987-2022</t>
        </is>
      </c>
      <c r="B162" s="1" t="n">
        <v>44635.68695601852</v>
      </c>
      <c r="C162" s="1" t="n">
        <v>46188</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46188</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16184-2022</t>
        </is>
      </c>
      <c r="B164" s="1" t="n">
        <v>44669.36354166667</v>
      </c>
      <c r="C164" s="1" t="n">
        <v>46188</v>
      </c>
      <c r="D164" t="inlineStr">
        <is>
          <t>UPPSALA LÄN</t>
        </is>
      </c>
      <c r="E164" t="inlineStr">
        <is>
          <t>ÖSTHAMMAR</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18736-2022</t>
        </is>
      </c>
      <c r="B165" s="1" t="n">
        <v>44687.87017361111</v>
      </c>
      <c r="C165" s="1" t="n">
        <v>46188</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24817-2022</t>
        </is>
      </c>
      <c r="B166" s="1" t="n">
        <v>44728</v>
      </c>
      <c r="C166" s="1" t="n">
        <v>46188</v>
      </c>
      <c r="D166" t="inlineStr">
        <is>
          <t>UPPSALA LÄN</t>
        </is>
      </c>
      <c r="E166" t="inlineStr">
        <is>
          <t>ÖSTHAMMAR</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7871-2022</t>
        </is>
      </c>
      <c r="B167" s="1" t="n">
        <v>44608</v>
      </c>
      <c r="C167" s="1" t="n">
        <v>46188</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51906-2022</t>
        </is>
      </c>
      <c r="B168" s="1" t="n">
        <v>44872.62109953703</v>
      </c>
      <c r="C168" s="1" t="n">
        <v>46188</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31182-2022</t>
        </is>
      </c>
      <c r="B169" s="1" t="n">
        <v>44770</v>
      </c>
      <c r="C169" s="1" t="n">
        <v>46188</v>
      </c>
      <c r="D169" t="inlineStr">
        <is>
          <t>UPPSALA LÄN</t>
        </is>
      </c>
      <c r="E169" t="inlineStr">
        <is>
          <t>ÖSTHAMMAR</t>
        </is>
      </c>
      <c r="F169" t="inlineStr">
        <is>
          <t>Bergvik skog öst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26534-2022</t>
        </is>
      </c>
      <c r="B170" s="1" t="n">
        <v>44739</v>
      </c>
      <c r="C170" s="1" t="n">
        <v>46188</v>
      </c>
      <c r="D170" t="inlineStr">
        <is>
          <t>UPPSALA LÄN</t>
        </is>
      </c>
      <c r="E170" t="inlineStr">
        <is>
          <t>ÖSTHAMMAR</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52898-2021</t>
        </is>
      </c>
      <c r="B171" s="1" t="n">
        <v>44467</v>
      </c>
      <c r="C171" s="1" t="n">
        <v>46188</v>
      </c>
      <c r="D171" t="inlineStr">
        <is>
          <t>UPPSALA LÄN</t>
        </is>
      </c>
      <c r="E171" t="inlineStr">
        <is>
          <t>ÖSTHAMMAR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9789-2022</t>
        </is>
      </c>
      <c r="B172" s="1" t="n">
        <v>44620.35590277778</v>
      </c>
      <c r="C172" s="1" t="n">
        <v>46188</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2168-2022</t>
        </is>
      </c>
      <c r="B173" s="1" t="n">
        <v>44578</v>
      </c>
      <c r="C173" s="1" t="n">
        <v>46188</v>
      </c>
      <c r="D173" t="inlineStr">
        <is>
          <t>UPPSALA LÄN</t>
        </is>
      </c>
      <c r="E173" t="inlineStr">
        <is>
          <t>ÖSTHAMMAR</t>
        </is>
      </c>
      <c r="G173" t="n">
        <v>2.9</v>
      </c>
      <c r="H173" t="n">
        <v>0</v>
      </c>
      <c r="I173" t="n">
        <v>0</v>
      </c>
      <c r="J173" t="n">
        <v>0</v>
      </c>
      <c r="K173" t="n">
        <v>0</v>
      </c>
      <c r="L173" t="n">
        <v>0</v>
      </c>
      <c r="M173" t="n">
        <v>0</v>
      </c>
      <c r="N173" t="n">
        <v>0</v>
      </c>
      <c r="O173" t="n">
        <v>0</v>
      </c>
      <c r="P173" t="n">
        <v>0</v>
      </c>
      <c r="Q173" t="n">
        <v>0</v>
      </c>
      <c r="R173" s="2" t="inlineStr"/>
    </row>
    <row r="174" ht="15" customHeight="1">
      <c r="A174" t="inlineStr">
        <is>
          <t>A 11884-2022</t>
        </is>
      </c>
      <c r="B174" s="1" t="n">
        <v>44635.39946759259</v>
      </c>
      <c r="C174" s="1" t="n">
        <v>46188</v>
      </c>
      <c r="D174" t="inlineStr">
        <is>
          <t>UPPSALA LÄN</t>
        </is>
      </c>
      <c r="E174" t="inlineStr">
        <is>
          <t>ÖSTHAMMAR</t>
        </is>
      </c>
      <c r="G174" t="n">
        <v>0.8</v>
      </c>
      <c r="H174" t="n">
        <v>0</v>
      </c>
      <c r="I174" t="n">
        <v>0</v>
      </c>
      <c r="J174" t="n">
        <v>0</v>
      </c>
      <c r="K174" t="n">
        <v>0</v>
      </c>
      <c r="L174" t="n">
        <v>0</v>
      </c>
      <c r="M174" t="n">
        <v>0</v>
      </c>
      <c r="N174" t="n">
        <v>0</v>
      </c>
      <c r="O174" t="n">
        <v>0</v>
      </c>
      <c r="P174" t="n">
        <v>0</v>
      </c>
      <c r="Q174" t="n">
        <v>0</v>
      </c>
      <c r="R174" s="2" t="inlineStr"/>
    </row>
    <row r="175" ht="15" customHeight="1">
      <c r="A175" t="inlineStr">
        <is>
          <t>A 18734-2022</t>
        </is>
      </c>
      <c r="B175" s="1" t="n">
        <v>44687.86751157408</v>
      </c>
      <c r="C175" s="1" t="n">
        <v>46188</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17013-2022</t>
        </is>
      </c>
      <c r="B176" s="1" t="n">
        <v>44676</v>
      </c>
      <c r="C176" s="1" t="n">
        <v>46188</v>
      </c>
      <c r="D176" t="inlineStr">
        <is>
          <t>UPPSALA LÄN</t>
        </is>
      </c>
      <c r="E176" t="inlineStr">
        <is>
          <t>ÖSTHAMMAR</t>
        </is>
      </c>
      <c r="F176" t="inlineStr">
        <is>
          <t>Bergvik skog öst AB</t>
        </is>
      </c>
      <c r="G176" t="n">
        <v>0.2</v>
      </c>
      <c r="H176" t="n">
        <v>0</v>
      </c>
      <c r="I176" t="n">
        <v>0</v>
      </c>
      <c r="J176" t="n">
        <v>0</v>
      </c>
      <c r="K176" t="n">
        <v>0</v>
      </c>
      <c r="L176" t="n">
        <v>0</v>
      </c>
      <c r="M176" t="n">
        <v>0</v>
      </c>
      <c r="N176" t="n">
        <v>0</v>
      </c>
      <c r="O176" t="n">
        <v>0</v>
      </c>
      <c r="P176" t="n">
        <v>0</v>
      </c>
      <c r="Q176" t="n">
        <v>0</v>
      </c>
      <c r="R176" s="2" t="inlineStr"/>
    </row>
    <row r="177" ht="15" customHeight="1">
      <c r="A177" t="inlineStr">
        <is>
          <t>A 12999-2022</t>
        </is>
      </c>
      <c r="B177" s="1" t="n">
        <v>44643.4372337963</v>
      </c>
      <c r="C177" s="1" t="n">
        <v>46188</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16185-2022</t>
        </is>
      </c>
      <c r="B178" s="1" t="n">
        <v>44669</v>
      </c>
      <c r="C178" s="1" t="n">
        <v>46188</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22887-2022</t>
        </is>
      </c>
      <c r="B179" s="1" t="n">
        <v>44715</v>
      </c>
      <c r="C179" s="1" t="n">
        <v>46188</v>
      </c>
      <c r="D179" t="inlineStr">
        <is>
          <t>UPPSALA LÄN</t>
        </is>
      </c>
      <c r="E179" t="inlineStr">
        <is>
          <t>ÖSTHAMMAR</t>
        </is>
      </c>
      <c r="G179" t="n">
        <v>0.2</v>
      </c>
      <c r="H179" t="n">
        <v>0</v>
      </c>
      <c r="I179" t="n">
        <v>0</v>
      </c>
      <c r="J179" t="n">
        <v>0</v>
      </c>
      <c r="K179" t="n">
        <v>0</v>
      </c>
      <c r="L179" t="n">
        <v>0</v>
      </c>
      <c r="M179" t="n">
        <v>0</v>
      </c>
      <c r="N179" t="n">
        <v>0</v>
      </c>
      <c r="O179" t="n">
        <v>0</v>
      </c>
      <c r="P179" t="n">
        <v>0</v>
      </c>
      <c r="Q179" t="n">
        <v>0</v>
      </c>
      <c r="R179" s="2" t="inlineStr"/>
    </row>
    <row r="180" ht="15" customHeight="1">
      <c r="A180" t="inlineStr">
        <is>
          <t>A 52544-2021</t>
        </is>
      </c>
      <c r="B180" s="1" t="n">
        <v>44466</v>
      </c>
      <c r="C180" s="1" t="n">
        <v>46188</v>
      </c>
      <c r="D180" t="inlineStr">
        <is>
          <t>UPPSALA LÄN</t>
        </is>
      </c>
      <c r="E180" t="inlineStr">
        <is>
          <t>ÖSTHAMMAR</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34418-2022</t>
        </is>
      </c>
      <c r="B181" s="1" t="n">
        <v>44792</v>
      </c>
      <c r="C181" s="1" t="n">
        <v>46188</v>
      </c>
      <c r="D181" t="inlineStr">
        <is>
          <t>UPPSALA LÄN</t>
        </is>
      </c>
      <c r="E181" t="inlineStr">
        <is>
          <t>ÖSTHAMMAR</t>
        </is>
      </c>
      <c r="G181" t="n">
        <v>0.3</v>
      </c>
      <c r="H181" t="n">
        <v>0</v>
      </c>
      <c r="I181" t="n">
        <v>0</v>
      </c>
      <c r="J181" t="n">
        <v>0</v>
      </c>
      <c r="K181" t="n">
        <v>0</v>
      </c>
      <c r="L181" t="n">
        <v>0</v>
      </c>
      <c r="M181" t="n">
        <v>0</v>
      </c>
      <c r="N181" t="n">
        <v>0</v>
      </c>
      <c r="O181" t="n">
        <v>0</v>
      </c>
      <c r="P181" t="n">
        <v>0</v>
      </c>
      <c r="Q181" t="n">
        <v>0</v>
      </c>
      <c r="R181" s="2" t="inlineStr"/>
    </row>
    <row r="182" ht="15" customHeight="1">
      <c r="A182" t="inlineStr">
        <is>
          <t>A 37568-2022</t>
        </is>
      </c>
      <c r="B182" s="1" t="n">
        <v>44809</v>
      </c>
      <c r="C182" s="1" t="n">
        <v>46188</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57003-2021</t>
        </is>
      </c>
      <c r="B183" s="1" t="n">
        <v>44482.47577546296</v>
      </c>
      <c r="C183" s="1" t="n">
        <v>46188</v>
      </c>
      <c r="D183" t="inlineStr">
        <is>
          <t>UPPSALA LÄN</t>
        </is>
      </c>
      <c r="E183" t="inlineStr">
        <is>
          <t>ÖSTHAMMAR</t>
        </is>
      </c>
      <c r="G183" t="n">
        <v>1.9</v>
      </c>
      <c r="H183" t="n">
        <v>0</v>
      </c>
      <c r="I183" t="n">
        <v>0</v>
      </c>
      <c r="J183" t="n">
        <v>0</v>
      </c>
      <c r="K183" t="n">
        <v>0</v>
      </c>
      <c r="L183" t="n">
        <v>0</v>
      </c>
      <c r="M183" t="n">
        <v>0</v>
      </c>
      <c r="N183" t="n">
        <v>0</v>
      </c>
      <c r="O183" t="n">
        <v>0</v>
      </c>
      <c r="P183" t="n">
        <v>0</v>
      </c>
      <c r="Q183" t="n">
        <v>0</v>
      </c>
      <c r="R183" s="2" t="inlineStr"/>
    </row>
    <row r="184" ht="15" customHeight="1">
      <c r="A184" t="inlineStr">
        <is>
          <t>A 2085-2022</t>
        </is>
      </c>
      <c r="B184" s="1" t="n">
        <v>44576.78626157407</v>
      </c>
      <c r="C184" s="1" t="n">
        <v>46188</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31479-2023</t>
        </is>
      </c>
      <c r="B185" s="1" t="n">
        <v>45114.79793981482</v>
      </c>
      <c r="C185" s="1" t="n">
        <v>46188</v>
      </c>
      <c r="D185" t="inlineStr">
        <is>
          <t>UPPSALA LÄN</t>
        </is>
      </c>
      <c r="E185" t="inlineStr">
        <is>
          <t>ÖSTHAMMAR</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74436-2021</t>
        </is>
      </c>
      <c r="B186" s="1" t="n">
        <v>44560.4502199074</v>
      </c>
      <c r="C186" s="1" t="n">
        <v>46188</v>
      </c>
      <c r="D186" t="inlineStr">
        <is>
          <t>UPPSALA LÄN</t>
        </is>
      </c>
      <c r="E186" t="inlineStr">
        <is>
          <t>ÖSTHAMMAR</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48719-2023</t>
        </is>
      </c>
      <c r="B187" s="1" t="n">
        <v>45208.70452546296</v>
      </c>
      <c r="C187" s="1" t="n">
        <v>46188</v>
      </c>
      <c r="D187" t="inlineStr">
        <is>
          <t>UPPSALA LÄN</t>
        </is>
      </c>
      <c r="E187" t="inlineStr">
        <is>
          <t>ÖSTHAMMAR</t>
        </is>
      </c>
      <c r="G187" t="n">
        <v>0.6</v>
      </c>
      <c r="H187" t="n">
        <v>0</v>
      </c>
      <c r="I187" t="n">
        <v>0</v>
      </c>
      <c r="J187" t="n">
        <v>0</v>
      </c>
      <c r="K187" t="n">
        <v>0</v>
      </c>
      <c r="L187" t="n">
        <v>0</v>
      </c>
      <c r="M187" t="n">
        <v>0</v>
      </c>
      <c r="N187" t="n">
        <v>0</v>
      </c>
      <c r="O187" t="n">
        <v>0</v>
      </c>
      <c r="P187" t="n">
        <v>0</v>
      </c>
      <c r="Q187" t="n">
        <v>0</v>
      </c>
      <c r="R187" s="2" t="inlineStr"/>
    </row>
    <row r="188" ht="15" customHeight="1">
      <c r="A188" t="inlineStr">
        <is>
          <t>A 31574-2022</t>
        </is>
      </c>
      <c r="B188" s="1" t="n">
        <v>44775</v>
      </c>
      <c r="C188" s="1" t="n">
        <v>46188</v>
      </c>
      <c r="D188" t="inlineStr">
        <is>
          <t>UPPSALA LÄN</t>
        </is>
      </c>
      <c r="E188" t="inlineStr">
        <is>
          <t>ÖSTHAMMAR</t>
        </is>
      </c>
      <c r="G188" t="n">
        <v>29.7</v>
      </c>
      <c r="H188" t="n">
        <v>0</v>
      </c>
      <c r="I188" t="n">
        <v>0</v>
      </c>
      <c r="J188" t="n">
        <v>0</v>
      </c>
      <c r="K188" t="n">
        <v>0</v>
      </c>
      <c r="L188" t="n">
        <v>0</v>
      </c>
      <c r="M188" t="n">
        <v>0</v>
      </c>
      <c r="N188" t="n">
        <v>0</v>
      </c>
      <c r="O188" t="n">
        <v>0</v>
      </c>
      <c r="P188" t="n">
        <v>0</v>
      </c>
      <c r="Q188" t="n">
        <v>0</v>
      </c>
      <c r="R188" s="2" t="inlineStr"/>
    </row>
    <row r="189" ht="15" customHeight="1">
      <c r="A189" t="inlineStr">
        <is>
          <t>A 21862-2023</t>
        </is>
      </c>
      <c r="B189" s="1" t="n">
        <v>45068</v>
      </c>
      <c r="C189" s="1" t="n">
        <v>46188</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55086-2024</t>
        </is>
      </c>
      <c r="B190" s="1" t="n">
        <v>45621.43098379629</v>
      </c>
      <c r="C190" s="1" t="n">
        <v>46188</v>
      </c>
      <c r="D190" t="inlineStr">
        <is>
          <t>UPPSALA LÄN</t>
        </is>
      </c>
      <c r="E190" t="inlineStr">
        <is>
          <t>ÖSTHAMMAR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62695-2023</t>
        </is>
      </c>
      <c r="B191" s="1" t="n">
        <v>45271</v>
      </c>
      <c r="C191" s="1" t="n">
        <v>46188</v>
      </c>
      <c r="D191" t="inlineStr">
        <is>
          <t>UPPSALA LÄN</t>
        </is>
      </c>
      <c r="E191" t="inlineStr">
        <is>
          <t>ÖSTHAMMAR</t>
        </is>
      </c>
      <c r="G191" t="n">
        <v>5.3</v>
      </c>
      <c r="H191" t="n">
        <v>0</v>
      </c>
      <c r="I191" t="n">
        <v>0</v>
      </c>
      <c r="J191" t="n">
        <v>0</v>
      </c>
      <c r="K191" t="n">
        <v>0</v>
      </c>
      <c r="L191" t="n">
        <v>0</v>
      </c>
      <c r="M191" t="n">
        <v>0</v>
      </c>
      <c r="N191" t="n">
        <v>0</v>
      </c>
      <c r="O191" t="n">
        <v>0</v>
      </c>
      <c r="P191" t="n">
        <v>0</v>
      </c>
      <c r="Q191" t="n">
        <v>0</v>
      </c>
      <c r="R191" s="2" t="inlineStr"/>
    </row>
    <row r="192" ht="15" customHeight="1">
      <c r="A192" t="inlineStr">
        <is>
          <t>A 4559-2022</t>
        </is>
      </c>
      <c r="B192" s="1" t="n">
        <v>44591.51854166666</v>
      </c>
      <c r="C192" s="1" t="n">
        <v>46188</v>
      </c>
      <c r="D192" t="inlineStr">
        <is>
          <t>UPPSALA LÄN</t>
        </is>
      </c>
      <c r="E192" t="inlineStr">
        <is>
          <t>ÖSTHAMMAR</t>
        </is>
      </c>
      <c r="F192" t="inlineStr">
        <is>
          <t>Bergvik skog öst AB</t>
        </is>
      </c>
      <c r="G192" t="n">
        <v>1.1</v>
      </c>
      <c r="H192" t="n">
        <v>0</v>
      </c>
      <c r="I192" t="n">
        <v>0</v>
      </c>
      <c r="J192" t="n">
        <v>0</v>
      </c>
      <c r="K192" t="n">
        <v>0</v>
      </c>
      <c r="L192" t="n">
        <v>0</v>
      </c>
      <c r="M192" t="n">
        <v>0</v>
      </c>
      <c r="N192" t="n">
        <v>0</v>
      </c>
      <c r="O192" t="n">
        <v>0</v>
      </c>
      <c r="P192" t="n">
        <v>0</v>
      </c>
      <c r="Q192" t="n">
        <v>0</v>
      </c>
      <c r="R192" s="2" t="inlineStr"/>
    </row>
    <row r="193" ht="15" customHeight="1">
      <c r="A193" t="inlineStr">
        <is>
          <t>A 29824-2023</t>
        </is>
      </c>
      <c r="B193" s="1" t="n">
        <v>45107</v>
      </c>
      <c r="C193" s="1" t="n">
        <v>46188</v>
      </c>
      <c r="D193" t="inlineStr">
        <is>
          <t>UPPSALA LÄN</t>
        </is>
      </c>
      <c r="E193" t="inlineStr">
        <is>
          <t>ÖSTHAMMAR</t>
        </is>
      </c>
      <c r="F193" t="inlineStr">
        <is>
          <t>Naturvårdsverket</t>
        </is>
      </c>
      <c r="G193" t="n">
        <v>1.6</v>
      </c>
      <c r="H193" t="n">
        <v>0</v>
      </c>
      <c r="I193" t="n">
        <v>0</v>
      </c>
      <c r="J193" t="n">
        <v>0</v>
      </c>
      <c r="K193" t="n">
        <v>0</v>
      </c>
      <c r="L193" t="n">
        <v>0</v>
      </c>
      <c r="M193" t="n">
        <v>0</v>
      </c>
      <c r="N193" t="n">
        <v>0</v>
      </c>
      <c r="O193" t="n">
        <v>0</v>
      </c>
      <c r="P193" t="n">
        <v>0</v>
      </c>
      <c r="Q193" t="n">
        <v>0</v>
      </c>
      <c r="R193" s="2" t="inlineStr"/>
    </row>
    <row r="194" ht="15" customHeight="1">
      <c r="A194" t="inlineStr">
        <is>
          <t>A 10982-2023</t>
        </is>
      </c>
      <c r="B194" s="1" t="n">
        <v>44991.62203703704</v>
      </c>
      <c r="C194" s="1" t="n">
        <v>46188</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30086-2023</t>
        </is>
      </c>
      <c r="B195" s="1" t="n">
        <v>45110.43907407407</v>
      </c>
      <c r="C195" s="1" t="n">
        <v>46188</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29753-2022</t>
        </is>
      </c>
      <c r="B196" s="1" t="n">
        <v>44755</v>
      </c>
      <c r="C196" s="1" t="n">
        <v>46188</v>
      </c>
      <c r="D196" t="inlineStr">
        <is>
          <t>UPPSALA LÄN</t>
        </is>
      </c>
      <c r="E196" t="inlineStr">
        <is>
          <t>ÖSTHAMMAR</t>
        </is>
      </c>
      <c r="G196" t="n">
        <v>9.4</v>
      </c>
      <c r="H196" t="n">
        <v>0</v>
      </c>
      <c r="I196" t="n">
        <v>0</v>
      </c>
      <c r="J196" t="n">
        <v>0</v>
      </c>
      <c r="K196" t="n">
        <v>0</v>
      </c>
      <c r="L196" t="n">
        <v>0</v>
      </c>
      <c r="M196" t="n">
        <v>0</v>
      </c>
      <c r="N196" t="n">
        <v>0</v>
      </c>
      <c r="O196" t="n">
        <v>0</v>
      </c>
      <c r="P196" t="n">
        <v>0</v>
      </c>
      <c r="Q196" t="n">
        <v>0</v>
      </c>
      <c r="R196" s="2" t="inlineStr"/>
    </row>
    <row r="197" ht="15" customHeight="1">
      <c r="A197" t="inlineStr">
        <is>
          <t>A 20046-2023</t>
        </is>
      </c>
      <c r="B197" s="1" t="n">
        <v>45054</v>
      </c>
      <c r="C197" s="1" t="n">
        <v>46188</v>
      </c>
      <c r="D197" t="inlineStr">
        <is>
          <t>UPPSALA LÄN</t>
        </is>
      </c>
      <c r="E197" t="inlineStr">
        <is>
          <t>ÖSTHAMMAR</t>
        </is>
      </c>
      <c r="G197" t="n">
        <v>0.4</v>
      </c>
      <c r="H197" t="n">
        <v>0</v>
      </c>
      <c r="I197" t="n">
        <v>0</v>
      </c>
      <c r="J197" t="n">
        <v>0</v>
      </c>
      <c r="K197" t="n">
        <v>0</v>
      </c>
      <c r="L197" t="n">
        <v>0</v>
      </c>
      <c r="M197" t="n">
        <v>0</v>
      </c>
      <c r="N197" t="n">
        <v>0</v>
      </c>
      <c r="O197" t="n">
        <v>0</v>
      </c>
      <c r="P197" t="n">
        <v>0</v>
      </c>
      <c r="Q197" t="n">
        <v>0</v>
      </c>
      <c r="R197" s="2" t="inlineStr"/>
    </row>
    <row r="198" ht="15" customHeight="1">
      <c r="A198" t="inlineStr">
        <is>
          <t>A 32742-2022</t>
        </is>
      </c>
      <c r="B198" s="1" t="n">
        <v>44783.69886574074</v>
      </c>
      <c r="C198" s="1" t="n">
        <v>46188</v>
      </c>
      <c r="D198" t="inlineStr">
        <is>
          <t>UPPSALA LÄN</t>
        </is>
      </c>
      <c r="E198" t="inlineStr">
        <is>
          <t>ÖSTHAMMAR</t>
        </is>
      </c>
      <c r="F198" t="inlineStr">
        <is>
          <t>Bergvik skog öst AB</t>
        </is>
      </c>
      <c r="G198" t="n">
        <v>0.9</v>
      </c>
      <c r="H198" t="n">
        <v>0</v>
      </c>
      <c r="I198" t="n">
        <v>0</v>
      </c>
      <c r="J198" t="n">
        <v>0</v>
      </c>
      <c r="K198" t="n">
        <v>0</v>
      </c>
      <c r="L198" t="n">
        <v>0</v>
      </c>
      <c r="M198" t="n">
        <v>0</v>
      </c>
      <c r="N198" t="n">
        <v>0</v>
      </c>
      <c r="O198" t="n">
        <v>0</v>
      </c>
      <c r="P198" t="n">
        <v>0</v>
      </c>
      <c r="Q198" t="n">
        <v>0</v>
      </c>
      <c r="R198" s="2" t="inlineStr"/>
    </row>
    <row r="199" ht="15" customHeight="1">
      <c r="A199" t="inlineStr">
        <is>
          <t>A 49833-2023</t>
        </is>
      </c>
      <c r="B199" s="1" t="n">
        <v>45212.71481481481</v>
      </c>
      <c r="C199" s="1" t="n">
        <v>46188</v>
      </c>
      <c r="D199" t="inlineStr">
        <is>
          <t>UPPSALA LÄN</t>
        </is>
      </c>
      <c r="E199" t="inlineStr">
        <is>
          <t>ÖSTHAMMAR</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60577-2021</t>
        </is>
      </c>
      <c r="B200" s="1" t="n">
        <v>44496.57019675926</v>
      </c>
      <c r="C200" s="1" t="n">
        <v>46188</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45307-2023</t>
        </is>
      </c>
      <c r="B201" s="1" t="n">
        <v>45191</v>
      </c>
      <c r="C201" s="1" t="n">
        <v>46188</v>
      </c>
      <c r="D201" t="inlineStr">
        <is>
          <t>UPPSALA LÄN</t>
        </is>
      </c>
      <c r="E201" t="inlineStr">
        <is>
          <t>ÖSTHAMMAR</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48854-2025</t>
        </is>
      </c>
      <c r="B202" s="1" t="n">
        <v>45937.43274305556</v>
      </c>
      <c r="C202" s="1" t="n">
        <v>46188</v>
      </c>
      <c r="D202" t="inlineStr">
        <is>
          <t>UPPSALA LÄN</t>
        </is>
      </c>
      <c r="E202" t="inlineStr">
        <is>
          <t>ÖSTHAMMAR</t>
        </is>
      </c>
      <c r="F202" t="inlineStr">
        <is>
          <t>Övriga Aktiebolag</t>
        </is>
      </c>
      <c r="G202" t="n">
        <v>18.9</v>
      </c>
      <c r="H202" t="n">
        <v>0</v>
      </c>
      <c r="I202" t="n">
        <v>0</v>
      </c>
      <c r="J202" t="n">
        <v>0</v>
      </c>
      <c r="K202" t="n">
        <v>0</v>
      </c>
      <c r="L202" t="n">
        <v>0</v>
      </c>
      <c r="M202" t="n">
        <v>0</v>
      </c>
      <c r="N202" t="n">
        <v>0</v>
      </c>
      <c r="O202" t="n">
        <v>0</v>
      </c>
      <c r="P202" t="n">
        <v>0</v>
      </c>
      <c r="Q202" t="n">
        <v>0</v>
      </c>
      <c r="R202" s="2" t="inlineStr"/>
    </row>
    <row r="203" ht="15" customHeight="1">
      <c r="A203" t="inlineStr">
        <is>
          <t>A 1791-2023</t>
        </is>
      </c>
      <c r="B203" s="1" t="n">
        <v>44938</v>
      </c>
      <c r="C203" s="1" t="n">
        <v>46188</v>
      </c>
      <c r="D203" t="inlineStr">
        <is>
          <t>UPPSALA LÄN</t>
        </is>
      </c>
      <c r="E203" t="inlineStr">
        <is>
          <t>ÖSTHAMMAR</t>
        </is>
      </c>
      <c r="G203" t="n">
        <v>2</v>
      </c>
      <c r="H203" t="n">
        <v>0</v>
      </c>
      <c r="I203" t="n">
        <v>0</v>
      </c>
      <c r="J203" t="n">
        <v>0</v>
      </c>
      <c r="K203" t="n">
        <v>0</v>
      </c>
      <c r="L203" t="n">
        <v>0</v>
      </c>
      <c r="M203" t="n">
        <v>0</v>
      </c>
      <c r="N203" t="n">
        <v>0</v>
      </c>
      <c r="O203" t="n">
        <v>0</v>
      </c>
      <c r="P203" t="n">
        <v>0</v>
      </c>
      <c r="Q203" t="n">
        <v>0</v>
      </c>
      <c r="R203" s="2" t="inlineStr"/>
    </row>
    <row r="204" ht="15" customHeight="1">
      <c r="A204" t="inlineStr">
        <is>
          <t>A 49773-2025</t>
        </is>
      </c>
      <c r="B204" s="1" t="n">
        <v>45940.37303240741</v>
      </c>
      <c r="C204" s="1" t="n">
        <v>46188</v>
      </c>
      <c r="D204" t="inlineStr">
        <is>
          <t>UPPSALA LÄN</t>
        </is>
      </c>
      <c r="E204" t="inlineStr">
        <is>
          <t>ÖSTHAMMAR</t>
        </is>
      </c>
      <c r="G204" t="n">
        <v>3.5</v>
      </c>
      <c r="H204" t="n">
        <v>0</v>
      </c>
      <c r="I204" t="n">
        <v>0</v>
      </c>
      <c r="J204" t="n">
        <v>0</v>
      </c>
      <c r="K204" t="n">
        <v>0</v>
      </c>
      <c r="L204" t="n">
        <v>0</v>
      </c>
      <c r="M204" t="n">
        <v>0</v>
      </c>
      <c r="N204" t="n">
        <v>0</v>
      </c>
      <c r="O204" t="n">
        <v>0</v>
      </c>
      <c r="P204" t="n">
        <v>0</v>
      </c>
      <c r="Q204" t="n">
        <v>0</v>
      </c>
      <c r="R204" s="2" t="inlineStr"/>
    </row>
    <row r="205" ht="15" customHeight="1">
      <c r="A205" t="inlineStr">
        <is>
          <t>A 61261-2022</t>
        </is>
      </c>
      <c r="B205" s="1" t="n">
        <v>44915.59645833333</v>
      </c>
      <c r="C205" s="1" t="n">
        <v>46188</v>
      </c>
      <c r="D205" t="inlineStr">
        <is>
          <t>UPPSALA LÄN</t>
        </is>
      </c>
      <c r="E205" t="inlineStr">
        <is>
          <t>ÖSTHAMMAR</t>
        </is>
      </c>
      <c r="G205" t="n">
        <v>0.4</v>
      </c>
      <c r="H205" t="n">
        <v>0</v>
      </c>
      <c r="I205" t="n">
        <v>0</v>
      </c>
      <c r="J205" t="n">
        <v>0</v>
      </c>
      <c r="K205" t="n">
        <v>0</v>
      </c>
      <c r="L205" t="n">
        <v>0</v>
      </c>
      <c r="M205" t="n">
        <v>0</v>
      </c>
      <c r="N205" t="n">
        <v>0</v>
      </c>
      <c r="O205" t="n">
        <v>0</v>
      </c>
      <c r="P205" t="n">
        <v>0</v>
      </c>
      <c r="Q205" t="n">
        <v>0</v>
      </c>
      <c r="R205" s="2" t="inlineStr"/>
    </row>
    <row r="206" ht="15" customHeight="1">
      <c r="A206" t="inlineStr">
        <is>
          <t>A 49796-2024</t>
        </is>
      </c>
      <c r="B206" s="1" t="n">
        <v>45597</v>
      </c>
      <c r="C206" s="1" t="n">
        <v>46188</v>
      </c>
      <c r="D206" t="inlineStr">
        <is>
          <t>UPPSALA LÄN</t>
        </is>
      </c>
      <c r="E206" t="inlineStr">
        <is>
          <t>ÖSTHAMMAR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14187-2022</t>
        </is>
      </c>
      <c r="B207" s="1" t="n">
        <v>44651.5625</v>
      </c>
      <c r="C207" s="1" t="n">
        <v>46188</v>
      </c>
      <c r="D207" t="inlineStr">
        <is>
          <t>UPPSALA LÄN</t>
        </is>
      </c>
      <c r="E207" t="inlineStr">
        <is>
          <t>ÖSTHAMMAR</t>
        </is>
      </c>
      <c r="F207" t="inlineStr">
        <is>
          <t>Övriga Aktiebolag</t>
        </is>
      </c>
      <c r="G207" t="n">
        <v>14.1</v>
      </c>
      <c r="H207" t="n">
        <v>0</v>
      </c>
      <c r="I207" t="n">
        <v>0</v>
      </c>
      <c r="J207" t="n">
        <v>0</v>
      </c>
      <c r="K207" t="n">
        <v>0</v>
      </c>
      <c r="L207" t="n">
        <v>0</v>
      </c>
      <c r="M207" t="n">
        <v>0</v>
      </c>
      <c r="N207" t="n">
        <v>0</v>
      </c>
      <c r="O207" t="n">
        <v>0</v>
      </c>
      <c r="P207" t="n">
        <v>0</v>
      </c>
      <c r="Q207" t="n">
        <v>0</v>
      </c>
      <c r="R207" s="2" t="inlineStr"/>
    </row>
    <row r="208" ht="15" customHeight="1">
      <c r="A208" t="inlineStr">
        <is>
          <t>A 13093-2022</t>
        </is>
      </c>
      <c r="B208" s="1" t="n">
        <v>44643.93269675926</v>
      </c>
      <c r="C208" s="1" t="n">
        <v>46188</v>
      </c>
      <c r="D208" t="inlineStr">
        <is>
          <t>UPPSALA LÄN</t>
        </is>
      </c>
      <c r="E208" t="inlineStr">
        <is>
          <t>ÖSTHAMMAR</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51156-2025</t>
        </is>
      </c>
      <c r="B209" s="1" t="n">
        <v>45947.57833333333</v>
      </c>
      <c r="C209" s="1" t="n">
        <v>46188</v>
      </c>
      <c r="D209" t="inlineStr">
        <is>
          <t>UPPSALA LÄN</t>
        </is>
      </c>
      <c r="E209" t="inlineStr">
        <is>
          <t>ÖSTHAMMAR</t>
        </is>
      </c>
      <c r="F209" t="inlineStr">
        <is>
          <t>Allmännings- och besparingsskogar</t>
        </is>
      </c>
      <c r="G209" t="n">
        <v>2.8</v>
      </c>
      <c r="H209" t="n">
        <v>0</v>
      </c>
      <c r="I209" t="n">
        <v>0</v>
      </c>
      <c r="J209" t="n">
        <v>0</v>
      </c>
      <c r="K209" t="n">
        <v>0</v>
      </c>
      <c r="L209" t="n">
        <v>0</v>
      </c>
      <c r="M209" t="n">
        <v>0</v>
      </c>
      <c r="N209" t="n">
        <v>0</v>
      </c>
      <c r="O209" t="n">
        <v>0</v>
      </c>
      <c r="P209" t="n">
        <v>0</v>
      </c>
      <c r="Q209" t="n">
        <v>0</v>
      </c>
      <c r="R209" s="2" t="inlineStr"/>
    </row>
    <row r="210" ht="15" customHeight="1">
      <c r="A210" t="inlineStr">
        <is>
          <t>A 51379-2025</t>
        </is>
      </c>
      <c r="B210" s="1" t="n">
        <v>45950.45677083333</v>
      </c>
      <c r="C210" s="1" t="n">
        <v>46188</v>
      </c>
      <c r="D210" t="inlineStr">
        <is>
          <t>UPPSALA LÄN</t>
        </is>
      </c>
      <c r="E210" t="inlineStr">
        <is>
          <t>ÖSTHAMMAR</t>
        </is>
      </c>
      <c r="G210" t="n">
        <v>2.1</v>
      </c>
      <c r="H210" t="n">
        <v>0</v>
      </c>
      <c r="I210" t="n">
        <v>0</v>
      </c>
      <c r="J210" t="n">
        <v>0</v>
      </c>
      <c r="K210" t="n">
        <v>0</v>
      </c>
      <c r="L210" t="n">
        <v>0</v>
      </c>
      <c r="M210" t="n">
        <v>0</v>
      </c>
      <c r="N210" t="n">
        <v>0</v>
      </c>
      <c r="O210" t="n">
        <v>0</v>
      </c>
      <c r="P210" t="n">
        <v>0</v>
      </c>
      <c r="Q210" t="n">
        <v>0</v>
      </c>
      <c r="R210" s="2" t="inlineStr"/>
    </row>
    <row r="211" ht="15" customHeight="1">
      <c r="A211" t="inlineStr">
        <is>
          <t>A 51255-2025</t>
        </is>
      </c>
      <c r="B211" s="1" t="n">
        <v>45949.00917824074</v>
      </c>
      <c r="C211" s="1" t="n">
        <v>46188</v>
      </c>
      <c r="D211" t="inlineStr">
        <is>
          <t>UPPSALA LÄN</t>
        </is>
      </c>
      <c r="E211" t="inlineStr">
        <is>
          <t>ÖSTHAMMAR</t>
        </is>
      </c>
      <c r="G211" t="n">
        <v>1.4</v>
      </c>
      <c r="H211" t="n">
        <v>0</v>
      </c>
      <c r="I211" t="n">
        <v>0</v>
      </c>
      <c r="J211" t="n">
        <v>0</v>
      </c>
      <c r="K211" t="n">
        <v>0</v>
      </c>
      <c r="L211" t="n">
        <v>0</v>
      </c>
      <c r="M211" t="n">
        <v>0</v>
      </c>
      <c r="N211" t="n">
        <v>0</v>
      </c>
      <c r="O211" t="n">
        <v>0</v>
      </c>
      <c r="P211" t="n">
        <v>0</v>
      </c>
      <c r="Q211" t="n">
        <v>0</v>
      </c>
      <c r="R211" s="2" t="inlineStr"/>
    </row>
    <row r="212" ht="15" customHeight="1">
      <c r="A212" t="inlineStr">
        <is>
          <t>A 51708-2025</t>
        </is>
      </c>
      <c r="B212" s="1" t="n">
        <v>45951.56679398148</v>
      </c>
      <c r="C212" s="1" t="n">
        <v>46188</v>
      </c>
      <c r="D212" t="inlineStr">
        <is>
          <t>UPPSALA LÄN</t>
        </is>
      </c>
      <c r="E212" t="inlineStr">
        <is>
          <t>ÖSTHAMMAR</t>
        </is>
      </c>
      <c r="F212" t="inlineStr">
        <is>
          <t>Bergvik skog öst AB</t>
        </is>
      </c>
      <c r="G212" t="n">
        <v>1.3</v>
      </c>
      <c r="H212" t="n">
        <v>0</v>
      </c>
      <c r="I212" t="n">
        <v>0</v>
      </c>
      <c r="J212" t="n">
        <v>0</v>
      </c>
      <c r="K212" t="n">
        <v>0</v>
      </c>
      <c r="L212" t="n">
        <v>0</v>
      </c>
      <c r="M212" t="n">
        <v>0</v>
      </c>
      <c r="N212" t="n">
        <v>0</v>
      </c>
      <c r="O212" t="n">
        <v>0</v>
      </c>
      <c r="P212" t="n">
        <v>0</v>
      </c>
      <c r="Q212" t="n">
        <v>0</v>
      </c>
      <c r="R212" s="2" t="inlineStr"/>
    </row>
    <row r="213" ht="15" customHeight="1">
      <c r="A213" t="inlineStr">
        <is>
          <t>A 51266-2025</t>
        </is>
      </c>
      <c r="B213" s="1" t="n">
        <v>45949.71568287037</v>
      </c>
      <c r="C213" s="1" t="n">
        <v>46188</v>
      </c>
      <c r="D213" t="inlineStr">
        <is>
          <t>UPPSALA LÄN</t>
        </is>
      </c>
      <c r="E213" t="inlineStr">
        <is>
          <t>ÖSTHAMMAR</t>
        </is>
      </c>
      <c r="F213" t="inlineStr">
        <is>
          <t>Bergvik skog öst AB</t>
        </is>
      </c>
      <c r="G213" t="n">
        <v>4.7</v>
      </c>
      <c r="H213" t="n">
        <v>0</v>
      </c>
      <c r="I213" t="n">
        <v>0</v>
      </c>
      <c r="J213" t="n">
        <v>0</v>
      </c>
      <c r="K213" t="n">
        <v>0</v>
      </c>
      <c r="L213" t="n">
        <v>0</v>
      </c>
      <c r="M213" t="n">
        <v>0</v>
      </c>
      <c r="N213" t="n">
        <v>0</v>
      </c>
      <c r="O213" t="n">
        <v>0</v>
      </c>
      <c r="P213" t="n">
        <v>0</v>
      </c>
      <c r="Q213" t="n">
        <v>0</v>
      </c>
      <c r="R213" s="2" t="inlineStr"/>
    </row>
    <row r="214" ht="15" customHeight="1">
      <c r="A214" t="inlineStr">
        <is>
          <t>A 51254-2025</t>
        </is>
      </c>
      <c r="B214" s="1" t="n">
        <v>45948.99313657408</v>
      </c>
      <c r="C214" s="1" t="n">
        <v>46188</v>
      </c>
      <c r="D214" t="inlineStr">
        <is>
          <t>UPPSALA LÄN</t>
        </is>
      </c>
      <c r="E214" t="inlineStr">
        <is>
          <t>ÖSTHAMMAR</t>
        </is>
      </c>
      <c r="G214" t="n">
        <v>8.9</v>
      </c>
      <c r="H214" t="n">
        <v>0</v>
      </c>
      <c r="I214" t="n">
        <v>0</v>
      </c>
      <c r="J214" t="n">
        <v>0</v>
      </c>
      <c r="K214" t="n">
        <v>0</v>
      </c>
      <c r="L214" t="n">
        <v>0</v>
      </c>
      <c r="M214" t="n">
        <v>0</v>
      </c>
      <c r="N214" t="n">
        <v>0</v>
      </c>
      <c r="O214" t="n">
        <v>0</v>
      </c>
      <c r="P214" t="n">
        <v>0</v>
      </c>
      <c r="Q214" t="n">
        <v>0</v>
      </c>
      <c r="R214" s="2" t="inlineStr"/>
    </row>
    <row r="215" ht="15" customHeight="1">
      <c r="A215" t="inlineStr">
        <is>
          <t>A 19009-2023</t>
        </is>
      </c>
      <c r="B215" s="1" t="n">
        <v>45045</v>
      </c>
      <c r="C215" s="1" t="n">
        <v>46188</v>
      </c>
      <c r="D215" t="inlineStr">
        <is>
          <t>UPPSALA LÄN</t>
        </is>
      </c>
      <c r="E215" t="inlineStr">
        <is>
          <t>ÖSTHAMMAR</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51265-2025</t>
        </is>
      </c>
      <c r="B216" s="1" t="n">
        <v>45949.70971064815</v>
      </c>
      <c r="C216" s="1" t="n">
        <v>46188</v>
      </c>
      <c r="D216" t="inlineStr">
        <is>
          <t>UPPSALA LÄN</t>
        </is>
      </c>
      <c r="E216" t="inlineStr">
        <is>
          <t>ÖSTHAMMAR</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6143-2022</t>
        </is>
      </c>
      <c r="B217" s="1" t="n">
        <v>44599.72306712963</v>
      </c>
      <c r="C217" s="1" t="n">
        <v>46188</v>
      </c>
      <c r="D217" t="inlineStr">
        <is>
          <t>UPPSALA LÄN</t>
        </is>
      </c>
      <c r="E217" t="inlineStr">
        <is>
          <t>ÖSTHAMMAR</t>
        </is>
      </c>
      <c r="G217" t="n">
        <v>3.4</v>
      </c>
      <c r="H217" t="n">
        <v>0</v>
      </c>
      <c r="I217" t="n">
        <v>0</v>
      </c>
      <c r="J217" t="n">
        <v>0</v>
      </c>
      <c r="K217" t="n">
        <v>0</v>
      </c>
      <c r="L217" t="n">
        <v>0</v>
      </c>
      <c r="M217" t="n">
        <v>0</v>
      </c>
      <c r="N217" t="n">
        <v>0</v>
      </c>
      <c r="O217" t="n">
        <v>0</v>
      </c>
      <c r="P217" t="n">
        <v>0</v>
      </c>
      <c r="Q217" t="n">
        <v>0</v>
      </c>
      <c r="R217" s="2" t="inlineStr"/>
    </row>
    <row r="218" ht="15" customHeight="1">
      <c r="A218" t="inlineStr">
        <is>
          <t>A 6153-2022</t>
        </is>
      </c>
      <c r="B218" s="1" t="n">
        <v>44599</v>
      </c>
      <c r="C218" s="1" t="n">
        <v>46188</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42213-2025</t>
        </is>
      </c>
      <c r="B219" s="1" t="n">
        <v>45904.50652777778</v>
      </c>
      <c r="C219" s="1" t="n">
        <v>46188</v>
      </c>
      <c r="D219" t="inlineStr">
        <is>
          <t>UPPSALA LÄN</t>
        </is>
      </c>
      <c r="E219" t="inlineStr">
        <is>
          <t>ÖSTHAMMAR</t>
        </is>
      </c>
      <c r="G219" t="n">
        <v>0.8</v>
      </c>
      <c r="H219" t="n">
        <v>0</v>
      </c>
      <c r="I219" t="n">
        <v>0</v>
      </c>
      <c r="J219" t="n">
        <v>0</v>
      </c>
      <c r="K219" t="n">
        <v>0</v>
      </c>
      <c r="L219" t="n">
        <v>0</v>
      </c>
      <c r="M219" t="n">
        <v>0</v>
      </c>
      <c r="N219" t="n">
        <v>0</v>
      </c>
      <c r="O219" t="n">
        <v>0</v>
      </c>
      <c r="P219" t="n">
        <v>0</v>
      </c>
      <c r="Q219" t="n">
        <v>0</v>
      </c>
      <c r="R219" s="2" t="inlineStr"/>
    </row>
    <row r="220" ht="15" customHeight="1">
      <c r="A220" t="inlineStr">
        <is>
          <t>A 40384-2025</t>
        </is>
      </c>
      <c r="B220" s="1" t="n">
        <v>45895.54085648148</v>
      </c>
      <c r="C220" s="1" t="n">
        <v>46188</v>
      </c>
      <c r="D220" t="inlineStr">
        <is>
          <t>UPPSALA LÄN</t>
        </is>
      </c>
      <c r="E220" t="inlineStr">
        <is>
          <t>ÖSTHAMMAR</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40382-2025</t>
        </is>
      </c>
      <c r="B221" s="1" t="n">
        <v>45895.53689814815</v>
      </c>
      <c r="C221" s="1" t="n">
        <v>46188</v>
      </c>
      <c r="D221" t="inlineStr">
        <is>
          <t>UPPSALA LÄN</t>
        </is>
      </c>
      <c r="E221" t="inlineStr">
        <is>
          <t>ÖSTHAMMAR</t>
        </is>
      </c>
      <c r="G221" t="n">
        <v>2.2</v>
      </c>
      <c r="H221" t="n">
        <v>0</v>
      </c>
      <c r="I221" t="n">
        <v>0</v>
      </c>
      <c r="J221" t="n">
        <v>0</v>
      </c>
      <c r="K221" t="n">
        <v>0</v>
      </c>
      <c r="L221" t="n">
        <v>0</v>
      </c>
      <c r="M221" t="n">
        <v>0</v>
      </c>
      <c r="N221" t="n">
        <v>0</v>
      </c>
      <c r="O221" t="n">
        <v>0</v>
      </c>
      <c r="P221" t="n">
        <v>0</v>
      </c>
      <c r="Q221" t="n">
        <v>0</v>
      </c>
      <c r="R221" s="2" t="inlineStr"/>
    </row>
    <row r="222" ht="15" customHeight="1">
      <c r="A222" t="inlineStr">
        <is>
          <t>A 40460-2025</t>
        </is>
      </c>
      <c r="B222" s="1" t="n">
        <v>45895.65013888889</v>
      </c>
      <c r="C222" s="1" t="n">
        <v>46188</v>
      </c>
      <c r="D222" t="inlineStr">
        <is>
          <t>UPPSALA LÄN</t>
        </is>
      </c>
      <c r="E222" t="inlineStr">
        <is>
          <t>ÖSTHAMMAR</t>
        </is>
      </c>
      <c r="G222" t="n">
        <v>2.7</v>
      </c>
      <c r="H222" t="n">
        <v>0</v>
      </c>
      <c r="I222" t="n">
        <v>0</v>
      </c>
      <c r="J222" t="n">
        <v>0</v>
      </c>
      <c r="K222" t="n">
        <v>0</v>
      </c>
      <c r="L222" t="n">
        <v>0</v>
      </c>
      <c r="M222" t="n">
        <v>0</v>
      </c>
      <c r="N222" t="n">
        <v>0</v>
      </c>
      <c r="O222" t="n">
        <v>0</v>
      </c>
      <c r="P222" t="n">
        <v>0</v>
      </c>
      <c r="Q222" t="n">
        <v>0</v>
      </c>
      <c r="R222" s="2" t="inlineStr"/>
    </row>
    <row r="223" ht="15" customHeight="1">
      <c r="A223" t="inlineStr">
        <is>
          <t>A 40462-2025</t>
        </is>
      </c>
      <c r="B223" s="1" t="n">
        <v>45895.65179398148</v>
      </c>
      <c r="C223" s="1" t="n">
        <v>46188</v>
      </c>
      <c r="D223" t="inlineStr">
        <is>
          <t>UPPSALA LÄN</t>
        </is>
      </c>
      <c r="E223" t="inlineStr">
        <is>
          <t>ÖSTHAMMAR</t>
        </is>
      </c>
      <c r="G223" t="n">
        <v>4.5</v>
      </c>
      <c r="H223" t="n">
        <v>0</v>
      </c>
      <c r="I223" t="n">
        <v>0</v>
      </c>
      <c r="J223" t="n">
        <v>0</v>
      </c>
      <c r="K223" t="n">
        <v>0</v>
      </c>
      <c r="L223" t="n">
        <v>0</v>
      </c>
      <c r="M223" t="n">
        <v>0</v>
      </c>
      <c r="N223" t="n">
        <v>0</v>
      </c>
      <c r="O223" t="n">
        <v>0</v>
      </c>
      <c r="P223" t="n">
        <v>0</v>
      </c>
      <c r="Q223" t="n">
        <v>0</v>
      </c>
      <c r="R223" s="2" t="inlineStr"/>
    </row>
    <row r="224" ht="15" customHeight="1">
      <c r="A224" t="inlineStr">
        <is>
          <t>A 42262-2024</t>
        </is>
      </c>
      <c r="B224" s="1" t="n">
        <v>45562</v>
      </c>
      <c r="C224" s="1" t="n">
        <v>46188</v>
      </c>
      <c r="D224" t="inlineStr">
        <is>
          <t>UPPSALA LÄN</t>
        </is>
      </c>
      <c r="E224" t="inlineStr">
        <is>
          <t>ÖSTHAMMAR</t>
        </is>
      </c>
      <c r="F224" t="inlineStr">
        <is>
          <t>Bergvik skog öst AB</t>
        </is>
      </c>
      <c r="G224" t="n">
        <v>1.7</v>
      </c>
      <c r="H224" t="n">
        <v>0</v>
      </c>
      <c r="I224" t="n">
        <v>0</v>
      </c>
      <c r="J224" t="n">
        <v>0</v>
      </c>
      <c r="K224" t="n">
        <v>0</v>
      </c>
      <c r="L224" t="n">
        <v>0</v>
      </c>
      <c r="M224" t="n">
        <v>0</v>
      </c>
      <c r="N224" t="n">
        <v>0</v>
      </c>
      <c r="O224" t="n">
        <v>0</v>
      </c>
      <c r="P224" t="n">
        <v>0</v>
      </c>
      <c r="Q224" t="n">
        <v>0</v>
      </c>
      <c r="R224" s="2" t="inlineStr"/>
    </row>
    <row r="225" ht="15" customHeight="1">
      <c r="A225" t="inlineStr">
        <is>
          <t>A 53961-2025</t>
        </is>
      </c>
      <c r="B225" s="1" t="n">
        <v>45961</v>
      </c>
      <c r="C225" s="1" t="n">
        <v>46188</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53735-2025</t>
        </is>
      </c>
      <c r="B226" s="1" t="n">
        <v>45960.64431712963</v>
      </c>
      <c r="C226" s="1" t="n">
        <v>46188</v>
      </c>
      <c r="D226" t="inlineStr">
        <is>
          <t>UPPSALA LÄN</t>
        </is>
      </c>
      <c r="E226" t="inlineStr">
        <is>
          <t>ÖSTHAMMAR</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53737-2025</t>
        </is>
      </c>
      <c r="B227" s="1" t="n">
        <v>45960.64520833334</v>
      </c>
      <c r="C227" s="1" t="n">
        <v>46188</v>
      </c>
      <c r="D227" t="inlineStr">
        <is>
          <t>UPPSALA LÄN</t>
        </is>
      </c>
      <c r="E227" t="inlineStr">
        <is>
          <t>ÖSTHAMMAR</t>
        </is>
      </c>
      <c r="F227" t="inlineStr">
        <is>
          <t>Bergvik skog öst AB</t>
        </is>
      </c>
      <c r="G227" t="n">
        <v>3</v>
      </c>
      <c r="H227" t="n">
        <v>0</v>
      </c>
      <c r="I227" t="n">
        <v>0</v>
      </c>
      <c r="J227" t="n">
        <v>0</v>
      </c>
      <c r="K227" t="n">
        <v>0</v>
      </c>
      <c r="L227" t="n">
        <v>0</v>
      </c>
      <c r="M227" t="n">
        <v>0</v>
      </c>
      <c r="N227" t="n">
        <v>0</v>
      </c>
      <c r="O227" t="n">
        <v>0</v>
      </c>
      <c r="P227" t="n">
        <v>0</v>
      </c>
      <c r="Q227" t="n">
        <v>0</v>
      </c>
      <c r="R227" s="2" t="inlineStr"/>
    </row>
    <row r="228" ht="15" customHeight="1">
      <c r="A228" t="inlineStr">
        <is>
          <t>A 40416-2025</t>
        </is>
      </c>
      <c r="B228" s="1" t="n">
        <v>45895.57736111111</v>
      </c>
      <c r="C228" s="1" t="n">
        <v>46188</v>
      </c>
      <c r="D228" t="inlineStr">
        <is>
          <t>UPPSALA LÄN</t>
        </is>
      </c>
      <c r="E228" t="inlineStr">
        <is>
          <t>ÖSTHAMMAR</t>
        </is>
      </c>
      <c r="G228" t="n">
        <v>0.4</v>
      </c>
      <c r="H228" t="n">
        <v>0</v>
      </c>
      <c r="I228" t="n">
        <v>0</v>
      </c>
      <c r="J228" t="n">
        <v>0</v>
      </c>
      <c r="K228" t="n">
        <v>0</v>
      </c>
      <c r="L228" t="n">
        <v>0</v>
      </c>
      <c r="M228" t="n">
        <v>0</v>
      </c>
      <c r="N228" t="n">
        <v>0</v>
      </c>
      <c r="O228" t="n">
        <v>0</v>
      </c>
      <c r="P228" t="n">
        <v>0</v>
      </c>
      <c r="Q228" t="n">
        <v>0</v>
      </c>
      <c r="R228" s="2" t="inlineStr"/>
    </row>
    <row r="229" ht="15" customHeight="1">
      <c r="A229" t="inlineStr">
        <is>
          <t>A 21522-2022</t>
        </is>
      </c>
      <c r="B229" s="1" t="n">
        <v>44706</v>
      </c>
      <c r="C229" s="1" t="n">
        <v>46188</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40570-2025</t>
        </is>
      </c>
      <c r="B230" s="1" t="n">
        <v>45896.47878472223</v>
      </c>
      <c r="C230" s="1" t="n">
        <v>46188</v>
      </c>
      <c r="D230" t="inlineStr">
        <is>
          <t>UPPSALA LÄN</t>
        </is>
      </c>
      <c r="E230" t="inlineStr">
        <is>
          <t>ÖSTHAMMAR</t>
        </is>
      </c>
      <c r="F230" t="inlineStr">
        <is>
          <t>Övriga Aktiebolag</t>
        </is>
      </c>
      <c r="G230" t="n">
        <v>4.8</v>
      </c>
      <c r="H230" t="n">
        <v>0</v>
      </c>
      <c r="I230" t="n">
        <v>0</v>
      </c>
      <c r="J230" t="n">
        <v>0</v>
      </c>
      <c r="K230" t="n">
        <v>0</v>
      </c>
      <c r="L230" t="n">
        <v>0</v>
      </c>
      <c r="M230" t="n">
        <v>0</v>
      </c>
      <c r="N230" t="n">
        <v>0</v>
      </c>
      <c r="O230" t="n">
        <v>0</v>
      </c>
      <c r="P230" t="n">
        <v>0</v>
      </c>
      <c r="Q230" t="n">
        <v>0</v>
      </c>
      <c r="R230" s="2" t="inlineStr"/>
    </row>
    <row r="231" ht="15" customHeight="1">
      <c r="A231" t="inlineStr">
        <is>
          <t>A 35474-2023</t>
        </is>
      </c>
      <c r="B231" s="1" t="n">
        <v>45146.68921296296</v>
      </c>
      <c r="C231" s="1" t="n">
        <v>46188</v>
      </c>
      <c r="D231" t="inlineStr">
        <is>
          <t>UPPSALA LÄN</t>
        </is>
      </c>
      <c r="E231" t="inlineStr">
        <is>
          <t>ÖSTHAMMAR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31035-2022</t>
        </is>
      </c>
      <c r="B232" s="1" t="n">
        <v>44768.88685185185</v>
      </c>
      <c r="C232" s="1" t="n">
        <v>46188</v>
      </c>
      <c r="D232" t="inlineStr">
        <is>
          <t>UPPSALA LÄN</t>
        </is>
      </c>
      <c r="E232" t="inlineStr">
        <is>
          <t>ÖSTHAMMAR</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54647-2025</t>
        </is>
      </c>
      <c r="B233" s="1" t="n">
        <v>45966.37258101852</v>
      </c>
      <c r="C233" s="1" t="n">
        <v>46188</v>
      </c>
      <c r="D233" t="inlineStr">
        <is>
          <t>UPPSALA LÄN</t>
        </is>
      </c>
      <c r="E233" t="inlineStr">
        <is>
          <t>ÖSTHAMMAR</t>
        </is>
      </c>
      <c r="G233" t="n">
        <v>4.3</v>
      </c>
      <c r="H233" t="n">
        <v>0</v>
      </c>
      <c r="I233" t="n">
        <v>0</v>
      </c>
      <c r="J233" t="n">
        <v>0</v>
      </c>
      <c r="K233" t="n">
        <v>0</v>
      </c>
      <c r="L233" t="n">
        <v>0</v>
      </c>
      <c r="M233" t="n">
        <v>0</v>
      </c>
      <c r="N233" t="n">
        <v>0</v>
      </c>
      <c r="O233" t="n">
        <v>0</v>
      </c>
      <c r="P233" t="n">
        <v>0</v>
      </c>
      <c r="Q233" t="n">
        <v>0</v>
      </c>
      <c r="R233" s="2" t="inlineStr"/>
    </row>
    <row r="234" ht="15" customHeight="1">
      <c r="A234" t="inlineStr">
        <is>
          <t>A 14124-2022</t>
        </is>
      </c>
      <c r="B234" s="1" t="n">
        <v>44651.40924768519</v>
      </c>
      <c r="C234" s="1" t="n">
        <v>46188</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58324-2023</t>
        </is>
      </c>
      <c r="B235" s="1" t="n">
        <v>45250.58635416667</v>
      </c>
      <c r="C235" s="1" t="n">
        <v>46188</v>
      </c>
      <c r="D235" t="inlineStr">
        <is>
          <t>UPPSALA LÄN</t>
        </is>
      </c>
      <c r="E235" t="inlineStr">
        <is>
          <t>ÖSTHAMMAR</t>
        </is>
      </c>
      <c r="G235" t="n">
        <v>5.1</v>
      </c>
      <c r="H235" t="n">
        <v>0</v>
      </c>
      <c r="I235" t="n">
        <v>0</v>
      </c>
      <c r="J235" t="n">
        <v>0</v>
      </c>
      <c r="K235" t="n">
        <v>0</v>
      </c>
      <c r="L235" t="n">
        <v>0</v>
      </c>
      <c r="M235" t="n">
        <v>0</v>
      </c>
      <c r="N235" t="n">
        <v>0</v>
      </c>
      <c r="O235" t="n">
        <v>0</v>
      </c>
      <c r="P235" t="n">
        <v>0</v>
      </c>
      <c r="Q235" t="n">
        <v>0</v>
      </c>
      <c r="R235" s="2" t="inlineStr"/>
    </row>
    <row r="236" ht="15" customHeight="1">
      <c r="A236" t="inlineStr">
        <is>
          <t>A 54649-2025</t>
        </is>
      </c>
      <c r="B236" s="1" t="n">
        <v>45966.37548611111</v>
      </c>
      <c r="C236" s="1" t="n">
        <v>46188</v>
      </c>
      <c r="D236" t="inlineStr">
        <is>
          <t>UPPSALA LÄN</t>
        </is>
      </c>
      <c r="E236" t="inlineStr">
        <is>
          <t>ÖSTHAMMAR</t>
        </is>
      </c>
      <c r="G236" t="n">
        <v>0.5</v>
      </c>
      <c r="H236" t="n">
        <v>0</v>
      </c>
      <c r="I236" t="n">
        <v>0</v>
      </c>
      <c r="J236" t="n">
        <v>0</v>
      </c>
      <c r="K236" t="n">
        <v>0</v>
      </c>
      <c r="L236" t="n">
        <v>0</v>
      </c>
      <c r="M236" t="n">
        <v>0</v>
      </c>
      <c r="N236" t="n">
        <v>0</v>
      </c>
      <c r="O236" t="n">
        <v>0</v>
      </c>
      <c r="P236" t="n">
        <v>0</v>
      </c>
      <c r="Q236" t="n">
        <v>0</v>
      </c>
      <c r="R236" s="2" t="inlineStr"/>
    </row>
    <row r="237" ht="15" customHeight="1">
      <c r="A237" t="inlineStr">
        <is>
          <t>A 36954-2024</t>
        </is>
      </c>
      <c r="B237" s="1" t="n">
        <v>45538.71109953704</v>
      </c>
      <c r="C237" s="1" t="n">
        <v>46188</v>
      </c>
      <c r="D237" t="inlineStr">
        <is>
          <t>UPPSALA LÄN</t>
        </is>
      </c>
      <c r="E237" t="inlineStr">
        <is>
          <t>ÖSTHAMMAR</t>
        </is>
      </c>
      <c r="F237" t="inlineStr">
        <is>
          <t>Bergvik skog öst AB</t>
        </is>
      </c>
      <c r="G237" t="n">
        <v>5.1</v>
      </c>
      <c r="H237" t="n">
        <v>0</v>
      </c>
      <c r="I237" t="n">
        <v>0</v>
      </c>
      <c r="J237" t="n">
        <v>0</v>
      </c>
      <c r="K237" t="n">
        <v>0</v>
      </c>
      <c r="L237" t="n">
        <v>0</v>
      </c>
      <c r="M237" t="n">
        <v>0</v>
      </c>
      <c r="N237" t="n">
        <v>0</v>
      </c>
      <c r="O237" t="n">
        <v>0</v>
      </c>
      <c r="P237" t="n">
        <v>0</v>
      </c>
      <c r="Q237" t="n">
        <v>0</v>
      </c>
      <c r="R237" s="2" t="inlineStr"/>
    </row>
    <row r="238" ht="15" customHeight="1">
      <c r="A238" t="inlineStr">
        <is>
          <t>A 24401-2025</t>
        </is>
      </c>
      <c r="B238" s="1" t="n">
        <v>45797.64908564815</v>
      </c>
      <c r="C238" s="1" t="n">
        <v>46188</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24408-2025</t>
        </is>
      </c>
      <c r="B239" s="1" t="n">
        <v>45797.65774305556</v>
      </c>
      <c r="C239" s="1" t="n">
        <v>46188</v>
      </c>
      <c r="D239" t="inlineStr">
        <is>
          <t>UPPSALA LÄN</t>
        </is>
      </c>
      <c r="E239" t="inlineStr">
        <is>
          <t>ÖSTHAMMAR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33685-2024</t>
        </is>
      </c>
      <c r="B240" s="1" t="n">
        <v>45520.51063657407</v>
      </c>
      <c r="C240" s="1" t="n">
        <v>46188</v>
      </c>
      <c r="D240" t="inlineStr">
        <is>
          <t>UPPSALA LÄN</t>
        </is>
      </c>
      <c r="E240" t="inlineStr">
        <is>
          <t>ÖSTHAMMAR</t>
        </is>
      </c>
      <c r="F240" t="inlineStr">
        <is>
          <t>Bergvik skog öst AB</t>
        </is>
      </c>
      <c r="G240" t="n">
        <v>3.8</v>
      </c>
      <c r="H240" t="n">
        <v>0</v>
      </c>
      <c r="I240" t="n">
        <v>0</v>
      </c>
      <c r="J240" t="n">
        <v>0</v>
      </c>
      <c r="K240" t="n">
        <v>0</v>
      </c>
      <c r="L240" t="n">
        <v>0</v>
      </c>
      <c r="M240" t="n">
        <v>0</v>
      </c>
      <c r="N240" t="n">
        <v>0</v>
      </c>
      <c r="O240" t="n">
        <v>0</v>
      </c>
      <c r="P240" t="n">
        <v>0</v>
      </c>
      <c r="Q240" t="n">
        <v>0</v>
      </c>
      <c r="R240" s="2" t="inlineStr"/>
    </row>
    <row r="241" ht="15" customHeight="1">
      <c r="A241" t="inlineStr">
        <is>
          <t>A 43655-2024</t>
        </is>
      </c>
      <c r="B241" s="1" t="n">
        <v>45569</v>
      </c>
      <c r="C241" s="1" t="n">
        <v>46188</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14595-2023</t>
        </is>
      </c>
      <c r="B242" s="1" t="n">
        <v>45013.57858796296</v>
      </c>
      <c r="C242" s="1" t="n">
        <v>46188</v>
      </c>
      <c r="D242" t="inlineStr">
        <is>
          <t>UPPSALA LÄN</t>
        </is>
      </c>
      <c r="E242" t="inlineStr">
        <is>
          <t>ÖSTHAMMAR</t>
        </is>
      </c>
      <c r="G242" t="n">
        <v>5</v>
      </c>
      <c r="H242" t="n">
        <v>0</v>
      </c>
      <c r="I242" t="n">
        <v>0</v>
      </c>
      <c r="J242" t="n">
        <v>0</v>
      </c>
      <c r="K242" t="n">
        <v>0</v>
      </c>
      <c r="L242" t="n">
        <v>0</v>
      </c>
      <c r="M242" t="n">
        <v>0</v>
      </c>
      <c r="N242" t="n">
        <v>0</v>
      </c>
      <c r="O242" t="n">
        <v>0</v>
      </c>
      <c r="P242" t="n">
        <v>0</v>
      </c>
      <c r="Q242" t="n">
        <v>0</v>
      </c>
      <c r="R242" s="2" t="inlineStr"/>
    </row>
    <row r="243" ht="15" customHeight="1">
      <c r="A243" t="inlineStr">
        <is>
          <t>A 32483-2024</t>
        </is>
      </c>
      <c r="B243" s="1" t="n">
        <v>45513.36644675926</v>
      </c>
      <c r="C243" s="1" t="n">
        <v>46188</v>
      </c>
      <c r="D243" t="inlineStr">
        <is>
          <t>UPPSALA LÄN</t>
        </is>
      </c>
      <c r="E243" t="inlineStr">
        <is>
          <t>ÖSTHAMMAR</t>
        </is>
      </c>
      <c r="F243" t="inlineStr">
        <is>
          <t>Kyrkan</t>
        </is>
      </c>
      <c r="G243" t="n">
        <v>4.7</v>
      </c>
      <c r="H243" t="n">
        <v>0</v>
      </c>
      <c r="I243" t="n">
        <v>0</v>
      </c>
      <c r="J243" t="n">
        <v>0</v>
      </c>
      <c r="K243" t="n">
        <v>0</v>
      </c>
      <c r="L243" t="n">
        <v>0</v>
      </c>
      <c r="M243" t="n">
        <v>0</v>
      </c>
      <c r="N243" t="n">
        <v>0</v>
      </c>
      <c r="O243" t="n">
        <v>0</v>
      </c>
      <c r="P243" t="n">
        <v>0</v>
      </c>
      <c r="Q243" t="n">
        <v>0</v>
      </c>
      <c r="R243" s="2" t="inlineStr"/>
    </row>
    <row r="244" ht="15" customHeight="1">
      <c r="A244" t="inlineStr">
        <is>
          <t>A 38575-2024</t>
        </is>
      </c>
      <c r="B244" s="1" t="n">
        <v>45546.64221064815</v>
      </c>
      <c r="C244" s="1" t="n">
        <v>46188</v>
      </c>
      <c r="D244" t="inlineStr">
        <is>
          <t>UPPSALA LÄN</t>
        </is>
      </c>
      <c r="E244" t="inlineStr">
        <is>
          <t>ÖSTHAMMAR</t>
        </is>
      </c>
      <c r="F244" t="inlineStr">
        <is>
          <t>Bergvik skog öst AB</t>
        </is>
      </c>
      <c r="G244" t="n">
        <v>5.1</v>
      </c>
      <c r="H244" t="n">
        <v>0</v>
      </c>
      <c r="I244" t="n">
        <v>0</v>
      </c>
      <c r="J244" t="n">
        <v>0</v>
      </c>
      <c r="K244" t="n">
        <v>0</v>
      </c>
      <c r="L244" t="n">
        <v>0</v>
      </c>
      <c r="M244" t="n">
        <v>0</v>
      </c>
      <c r="N244" t="n">
        <v>0</v>
      </c>
      <c r="O244" t="n">
        <v>0</v>
      </c>
      <c r="P244" t="n">
        <v>0</v>
      </c>
      <c r="Q244" t="n">
        <v>0</v>
      </c>
      <c r="R244" s="2" t="inlineStr"/>
    </row>
    <row r="245" ht="15" customHeight="1">
      <c r="A245" t="inlineStr">
        <is>
          <t>A 24389-2025</t>
        </is>
      </c>
      <c r="B245" s="1" t="n">
        <v>45797.63553240741</v>
      </c>
      <c r="C245" s="1" t="n">
        <v>46188</v>
      </c>
      <c r="D245" t="inlineStr">
        <is>
          <t>UPPSALA LÄN</t>
        </is>
      </c>
      <c r="E245" t="inlineStr">
        <is>
          <t>ÖSTHAMMAR</t>
        </is>
      </c>
      <c r="G245" t="n">
        <v>1.1</v>
      </c>
      <c r="H245" t="n">
        <v>0</v>
      </c>
      <c r="I245" t="n">
        <v>0</v>
      </c>
      <c r="J245" t="n">
        <v>0</v>
      </c>
      <c r="K245" t="n">
        <v>0</v>
      </c>
      <c r="L245" t="n">
        <v>0</v>
      </c>
      <c r="M245" t="n">
        <v>0</v>
      </c>
      <c r="N245" t="n">
        <v>0</v>
      </c>
      <c r="O245" t="n">
        <v>0</v>
      </c>
      <c r="P245" t="n">
        <v>0</v>
      </c>
      <c r="Q245" t="n">
        <v>0</v>
      </c>
      <c r="R245" s="2" t="inlineStr"/>
    </row>
    <row r="246" ht="15" customHeight="1">
      <c r="A246" t="inlineStr">
        <is>
          <t>A 43685-2024</t>
        </is>
      </c>
      <c r="B246" s="1" t="n">
        <v>45569</v>
      </c>
      <c r="C246" s="1" t="n">
        <v>46188</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44796-2024</t>
        </is>
      </c>
      <c r="B247" s="1" t="n">
        <v>45574</v>
      </c>
      <c r="C247" s="1" t="n">
        <v>46188</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44027-2024</t>
        </is>
      </c>
      <c r="B248" s="1" t="n">
        <v>45572</v>
      </c>
      <c r="C248" s="1" t="n">
        <v>46188</v>
      </c>
      <c r="D248" t="inlineStr">
        <is>
          <t>UPPSALA LÄN</t>
        </is>
      </c>
      <c r="E248" t="inlineStr">
        <is>
          <t>ÖSTHAMMAR</t>
        </is>
      </c>
      <c r="G248" t="n">
        <v>6</v>
      </c>
      <c r="H248" t="n">
        <v>0</v>
      </c>
      <c r="I248" t="n">
        <v>0</v>
      </c>
      <c r="J248" t="n">
        <v>0</v>
      </c>
      <c r="K248" t="n">
        <v>0</v>
      </c>
      <c r="L248" t="n">
        <v>0</v>
      </c>
      <c r="M248" t="n">
        <v>0</v>
      </c>
      <c r="N248" t="n">
        <v>0</v>
      </c>
      <c r="O248" t="n">
        <v>0</v>
      </c>
      <c r="P248" t="n">
        <v>0</v>
      </c>
      <c r="Q248" t="n">
        <v>0</v>
      </c>
      <c r="R248" s="2" t="inlineStr"/>
    </row>
    <row r="249" ht="15" customHeight="1">
      <c r="A249" t="inlineStr">
        <is>
          <t>A 5931-2022</t>
        </is>
      </c>
      <c r="B249" s="1" t="n">
        <v>44598.82700231481</v>
      </c>
      <c r="C249" s="1" t="n">
        <v>46188</v>
      </c>
      <c r="D249" t="inlineStr">
        <is>
          <t>UPPSALA LÄN</t>
        </is>
      </c>
      <c r="E249" t="inlineStr">
        <is>
          <t>ÖSTHAMMAR</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28099-2025</t>
        </is>
      </c>
      <c r="B250" s="1" t="n">
        <v>45817.82967592592</v>
      </c>
      <c r="C250" s="1" t="n">
        <v>46188</v>
      </c>
      <c r="D250" t="inlineStr">
        <is>
          <t>UPPSALA LÄN</t>
        </is>
      </c>
      <c r="E250" t="inlineStr">
        <is>
          <t>ÖSTHAMMAR</t>
        </is>
      </c>
      <c r="F250" t="inlineStr">
        <is>
          <t>Bergvik skog öst AB</t>
        </is>
      </c>
      <c r="G250" t="n">
        <v>2.2</v>
      </c>
      <c r="H250" t="n">
        <v>0</v>
      </c>
      <c r="I250" t="n">
        <v>0</v>
      </c>
      <c r="J250" t="n">
        <v>0</v>
      </c>
      <c r="K250" t="n">
        <v>0</v>
      </c>
      <c r="L250" t="n">
        <v>0</v>
      </c>
      <c r="M250" t="n">
        <v>0</v>
      </c>
      <c r="N250" t="n">
        <v>0</v>
      </c>
      <c r="O250" t="n">
        <v>0</v>
      </c>
      <c r="P250" t="n">
        <v>0</v>
      </c>
      <c r="Q250" t="n">
        <v>0</v>
      </c>
      <c r="R250" s="2" t="inlineStr"/>
    </row>
    <row r="251" ht="15" customHeight="1">
      <c r="A251" t="inlineStr">
        <is>
          <t>A 49097-2022</t>
        </is>
      </c>
      <c r="B251" s="1" t="n">
        <v>44860</v>
      </c>
      <c r="C251" s="1" t="n">
        <v>46188</v>
      </c>
      <c r="D251" t="inlineStr">
        <is>
          <t>UPPSALA LÄN</t>
        </is>
      </c>
      <c r="E251" t="inlineStr">
        <is>
          <t>ÖSTHAMMAR</t>
        </is>
      </c>
      <c r="G251" t="n">
        <v>6.9</v>
      </c>
      <c r="H251" t="n">
        <v>0</v>
      </c>
      <c r="I251" t="n">
        <v>0</v>
      </c>
      <c r="J251" t="n">
        <v>0</v>
      </c>
      <c r="K251" t="n">
        <v>0</v>
      </c>
      <c r="L251" t="n">
        <v>0</v>
      </c>
      <c r="M251" t="n">
        <v>0</v>
      </c>
      <c r="N251" t="n">
        <v>0</v>
      </c>
      <c r="O251" t="n">
        <v>0</v>
      </c>
      <c r="P251" t="n">
        <v>0</v>
      </c>
      <c r="Q251" t="n">
        <v>0</v>
      </c>
      <c r="R251" s="2" t="inlineStr"/>
    </row>
    <row r="252" ht="15" customHeight="1">
      <c r="A252" t="inlineStr">
        <is>
          <t>A 43683-2024</t>
        </is>
      </c>
      <c r="B252" s="1" t="n">
        <v>45569.57518518518</v>
      </c>
      <c r="C252" s="1" t="n">
        <v>46188</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10449-2023</t>
        </is>
      </c>
      <c r="B253" s="1" t="n">
        <v>44987</v>
      </c>
      <c r="C253" s="1" t="n">
        <v>46188</v>
      </c>
      <c r="D253" t="inlineStr">
        <is>
          <t>UPPSALA LÄN</t>
        </is>
      </c>
      <c r="E253" t="inlineStr">
        <is>
          <t>ÖSTHAMMAR</t>
        </is>
      </c>
      <c r="G253" t="n">
        <v>3.1</v>
      </c>
      <c r="H253" t="n">
        <v>0</v>
      </c>
      <c r="I253" t="n">
        <v>0</v>
      </c>
      <c r="J253" t="n">
        <v>0</v>
      </c>
      <c r="K253" t="n">
        <v>0</v>
      </c>
      <c r="L253" t="n">
        <v>0</v>
      </c>
      <c r="M253" t="n">
        <v>0</v>
      </c>
      <c r="N253" t="n">
        <v>0</v>
      </c>
      <c r="O253" t="n">
        <v>0</v>
      </c>
      <c r="P253" t="n">
        <v>0</v>
      </c>
      <c r="Q253" t="n">
        <v>0</v>
      </c>
      <c r="R253" s="2" t="inlineStr"/>
    </row>
    <row r="254" ht="15" customHeight="1">
      <c r="A254" t="inlineStr">
        <is>
          <t>A 43993-2024</t>
        </is>
      </c>
      <c r="B254" s="1" t="n">
        <v>45572.52690972222</v>
      </c>
      <c r="C254" s="1" t="n">
        <v>46188</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42940-2025</t>
        </is>
      </c>
      <c r="B255" s="1" t="n">
        <v>45909.33440972222</v>
      </c>
      <c r="C255" s="1" t="n">
        <v>46188</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835-2025</t>
        </is>
      </c>
      <c r="B256" s="1" t="n">
        <v>45665.58465277778</v>
      </c>
      <c r="C256" s="1" t="n">
        <v>46188</v>
      </c>
      <c r="D256" t="inlineStr">
        <is>
          <t>UPPSALA LÄN</t>
        </is>
      </c>
      <c r="E256" t="inlineStr">
        <is>
          <t>ÖSTHAMMAR</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59291-2023</t>
        </is>
      </c>
      <c r="B257" s="1" t="n">
        <v>45253.57559027777</v>
      </c>
      <c r="C257" s="1" t="n">
        <v>46188</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36904-2023</t>
        </is>
      </c>
      <c r="B258" s="1" t="n">
        <v>45154</v>
      </c>
      <c r="C258" s="1" t="n">
        <v>46188</v>
      </c>
      <c r="D258" t="inlineStr">
        <is>
          <t>UPPSALA LÄN</t>
        </is>
      </c>
      <c r="E258" t="inlineStr">
        <is>
          <t>ÖSTHAMMAR</t>
        </is>
      </c>
      <c r="F258" t="inlineStr">
        <is>
          <t>Övriga Aktiebolag</t>
        </is>
      </c>
      <c r="G258" t="n">
        <v>1.5</v>
      </c>
      <c r="H258" t="n">
        <v>0</v>
      </c>
      <c r="I258" t="n">
        <v>0</v>
      </c>
      <c r="J258" t="n">
        <v>0</v>
      </c>
      <c r="K258" t="n">
        <v>0</v>
      </c>
      <c r="L258" t="n">
        <v>0</v>
      </c>
      <c r="M258" t="n">
        <v>0</v>
      </c>
      <c r="N258" t="n">
        <v>0</v>
      </c>
      <c r="O258" t="n">
        <v>0</v>
      </c>
      <c r="P258" t="n">
        <v>0</v>
      </c>
      <c r="Q258" t="n">
        <v>0</v>
      </c>
      <c r="R258" s="2" t="inlineStr"/>
    </row>
    <row r="259" ht="15" customHeight="1">
      <c r="A259" t="inlineStr">
        <is>
          <t>A 53735-2023</t>
        </is>
      </c>
      <c r="B259" s="1" t="n">
        <v>45230.77258101852</v>
      </c>
      <c r="C259" s="1" t="n">
        <v>46188</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38702-2022</t>
        </is>
      </c>
      <c r="B260" s="1" t="n">
        <v>44814.5991087963</v>
      </c>
      <c r="C260" s="1" t="n">
        <v>46188</v>
      </c>
      <c r="D260" t="inlineStr">
        <is>
          <t>UPPSALA LÄN</t>
        </is>
      </c>
      <c r="E260" t="inlineStr">
        <is>
          <t>ÖSTHAMMAR</t>
        </is>
      </c>
      <c r="G260" t="n">
        <v>1.2</v>
      </c>
      <c r="H260" t="n">
        <v>0</v>
      </c>
      <c r="I260" t="n">
        <v>0</v>
      </c>
      <c r="J260" t="n">
        <v>0</v>
      </c>
      <c r="K260" t="n">
        <v>0</v>
      </c>
      <c r="L260" t="n">
        <v>0</v>
      </c>
      <c r="M260" t="n">
        <v>0</v>
      </c>
      <c r="N260" t="n">
        <v>0</v>
      </c>
      <c r="O260" t="n">
        <v>0</v>
      </c>
      <c r="P260" t="n">
        <v>0</v>
      </c>
      <c r="Q260" t="n">
        <v>0</v>
      </c>
      <c r="R260" s="2" t="inlineStr"/>
    </row>
    <row r="261" ht="15" customHeight="1">
      <c r="A261" t="inlineStr">
        <is>
          <t>A 1439-2025</t>
        </is>
      </c>
      <c r="B261" s="1" t="n">
        <v>45669.69075231482</v>
      </c>
      <c r="C261" s="1" t="n">
        <v>46188</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56757-2025</t>
        </is>
      </c>
      <c r="B262" s="1" t="n">
        <v>45978.37162037037</v>
      </c>
      <c r="C262" s="1" t="n">
        <v>46188</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1575-2025</t>
        </is>
      </c>
      <c r="B263" s="1" t="n">
        <v>45670</v>
      </c>
      <c r="C263" s="1" t="n">
        <v>46188</v>
      </c>
      <c r="D263" t="inlineStr">
        <is>
          <t>UPPSALA LÄN</t>
        </is>
      </c>
      <c r="E263" t="inlineStr">
        <is>
          <t>ÖSTHAMMAR</t>
        </is>
      </c>
      <c r="G263" t="n">
        <v>0.4</v>
      </c>
      <c r="H263" t="n">
        <v>0</v>
      </c>
      <c r="I263" t="n">
        <v>0</v>
      </c>
      <c r="J263" t="n">
        <v>0</v>
      </c>
      <c r="K263" t="n">
        <v>0</v>
      </c>
      <c r="L263" t="n">
        <v>0</v>
      </c>
      <c r="M263" t="n">
        <v>0</v>
      </c>
      <c r="N263" t="n">
        <v>0</v>
      </c>
      <c r="O263" t="n">
        <v>0</v>
      </c>
      <c r="P263" t="n">
        <v>0</v>
      </c>
      <c r="Q263" t="n">
        <v>0</v>
      </c>
      <c r="R263" s="2" t="inlineStr"/>
    </row>
    <row r="264" ht="15" customHeight="1">
      <c r="A264" t="inlineStr">
        <is>
          <t>A 56748-2025</t>
        </is>
      </c>
      <c r="B264" s="1" t="n">
        <v>45978.36412037037</v>
      </c>
      <c r="C264" s="1" t="n">
        <v>46188</v>
      </c>
      <c r="D264" t="inlineStr">
        <is>
          <t>UPPSALA LÄN</t>
        </is>
      </c>
      <c r="E264" t="inlineStr">
        <is>
          <t>ÖSTHAMMAR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56753-2025</t>
        </is>
      </c>
      <c r="B265" s="1" t="n">
        <v>45978.36677083333</v>
      </c>
      <c r="C265" s="1" t="n">
        <v>46188</v>
      </c>
      <c r="D265" t="inlineStr">
        <is>
          <t>UPPSALA LÄN</t>
        </is>
      </c>
      <c r="E265" t="inlineStr">
        <is>
          <t>ÖSTHAMMAR</t>
        </is>
      </c>
      <c r="F265" t="inlineStr">
        <is>
          <t>Sveaskog</t>
        </is>
      </c>
      <c r="G265" t="n">
        <v>8.6</v>
      </c>
      <c r="H265" t="n">
        <v>0</v>
      </c>
      <c r="I265" t="n">
        <v>0</v>
      </c>
      <c r="J265" t="n">
        <v>0</v>
      </c>
      <c r="K265" t="n">
        <v>0</v>
      </c>
      <c r="L265" t="n">
        <v>0</v>
      </c>
      <c r="M265" t="n">
        <v>0</v>
      </c>
      <c r="N265" t="n">
        <v>0</v>
      </c>
      <c r="O265" t="n">
        <v>0</v>
      </c>
      <c r="P265" t="n">
        <v>0</v>
      </c>
      <c r="Q265" t="n">
        <v>0</v>
      </c>
      <c r="R265" s="2" t="inlineStr"/>
    </row>
    <row r="266" ht="15" customHeight="1">
      <c r="A266" t="inlineStr">
        <is>
          <t>A 56823-2025</t>
        </is>
      </c>
      <c r="B266" s="1" t="n">
        <v>45978.46484953703</v>
      </c>
      <c r="C266" s="1" t="n">
        <v>46188</v>
      </c>
      <c r="D266" t="inlineStr">
        <is>
          <t>UPPSALA LÄN</t>
        </is>
      </c>
      <c r="E266" t="inlineStr">
        <is>
          <t>ÖSTHAMMAR</t>
        </is>
      </c>
      <c r="G266" t="n">
        <v>0.1</v>
      </c>
      <c r="H266" t="n">
        <v>0</v>
      </c>
      <c r="I266" t="n">
        <v>0</v>
      </c>
      <c r="J266" t="n">
        <v>0</v>
      </c>
      <c r="K266" t="n">
        <v>0</v>
      </c>
      <c r="L266" t="n">
        <v>0</v>
      </c>
      <c r="M266" t="n">
        <v>0</v>
      </c>
      <c r="N266" t="n">
        <v>0</v>
      </c>
      <c r="O266" t="n">
        <v>0</v>
      </c>
      <c r="P266" t="n">
        <v>0</v>
      </c>
      <c r="Q266" t="n">
        <v>0</v>
      </c>
      <c r="R266" s="2" t="inlineStr"/>
    </row>
    <row r="267" ht="15" customHeight="1">
      <c r="A267" t="inlineStr">
        <is>
          <t>A 21478-2023</t>
        </is>
      </c>
      <c r="B267" s="1" t="n">
        <v>45063.47773148148</v>
      </c>
      <c r="C267" s="1" t="n">
        <v>46188</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45102-2025</t>
        </is>
      </c>
      <c r="B268" s="1" t="n">
        <v>45919.39731481481</v>
      </c>
      <c r="C268" s="1" t="n">
        <v>46188</v>
      </c>
      <c r="D268" t="inlineStr">
        <is>
          <t>UPPSALA LÄN</t>
        </is>
      </c>
      <c r="E268" t="inlineStr">
        <is>
          <t>ÖSTHAMMAR</t>
        </is>
      </c>
      <c r="G268" t="n">
        <v>1.7</v>
      </c>
      <c r="H268" t="n">
        <v>0</v>
      </c>
      <c r="I268" t="n">
        <v>0</v>
      </c>
      <c r="J268" t="n">
        <v>0</v>
      </c>
      <c r="K268" t="n">
        <v>0</v>
      </c>
      <c r="L268" t="n">
        <v>0</v>
      </c>
      <c r="M268" t="n">
        <v>0</v>
      </c>
      <c r="N268" t="n">
        <v>0</v>
      </c>
      <c r="O268" t="n">
        <v>0</v>
      </c>
      <c r="P268" t="n">
        <v>0</v>
      </c>
      <c r="Q268" t="n">
        <v>0</v>
      </c>
      <c r="R268" s="2" t="inlineStr"/>
    </row>
    <row r="269" ht="15" customHeight="1">
      <c r="A269" t="inlineStr">
        <is>
          <t>A 58399-2025</t>
        </is>
      </c>
      <c r="B269" s="1" t="n">
        <v>45985.56244212963</v>
      </c>
      <c r="C269" s="1" t="n">
        <v>46188</v>
      </c>
      <c r="D269" t="inlineStr">
        <is>
          <t>UPPSALA LÄN</t>
        </is>
      </c>
      <c r="E269" t="inlineStr">
        <is>
          <t>ÖSTHAMMAR</t>
        </is>
      </c>
      <c r="G269" t="n">
        <v>2.6</v>
      </c>
      <c r="H269" t="n">
        <v>0</v>
      </c>
      <c r="I269" t="n">
        <v>0</v>
      </c>
      <c r="J269" t="n">
        <v>0</v>
      </c>
      <c r="K269" t="n">
        <v>0</v>
      </c>
      <c r="L269" t="n">
        <v>0</v>
      </c>
      <c r="M269" t="n">
        <v>0</v>
      </c>
      <c r="N269" t="n">
        <v>0</v>
      </c>
      <c r="O269" t="n">
        <v>0</v>
      </c>
      <c r="P269" t="n">
        <v>0</v>
      </c>
      <c r="Q269" t="n">
        <v>0</v>
      </c>
      <c r="R269" s="2" t="inlineStr"/>
    </row>
    <row r="270" ht="15" customHeight="1">
      <c r="A270" t="inlineStr">
        <is>
          <t>A 45105-2025</t>
        </is>
      </c>
      <c r="B270" s="1" t="n">
        <v>45919.40252314815</v>
      </c>
      <c r="C270" s="1" t="n">
        <v>46188</v>
      </c>
      <c r="D270" t="inlineStr">
        <is>
          <t>UPPSALA LÄN</t>
        </is>
      </c>
      <c r="E270" t="inlineStr">
        <is>
          <t>ÖSTHAMMAR</t>
        </is>
      </c>
      <c r="G270" t="n">
        <v>0.8</v>
      </c>
      <c r="H270" t="n">
        <v>0</v>
      </c>
      <c r="I270" t="n">
        <v>0</v>
      </c>
      <c r="J270" t="n">
        <v>0</v>
      </c>
      <c r="K270" t="n">
        <v>0</v>
      </c>
      <c r="L270" t="n">
        <v>0</v>
      </c>
      <c r="M270" t="n">
        <v>0</v>
      </c>
      <c r="N270" t="n">
        <v>0</v>
      </c>
      <c r="O270" t="n">
        <v>0</v>
      </c>
      <c r="P270" t="n">
        <v>0</v>
      </c>
      <c r="Q270" t="n">
        <v>0</v>
      </c>
      <c r="R270" s="2" t="inlineStr"/>
    </row>
    <row r="271" ht="15" customHeight="1">
      <c r="A271" t="inlineStr">
        <is>
          <t>A 38571-2023</t>
        </is>
      </c>
      <c r="B271" s="1" t="n">
        <v>45162.6177662037</v>
      </c>
      <c r="C271" s="1" t="n">
        <v>46188</v>
      </c>
      <c r="D271" t="inlineStr">
        <is>
          <t>UPPSALA LÄN</t>
        </is>
      </c>
      <c r="E271" t="inlineStr">
        <is>
          <t>ÖSTHAMMAR</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5884-2023</t>
        </is>
      </c>
      <c r="B272" s="1" t="n">
        <v>44963</v>
      </c>
      <c r="C272" s="1" t="n">
        <v>46188</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52650-2022</t>
        </is>
      </c>
      <c r="B273" s="1" t="n">
        <v>44874</v>
      </c>
      <c r="C273" s="1" t="n">
        <v>46188</v>
      </c>
      <c r="D273" t="inlineStr">
        <is>
          <t>UPPSALA LÄN</t>
        </is>
      </c>
      <c r="E273" t="inlineStr">
        <is>
          <t>ÖSTHAMMAR</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45993-2025</t>
        </is>
      </c>
      <c r="B274" s="1" t="n">
        <v>45924.39706018518</v>
      </c>
      <c r="C274" s="1" t="n">
        <v>46188</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59745-2025</t>
        </is>
      </c>
      <c r="B275" s="1" t="n">
        <v>45992.57708333333</v>
      </c>
      <c r="C275" s="1" t="n">
        <v>46188</v>
      </c>
      <c r="D275" t="inlineStr">
        <is>
          <t>UPPSALA LÄN</t>
        </is>
      </c>
      <c r="E275" t="inlineStr">
        <is>
          <t>ÖSTHAMMAR</t>
        </is>
      </c>
      <c r="F275" t="inlineStr">
        <is>
          <t>Bergvik skog öst AB</t>
        </is>
      </c>
      <c r="G275" t="n">
        <v>3.3</v>
      </c>
      <c r="H275" t="n">
        <v>0</v>
      </c>
      <c r="I275" t="n">
        <v>0</v>
      </c>
      <c r="J275" t="n">
        <v>0</v>
      </c>
      <c r="K275" t="n">
        <v>0</v>
      </c>
      <c r="L275" t="n">
        <v>0</v>
      </c>
      <c r="M275" t="n">
        <v>0</v>
      </c>
      <c r="N275" t="n">
        <v>0</v>
      </c>
      <c r="O275" t="n">
        <v>0</v>
      </c>
      <c r="P275" t="n">
        <v>0</v>
      </c>
      <c r="Q275" t="n">
        <v>0</v>
      </c>
      <c r="R275" s="2" t="inlineStr"/>
    </row>
    <row r="276" ht="15" customHeight="1">
      <c r="A276" t="inlineStr">
        <is>
          <t>A 59706-2025</t>
        </is>
      </c>
      <c r="B276" s="1" t="n">
        <v>45992.50333333333</v>
      </c>
      <c r="C276" s="1" t="n">
        <v>46188</v>
      </c>
      <c r="D276" t="inlineStr">
        <is>
          <t>UPPSALA LÄN</t>
        </is>
      </c>
      <c r="E276" t="inlineStr">
        <is>
          <t>ÖSTHAMMAR</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59708-2025</t>
        </is>
      </c>
      <c r="B277" s="1" t="n">
        <v>45992.50802083333</v>
      </c>
      <c r="C277" s="1" t="n">
        <v>46188</v>
      </c>
      <c r="D277" t="inlineStr">
        <is>
          <t>UPPSALA LÄN</t>
        </is>
      </c>
      <c r="E277" t="inlineStr">
        <is>
          <t>ÖSTHAMMAR</t>
        </is>
      </c>
      <c r="F277" t="inlineStr">
        <is>
          <t>Bergvik skog öst AB</t>
        </is>
      </c>
      <c r="G277" t="n">
        <v>3.2</v>
      </c>
      <c r="H277" t="n">
        <v>0</v>
      </c>
      <c r="I277" t="n">
        <v>0</v>
      </c>
      <c r="J277" t="n">
        <v>0</v>
      </c>
      <c r="K277" t="n">
        <v>0</v>
      </c>
      <c r="L277" t="n">
        <v>0</v>
      </c>
      <c r="M277" t="n">
        <v>0</v>
      </c>
      <c r="N277" t="n">
        <v>0</v>
      </c>
      <c r="O277" t="n">
        <v>0</v>
      </c>
      <c r="P277" t="n">
        <v>0</v>
      </c>
      <c r="Q277" t="n">
        <v>0</v>
      </c>
      <c r="R277" s="2" t="inlineStr"/>
    </row>
    <row r="278" ht="15" customHeight="1">
      <c r="A278" t="inlineStr">
        <is>
          <t>A 59743-2025</t>
        </is>
      </c>
      <c r="B278" s="1" t="n">
        <v>45992.57668981481</v>
      </c>
      <c r="C278" s="1" t="n">
        <v>46188</v>
      </c>
      <c r="D278" t="inlineStr">
        <is>
          <t>UPPSALA LÄN</t>
        </is>
      </c>
      <c r="E278" t="inlineStr">
        <is>
          <t>ÖSTHAMMAR</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57156-2025</t>
        </is>
      </c>
      <c r="B279" s="1" t="n">
        <v>45979.51591435185</v>
      </c>
      <c r="C279" s="1" t="n">
        <v>46188</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60738-2025</t>
        </is>
      </c>
      <c r="B280" s="1" t="n">
        <v>45996.83506944445</v>
      </c>
      <c r="C280" s="1" t="n">
        <v>46188</v>
      </c>
      <c r="D280" t="inlineStr">
        <is>
          <t>UPPSALA LÄN</t>
        </is>
      </c>
      <c r="E280" t="inlineStr">
        <is>
          <t>ÖSTHAMMAR</t>
        </is>
      </c>
      <c r="G280" t="n">
        <v>1.8</v>
      </c>
      <c r="H280" t="n">
        <v>0</v>
      </c>
      <c r="I280" t="n">
        <v>0</v>
      </c>
      <c r="J280" t="n">
        <v>0</v>
      </c>
      <c r="K280" t="n">
        <v>0</v>
      </c>
      <c r="L280" t="n">
        <v>0</v>
      </c>
      <c r="M280" t="n">
        <v>0</v>
      </c>
      <c r="N280" t="n">
        <v>0</v>
      </c>
      <c r="O280" t="n">
        <v>0</v>
      </c>
      <c r="P280" t="n">
        <v>0</v>
      </c>
      <c r="Q280" t="n">
        <v>0</v>
      </c>
      <c r="R280" s="2" t="inlineStr"/>
    </row>
    <row r="281" ht="15" customHeight="1">
      <c r="A281" t="inlineStr">
        <is>
          <t>A 60603-2025</t>
        </is>
      </c>
      <c r="B281" s="1" t="n">
        <v>45996.3543287037</v>
      </c>
      <c r="C281" s="1" t="n">
        <v>46188</v>
      </c>
      <c r="D281" t="inlineStr">
        <is>
          <t>UPPSALA LÄN</t>
        </is>
      </c>
      <c r="E281" t="inlineStr">
        <is>
          <t>ÖSTHAMMAR</t>
        </is>
      </c>
      <c r="G281" t="n">
        <v>4.7</v>
      </c>
      <c r="H281" t="n">
        <v>0</v>
      </c>
      <c r="I281" t="n">
        <v>0</v>
      </c>
      <c r="J281" t="n">
        <v>0</v>
      </c>
      <c r="K281" t="n">
        <v>0</v>
      </c>
      <c r="L281" t="n">
        <v>0</v>
      </c>
      <c r="M281" t="n">
        <v>0</v>
      </c>
      <c r="N281" t="n">
        <v>0</v>
      </c>
      <c r="O281" t="n">
        <v>0</v>
      </c>
      <c r="P281" t="n">
        <v>0</v>
      </c>
      <c r="Q281" t="n">
        <v>0</v>
      </c>
      <c r="R281" s="2" t="inlineStr"/>
    </row>
    <row r="282" ht="15" customHeight="1">
      <c r="A282" t="inlineStr">
        <is>
          <t>A 60910-2025</t>
        </is>
      </c>
      <c r="B282" s="1" t="n">
        <v>45999.59837962963</v>
      </c>
      <c r="C282" s="1" t="n">
        <v>46188</v>
      </c>
      <c r="D282" t="inlineStr">
        <is>
          <t>UPPSALA LÄN</t>
        </is>
      </c>
      <c r="E282" t="inlineStr">
        <is>
          <t>ÖSTHAMMAR</t>
        </is>
      </c>
      <c r="G282" t="n">
        <v>3.5</v>
      </c>
      <c r="H282" t="n">
        <v>0</v>
      </c>
      <c r="I282" t="n">
        <v>0</v>
      </c>
      <c r="J282" t="n">
        <v>0</v>
      </c>
      <c r="K282" t="n">
        <v>0</v>
      </c>
      <c r="L282" t="n">
        <v>0</v>
      </c>
      <c r="M282" t="n">
        <v>0</v>
      </c>
      <c r="N282" t="n">
        <v>0</v>
      </c>
      <c r="O282" t="n">
        <v>0</v>
      </c>
      <c r="P282" t="n">
        <v>0</v>
      </c>
      <c r="Q282" t="n">
        <v>0</v>
      </c>
      <c r="R282" s="2" t="inlineStr"/>
    </row>
    <row r="283" ht="15" customHeight="1">
      <c r="A283" t="inlineStr">
        <is>
          <t>A 59731-2023</t>
        </is>
      </c>
      <c r="B283" s="1" t="n">
        <v>45257</v>
      </c>
      <c r="C283" s="1" t="n">
        <v>46188</v>
      </c>
      <c r="D283" t="inlineStr">
        <is>
          <t>UPPSALA LÄN</t>
        </is>
      </c>
      <c r="E283" t="inlineStr">
        <is>
          <t>ÖSTHAMMAR</t>
        </is>
      </c>
      <c r="G283" t="n">
        <v>0.7</v>
      </c>
      <c r="H283" t="n">
        <v>0</v>
      </c>
      <c r="I283" t="n">
        <v>0</v>
      </c>
      <c r="J283" t="n">
        <v>0</v>
      </c>
      <c r="K283" t="n">
        <v>0</v>
      </c>
      <c r="L283" t="n">
        <v>0</v>
      </c>
      <c r="M283" t="n">
        <v>0</v>
      </c>
      <c r="N283" t="n">
        <v>0</v>
      </c>
      <c r="O283" t="n">
        <v>0</v>
      </c>
      <c r="P283" t="n">
        <v>0</v>
      </c>
      <c r="Q283" t="n">
        <v>0</v>
      </c>
      <c r="R283" s="2" t="inlineStr"/>
    </row>
    <row r="284" ht="15" customHeight="1">
      <c r="A284" t="inlineStr">
        <is>
          <t>A 47336-2025</t>
        </is>
      </c>
      <c r="B284" s="1" t="n">
        <v>45930.56592592593</v>
      </c>
      <c r="C284" s="1" t="n">
        <v>46188</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28228-2022</t>
        </is>
      </c>
      <c r="B285" s="1" t="n">
        <v>44746.65873842593</v>
      </c>
      <c r="C285" s="1" t="n">
        <v>46188</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61838-2025</t>
        </is>
      </c>
      <c r="B286" s="1" t="n">
        <v>46003.35675925926</v>
      </c>
      <c r="C286" s="1" t="n">
        <v>46188</v>
      </c>
      <c r="D286" t="inlineStr">
        <is>
          <t>UPPSALA LÄN</t>
        </is>
      </c>
      <c r="E286" t="inlineStr">
        <is>
          <t>ÖSTHAMMAR</t>
        </is>
      </c>
      <c r="G286" t="n">
        <v>1.2</v>
      </c>
      <c r="H286" t="n">
        <v>0</v>
      </c>
      <c r="I286" t="n">
        <v>0</v>
      </c>
      <c r="J286" t="n">
        <v>0</v>
      </c>
      <c r="K286" t="n">
        <v>0</v>
      </c>
      <c r="L286" t="n">
        <v>0</v>
      </c>
      <c r="M286" t="n">
        <v>0</v>
      </c>
      <c r="N286" t="n">
        <v>0</v>
      </c>
      <c r="O286" t="n">
        <v>0</v>
      </c>
      <c r="P286" t="n">
        <v>0</v>
      </c>
      <c r="Q286" t="n">
        <v>0</v>
      </c>
      <c r="R286" s="2" t="inlineStr"/>
    </row>
    <row r="287" ht="15" customHeight="1">
      <c r="A287" t="inlineStr">
        <is>
          <t>A 47615-2025</t>
        </is>
      </c>
      <c r="B287" s="1" t="n">
        <v>45931.47542824074</v>
      </c>
      <c r="C287" s="1" t="n">
        <v>46188</v>
      </c>
      <c r="D287" t="inlineStr">
        <is>
          <t>UPPSALA LÄN</t>
        </is>
      </c>
      <c r="E287" t="inlineStr">
        <is>
          <t>ÖSTHAMMAR</t>
        </is>
      </c>
      <c r="G287" t="n">
        <v>7</v>
      </c>
      <c r="H287" t="n">
        <v>0</v>
      </c>
      <c r="I287" t="n">
        <v>0</v>
      </c>
      <c r="J287" t="n">
        <v>0</v>
      </c>
      <c r="K287" t="n">
        <v>0</v>
      </c>
      <c r="L287" t="n">
        <v>0</v>
      </c>
      <c r="M287" t="n">
        <v>0</v>
      </c>
      <c r="N287" t="n">
        <v>0</v>
      </c>
      <c r="O287" t="n">
        <v>0</v>
      </c>
      <c r="P287" t="n">
        <v>0</v>
      </c>
      <c r="Q287" t="n">
        <v>0</v>
      </c>
      <c r="R287" s="2" t="inlineStr"/>
    </row>
    <row r="288" ht="15" customHeight="1">
      <c r="A288" t="inlineStr">
        <is>
          <t>A 49831-2023</t>
        </is>
      </c>
      <c r="B288" s="1" t="n">
        <v>45212.71241898148</v>
      </c>
      <c r="C288" s="1" t="n">
        <v>46188</v>
      </c>
      <c r="D288" t="inlineStr">
        <is>
          <t>UPPSALA LÄN</t>
        </is>
      </c>
      <c r="E288" t="inlineStr">
        <is>
          <t>ÖSTHAMMAR</t>
        </is>
      </c>
      <c r="F288" t="inlineStr">
        <is>
          <t>Bergvik skog öst AB</t>
        </is>
      </c>
      <c r="G288" t="n">
        <v>0.4</v>
      </c>
      <c r="H288" t="n">
        <v>0</v>
      </c>
      <c r="I288" t="n">
        <v>0</v>
      </c>
      <c r="J288" t="n">
        <v>0</v>
      </c>
      <c r="K288" t="n">
        <v>0</v>
      </c>
      <c r="L288" t="n">
        <v>0</v>
      </c>
      <c r="M288" t="n">
        <v>0</v>
      </c>
      <c r="N288" t="n">
        <v>0</v>
      </c>
      <c r="O288" t="n">
        <v>0</v>
      </c>
      <c r="P288" t="n">
        <v>0</v>
      </c>
      <c r="Q288" t="n">
        <v>0</v>
      </c>
      <c r="R288" s="2" t="inlineStr"/>
    </row>
    <row r="289" ht="15" customHeight="1">
      <c r="A289" t="inlineStr">
        <is>
          <t>A 35316-2024</t>
        </is>
      </c>
      <c r="B289" s="1" t="n">
        <v>45530.68873842592</v>
      </c>
      <c r="C289" s="1" t="n">
        <v>46188</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45561-2023</t>
        </is>
      </c>
      <c r="B290" s="1" t="n">
        <v>45194.59335648148</v>
      </c>
      <c r="C290" s="1" t="n">
        <v>46188</v>
      </c>
      <c r="D290" t="inlineStr">
        <is>
          <t>UPPSALA LÄN</t>
        </is>
      </c>
      <c r="E290" t="inlineStr">
        <is>
          <t>ÖSTHAMMAR</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62745-2025</t>
        </is>
      </c>
      <c r="B291" s="1" t="n">
        <v>46008.57596064815</v>
      </c>
      <c r="C291" s="1" t="n">
        <v>46188</v>
      </c>
      <c r="D291" t="inlineStr">
        <is>
          <t>UPPSALA LÄN</t>
        </is>
      </c>
      <c r="E291" t="inlineStr">
        <is>
          <t>ÖSTHAMMAR</t>
        </is>
      </c>
      <c r="G291" t="n">
        <v>2</v>
      </c>
      <c r="H291" t="n">
        <v>0</v>
      </c>
      <c r="I291" t="n">
        <v>0</v>
      </c>
      <c r="J291" t="n">
        <v>0</v>
      </c>
      <c r="K291" t="n">
        <v>0</v>
      </c>
      <c r="L291" t="n">
        <v>0</v>
      </c>
      <c r="M291" t="n">
        <v>0</v>
      </c>
      <c r="N291" t="n">
        <v>0</v>
      </c>
      <c r="O291" t="n">
        <v>0</v>
      </c>
      <c r="P291" t="n">
        <v>0</v>
      </c>
      <c r="Q291" t="n">
        <v>0</v>
      </c>
      <c r="R291" s="2" t="inlineStr"/>
    </row>
    <row r="292" ht="15" customHeight="1">
      <c r="A292" t="inlineStr">
        <is>
          <t>A 1584-2025</t>
        </is>
      </c>
      <c r="B292" s="1" t="n">
        <v>45670</v>
      </c>
      <c r="C292" s="1" t="n">
        <v>46188</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30972-2024</t>
        </is>
      </c>
      <c r="B293" s="1" t="n">
        <v>45499.47106481482</v>
      </c>
      <c r="C293" s="1" t="n">
        <v>46188</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24160-2024</t>
        </is>
      </c>
      <c r="B294" s="1" t="n">
        <v>45456</v>
      </c>
      <c r="C294" s="1" t="n">
        <v>46188</v>
      </c>
      <c r="D294" t="inlineStr">
        <is>
          <t>UPPSALA LÄN</t>
        </is>
      </c>
      <c r="E294" t="inlineStr">
        <is>
          <t>ÖSTHAMMAR</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11036-2023</t>
        </is>
      </c>
      <c r="B295" s="1" t="n">
        <v>44991.9321412037</v>
      </c>
      <c r="C295" s="1" t="n">
        <v>46188</v>
      </c>
      <c r="D295" t="inlineStr">
        <is>
          <t>UPPSALA LÄN</t>
        </is>
      </c>
      <c r="E295" t="inlineStr">
        <is>
          <t>ÖSTHAMMAR</t>
        </is>
      </c>
      <c r="F295" t="inlineStr">
        <is>
          <t>Bergvik skog öst AB</t>
        </is>
      </c>
      <c r="G295" t="n">
        <v>3</v>
      </c>
      <c r="H295" t="n">
        <v>0</v>
      </c>
      <c r="I295" t="n">
        <v>0</v>
      </c>
      <c r="J295" t="n">
        <v>0</v>
      </c>
      <c r="K295" t="n">
        <v>0</v>
      </c>
      <c r="L295" t="n">
        <v>0</v>
      </c>
      <c r="M295" t="n">
        <v>0</v>
      </c>
      <c r="N295" t="n">
        <v>0</v>
      </c>
      <c r="O295" t="n">
        <v>0</v>
      </c>
      <c r="P295" t="n">
        <v>0</v>
      </c>
      <c r="Q295" t="n">
        <v>0</v>
      </c>
      <c r="R295" s="2" t="inlineStr"/>
    </row>
    <row r="296" ht="15" customHeight="1">
      <c r="A296" t="inlineStr">
        <is>
          <t>A 32884-2024</t>
        </is>
      </c>
      <c r="B296" s="1" t="n">
        <v>45516.72097222223</v>
      </c>
      <c r="C296" s="1" t="n">
        <v>46188</v>
      </c>
      <c r="D296" t="inlineStr">
        <is>
          <t>UPPSALA LÄN</t>
        </is>
      </c>
      <c r="E296" t="inlineStr">
        <is>
          <t>ÖSTHAMMAR</t>
        </is>
      </c>
      <c r="G296" t="n">
        <v>0.6</v>
      </c>
      <c r="H296" t="n">
        <v>0</v>
      </c>
      <c r="I296" t="n">
        <v>0</v>
      </c>
      <c r="J296" t="n">
        <v>0</v>
      </c>
      <c r="K296" t="n">
        <v>0</v>
      </c>
      <c r="L296" t="n">
        <v>0</v>
      </c>
      <c r="M296" t="n">
        <v>0</v>
      </c>
      <c r="N296" t="n">
        <v>0</v>
      </c>
      <c r="O296" t="n">
        <v>0</v>
      </c>
      <c r="P296" t="n">
        <v>0</v>
      </c>
      <c r="Q296" t="n">
        <v>0</v>
      </c>
      <c r="R296" s="2" t="inlineStr"/>
    </row>
    <row r="297" ht="15" customHeight="1">
      <c r="A297" t="inlineStr">
        <is>
          <t>A 64586-2021</t>
        </is>
      </c>
      <c r="B297" s="1" t="n">
        <v>44511</v>
      </c>
      <c r="C297" s="1" t="n">
        <v>46188</v>
      </c>
      <c r="D297" t="inlineStr">
        <is>
          <t>UPPSALA LÄN</t>
        </is>
      </c>
      <c r="E297" t="inlineStr">
        <is>
          <t>ÖSTHAMMAR</t>
        </is>
      </c>
      <c r="G297" t="n">
        <v>2</v>
      </c>
      <c r="H297" t="n">
        <v>0</v>
      </c>
      <c r="I297" t="n">
        <v>0</v>
      </c>
      <c r="J297" t="n">
        <v>0</v>
      </c>
      <c r="K297" t="n">
        <v>0</v>
      </c>
      <c r="L297" t="n">
        <v>0</v>
      </c>
      <c r="M297" t="n">
        <v>0</v>
      </c>
      <c r="N297" t="n">
        <v>0</v>
      </c>
      <c r="O297" t="n">
        <v>0</v>
      </c>
      <c r="P297" t="n">
        <v>0</v>
      </c>
      <c r="Q297" t="n">
        <v>0</v>
      </c>
      <c r="R297" s="2" t="inlineStr"/>
    </row>
    <row r="298" ht="15" customHeight="1">
      <c r="A298" t="inlineStr">
        <is>
          <t>A 70008-2021</t>
        </is>
      </c>
      <c r="B298" s="1" t="n">
        <v>44533.44887731481</v>
      </c>
      <c r="C298" s="1" t="n">
        <v>46188</v>
      </c>
      <c r="D298" t="inlineStr">
        <is>
          <t>UPPSALA LÄN</t>
        </is>
      </c>
      <c r="E298" t="inlineStr">
        <is>
          <t>ÖSTHAMMAR</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73982-2021</t>
        </is>
      </c>
      <c r="B299" s="1" t="n">
        <v>44555.80339120371</v>
      </c>
      <c r="C299" s="1" t="n">
        <v>46188</v>
      </c>
      <c r="D299" t="inlineStr">
        <is>
          <t>UPPSALA LÄN</t>
        </is>
      </c>
      <c r="E299" t="inlineStr">
        <is>
          <t>ÖSTHAMMAR</t>
        </is>
      </c>
      <c r="G299" t="n">
        <v>0.9</v>
      </c>
      <c r="H299" t="n">
        <v>0</v>
      </c>
      <c r="I299" t="n">
        <v>0</v>
      </c>
      <c r="J299" t="n">
        <v>0</v>
      </c>
      <c r="K299" t="n">
        <v>0</v>
      </c>
      <c r="L299" t="n">
        <v>0</v>
      </c>
      <c r="M299" t="n">
        <v>0</v>
      </c>
      <c r="N299" t="n">
        <v>0</v>
      </c>
      <c r="O299" t="n">
        <v>0</v>
      </c>
      <c r="P299" t="n">
        <v>0</v>
      </c>
      <c r="Q299" t="n">
        <v>0</v>
      </c>
      <c r="R299" s="2" t="inlineStr"/>
    </row>
    <row r="300" ht="15" customHeight="1">
      <c r="A300" t="inlineStr">
        <is>
          <t>A 4984-2024</t>
        </is>
      </c>
      <c r="B300" s="1" t="n">
        <v>45329</v>
      </c>
      <c r="C300" s="1" t="n">
        <v>46188</v>
      </c>
      <c r="D300" t="inlineStr">
        <is>
          <t>UPPSALA LÄN</t>
        </is>
      </c>
      <c r="E300" t="inlineStr">
        <is>
          <t>ÖSTHAMMAR</t>
        </is>
      </c>
      <c r="G300" t="n">
        <v>2.2</v>
      </c>
      <c r="H300" t="n">
        <v>0</v>
      </c>
      <c r="I300" t="n">
        <v>0</v>
      </c>
      <c r="J300" t="n">
        <v>0</v>
      </c>
      <c r="K300" t="n">
        <v>0</v>
      </c>
      <c r="L300" t="n">
        <v>0</v>
      </c>
      <c r="M300" t="n">
        <v>0</v>
      </c>
      <c r="N300" t="n">
        <v>0</v>
      </c>
      <c r="O300" t="n">
        <v>0</v>
      </c>
      <c r="P300" t="n">
        <v>0</v>
      </c>
      <c r="Q300" t="n">
        <v>0</v>
      </c>
      <c r="R300" s="2" t="inlineStr"/>
    </row>
    <row r="301" ht="15" customHeight="1">
      <c r="A301" t="inlineStr">
        <is>
          <t>A 21624-2023</t>
        </is>
      </c>
      <c r="B301" s="1" t="n">
        <v>45063.65543981481</v>
      </c>
      <c r="C301" s="1" t="n">
        <v>46188</v>
      </c>
      <c r="D301" t="inlineStr">
        <is>
          <t>UPPSALA LÄN</t>
        </is>
      </c>
      <c r="E301" t="inlineStr">
        <is>
          <t>ÖSTHAMMAR</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41996-2024</t>
        </is>
      </c>
      <c r="B302" s="1" t="n">
        <v>45561</v>
      </c>
      <c r="C302" s="1" t="n">
        <v>46188</v>
      </c>
      <c r="D302" t="inlineStr">
        <is>
          <t>UPPSALA LÄN</t>
        </is>
      </c>
      <c r="E302" t="inlineStr">
        <is>
          <t>ÖSTHAMMAR</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23742-2024</t>
        </is>
      </c>
      <c r="B303" s="1" t="n">
        <v>45455</v>
      </c>
      <c r="C303" s="1" t="n">
        <v>46188</v>
      </c>
      <c r="D303" t="inlineStr">
        <is>
          <t>UPPSALA LÄN</t>
        </is>
      </c>
      <c r="E303" t="inlineStr">
        <is>
          <t>ÖSTHAMMAR</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6106-2024</t>
        </is>
      </c>
      <c r="B304" s="1" t="n">
        <v>45337.36831018519</v>
      </c>
      <c r="C304" s="1" t="n">
        <v>46188</v>
      </c>
      <c r="D304" t="inlineStr">
        <is>
          <t>UPPSALA LÄN</t>
        </is>
      </c>
      <c r="E304" t="inlineStr">
        <is>
          <t>ÖSTHAMMAR</t>
        </is>
      </c>
      <c r="G304" t="n">
        <v>0.6</v>
      </c>
      <c r="H304" t="n">
        <v>0</v>
      </c>
      <c r="I304" t="n">
        <v>0</v>
      </c>
      <c r="J304" t="n">
        <v>0</v>
      </c>
      <c r="K304" t="n">
        <v>0</v>
      </c>
      <c r="L304" t="n">
        <v>0</v>
      </c>
      <c r="M304" t="n">
        <v>0</v>
      </c>
      <c r="N304" t="n">
        <v>0</v>
      </c>
      <c r="O304" t="n">
        <v>0</v>
      </c>
      <c r="P304" t="n">
        <v>0</v>
      </c>
      <c r="Q304" t="n">
        <v>0</v>
      </c>
      <c r="R304" s="2" t="inlineStr"/>
    </row>
    <row r="305" ht="15" customHeight="1">
      <c r="A305" t="inlineStr">
        <is>
          <t>A 24415-2025</t>
        </is>
      </c>
      <c r="B305" s="1" t="n">
        <v>45797.67381944445</v>
      </c>
      <c r="C305" s="1" t="n">
        <v>46188</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31896-2025</t>
        </is>
      </c>
      <c r="B306" s="1" t="n">
        <v>45834.67556712963</v>
      </c>
      <c r="C306" s="1" t="n">
        <v>46188</v>
      </c>
      <c r="D306" t="inlineStr">
        <is>
          <t>UPPSALA LÄN</t>
        </is>
      </c>
      <c r="E306" t="inlineStr">
        <is>
          <t>ÖSTHAMMAR</t>
        </is>
      </c>
      <c r="G306" t="n">
        <v>4.1</v>
      </c>
      <c r="H306" t="n">
        <v>0</v>
      </c>
      <c r="I306" t="n">
        <v>0</v>
      </c>
      <c r="J306" t="n">
        <v>0</v>
      </c>
      <c r="K306" t="n">
        <v>0</v>
      </c>
      <c r="L306" t="n">
        <v>0</v>
      </c>
      <c r="M306" t="n">
        <v>0</v>
      </c>
      <c r="N306" t="n">
        <v>0</v>
      </c>
      <c r="O306" t="n">
        <v>0</v>
      </c>
      <c r="P306" t="n">
        <v>0</v>
      </c>
      <c r="Q306" t="n">
        <v>0</v>
      </c>
      <c r="R306" s="2" t="inlineStr"/>
    </row>
    <row r="307" ht="15" customHeight="1">
      <c r="A307" t="inlineStr">
        <is>
          <t>A 65020-2021</t>
        </is>
      </c>
      <c r="B307" s="1" t="n">
        <v>44515</v>
      </c>
      <c r="C307" s="1" t="n">
        <v>46188</v>
      </c>
      <c r="D307" t="inlineStr">
        <is>
          <t>UPPSALA LÄN</t>
        </is>
      </c>
      <c r="E307" t="inlineStr">
        <is>
          <t>ÖSTHAMMAR</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24606-2024</t>
        </is>
      </c>
      <c r="B308" s="1" t="n">
        <v>45460</v>
      </c>
      <c r="C308" s="1" t="n">
        <v>46188</v>
      </c>
      <c r="D308" t="inlineStr">
        <is>
          <t>UPPSALA LÄN</t>
        </is>
      </c>
      <c r="E308" t="inlineStr">
        <is>
          <t>ÖSTHAMMAR</t>
        </is>
      </c>
      <c r="F308" t="inlineStr">
        <is>
          <t>Bergvik skog öst AB</t>
        </is>
      </c>
      <c r="G308" t="n">
        <v>2.9</v>
      </c>
      <c r="H308" t="n">
        <v>0</v>
      </c>
      <c r="I308" t="n">
        <v>0</v>
      </c>
      <c r="J308" t="n">
        <v>0</v>
      </c>
      <c r="K308" t="n">
        <v>0</v>
      </c>
      <c r="L308" t="n">
        <v>0</v>
      </c>
      <c r="M308" t="n">
        <v>0</v>
      </c>
      <c r="N308" t="n">
        <v>0</v>
      </c>
      <c r="O308" t="n">
        <v>0</v>
      </c>
      <c r="P308" t="n">
        <v>0</v>
      </c>
      <c r="Q308" t="n">
        <v>0</v>
      </c>
      <c r="R308" s="2" t="inlineStr"/>
    </row>
    <row r="309" ht="15" customHeight="1">
      <c r="A309" t="inlineStr">
        <is>
          <t>A 1238-2022</t>
        </is>
      </c>
      <c r="B309" s="1" t="n">
        <v>44572.5827662037</v>
      </c>
      <c r="C309" s="1" t="n">
        <v>46188</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38003-2024</t>
        </is>
      </c>
      <c r="B310" s="1" t="n">
        <v>45544</v>
      </c>
      <c r="C310" s="1" t="n">
        <v>46188</v>
      </c>
      <c r="D310" t="inlineStr">
        <is>
          <t>UPPSALA LÄN</t>
        </is>
      </c>
      <c r="E310" t="inlineStr">
        <is>
          <t>ÖSTHAMMAR</t>
        </is>
      </c>
      <c r="F310" t="inlineStr">
        <is>
          <t>Naturvårdsverket</t>
        </is>
      </c>
      <c r="G310" t="n">
        <v>4.2</v>
      </c>
      <c r="H310" t="n">
        <v>0</v>
      </c>
      <c r="I310" t="n">
        <v>0</v>
      </c>
      <c r="J310" t="n">
        <v>0</v>
      </c>
      <c r="K310" t="n">
        <v>0</v>
      </c>
      <c r="L310" t="n">
        <v>0</v>
      </c>
      <c r="M310" t="n">
        <v>0</v>
      </c>
      <c r="N310" t="n">
        <v>0</v>
      </c>
      <c r="O310" t="n">
        <v>0</v>
      </c>
      <c r="P310" t="n">
        <v>0</v>
      </c>
      <c r="Q310" t="n">
        <v>0</v>
      </c>
      <c r="R310" s="2" t="inlineStr"/>
    </row>
    <row r="311" ht="15" customHeight="1">
      <c r="A311" t="inlineStr">
        <is>
          <t>A 25252-2024</t>
        </is>
      </c>
      <c r="B311" s="1" t="n">
        <v>45462</v>
      </c>
      <c r="C311" s="1" t="n">
        <v>46188</v>
      </c>
      <c r="D311" t="inlineStr">
        <is>
          <t>UPPSALA LÄN</t>
        </is>
      </c>
      <c r="E311" t="inlineStr">
        <is>
          <t>ÖSTHAMMAR</t>
        </is>
      </c>
      <c r="G311" t="n">
        <v>4.3</v>
      </c>
      <c r="H311" t="n">
        <v>0</v>
      </c>
      <c r="I311" t="n">
        <v>0</v>
      </c>
      <c r="J311" t="n">
        <v>0</v>
      </c>
      <c r="K311" t="n">
        <v>0</v>
      </c>
      <c r="L311" t="n">
        <v>0</v>
      </c>
      <c r="M311" t="n">
        <v>0</v>
      </c>
      <c r="N311" t="n">
        <v>0</v>
      </c>
      <c r="O311" t="n">
        <v>0</v>
      </c>
      <c r="P311" t="n">
        <v>0</v>
      </c>
      <c r="Q311" t="n">
        <v>0</v>
      </c>
      <c r="R311" s="2" t="inlineStr"/>
    </row>
    <row r="312" ht="15" customHeight="1">
      <c r="A312" t="inlineStr">
        <is>
          <t>A 16531-2025</t>
        </is>
      </c>
      <c r="B312" s="1" t="n">
        <v>45751</v>
      </c>
      <c r="C312" s="1" t="n">
        <v>46188</v>
      </c>
      <c r="D312" t="inlineStr">
        <is>
          <t>UPPSALA LÄN</t>
        </is>
      </c>
      <c r="E312" t="inlineStr">
        <is>
          <t>ÖSTHAMMAR</t>
        </is>
      </c>
      <c r="G312" t="n">
        <v>3.3</v>
      </c>
      <c r="H312" t="n">
        <v>0</v>
      </c>
      <c r="I312" t="n">
        <v>0</v>
      </c>
      <c r="J312" t="n">
        <v>0</v>
      </c>
      <c r="K312" t="n">
        <v>0</v>
      </c>
      <c r="L312" t="n">
        <v>0</v>
      </c>
      <c r="M312" t="n">
        <v>0</v>
      </c>
      <c r="N312" t="n">
        <v>0</v>
      </c>
      <c r="O312" t="n">
        <v>0</v>
      </c>
      <c r="P312" t="n">
        <v>0</v>
      </c>
      <c r="Q312" t="n">
        <v>0</v>
      </c>
      <c r="R312" s="2" t="inlineStr"/>
    </row>
    <row r="313" ht="15" customHeight="1">
      <c r="A313" t="inlineStr">
        <is>
          <t>A 31137-2022</t>
        </is>
      </c>
      <c r="B313" s="1" t="n">
        <v>44770.42166666667</v>
      </c>
      <c r="C313" s="1" t="n">
        <v>46188</v>
      </c>
      <c r="D313" t="inlineStr">
        <is>
          <t>UPPSALA LÄN</t>
        </is>
      </c>
      <c r="E313" t="inlineStr">
        <is>
          <t>ÖSTHAMMAR</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12945-2025</t>
        </is>
      </c>
      <c r="B314" s="1" t="n">
        <v>45734.38159722222</v>
      </c>
      <c r="C314" s="1" t="n">
        <v>46188</v>
      </c>
      <c r="D314" t="inlineStr">
        <is>
          <t>UPPSALA LÄN</t>
        </is>
      </c>
      <c r="E314" t="inlineStr">
        <is>
          <t>ÖSTHAMMAR</t>
        </is>
      </c>
      <c r="G314" t="n">
        <v>2.1</v>
      </c>
      <c r="H314" t="n">
        <v>0</v>
      </c>
      <c r="I314" t="n">
        <v>0</v>
      </c>
      <c r="J314" t="n">
        <v>0</v>
      </c>
      <c r="K314" t="n">
        <v>0</v>
      </c>
      <c r="L314" t="n">
        <v>0</v>
      </c>
      <c r="M314" t="n">
        <v>0</v>
      </c>
      <c r="N314" t="n">
        <v>0</v>
      </c>
      <c r="O314" t="n">
        <v>0</v>
      </c>
      <c r="P314" t="n">
        <v>0</v>
      </c>
      <c r="Q314" t="n">
        <v>0</v>
      </c>
      <c r="R314" s="2" t="inlineStr"/>
    </row>
    <row r="315" ht="15" customHeight="1">
      <c r="A315" t="inlineStr">
        <is>
          <t>A 34185-2024</t>
        </is>
      </c>
      <c r="B315" s="1" t="n">
        <v>45524</v>
      </c>
      <c r="C315" s="1" t="n">
        <v>46188</v>
      </c>
      <c r="D315" t="inlineStr">
        <is>
          <t>UPPSALA LÄN</t>
        </is>
      </c>
      <c r="E315" t="inlineStr">
        <is>
          <t>ÖSTHAMMAR</t>
        </is>
      </c>
      <c r="G315" t="n">
        <v>2.5</v>
      </c>
      <c r="H315" t="n">
        <v>0</v>
      </c>
      <c r="I315" t="n">
        <v>0</v>
      </c>
      <c r="J315" t="n">
        <v>0</v>
      </c>
      <c r="K315" t="n">
        <v>0</v>
      </c>
      <c r="L315" t="n">
        <v>0</v>
      </c>
      <c r="M315" t="n">
        <v>0</v>
      </c>
      <c r="N315" t="n">
        <v>0</v>
      </c>
      <c r="O315" t="n">
        <v>0</v>
      </c>
      <c r="P315" t="n">
        <v>0</v>
      </c>
      <c r="Q315" t="n">
        <v>0</v>
      </c>
      <c r="R315" s="2" t="inlineStr"/>
    </row>
    <row r="316" ht="15" customHeight="1">
      <c r="A316" t="inlineStr">
        <is>
          <t>A 16089-2025</t>
        </is>
      </c>
      <c r="B316" s="1" t="n">
        <v>45749.84232638889</v>
      </c>
      <c r="C316" s="1" t="n">
        <v>46188</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74429-2021</t>
        </is>
      </c>
      <c r="B317" s="1" t="n">
        <v>44560.43136574074</v>
      </c>
      <c r="C317" s="1" t="n">
        <v>46188</v>
      </c>
      <c r="D317" t="inlineStr">
        <is>
          <t>UPPSALA LÄN</t>
        </is>
      </c>
      <c r="E317" t="inlineStr">
        <is>
          <t>ÖSTHAMMAR</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30931-2021</t>
        </is>
      </c>
      <c r="B318" s="1" t="n">
        <v>44365</v>
      </c>
      <c r="C318" s="1" t="n">
        <v>46188</v>
      </c>
      <c r="D318" t="inlineStr">
        <is>
          <t>UPPSALA LÄN</t>
        </is>
      </c>
      <c r="E318" t="inlineStr">
        <is>
          <t>ÖSTHAMMAR</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14170-2025</t>
        </is>
      </c>
      <c r="B319" s="1" t="n">
        <v>45740.51895833333</v>
      </c>
      <c r="C319" s="1" t="n">
        <v>46188</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17867-2024</t>
        </is>
      </c>
      <c r="B320" s="1" t="n">
        <v>45419.44106481481</v>
      </c>
      <c r="C320" s="1" t="n">
        <v>46188</v>
      </c>
      <c r="D320" t="inlineStr">
        <is>
          <t>UPPSALA LÄN</t>
        </is>
      </c>
      <c r="E320" t="inlineStr">
        <is>
          <t>ÖSTHAMMAR</t>
        </is>
      </c>
      <c r="G320" t="n">
        <v>7.2</v>
      </c>
      <c r="H320" t="n">
        <v>0</v>
      </c>
      <c r="I320" t="n">
        <v>0</v>
      </c>
      <c r="J320" t="n">
        <v>0</v>
      </c>
      <c r="K320" t="n">
        <v>0</v>
      </c>
      <c r="L320" t="n">
        <v>0</v>
      </c>
      <c r="M320" t="n">
        <v>0</v>
      </c>
      <c r="N320" t="n">
        <v>0</v>
      </c>
      <c r="O320" t="n">
        <v>0</v>
      </c>
      <c r="P320" t="n">
        <v>0</v>
      </c>
      <c r="Q320" t="n">
        <v>0</v>
      </c>
      <c r="R320" s="2" t="inlineStr"/>
    </row>
    <row r="321" ht="15" customHeight="1">
      <c r="A321" t="inlineStr">
        <is>
          <t>A 58297-2024</t>
        </is>
      </c>
      <c r="B321" s="1" t="n">
        <v>45632.59780092593</v>
      </c>
      <c r="C321" s="1" t="n">
        <v>46188</v>
      </c>
      <c r="D321" t="inlineStr">
        <is>
          <t>UPPSALA LÄN</t>
        </is>
      </c>
      <c r="E321" t="inlineStr">
        <is>
          <t>ÖSTHAMMAR</t>
        </is>
      </c>
      <c r="G321" t="n">
        <v>5.1</v>
      </c>
      <c r="H321" t="n">
        <v>0</v>
      </c>
      <c r="I321" t="n">
        <v>0</v>
      </c>
      <c r="J321" t="n">
        <v>0</v>
      </c>
      <c r="K321" t="n">
        <v>0</v>
      </c>
      <c r="L321" t="n">
        <v>0</v>
      </c>
      <c r="M321" t="n">
        <v>0</v>
      </c>
      <c r="N321" t="n">
        <v>0</v>
      </c>
      <c r="O321" t="n">
        <v>0</v>
      </c>
      <c r="P321" t="n">
        <v>0</v>
      </c>
      <c r="Q321" t="n">
        <v>0</v>
      </c>
      <c r="R321" s="2" t="inlineStr"/>
    </row>
    <row r="322" ht="15" customHeight="1">
      <c r="A322" t="inlineStr">
        <is>
          <t>A 4228-2023</t>
        </is>
      </c>
      <c r="B322" s="1" t="n">
        <v>44953.48179398148</v>
      </c>
      <c r="C322" s="1" t="n">
        <v>46188</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26330-2025</t>
        </is>
      </c>
      <c r="B323" s="1" t="n">
        <v>45805.68263888889</v>
      </c>
      <c r="C323" s="1" t="n">
        <v>46188</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3095-2026</t>
        </is>
      </c>
      <c r="B324" s="1" t="n">
        <v>46040.90493055555</v>
      </c>
      <c r="C324" s="1" t="n">
        <v>46188</v>
      </c>
      <c r="D324" t="inlineStr">
        <is>
          <t>UPPSALA LÄN</t>
        </is>
      </c>
      <c r="E324" t="inlineStr">
        <is>
          <t>ÖSTHAMMAR</t>
        </is>
      </c>
      <c r="G324" t="n">
        <v>1.7</v>
      </c>
      <c r="H324" t="n">
        <v>0</v>
      </c>
      <c r="I324" t="n">
        <v>0</v>
      </c>
      <c r="J324" t="n">
        <v>0</v>
      </c>
      <c r="K324" t="n">
        <v>0</v>
      </c>
      <c r="L324" t="n">
        <v>0</v>
      </c>
      <c r="M324" t="n">
        <v>0</v>
      </c>
      <c r="N324" t="n">
        <v>0</v>
      </c>
      <c r="O324" t="n">
        <v>0</v>
      </c>
      <c r="P324" t="n">
        <v>0</v>
      </c>
      <c r="Q324" t="n">
        <v>0</v>
      </c>
      <c r="R324" s="2" t="inlineStr"/>
    </row>
    <row r="325" ht="15" customHeight="1">
      <c r="A325" t="inlineStr">
        <is>
          <t>A 3055-2026</t>
        </is>
      </c>
      <c r="B325" s="1" t="n">
        <v>46039.39636574074</v>
      </c>
      <c r="C325" s="1" t="n">
        <v>46188</v>
      </c>
      <c r="D325" t="inlineStr">
        <is>
          <t>UPPSALA LÄN</t>
        </is>
      </c>
      <c r="E325" t="inlineStr">
        <is>
          <t>ÖSTHAMMAR</t>
        </is>
      </c>
      <c r="F325" t="inlineStr">
        <is>
          <t>Bergvik skog öst AB</t>
        </is>
      </c>
      <c r="G325" t="n">
        <v>3.5</v>
      </c>
      <c r="H325" t="n">
        <v>0</v>
      </c>
      <c r="I325" t="n">
        <v>0</v>
      </c>
      <c r="J325" t="n">
        <v>0</v>
      </c>
      <c r="K325" t="n">
        <v>0</v>
      </c>
      <c r="L325" t="n">
        <v>0</v>
      </c>
      <c r="M325" t="n">
        <v>0</v>
      </c>
      <c r="N325" t="n">
        <v>0</v>
      </c>
      <c r="O325" t="n">
        <v>0</v>
      </c>
      <c r="P325" t="n">
        <v>0</v>
      </c>
      <c r="Q325" t="n">
        <v>0</v>
      </c>
      <c r="R325" s="2" t="inlineStr"/>
    </row>
    <row r="326" ht="15" customHeight="1">
      <c r="A326" t="inlineStr">
        <is>
          <t>A 36301-2023</t>
        </is>
      </c>
      <c r="B326" s="1" t="n">
        <v>45152.37296296296</v>
      </c>
      <c r="C326" s="1" t="n">
        <v>46188</v>
      </c>
      <c r="D326" t="inlineStr">
        <is>
          <t>UPPSALA LÄN</t>
        </is>
      </c>
      <c r="E326" t="inlineStr">
        <is>
          <t>ÖSTHAMMAR</t>
        </is>
      </c>
      <c r="G326" t="n">
        <v>0.9</v>
      </c>
      <c r="H326" t="n">
        <v>0</v>
      </c>
      <c r="I326" t="n">
        <v>0</v>
      </c>
      <c r="J326" t="n">
        <v>0</v>
      </c>
      <c r="K326" t="n">
        <v>0</v>
      </c>
      <c r="L326" t="n">
        <v>0</v>
      </c>
      <c r="M326" t="n">
        <v>0</v>
      </c>
      <c r="N326" t="n">
        <v>0</v>
      </c>
      <c r="O326" t="n">
        <v>0</v>
      </c>
      <c r="P326" t="n">
        <v>0</v>
      </c>
      <c r="Q326" t="n">
        <v>0</v>
      </c>
      <c r="R326" s="2" t="inlineStr"/>
    </row>
    <row r="327" ht="15" customHeight="1">
      <c r="A327" t="inlineStr">
        <is>
          <t>A 7195-2023</t>
        </is>
      </c>
      <c r="B327" s="1" t="n">
        <v>44970</v>
      </c>
      <c r="C327" s="1" t="n">
        <v>46188</v>
      </c>
      <c r="D327" t="inlineStr">
        <is>
          <t>UPPSALA LÄN</t>
        </is>
      </c>
      <c r="E327" t="inlineStr">
        <is>
          <t>ÖSTHAMMAR</t>
        </is>
      </c>
      <c r="G327" t="n">
        <v>1.3</v>
      </c>
      <c r="H327" t="n">
        <v>0</v>
      </c>
      <c r="I327" t="n">
        <v>0</v>
      </c>
      <c r="J327" t="n">
        <v>0</v>
      </c>
      <c r="K327" t="n">
        <v>0</v>
      </c>
      <c r="L327" t="n">
        <v>0</v>
      </c>
      <c r="M327" t="n">
        <v>0</v>
      </c>
      <c r="N327" t="n">
        <v>0</v>
      </c>
      <c r="O327" t="n">
        <v>0</v>
      </c>
      <c r="P327" t="n">
        <v>0</v>
      </c>
      <c r="Q327" t="n">
        <v>0</v>
      </c>
      <c r="R327" s="2" t="inlineStr"/>
    </row>
    <row r="328" ht="15" customHeight="1">
      <c r="A328" t="inlineStr">
        <is>
          <t>A 26774-2023</t>
        </is>
      </c>
      <c r="B328" s="1" t="n">
        <v>45093.47947916666</v>
      </c>
      <c r="C328" s="1" t="n">
        <v>46188</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3642-2026</t>
        </is>
      </c>
      <c r="B329" s="1" t="n">
        <v>46043.35760416667</v>
      </c>
      <c r="C329" s="1" t="n">
        <v>46188</v>
      </c>
      <c r="D329" t="inlineStr">
        <is>
          <t>UPPSALA LÄN</t>
        </is>
      </c>
      <c r="E329" t="inlineStr">
        <is>
          <t>ÖSTHAMMAR</t>
        </is>
      </c>
      <c r="G329" t="n">
        <v>3</v>
      </c>
      <c r="H329" t="n">
        <v>0</v>
      </c>
      <c r="I329" t="n">
        <v>0</v>
      </c>
      <c r="J329" t="n">
        <v>0</v>
      </c>
      <c r="K329" t="n">
        <v>0</v>
      </c>
      <c r="L329" t="n">
        <v>0</v>
      </c>
      <c r="M329" t="n">
        <v>0</v>
      </c>
      <c r="N329" t="n">
        <v>0</v>
      </c>
      <c r="O329" t="n">
        <v>0</v>
      </c>
      <c r="P329" t="n">
        <v>0</v>
      </c>
      <c r="Q329" t="n">
        <v>0</v>
      </c>
      <c r="R329" s="2" t="inlineStr"/>
    </row>
    <row r="330" ht="15" customHeight="1">
      <c r="A330" t="inlineStr">
        <is>
          <t>A 3668-2026</t>
        </is>
      </c>
      <c r="B330" s="1" t="n">
        <v>46043.41212962963</v>
      </c>
      <c r="C330" s="1" t="n">
        <v>46188</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3926-2026</t>
        </is>
      </c>
      <c r="B331" s="1" t="n">
        <v>46043.781875</v>
      </c>
      <c r="C331" s="1" t="n">
        <v>46188</v>
      </c>
      <c r="D331" t="inlineStr">
        <is>
          <t>UPPSALA LÄN</t>
        </is>
      </c>
      <c r="E331" t="inlineStr">
        <is>
          <t>ÖSTHAMMAR</t>
        </is>
      </c>
      <c r="G331" t="n">
        <v>3.3</v>
      </c>
      <c r="H331" t="n">
        <v>0</v>
      </c>
      <c r="I331" t="n">
        <v>0</v>
      </c>
      <c r="J331" t="n">
        <v>0</v>
      </c>
      <c r="K331" t="n">
        <v>0</v>
      </c>
      <c r="L331" t="n">
        <v>0</v>
      </c>
      <c r="M331" t="n">
        <v>0</v>
      </c>
      <c r="N331" t="n">
        <v>0</v>
      </c>
      <c r="O331" t="n">
        <v>0</v>
      </c>
      <c r="P331" t="n">
        <v>0</v>
      </c>
      <c r="Q331" t="n">
        <v>0</v>
      </c>
      <c r="R331" s="2" t="inlineStr"/>
    </row>
    <row r="332" ht="15" customHeight="1">
      <c r="A332" t="inlineStr">
        <is>
          <t>A 27132-2025</t>
        </is>
      </c>
      <c r="B332" s="1" t="n">
        <v>45811</v>
      </c>
      <c r="C332" s="1" t="n">
        <v>46188</v>
      </c>
      <c r="D332" t="inlineStr">
        <is>
          <t>UPPSALA LÄN</t>
        </is>
      </c>
      <c r="E332" t="inlineStr">
        <is>
          <t>ÖSTHAMMAR</t>
        </is>
      </c>
      <c r="G332" t="n">
        <v>2.3</v>
      </c>
      <c r="H332" t="n">
        <v>0</v>
      </c>
      <c r="I332" t="n">
        <v>0</v>
      </c>
      <c r="J332" t="n">
        <v>0</v>
      </c>
      <c r="K332" t="n">
        <v>0</v>
      </c>
      <c r="L332" t="n">
        <v>0</v>
      </c>
      <c r="M332" t="n">
        <v>0</v>
      </c>
      <c r="N332" t="n">
        <v>0</v>
      </c>
      <c r="O332" t="n">
        <v>0</v>
      </c>
      <c r="P332" t="n">
        <v>0</v>
      </c>
      <c r="Q332" t="n">
        <v>0</v>
      </c>
      <c r="R332" s="2" t="inlineStr"/>
    </row>
    <row r="333" ht="15" customHeight="1">
      <c r="A333" t="inlineStr">
        <is>
          <t>A 12528-2024</t>
        </is>
      </c>
      <c r="B333" s="1" t="n">
        <v>45379.61878472222</v>
      </c>
      <c r="C333" s="1" t="n">
        <v>46188</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9267-2024</t>
        </is>
      </c>
      <c r="B334" s="1" t="n">
        <v>45358</v>
      </c>
      <c r="C334" s="1" t="n">
        <v>46188</v>
      </c>
      <c r="D334" t="inlineStr">
        <is>
          <t>UPPSALA LÄN</t>
        </is>
      </c>
      <c r="E334" t="inlineStr">
        <is>
          <t>ÖSTHAMMAR</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33601-2024</t>
        </is>
      </c>
      <c r="B335" s="1" t="n">
        <v>45520</v>
      </c>
      <c r="C335" s="1" t="n">
        <v>46188</v>
      </c>
      <c r="D335" t="inlineStr">
        <is>
          <t>UPPSALA LÄN</t>
        </is>
      </c>
      <c r="E335" t="inlineStr">
        <is>
          <t>ÖSTHAMMAR</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4570-2026</t>
        </is>
      </c>
      <c r="B336" s="1" t="n">
        <v>46048.00856481482</v>
      </c>
      <c r="C336" s="1" t="n">
        <v>46188</v>
      </c>
      <c r="D336" t="inlineStr">
        <is>
          <t>UPPSALA LÄN</t>
        </is>
      </c>
      <c r="E336" t="inlineStr">
        <is>
          <t>ÖSTHAMMAR</t>
        </is>
      </c>
      <c r="F336" t="inlineStr">
        <is>
          <t>Allmännings- och besparingsskogar</t>
        </is>
      </c>
      <c r="G336" t="n">
        <v>7.1</v>
      </c>
      <c r="H336" t="n">
        <v>0</v>
      </c>
      <c r="I336" t="n">
        <v>0</v>
      </c>
      <c r="J336" t="n">
        <v>0</v>
      </c>
      <c r="K336" t="n">
        <v>0</v>
      </c>
      <c r="L336" t="n">
        <v>0</v>
      </c>
      <c r="M336" t="n">
        <v>0</v>
      </c>
      <c r="N336" t="n">
        <v>0</v>
      </c>
      <c r="O336" t="n">
        <v>0</v>
      </c>
      <c r="P336" t="n">
        <v>0</v>
      </c>
      <c r="Q336" t="n">
        <v>0</v>
      </c>
      <c r="R336" s="2" t="inlineStr"/>
    </row>
    <row r="337" ht="15" customHeight="1">
      <c r="A337" t="inlineStr">
        <is>
          <t>A 5469-2026</t>
        </is>
      </c>
      <c r="B337" s="1" t="n">
        <v>46050</v>
      </c>
      <c r="C337" s="1" t="n">
        <v>46188</v>
      </c>
      <c r="D337" t="inlineStr">
        <is>
          <t>UPPSALA LÄN</t>
        </is>
      </c>
      <c r="E337" t="inlineStr">
        <is>
          <t>ÖSTHAMMAR</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23197-2023</t>
        </is>
      </c>
      <c r="B338" s="1" t="n">
        <v>45075</v>
      </c>
      <c r="C338" s="1" t="n">
        <v>46188</v>
      </c>
      <c r="D338" t="inlineStr">
        <is>
          <t>UPPSALA LÄN</t>
        </is>
      </c>
      <c r="E338" t="inlineStr">
        <is>
          <t>ÖSTHAMMAR</t>
        </is>
      </c>
      <c r="G338" t="n">
        <v>0.5</v>
      </c>
      <c r="H338" t="n">
        <v>0</v>
      </c>
      <c r="I338" t="n">
        <v>0</v>
      </c>
      <c r="J338" t="n">
        <v>0</v>
      </c>
      <c r="K338" t="n">
        <v>0</v>
      </c>
      <c r="L338" t="n">
        <v>0</v>
      </c>
      <c r="M338" t="n">
        <v>0</v>
      </c>
      <c r="N338" t="n">
        <v>0</v>
      </c>
      <c r="O338" t="n">
        <v>0</v>
      </c>
      <c r="P338" t="n">
        <v>0</v>
      </c>
      <c r="Q338" t="n">
        <v>0</v>
      </c>
      <c r="R338" s="2" t="inlineStr"/>
    </row>
    <row r="339" ht="15" customHeight="1">
      <c r="A339" t="inlineStr">
        <is>
          <t>A 13044-2022</t>
        </is>
      </c>
      <c r="B339" s="1" t="n">
        <v>44643</v>
      </c>
      <c r="C339" s="1" t="n">
        <v>46188</v>
      </c>
      <c r="D339" t="inlineStr">
        <is>
          <t>UPPSALA LÄN</t>
        </is>
      </c>
      <c r="E339" t="inlineStr">
        <is>
          <t>ÖSTHAMMAR</t>
        </is>
      </c>
      <c r="G339" t="n">
        <v>2.5</v>
      </c>
      <c r="H339" t="n">
        <v>0</v>
      </c>
      <c r="I339" t="n">
        <v>0</v>
      </c>
      <c r="J339" t="n">
        <v>0</v>
      </c>
      <c r="K339" t="n">
        <v>0</v>
      </c>
      <c r="L339" t="n">
        <v>0</v>
      </c>
      <c r="M339" t="n">
        <v>0</v>
      </c>
      <c r="N339" t="n">
        <v>0</v>
      </c>
      <c r="O339" t="n">
        <v>0</v>
      </c>
      <c r="P339" t="n">
        <v>0</v>
      </c>
      <c r="Q339" t="n">
        <v>0</v>
      </c>
      <c r="R339" s="2" t="inlineStr"/>
    </row>
    <row r="340" ht="15" customHeight="1">
      <c r="A340" t="inlineStr">
        <is>
          <t>A 27347-2025</t>
        </is>
      </c>
      <c r="B340" s="1" t="n">
        <v>45812.62390046296</v>
      </c>
      <c r="C340" s="1" t="n">
        <v>46188</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2947-2025</t>
        </is>
      </c>
      <c r="B341" s="1" t="n">
        <v>45678</v>
      </c>
      <c r="C341" s="1" t="n">
        <v>46188</v>
      </c>
      <c r="D341" t="inlineStr">
        <is>
          <t>UPPSALA LÄN</t>
        </is>
      </c>
      <c r="E341" t="inlineStr">
        <is>
          <t>ÖSTHAMMAR</t>
        </is>
      </c>
      <c r="G341" t="n">
        <v>3.6</v>
      </c>
      <c r="H341" t="n">
        <v>0</v>
      </c>
      <c r="I341" t="n">
        <v>0</v>
      </c>
      <c r="J341" t="n">
        <v>0</v>
      </c>
      <c r="K341" t="n">
        <v>0</v>
      </c>
      <c r="L341" t="n">
        <v>0</v>
      </c>
      <c r="M341" t="n">
        <v>0</v>
      </c>
      <c r="N341" t="n">
        <v>0</v>
      </c>
      <c r="O341" t="n">
        <v>0</v>
      </c>
      <c r="P341" t="n">
        <v>0</v>
      </c>
      <c r="Q341" t="n">
        <v>0</v>
      </c>
      <c r="R341" s="2" t="inlineStr"/>
    </row>
    <row r="342" ht="15" customHeight="1">
      <c r="A342" t="inlineStr">
        <is>
          <t>A 17433-2025</t>
        </is>
      </c>
      <c r="B342" s="1" t="n">
        <v>45757.40733796296</v>
      </c>
      <c r="C342" s="1" t="n">
        <v>46188</v>
      </c>
      <c r="D342" t="inlineStr">
        <is>
          <t>UPPSALA LÄN</t>
        </is>
      </c>
      <c r="E342" t="inlineStr">
        <is>
          <t>ÖSTHAMMAR</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12756-2024</t>
        </is>
      </c>
      <c r="B343" s="1" t="n">
        <v>45384</v>
      </c>
      <c r="C343" s="1" t="n">
        <v>46188</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15928-2022</t>
        </is>
      </c>
      <c r="B344" s="1" t="n">
        <v>44664</v>
      </c>
      <c r="C344" s="1" t="n">
        <v>46188</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8708-2022</t>
        </is>
      </c>
      <c r="B345" s="1" t="n">
        <v>44613.77238425926</v>
      </c>
      <c r="C345" s="1" t="n">
        <v>46188</v>
      </c>
      <c r="D345" t="inlineStr">
        <is>
          <t>UPPSALA LÄN</t>
        </is>
      </c>
      <c r="E345" t="inlineStr">
        <is>
          <t>ÖSTHAMMAR</t>
        </is>
      </c>
      <c r="G345" t="n">
        <v>4.3</v>
      </c>
      <c r="H345" t="n">
        <v>0</v>
      </c>
      <c r="I345" t="n">
        <v>0</v>
      </c>
      <c r="J345" t="n">
        <v>0</v>
      </c>
      <c r="K345" t="n">
        <v>0</v>
      </c>
      <c r="L345" t="n">
        <v>0</v>
      </c>
      <c r="M345" t="n">
        <v>0</v>
      </c>
      <c r="N345" t="n">
        <v>0</v>
      </c>
      <c r="O345" t="n">
        <v>0</v>
      </c>
      <c r="P345" t="n">
        <v>0</v>
      </c>
      <c r="Q345" t="n">
        <v>0</v>
      </c>
      <c r="R345" s="2" t="inlineStr"/>
    </row>
    <row r="346" ht="15" customHeight="1">
      <c r="A346" t="inlineStr">
        <is>
          <t>A 27350-2025</t>
        </is>
      </c>
      <c r="B346" s="1" t="n">
        <v>45812.62571759259</v>
      </c>
      <c r="C346" s="1" t="n">
        <v>46188</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33760-2024</t>
        </is>
      </c>
      <c r="B347" s="1" t="n">
        <v>45520</v>
      </c>
      <c r="C347" s="1" t="n">
        <v>46188</v>
      </c>
      <c r="D347" t="inlineStr">
        <is>
          <t>UPPSALA LÄN</t>
        </is>
      </c>
      <c r="E347" t="inlineStr">
        <is>
          <t>ÖSTHAMMAR</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8592-2022</t>
        </is>
      </c>
      <c r="B348" s="1" t="n">
        <v>44613</v>
      </c>
      <c r="C348" s="1" t="n">
        <v>46188</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6511-2026</t>
        </is>
      </c>
      <c r="B349" s="1" t="n">
        <v>46056.38925925926</v>
      </c>
      <c r="C349" s="1" t="n">
        <v>46188</v>
      </c>
      <c r="D349" t="inlineStr">
        <is>
          <t>UPPSALA LÄN</t>
        </is>
      </c>
      <c r="E349" t="inlineStr">
        <is>
          <t>ÖSTHAMMAR</t>
        </is>
      </c>
      <c r="F349" t="inlineStr">
        <is>
          <t>Bergvik skog öst AB</t>
        </is>
      </c>
      <c r="G349" t="n">
        <v>2</v>
      </c>
      <c r="H349" t="n">
        <v>0</v>
      </c>
      <c r="I349" t="n">
        <v>0</v>
      </c>
      <c r="J349" t="n">
        <v>0</v>
      </c>
      <c r="K349" t="n">
        <v>0</v>
      </c>
      <c r="L349" t="n">
        <v>0</v>
      </c>
      <c r="M349" t="n">
        <v>0</v>
      </c>
      <c r="N349" t="n">
        <v>0</v>
      </c>
      <c r="O349" t="n">
        <v>0</v>
      </c>
      <c r="P349" t="n">
        <v>0</v>
      </c>
      <c r="Q349" t="n">
        <v>0</v>
      </c>
      <c r="R349" s="2" t="inlineStr"/>
    </row>
    <row r="350" ht="15" customHeight="1">
      <c r="A350" t="inlineStr">
        <is>
          <t>A 52629-2023</t>
        </is>
      </c>
      <c r="B350" s="1" t="n">
        <v>45225</v>
      </c>
      <c r="C350" s="1" t="n">
        <v>46188</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6517-2026</t>
        </is>
      </c>
      <c r="B351" s="1" t="n">
        <v>46056.39921296296</v>
      </c>
      <c r="C351" s="1" t="n">
        <v>46188</v>
      </c>
      <c r="D351" t="inlineStr">
        <is>
          <t>UPPSALA LÄN</t>
        </is>
      </c>
      <c r="E351" t="inlineStr">
        <is>
          <t>ÖSTHAMMAR</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35918-2023</t>
        </is>
      </c>
      <c r="B352" s="1" t="n">
        <v>45148.64976851852</v>
      </c>
      <c r="C352" s="1" t="n">
        <v>46188</v>
      </c>
      <c r="D352" t="inlineStr">
        <is>
          <t>UPPSALA LÄN</t>
        </is>
      </c>
      <c r="E352" t="inlineStr">
        <is>
          <t>ÖSTHAMMAR</t>
        </is>
      </c>
      <c r="F352" t="inlineStr">
        <is>
          <t>Bergvik skog öst AB</t>
        </is>
      </c>
      <c r="G352" t="n">
        <v>0.9</v>
      </c>
      <c r="H352" t="n">
        <v>0</v>
      </c>
      <c r="I352" t="n">
        <v>0</v>
      </c>
      <c r="J352" t="n">
        <v>0</v>
      </c>
      <c r="K352" t="n">
        <v>0</v>
      </c>
      <c r="L352" t="n">
        <v>0</v>
      </c>
      <c r="M352" t="n">
        <v>0</v>
      </c>
      <c r="N352" t="n">
        <v>0</v>
      </c>
      <c r="O352" t="n">
        <v>0</v>
      </c>
      <c r="P352" t="n">
        <v>0</v>
      </c>
      <c r="Q352" t="n">
        <v>0</v>
      </c>
      <c r="R352" s="2" t="inlineStr"/>
    </row>
    <row r="353" ht="15" customHeight="1">
      <c r="A353" t="inlineStr">
        <is>
          <t>A 6884-2026</t>
        </is>
      </c>
      <c r="B353" s="1" t="n">
        <v>46057.46614583334</v>
      </c>
      <c r="C353" s="1" t="n">
        <v>46188</v>
      </c>
      <c r="D353" t="inlineStr">
        <is>
          <t>UPPSALA LÄN</t>
        </is>
      </c>
      <c r="E353" t="inlineStr">
        <is>
          <t>ÖSTHAMMAR</t>
        </is>
      </c>
      <c r="G353" t="n">
        <v>4.1</v>
      </c>
      <c r="H353" t="n">
        <v>0</v>
      </c>
      <c r="I353" t="n">
        <v>0</v>
      </c>
      <c r="J353" t="n">
        <v>0</v>
      </c>
      <c r="K353" t="n">
        <v>0</v>
      </c>
      <c r="L353" t="n">
        <v>0</v>
      </c>
      <c r="M353" t="n">
        <v>0</v>
      </c>
      <c r="N353" t="n">
        <v>0</v>
      </c>
      <c r="O353" t="n">
        <v>0</v>
      </c>
      <c r="P353" t="n">
        <v>0</v>
      </c>
      <c r="Q353" t="n">
        <v>0</v>
      </c>
      <c r="R353" s="2" t="inlineStr"/>
    </row>
    <row r="354" ht="15" customHeight="1">
      <c r="A354" t="inlineStr">
        <is>
          <t>A 6635-2026</t>
        </is>
      </c>
      <c r="B354" s="1" t="n">
        <v>46056.52885416667</v>
      </c>
      <c r="C354" s="1" t="n">
        <v>46188</v>
      </c>
      <c r="D354" t="inlineStr">
        <is>
          <t>UPPSALA LÄN</t>
        </is>
      </c>
      <c r="E354" t="inlineStr">
        <is>
          <t>ÖSTHAMMAR</t>
        </is>
      </c>
      <c r="F354" t="inlineStr">
        <is>
          <t>Bergvik skog öst AB</t>
        </is>
      </c>
      <c r="G354" t="n">
        <v>4.3</v>
      </c>
      <c r="H354" t="n">
        <v>0</v>
      </c>
      <c r="I354" t="n">
        <v>0</v>
      </c>
      <c r="J354" t="n">
        <v>0</v>
      </c>
      <c r="K354" t="n">
        <v>0</v>
      </c>
      <c r="L354" t="n">
        <v>0</v>
      </c>
      <c r="M354" t="n">
        <v>0</v>
      </c>
      <c r="N354" t="n">
        <v>0</v>
      </c>
      <c r="O354" t="n">
        <v>0</v>
      </c>
      <c r="P354" t="n">
        <v>0</v>
      </c>
      <c r="Q354" t="n">
        <v>0</v>
      </c>
      <c r="R354" s="2" t="inlineStr"/>
    </row>
    <row r="355" ht="15" customHeight="1">
      <c r="A355" t="inlineStr">
        <is>
          <t>A 6522-2026</t>
        </is>
      </c>
      <c r="B355" s="1" t="n">
        <v>46056.4025</v>
      </c>
      <c r="C355" s="1" t="n">
        <v>46188</v>
      </c>
      <c r="D355" t="inlineStr">
        <is>
          <t>UPPSALA LÄN</t>
        </is>
      </c>
      <c r="E355" t="inlineStr">
        <is>
          <t>ÖSTHAMMAR</t>
        </is>
      </c>
      <c r="F355" t="inlineStr">
        <is>
          <t>Bergvik skog öst AB</t>
        </is>
      </c>
      <c r="G355" t="n">
        <v>4.2</v>
      </c>
      <c r="H355" t="n">
        <v>0</v>
      </c>
      <c r="I355" t="n">
        <v>0</v>
      </c>
      <c r="J355" t="n">
        <v>0</v>
      </c>
      <c r="K355" t="n">
        <v>0</v>
      </c>
      <c r="L355" t="n">
        <v>0</v>
      </c>
      <c r="M355" t="n">
        <v>0</v>
      </c>
      <c r="N355" t="n">
        <v>0</v>
      </c>
      <c r="O355" t="n">
        <v>0</v>
      </c>
      <c r="P355" t="n">
        <v>0</v>
      </c>
      <c r="Q355" t="n">
        <v>0</v>
      </c>
      <c r="R355" s="2" t="inlineStr"/>
    </row>
    <row r="356" ht="15" customHeight="1">
      <c r="A356" t="inlineStr">
        <is>
          <t>A 27853-2025</t>
        </is>
      </c>
      <c r="B356" s="1" t="n">
        <v>45817.40178240741</v>
      </c>
      <c r="C356" s="1" t="n">
        <v>46188</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27812-2025</t>
        </is>
      </c>
      <c r="B357" s="1" t="n">
        <v>45817.32150462963</v>
      </c>
      <c r="C357" s="1" t="n">
        <v>46188</v>
      </c>
      <c r="D357" t="inlineStr">
        <is>
          <t>UPPSALA LÄN</t>
        </is>
      </c>
      <c r="E357" t="inlineStr">
        <is>
          <t>ÖSTHAMMAR</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27920-2025</t>
        </is>
      </c>
      <c r="B358" s="1" t="n">
        <v>45817.48454861111</v>
      </c>
      <c r="C358" s="1" t="n">
        <v>46188</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6762-2026</t>
        </is>
      </c>
      <c r="B359" s="1" t="n">
        <v>46056.85776620371</v>
      </c>
      <c r="C359" s="1" t="n">
        <v>46188</v>
      </c>
      <c r="D359" t="inlineStr">
        <is>
          <t>UPPSALA LÄN</t>
        </is>
      </c>
      <c r="E359" t="inlineStr">
        <is>
          <t>ÖSTHAMMAR</t>
        </is>
      </c>
      <c r="G359" t="n">
        <v>1.6</v>
      </c>
      <c r="H359" t="n">
        <v>0</v>
      </c>
      <c r="I359" t="n">
        <v>0</v>
      </c>
      <c r="J359" t="n">
        <v>0</v>
      </c>
      <c r="K359" t="n">
        <v>0</v>
      </c>
      <c r="L359" t="n">
        <v>0</v>
      </c>
      <c r="M359" t="n">
        <v>0</v>
      </c>
      <c r="N359" t="n">
        <v>0</v>
      </c>
      <c r="O359" t="n">
        <v>0</v>
      </c>
      <c r="P359" t="n">
        <v>0</v>
      </c>
      <c r="Q359" t="n">
        <v>0</v>
      </c>
      <c r="R359" s="2" t="inlineStr"/>
    </row>
    <row r="360" ht="15" customHeight="1">
      <c r="A360" t="inlineStr">
        <is>
          <t>A 8330-2025</t>
        </is>
      </c>
      <c r="B360" s="1" t="n">
        <v>45708</v>
      </c>
      <c r="C360" s="1" t="n">
        <v>46188</v>
      </c>
      <c r="D360" t="inlineStr">
        <is>
          <t>UPPSALA LÄN</t>
        </is>
      </c>
      <c r="E360" t="inlineStr">
        <is>
          <t>ÖSTHAMMAR</t>
        </is>
      </c>
      <c r="F360" t="inlineStr">
        <is>
          <t>Övriga Aktiebolag</t>
        </is>
      </c>
      <c r="G360" t="n">
        <v>2.4</v>
      </c>
      <c r="H360" t="n">
        <v>0</v>
      </c>
      <c r="I360" t="n">
        <v>0</v>
      </c>
      <c r="J360" t="n">
        <v>0</v>
      </c>
      <c r="K360" t="n">
        <v>0</v>
      </c>
      <c r="L360" t="n">
        <v>0</v>
      </c>
      <c r="M360" t="n">
        <v>0</v>
      </c>
      <c r="N360" t="n">
        <v>0</v>
      </c>
      <c r="O360" t="n">
        <v>0</v>
      </c>
      <c r="P360" t="n">
        <v>0</v>
      </c>
      <c r="Q360" t="n">
        <v>0</v>
      </c>
      <c r="R360" s="2" t="inlineStr"/>
    </row>
    <row r="361" ht="15" customHeight="1">
      <c r="A361" t="inlineStr">
        <is>
          <t>A 27509-2025</t>
        </is>
      </c>
      <c r="B361" s="1" t="n">
        <v>45813.4278125</v>
      </c>
      <c r="C361" s="1" t="n">
        <v>46188</v>
      </c>
      <c r="D361" t="inlineStr">
        <is>
          <t>UPPSALA LÄN</t>
        </is>
      </c>
      <c r="E361" t="inlineStr">
        <is>
          <t>ÖSTHAMMAR</t>
        </is>
      </c>
      <c r="F361" t="inlineStr">
        <is>
          <t>Bergvik skog öst AB</t>
        </is>
      </c>
      <c r="G361" t="n">
        <v>3.3</v>
      </c>
      <c r="H361" t="n">
        <v>0</v>
      </c>
      <c r="I361" t="n">
        <v>0</v>
      </c>
      <c r="J361" t="n">
        <v>0</v>
      </c>
      <c r="K361" t="n">
        <v>0</v>
      </c>
      <c r="L361" t="n">
        <v>0</v>
      </c>
      <c r="M361" t="n">
        <v>0</v>
      </c>
      <c r="N361" t="n">
        <v>0</v>
      </c>
      <c r="O361" t="n">
        <v>0</v>
      </c>
      <c r="P361" t="n">
        <v>0</v>
      </c>
      <c r="Q361" t="n">
        <v>0</v>
      </c>
      <c r="R361" s="2" t="inlineStr"/>
    </row>
    <row r="362" ht="15" customHeight="1">
      <c r="A362" t="inlineStr">
        <is>
          <t>A 6661-2024</t>
        </is>
      </c>
      <c r="B362" s="1" t="n">
        <v>45341.70582175926</v>
      </c>
      <c r="C362" s="1" t="n">
        <v>46188</v>
      </c>
      <c r="D362" t="inlineStr">
        <is>
          <t>UPPSALA LÄN</t>
        </is>
      </c>
      <c r="E362" t="inlineStr">
        <is>
          <t>ÖSTHAMMAR</t>
        </is>
      </c>
      <c r="G362" t="n">
        <v>0.2</v>
      </c>
      <c r="H362" t="n">
        <v>0</v>
      </c>
      <c r="I362" t="n">
        <v>0</v>
      </c>
      <c r="J362" t="n">
        <v>0</v>
      </c>
      <c r="K362" t="n">
        <v>0</v>
      </c>
      <c r="L362" t="n">
        <v>0</v>
      </c>
      <c r="M362" t="n">
        <v>0</v>
      </c>
      <c r="N362" t="n">
        <v>0</v>
      </c>
      <c r="O362" t="n">
        <v>0</v>
      </c>
      <c r="P362" t="n">
        <v>0</v>
      </c>
      <c r="Q362" t="n">
        <v>0</v>
      </c>
      <c r="R362" s="2" t="inlineStr"/>
    </row>
    <row r="363" ht="15" customHeight="1">
      <c r="A363" t="inlineStr">
        <is>
          <t>A 56903-2023</t>
        </is>
      </c>
      <c r="B363" s="1" t="n">
        <v>45244.56943287037</v>
      </c>
      <c r="C363" s="1" t="n">
        <v>46188</v>
      </c>
      <c r="D363" t="inlineStr">
        <is>
          <t>UPPSALA LÄN</t>
        </is>
      </c>
      <c r="E363" t="inlineStr">
        <is>
          <t>ÖSTHAMMAR</t>
        </is>
      </c>
      <c r="G363" t="n">
        <v>3.1</v>
      </c>
      <c r="H363" t="n">
        <v>0</v>
      </c>
      <c r="I363" t="n">
        <v>0</v>
      </c>
      <c r="J363" t="n">
        <v>0</v>
      </c>
      <c r="K363" t="n">
        <v>0</v>
      </c>
      <c r="L363" t="n">
        <v>0</v>
      </c>
      <c r="M363" t="n">
        <v>0</v>
      </c>
      <c r="N363" t="n">
        <v>0</v>
      </c>
      <c r="O363" t="n">
        <v>0</v>
      </c>
      <c r="P363" t="n">
        <v>0</v>
      </c>
      <c r="Q363" t="n">
        <v>0</v>
      </c>
      <c r="R363" s="2" t="inlineStr"/>
    </row>
    <row r="364" ht="15" customHeight="1">
      <c r="A364" t="inlineStr">
        <is>
          <t>A 28420-2023</t>
        </is>
      </c>
      <c r="B364" s="1" t="n">
        <v>45102.33054398148</v>
      </c>
      <c r="C364" s="1" t="n">
        <v>46188</v>
      </c>
      <c r="D364" t="inlineStr">
        <is>
          <t>UPPSALA LÄN</t>
        </is>
      </c>
      <c r="E364" t="inlineStr">
        <is>
          <t>ÖSTHAMMAR</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28432-2023</t>
        </is>
      </c>
      <c r="B365" s="1" t="n">
        <v>45102.59896990741</v>
      </c>
      <c r="C365" s="1" t="n">
        <v>46188</v>
      </c>
      <c r="D365" t="inlineStr">
        <is>
          <t>UPPSALA LÄN</t>
        </is>
      </c>
      <c r="E365" t="inlineStr">
        <is>
          <t>ÖSTHAMMAR</t>
        </is>
      </c>
      <c r="F365" t="inlineStr">
        <is>
          <t>Bergvik skog öst AB</t>
        </is>
      </c>
      <c r="G365" t="n">
        <v>3.9</v>
      </c>
      <c r="H365" t="n">
        <v>0</v>
      </c>
      <c r="I365" t="n">
        <v>0</v>
      </c>
      <c r="J365" t="n">
        <v>0</v>
      </c>
      <c r="K365" t="n">
        <v>0</v>
      </c>
      <c r="L365" t="n">
        <v>0</v>
      </c>
      <c r="M365" t="n">
        <v>0</v>
      </c>
      <c r="N365" t="n">
        <v>0</v>
      </c>
      <c r="O365" t="n">
        <v>0</v>
      </c>
      <c r="P365" t="n">
        <v>0</v>
      </c>
      <c r="Q365" t="n">
        <v>0</v>
      </c>
      <c r="R365" s="2" t="inlineStr"/>
    </row>
    <row r="366" ht="15" customHeight="1">
      <c r="A366" t="inlineStr">
        <is>
          <t>A 56969-2022</t>
        </is>
      </c>
      <c r="B366" s="1" t="n">
        <v>44894.68043981482</v>
      </c>
      <c r="C366" s="1" t="n">
        <v>46188</v>
      </c>
      <c r="D366" t="inlineStr">
        <is>
          <t>UPPSALA LÄN</t>
        </is>
      </c>
      <c r="E366" t="inlineStr">
        <is>
          <t>ÖSTHAMMAR</t>
        </is>
      </c>
      <c r="G366" t="n">
        <v>5.5</v>
      </c>
      <c r="H366" t="n">
        <v>0</v>
      </c>
      <c r="I366" t="n">
        <v>0</v>
      </c>
      <c r="J366" t="n">
        <v>0</v>
      </c>
      <c r="K366" t="n">
        <v>0</v>
      </c>
      <c r="L366" t="n">
        <v>0</v>
      </c>
      <c r="M366" t="n">
        <v>0</v>
      </c>
      <c r="N366" t="n">
        <v>0</v>
      </c>
      <c r="O366" t="n">
        <v>0</v>
      </c>
      <c r="P366" t="n">
        <v>0</v>
      </c>
      <c r="Q366" t="n">
        <v>0</v>
      </c>
      <c r="R366" s="2" t="inlineStr"/>
    </row>
    <row r="367" ht="15" customHeight="1">
      <c r="A367" t="inlineStr">
        <is>
          <t>A 7241-2026</t>
        </is>
      </c>
      <c r="B367" s="1" t="n">
        <v>46058.58392361111</v>
      </c>
      <c r="C367" s="1" t="n">
        <v>46188</v>
      </c>
      <c r="D367" t="inlineStr">
        <is>
          <t>UPPSALA LÄN</t>
        </is>
      </c>
      <c r="E367" t="inlineStr">
        <is>
          <t>ÖSTHAMMAR</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7262-2026</t>
        </is>
      </c>
      <c r="B368" s="1" t="n">
        <v>46058.6049537037</v>
      </c>
      <c r="C368" s="1" t="n">
        <v>46188</v>
      </c>
      <c r="D368" t="inlineStr">
        <is>
          <t>UPPSALA LÄN</t>
        </is>
      </c>
      <c r="E368" t="inlineStr">
        <is>
          <t>ÖSTHAMMAR</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7855-2026</t>
        </is>
      </c>
      <c r="B369" s="1" t="n">
        <v>46062.67241898148</v>
      </c>
      <c r="C369" s="1" t="n">
        <v>46188</v>
      </c>
      <c r="D369" t="inlineStr">
        <is>
          <t>UPPSALA LÄN</t>
        </is>
      </c>
      <c r="E369" t="inlineStr">
        <is>
          <t>ÖSTHAMMAR</t>
        </is>
      </c>
      <c r="G369" t="n">
        <v>3.8</v>
      </c>
      <c r="H369" t="n">
        <v>0</v>
      </c>
      <c r="I369" t="n">
        <v>0</v>
      </c>
      <c r="J369" t="n">
        <v>0</v>
      </c>
      <c r="K369" t="n">
        <v>0</v>
      </c>
      <c r="L369" t="n">
        <v>0</v>
      </c>
      <c r="M369" t="n">
        <v>0</v>
      </c>
      <c r="N369" t="n">
        <v>0</v>
      </c>
      <c r="O369" t="n">
        <v>0</v>
      </c>
      <c r="P369" t="n">
        <v>0</v>
      </c>
      <c r="Q369" t="n">
        <v>0</v>
      </c>
      <c r="R369" s="2" t="inlineStr"/>
    </row>
    <row r="370" ht="15" customHeight="1">
      <c r="A370" t="inlineStr">
        <is>
          <t>A 8030-2026</t>
        </is>
      </c>
      <c r="B370" s="1" t="n">
        <v>46063.57956018519</v>
      </c>
      <c r="C370" s="1" t="n">
        <v>46188</v>
      </c>
      <c r="D370" t="inlineStr">
        <is>
          <t>UPPSALA LÄN</t>
        </is>
      </c>
      <c r="E370" t="inlineStr">
        <is>
          <t>ÖSTHAMMAR</t>
        </is>
      </c>
      <c r="G370" t="n">
        <v>1.1</v>
      </c>
      <c r="H370" t="n">
        <v>0</v>
      </c>
      <c r="I370" t="n">
        <v>0</v>
      </c>
      <c r="J370" t="n">
        <v>0</v>
      </c>
      <c r="K370" t="n">
        <v>0</v>
      </c>
      <c r="L370" t="n">
        <v>0</v>
      </c>
      <c r="M370" t="n">
        <v>0</v>
      </c>
      <c r="N370" t="n">
        <v>0</v>
      </c>
      <c r="O370" t="n">
        <v>0</v>
      </c>
      <c r="P370" t="n">
        <v>0</v>
      </c>
      <c r="Q370" t="n">
        <v>0</v>
      </c>
      <c r="R370" s="2" t="inlineStr"/>
    </row>
    <row r="371" ht="15" customHeight="1">
      <c r="A371" t="inlineStr">
        <is>
          <t>A 29024-2025</t>
        </is>
      </c>
      <c r="B371" s="1" t="n">
        <v>45821.43233796296</v>
      </c>
      <c r="C371" s="1" t="n">
        <v>46188</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28739-2025</t>
        </is>
      </c>
      <c r="B372" s="1" t="n">
        <v>45820</v>
      </c>
      <c r="C372" s="1" t="n">
        <v>46188</v>
      </c>
      <c r="D372" t="inlineStr">
        <is>
          <t>UPPSALA LÄN</t>
        </is>
      </c>
      <c r="E372" t="inlineStr">
        <is>
          <t>ÖSTHAMMAR</t>
        </is>
      </c>
      <c r="G372" t="n">
        <v>1.4</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46188</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8086-2026</t>
        </is>
      </c>
      <c r="B374" s="1" t="n">
        <v>46063.70094907407</v>
      </c>
      <c r="C374" s="1" t="n">
        <v>46188</v>
      </c>
      <c r="D374" t="inlineStr">
        <is>
          <t>UPPSALA LÄN</t>
        </is>
      </c>
      <c r="E374" t="inlineStr">
        <is>
          <t>ÖSTHAMMAR</t>
        </is>
      </c>
      <c r="G374" t="n">
        <v>3.8</v>
      </c>
      <c r="H374" t="n">
        <v>0</v>
      </c>
      <c r="I374" t="n">
        <v>0</v>
      </c>
      <c r="J374" t="n">
        <v>0</v>
      </c>
      <c r="K374" t="n">
        <v>0</v>
      </c>
      <c r="L374" t="n">
        <v>0</v>
      </c>
      <c r="M374" t="n">
        <v>0</v>
      </c>
      <c r="N374" t="n">
        <v>0</v>
      </c>
      <c r="O374" t="n">
        <v>0</v>
      </c>
      <c r="P374" t="n">
        <v>0</v>
      </c>
      <c r="Q374" t="n">
        <v>0</v>
      </c>
      <c r="R374" s="2" t="inlineStr"/>
    </row>
    <row r="375" ht="15" customHeight="1">
      <c r="A375" t="inlineStr">
        <is>
          <t>A 44152-2024</t>
        </is>
      </c>
      <c r="B375" s="1" t="n">
        <v>45572</v>
      </c>
      <c r="C375" s="1" t="n">
        <v>46188</v>
      </c>
      <c r="D375" t="inlineStr">
        <is>
          <t>UPPSALA LÄN</t>
        </is>
      </c>
      <c r="E375" t="inlineStr">
        <is>
          <t>ÖSTHAMMAR</t>
        </is>
      </c>
      <c r="G375" t="n">
        <v>1.6</v>
      </c>
      <c r="H375" t="n">
        <v>0</v>
      </c>
      <c r="I375" t="n">
        <v>0</v>
      </c>
      <c r="J375" t="n">
        <v>0</v>
      </c>
      <c r="K375" t="n">
        <v>0</v>
      </c>
      <c r="L375" t="n">
        <v>0</v>
      </c>
      <c r="M375" t="n">
        <v>0</v>
      </c>
      <c r="N375" t="n">
        <v>0</v>
      </c>
      <c r="O375" t="n">
        <v>0</v>
      </c>
      <c r="P375" t="n">
        <v>0</v>
      </c>
      <c r="Q375" t="n">
        <v>0</v>
      </c>
      <c r="R375" s="2" t="inlineStr"/>
    </row>
    <row r="376" ht="15" customHeight="1">
      <c r="A376" t="inlineStr">
        <is>
          <t>A 8530-2026</t>
        </is>
      </c>
      <c r="B376" s="1" t="n">
        <v>46065.60075231481</v>
      </c>
      <c r="C376" s="1" t="n">
        <v>46188</v>
      </c>
      <c r="D376" t="inlineStr">
        <is>
          <t>UPPSALA LÄN</t>
        </is>
      </c>
      <c r="E376" t="inlineStr">
        <is>
          <t>ÖSTHAMMAR</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27494-2025</t>
        </is>
      </c>
      <c r="B377" s="1" t="n">
        <v>45813.39756944445</v>
      </c>
      <c r="C377" s="1" t="n">
        <v>46188</v>
      </c>
      <c r="D377" t="inlineStr">
        <is>
          <t>UPPSALA LÄN</t>
        </is>
      </c>
      <c r="E377" t="inlineStr">
        <is>
          <t>ÖSTHAMMAR</t>
        </is>
      </c>
      <c r="F377" t="inlineStr">
        <is>
          <t>Bergvik skog öst AB</t>
        </is>
      </c>
      <c r="G377" t="n">
        <v>23.4</v>
      </c>
      <c r="H377" t="n">
        <v>0</v>
      </c>
      <c r="I377" t="n">
        <v>0</v>
      </c>
      <c r="J377" t="n">
        <v>0</v>
      </c>
      <c r="K377" t="n">
        <v>0</v>
      </c>
      <c r="L377" t="n">
        <v>0</v>
      </c>
      <c r="M377" t="n">
        <v>0</v>
      </c>
      <c r="N377" t="n">
        <v>0</v>
      </c>
      <c r="O377" t="n">
        <v>0</v>
      </c>
      <c r="P377" t="n">
        <v>0</v>
      </c>
      <c r="Q377" t="n">
        <v>0</v>
      </c>
      <c r="R377" s="2" t="inlineStr"/>
    </row>
    <row r="378" ht="15" customHeight="1">
      <c r="A378" t="inlineStr">
        <is>
          <t>A 8269-2026</t>
        </is>
      </c>
      <c r="B378" s="1" t="n">
        <v>46064.54721064815</v>
      </c>
      <c r="C378" s="1" t="n">
        <v>46188</v>
      </c>
      <c r="D378" t="inlineStr">
        <is>
          <t>UPPSALA LÄN</t>
        </is>
      </c>
      <c r="E378" t="inlineStr">
        <is>
          <t>ÖSTHAMMAR</t>
        </is>
      </c>
      <c r="G378" t="n">
        <v>2.6</v>
      </c>
      <c r="H378" t="n">
        <v>0</v>
      </c>
      <c r="I378" t="n">
        <v>0</v>
      </c>
      <c r="J378" t="n">
        <v>0</v>
      </c>
      <c r="K378" t="n">
        <v>0</v>
      </c>
      <c r="L378" t="n">
        <v>0</v>
      </c>
      <c r="M378" t="n">
        <v>0</v>
      </c>
      <c r="N378" t="n">
        <v>0</v>
      </c>
      <c r="O378" t="n">
        <v>0</v>
      </c>
      <c r="P378" t="n">
        <v>0</v>
      </c>
      <c r="Q378" t="n">
        <v>0</v>
      </c>
      <c r="R378" s="2" t="inlineStr"/>
    </row>
    <row r="379" ht="15" customHeight="1">
      <c r="A379" t="inlineStr">
        <is>
          <t>A 29384-2025</t>
        </is>
      </c>
      <c r="B379" s="1" t="n">
        <v>45824</v>
      </c>
      <c r="C379" s="1" t="n">
        <v>46188</v>
      </c>
      <c r="D379" t="inlineStr">
        <is>
          <t>UPPSALA LÄN</t>
        </is>
      </c>
      <c r="E379" t="inlineStr">
        <is>
          <t>ÖSTHAMMAR</t>
        </is>
      </c>
      <c r="G379" t="n">
        <v>3.1</v>
      </c>
      <c r="H379" t="n">
        <v>0</v>
      </c>
      <c r="I379" t="n">
        <v>0</v>
      </c>
      <c r="J379" t="n">
        <v>0</v>
      </c>
      <c r="K379" t="n">
        <v>0</v>
      </c>
      <c r="L379" t="n">
        <v>0</v>
      </c>
      <c r="M379" t="n">
        <v>0</v>
      </c>
      <c r="N379" t="n">
        <v>0</v>
      </c>
      <c r="O379" t="n">
        <v>0</v>
      </c>
      <c r="P379" t="n">
        <v>0</v>
      </c>
      <c r="Q379" t="n">
        <v>0</v>
      </c>
      <c r="R379" s="2" t="inlineStr"/>
    </row>
    <row r="380" ht="15" customHeight="1">
      <c r="A380" t="inlineStr">
        <is>
          <t>A 27490-2025</t>
        </is>
      </c>
      <c r="B380" s="1" t="n">
        <v>45813.39273148148</v>
      </c>
      <c r="C380" s="1" t="n">
        <v>46188</v>
      </c>
      <c r="D380" t="inlineStr">
        <is>
          <t>UPPSALA LÄN</t>
        </is>
      </c>
      <c r="E380" t="inlineStr">
        <is>
          <t>ÖSTHAMMAR</t>
        </is>
      </c>
      <c r="F380" t="inlineStr">
        <is>
          <t>Bergvik skog öst AB</t>
        </is>
      </c>
      <c r="G380" t="n">
        <v>6.1</v>
      </c>
      <c r="H380" t="n">
        <v>0</v>
      </c>
      <c r="I380" t="n">
        <v>0</v>
      </c>
      <c r="J380" t="n">
        <v>0</v>
      </c>
      <c r="K380" t="n">
        <v>0</v>
      </c>
      <c r="L380" t="n">
        <v>0</v>
      </c>
      <c r="M380" t="n">
        <v>0</v>
      </c>
      <c r="N380" t="n">
        <v>0</v>
      </c>
      <c r="O380" t="n">
        <v>0</v>
      </c>
      <c r="P380" t="n">
        <v>0</v>
      </c>
      <c r="Q380" t="n">
        <v>0</v>
      </c>
      <c r="R380" s="2" t="inlineStr"/>
    </row>
    <row r="381" ht="15" customHeight="1">
      <c r="A381" t="inlineStr">
        <is>
          <t>A 27486-2025</t>
        </is>
      </c>
      <c r="B381" s="1" t="n">
        <v>45813.38521990741</v>
      </c>
      <c r="C381" s="1" t="n">
        <v>46188</v>
      </c>
      <c r="D381" t="inlineStr">
        <is>
          <t>UPPSALA LÄN</t>
        </is>
      </c>
      <c r="E381" t="inlineStr">
        <is>
          <t>ÖSTHAMMAR</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47390-2023</t>
        </is>
      </c>
      <c r="B382" s="1" t="n">
        <v>45202</v>
      </c>
      <c r="C382" s="1" t="n">
        <v>46188</v>
      </c>
      <c r="D382" t="inlineStr">
        <is>
          <t>UPPSALA LÄN</t>
        </is>
      </c>
      <c r="E382" t="inlineStr">
        <is>
          <t>ÖSTHAMMAR</t>
        </is>
      </c>
      <c r="G382" t="n">
        <v>3.7</v>
      </c>
      <c r="H382" t="n">
        <v>0</v>
      </c>
      <c r="I382" t="n">
        <v>0</v>
      </c>
      <c r="J382" t="n">
        <v>0</v>
      </c>
      <c r="K382" t="n">
        <v>0</v>
      </c>
      <c r="L382" t="n">
        <v>0</v>
      </c>
      <c r="M382" t="n">
        <v>0</v>
      </c>
      <c r="N382" t="n">
        <v>0</v>
      </c>
      <c r="O382" t="n">
        <v>0</v>
      </c>
      <c r="P382" t="n">
        <v>0</v>
      </c>
      <c r="Q382" t="n">
        <v>0</v>
      </c>
      <c r="R382" s="2" t="inlineStr"/>
    </row>
    <row r="383" ht="15" customHeight="1">
      <c r="A383" t="inlineStr">
        <is>
          <t>A 8291-2026</t>
        </is>
      </c>
      <c r="B383" s="1" t="n">
        <v>46064.56945601852</v>
      </c>
      <c r="C383" s="1" t="n">
        <v>46188</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8525-2026</t>
        </is>
      </c>
      <c r="B384" s="1" t="n">
        <v>46065.58760416666</v>
      </c>
      <c r="C384" s="1" t="n">
        <v>46188</v>
      </c>
      <c r="D384" t="inlineStr">
        <is>
          <t>UPPSALA LÄN</t>
        </is>
      </c>
      <c r="E384" t="inlineStr">
        <is>
          <t>ÖSTHAMMAR</t>
        </is>
      </c>
      <c r="F384" t="inlineStr">
        <is>
          <t>Övriga Aktiebolag</t>
        </is>
      </c>
      <c r="G384" t="n">
        <v>4.8</v>
      </c>
      <c r="H384" t="n">
        <v>0</v>
      </c>
      <c r="I384" t="n">
        <v>0</v>
      </c>
      <c r="J384" t="n">
        <v>0</v>
      </c>
      <c r="K384" t="n">
        <v>0</v>
      </c>
      <c r="L384" t="n">
        <v>0</v>
      </c>
      <c r="M384" t="n">
        <v>0</v>
      </c>
      <c r="N384" t="n">
        <v>0</v>
      </c>
      <c r="O384" t="n">
        <v>0</v>
      </c>
      <c r="P384" t="n">
        <v>0</v>
      </c>
      <c r="Q384" t="n">
        <v>0</v>
      </c>
      <c r="R384" s="2" t="inlineStr"/>
    </row>
    <row r="385" ht="15" customHeight="1">
      <c r="A385" t="inlineStr">
        <is>
          <t>A 5877-2023</t>
        </is>
      </c>
      <c r="B385" s="1" t="n">
        <v>44963.62001157407</v>
      </c>
      <c r="C385" s="1" t="n">
        <v>46188</v>
      </c>
      <c r="D385" t="inlineStr">
        <is>
          <t>UPPSALA LÄN</t>
        </is>
      </c>
      <c r="E385" t="inlineStr">
        <is>
          <t>ÖSTHAMMAR</t>
        </is>
      </c>
      <c r="G385" t="n">
        <v>0.7</v>
      </c>
      <c r="H385" t="n">
        <v>0</v>
      </c>
      <c r="I385" t="n">
        <v>0</v>
      </c>
      <c r="J385" t="n">
        <v>0</v>
      </c>
      <c r="K385" t="n">
        <v>0</v>
      </c>
      <c r="L385" t="n">
        <v>0</v>
      </c>
      <c r="M385" t="n">
        <v>0</v>
      </c>
      <c r="N385" t="n">
        <v>0</v>
      </c>
      <c r="O385" t="n">
        <v>0</v>
      </c>
      <c r="P385" t="n">
        <v>0</v>
      </c>
      <c r="Q385" t="n">
        <v>0</v>
      </c>
      <c r="R385" s="2" t="inlineStr"/>
    </row>
    <row r="386" ht="15" customHeight="1">
      <c r="A386" t="inlineStr">
        <is>
          <t>A 52389-2022</t>
        </is>
      </c>
      <c r="B386" s="1" t="n">
        <v>44874.38325231482</v>
      </c>
      <c r="C386" s="1" t="n">
        <v>46188</v>
      </c>
      <c r="D386" t="inlineStr">
        <is>
          <t>UPPSALA LÄN</t>
        </is>
      </c>
      <c r="E386" t="inlineStr">
        <is>
          <t>ÖSTHAMMAR</t>
        </is>
      </c>
      <c r="G386" t="n">
        <v>3.1</v>
      </c>
      <c r="H386" t="n">
        <v>0</v>
      </c>
      <c r="I386" t="n">
        <v>0</v>
      </c>
      <c r="J386" t="n">
        <v>0</v>
      </c>
      <c r="K386" t="n">
        <v>0</v>
      </c>
      <c r="L386" t="n">
        <v>0</v>
      </c>
      <c r="M386" t="n">
        <v>0</v>
      </c>
      <c r="N386" t="n">
        <v>0</v>
      </c>
      <c r="O386" t="n">
        <v>0</v>
      </c>
      <c r="P386" t="n">
        <v>0</v>
      </c>
      <c r="Q386" t="n">
        <v>0</v>
      </c>
      <c r="R386" s="2" t="inlineStr"/>
    </row>
    <row r="387" ht="15" customHeight="1">
      <c r="A387" t="inlineStr">
        <is>
          <t>A 8789-2026</t>
        </is>
      </c>
      <c r="B387" s="1" t="n">
        <v>46066.58792824074</v>
      </c>
      <c r="C387" s="1" t="n">
        <v>46188</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30610-2025</t>
        </is>
      </c>
      <c r="B388" s="1" t="n">
        <v>45831.45965277778</v>
      </c>
      <c r="C388" s="1" t="n">
        <v>46188</v>
      </c>
      <c r="D388" t="inlineStr">
        <is>
          <t>UPPSALA LÄN</t>
        </is>
      </c>
      <c r="E388" t="inlineStr">
        <is>
          <t>ÖSTHAMMAR</t>
        </is>
      </c>
      <c r="G388" t="n">
        <v>0.2</v>
      </c>
      <c r="H388" t="n">
        <v>0</v>
      </c>
      <c r="I388" t="n">
        <v>0</v>
      </c>
      <c r="J388" t="n">
        <v>0</v>
      </c>
      <c r="K388" t="n">
        <v>0</v>
      </c>
      <c r="L388" t="n">
        <v>0</v>
      </c>
      <c r="M388" t="n">
        <v>0</v>
      </c>
      <c r="N388" t="n">
        <v>0</v>
      </c>
      <c r="O388" t="n">
        <v>0</v>
      </c>
      <c r="P388" t="n">
        <v>0</v>
      </c>
      <c r="Q388" t="n">
        <v>0</v>
      </c>
      <c r="R388" s="2" t="inlineStr"/>
    </row>
    <row r="389" ht="15" customHeight="1">
      <c r="A389" t="inlineStr">
        <is>
          <t>A 30504-2025</t>
        </is>
      </c>
      <c r="B389" s="1" t="n">
        <v>45830.8558912037</v>
      </c>
      <c r="C389" s="1" t="n">
        <v>46188</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30503-2025</t>
        </is>
      </c>
      <c r="B390" s="1" t="n">
        <v>45830.8500462963</v>
      </c>
      <c r="C390" s="1" t="n">
        <v>46188</v>
      </c>
      <c r="D390" t="inlineStr">
        <is>
          <t>UPPSALA LÄN</t>
        </is>
      </c>
      <c r="E390" t="inlineStr">
        <is>
          <t>ÖSTHAMMAR</t>
        </is>
      </c>
      <c r="G390" t="n">
        <v>0.8</v>
      </c>
      <c r="H390" t="n">
        <v>0</v>
      </c>
      <c r="I390" t="n">
        <v>0</v>
      </c>
      <c r="J390" t="n">
        <v>0</v>
      </c>
      <c r="K390" t="n">
        <v>0</v>
      </c>
      <c r="L390" t="n">
        <v>0</v>
      </c>
      <c r="M390" t="n">
        <v>0</v>
      </c>
      <c r="N390" t="n">
        <v>0</v>
      </c>
      <c r="O390" t="n">
        <v>0</v>
      </c>
      <c r="P390" t="n">
        <v>0</v>
      </c>
      <c r="Q390" t="n">
        <v>0</v>
      </c>
      <c r="R390" s="2" t="inlineStr"/>
    </row>
    <row r="391" ht="15" customHeight="1">
      <c r="A391" t="inlineStr">
        <is>
          <t>A 57453-2022</t>
        </is>
      </c>
      <c r="B391" s="1" t="n">
        <v>44896.56266203704</v>
      </c>
      <c r="C391" s="1" t="n">
        <v>46188</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57462-2022</t>
        </is>
      </c>
      <c r="B392" s="1" t="n">
        <v>44896.57527777777</v>
      </c>
      <c r="C392" s="1" t="n">
        <v>46188</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31579-2025</t>
        </is>
      </c>
      <c r="B393" s="1" t="n">
        <v>45833.68211805556</v>
      </c>
      <c r="C393" s="1" t="n">
        <v>46188</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51364-2021</t>
        </is>
      </c>
      <c r="B394" s="1" t="n">
        <v>44461</v>
      </c>
      <c r="C394" s="1" t="n">
        <v>46188</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43915-2023</t>
        </is>
      </c>
      <c r="B395" s="1" t="n">
        <v>45187.71274305556</v>
      </c>
      <c r="C395" s="1" t="n">
        <v>46188</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9666-2026</t>
        </is>
      </c>
      <c r="B396" s="1" t="n">
        <v>46072.36847222222</v>
      </c>
      <c r="C396" s="1" t="n">
        <v>46188</v>
      </c>
      <c r="D396" t="inlineStr">
        <is>
          <t>UPPSALA LÄN</t>
        </is>
      </c>
      <c r="E396" t="inlineStr">
        <is>
          <t>ÖSTHAMMAR</t>
        </is>
      </c>
      <c r="F396" t="inlineStr">
        <is>
          <t>Bergvik skog öst AB</t>
        </is>
      </c>
      <c r="G396" t="n">
        <v>12.8</v>
      </c>
      <c r="H396" t="n">
        <v>0</v>
      </c>
      <c r="I396" t="n">
        <v>0</v>
      </c>
      <c r="J396" t="n">
        <v>0</v>
      </c>
      <c r="K396" t="n">
        <v>0</v>
      </c>
      <c r="L396" t="n">
        <v>0</v>
      </c>
      <c r="M396" t="n">
        <v>0</v>
      </c>
      <c r="N396" t="n">
        <v>0</v>
      </c>
      <c r="O396" t="n">
        <v>0</v>
      </c>
      <c r="P396" t="n">
        <v>0</v>
      </c>
      <c r="Q396" t="n">
        <v>0</v>
      </c>
      <c r="R396" s="2" t="inlineStr"/>
    </row>
    <row r="397" ht="15" customHeight="1">
      <c r="A397" t="inlineStr">
        <is>
          <t>A 9664-2026</t>
        </is>
      </c>
      <c r="B397" s="1" t="n">
        <v>46072.36732638889</v>
      </c>
      <c r="C397" s="1" t="n">
        <v>46188</v>
      </c>
      <c r="D397" t="inlineStr">
        <is>
          <t>UPPSALA LÄN</t>
        </is>
      </c>
      <c r="E397" t="inlineStr">
        <is>
          <t>ÖSTHAMMAR</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28421-2023</t>
        </is>
      </c>
      <c r="B398" s="1" t="n">
        <v>45102</v>
      </c>
      <c r="C398" s="1" t="n">
        <v>46188</v>
      </c>
      <c r="D398" t="inlineStr">
        <is>
          <t>UPPSALA LÄN</t>
        </is>
      </c>
      <c r="E398" t="inlineStr">
        <is>
          <t>ÖSTHAMMAR</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8763-2025</t>
        </is>
      </c>
      <c r="B399" s="1" t="n">
        <v>45712.57872685185</v>
      </c>
      <c r="C399" s="1" t="n">
        <v>46188</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54368-2023</t>
        </is>
      </c>
      <c r="B400" s="1" t="n">
        <v>45233.33221064815</v>
      </c>
      <c r="C400" s="1" t="n">
        <v>46188</v>
      </c>
      <c r="D400" t="inlineStr">
        <is>
          <t>UPPSALA LÄN</t>
        </is>
      </c>
      <c r="E400" t="inlineStr">
        <is>
          <t>ÖSTHAMMAR</t>
        </is>
      </c>
      <c r="F400" t="inlineStr">
        <is>
          <t>Bergvik skog öst AB</t>
        </is>
      </c>
      <c r="G400" t="n">
        <v>3</v>
      </c>
      <c r="H400" t="n">
        <v>0</v>
      </c>
      <c r="I400" t="n">
        <v>0</v>
      </c>
      <c r="J400" t="n">
        <v>0</v>
      </c>
      <c r="K400" t="n">
        <v>0</v>
      </c>
      <c r="L400" t="n">
        <v>0</v>
      </c>
      <c r="M400" t="n">
        <v>0</v>
      </c>
      <c r="N400" t="n">
        <v>0</v>
      </c>
      <c r="O400" t="n">
        <v>0</v>
      </c>
      <c r="P400" t="n">
        <v>0</v>
      </c>
      <c r="Q400" t="n">
        <v>0</v>
      </c>
      <c r="R400" s="2" t="inlineStr"/>
    </row>
    <row r="401" ht="15" customHeight="1">
      <c r="A401" t="inlineStr">
        <is>
          <t>A 32815-2024</t>
        </is>
      </c>
      <c r="B401" s="1" t="n">
        <v>45516.57682870371</v>
      </c>
      <c r="C401" s="1" t="n">
        <v>46188</v>
      </c>
      <c r="D401" t="inlineStr">
        <is>
          <t>UPPSALA LÄN</t>
        </is>
      </c>
      <c r="E401" t="inlineStr">
        <is>
          <t>ÖSTHAMMAR</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5429-2023</t>
        </is>
      </c>
      <c r="B402" s="1" t="n">
        <v>44959.83037037037</v>
      </c>
      <c r="C402" s="1" t="n">
        <v>46188</v>
      </c>
      <c r="D402" t="inlineStr">
        <is>
          <t>UPPSALA LÄN</t>
        </is>
      </c>
      <c r="E402" t="inlineStr">
        <is>
          <t>ÖSTHAMMAR</t>
        </is>
      </c>
      <c r="F402" t="inlineStr">
        <is>
          <t>Bergvik skog öst AB</t>
        </is>
      </c>
      <c r="G402" t="n">
        <v>0.4</v>
      </c>
      <c r="H402" t="n">
        <v>0</v>
      </c>
      <c r="I402" t="n">
        <v>0</v>
      </c>
      <c r="J402" t="n">
        <v>0</v>
      </c>
      <c r="K402" t="n">
        <v>0</v>
      </c>
      <c r="L402" t="n">
        <v>0</v>
      </c>
      <c r="M402" t="n">
        <v>0</v>
      </c>
      <c r="N402" t="n">
        <v>0</v>
      </c>
      <c r="O402" t="n">
        <v>0</v>
      </c>
      <c r="P402" t="n">
        <v>0</v>
      </c>
      <c r="Q402" t="n">
        <v>0</v>
      </c>
      <c r="R402" s="2" t="inlineStr"/>
    </row>
    <row r="403" ht="15" customHeight="1">
      <c r="A403" t="inlineStr">
        <is>
          <t>A 11008-2023</t>
        </is>
      </c>
      <c r="B403" s="1" t="n">
        <v>44991</v>
      </c>
      <c r="C403" s="1" t="n">
        <v>46188</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60047-2021</t>
        </is>
      </c>
      <c r="B404" s="1" t="n">
        <v>44495</v>
      </c>
      <c r="C404" s="1" t="n">
        <v>46188</v>
      </c>
      <c r="D404" t="inlineStr">
        <is>
          <t>UPPSALA LÄN</t>
        </is>
      </c>
      <c r="E404" t="inlineStr">
        <is>
          <t>ÖSTHAMMAR</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27476-2025</t>
        </is>
      </c>
      <c r="B405" s="1" t="n">
        <v>45813.37517361111</v>
      </c>
      <c r="C405" s="1" t="n">
        <v>46188</v>
      </c>
      <c r="D405" t="inlineStr">
        <is>
          <t>UPPSALA LÄN</t>
        </is>
      </c>
      <c r="E405" t="inlineStr">
        <is>
          <t>ÖSTHAMMAR</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12150-2026</t>
        </is>
      </c>
      <c r="B406" s="1" t="n">
        <v>46086.59512731482</v>
      </c>
      <c r="C406" s="1" t="n">
        <v>46188</v>
      </c>
      <c r="D406" t="inlineStr">
        <is>
          <t>UPPSALA LÄN</t>
        </is>
      </c>
      <c r="E406" t="inlineStr">
        <is>
          <t>ÖSTHAMMAR</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12151-2026</t>
        </is>
      </c>
      <c r="B407" s="1" t="n">
        <v>46086.5972800926</v>
      </c>
      <c r="C407" s="1" t="n">
        <v>46188</v>
      </c>
      <c r="D407" t="inlineStr">
        <is>
          <t>UPPSALA LÄN</t>
        </is>
      </c>
      <c r="E407" t="inlineStr">
        <is>
          <t>ÖSTHAMMAR</t>
        </is>
      </c>
      <c r="F407" t="inlineStr">
        <is>
          <t>Bergvik skog öst AB</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12172-2026</t>
        </is>
      </c>
      <c r="B408" s="1" t="n">
        <v>46086.6590625</v>
      </c>
      <c r="C408" s="1" t="n">
        <v>46188</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33529-2025</t>
        </is>
      </c>
      <c r="B409" s="1" t="n">
        <v>45841.55199074074</v>
      </c>
      <c r="C409" s="1" t="n">
        <v>46188</v>
      </c>
      <c r="D409" t="inlineStr">
        <is>
          <t>UPPSALA LÄN</t>
        </is>
      </c>
      <c r="E409" t="inlineStr">
        <is>
          <t>ÖSTHAMMAR</t>
        </is>
      </c>
      <c r="F409" t="inlineStr">
        <is>
          <t>Bergvik skog öst AB</t>
        </is>
      </c>
      <c r="G409" t="n">
        <v>11.8</v>
      </c>
      <c r="H409" t="n">
        <v>0</v>
      </c>
      <c r="I409" t="n">
        <v>0</v>
      </c>
      <c r="J409" t="n">
        <v>0</v>
      </c>
      <c r="K409" t="n">
        <v>0</v>
      </c>
      <c r="L409" t="n">
        <v>0</v>
      </c>
      <c r="M409" t="n">
        <v>0</v>
      </c>
      <c r="N409" t="n">
        <v>0</v>
      </c>
      <c r="O409" t="n">
        <v>0</v>
      </c>
      <c r="P409" t="n">
        <v>0</v>
      </c>
      <c r="Q409" t="n">
        <v>0</v>
      </c>
      <c r="R409" s="2" t="inlineStr"/>
    </row>
    <row r="410" ht="15" customHeight="1">
      <c r="A410" t="inlineStr">
        <is>
          <t>A 26395-2025</t>
        </is>
      </c>
      <c r="B410" s="1" t="n">
        <v>45807</v>
      </c>
      <c r="C410" s="1" t="n">
        <v>46188</v>
      </c>
      <c r="D410" t="inlineStr">
        <is>
          <t>UPPSALA LÄN</t>
        </is>
      </c>
      <c r="E410" t="inlineStr">
        <is>
          <t>ÖSTHAMMAR</t>
        </is>
      </c>
      <c r="G410" t="n">
        <v>7</v>
      </c>
      <c r="H410" t="n">
        <v>0</v>
      </c>
      <c r="I410" t="n">
        <v>0</v>
      </c>
      <c r="J410" t="n">
        <v>0</v>
      </c>
      <c r="K410" t="n">
        <v>0</v>
      </c>
      <c r="L410" t="n">
        <v>0</v>
      </c>
      <c r="M410" t="n">
        <v>0</v>
      </c>
      <c r="N410" t="n">
        <v>0</v>
      </c>
      <c r="O410" t="n">
        <v>0</v>
      </c>
      <c r="P410" t="n">
        <v>0</v>
      </c>
      <c r="Q410" t="n">
        <v>0</v>
      </c>
      <c r="R410" s="2" t="inlineStr"/>
    </row>
    <row r="411" ht="15" customHeight="1">
      <c r="A411" t="inlineStr">
        <is>
          <t>A 12261-2026</t>
        </is>
      </c>
      <c r="B411" s="1" t="n">
        <v>46087.48739583333</v>
      </c>
      <c r="C411" s="1" t="n">
        <v>46188</v>
      </c>
      <c r="D411" t="inlineStr">
        <is>
          <t>UPPSALA LÄN</t>
        </is>
      </c>
      <c r="E411" t="inlineStr">
        <is>
          <t>ÖSTHAMMAR</t>
        </is>
      </c>
      <c r="F411" t="inlineStr">
        <is>
          <t>Övriga Aktiebolag</t>
        </is>
      </c>
      <c r="G411" t="n">
        <v>1.6</v>
      </c>
      <c r="H411" t="n">
        <v>0</v>
      </c>
      <c r="I411" t="n">
        <v>0</v>
      </c>
      <c r="J411" t="n">
        <v>0</v>
      </c>
      <c r="K411" t="n">
        <v>0</v>
      </c>
      <c r="L411" t="n">
        <v>0</v>
      </c>
      <c r="M411" t="n">
        <v>0</v>
      </c>
      <c r="N411" t="n">
        <v>0</v>
      </c>
      <c r="O411" t="n">
        <v>0</v>
      </c>
      <c r="P411" t="n">
        <v>0</v>
      </c>
      <c r="Q411" t="n">
        <v>0</v>
      </c>
      <c r="R411" s="2" t="inlineStr"/>
    </row>
    <row r="412" ht="15" customHeight="1">
      <c r="A412" t="inlineStr">
        <is>
          <t>A 12262-2026</t>
        </is>
      </c>
      <c r="B412" s="1" t="n">
        <v>46087.4896875</v>
      </c>
      <c r="C412" s="1" t="n">
        <v>46188</v>
      </c>
      <c r="D412" t="inlineStr">
        <is>
          <t>UPPSALA LÄN</t>
        </is>
      </c>
      <c r="E412" t="inlineStr">
        <is>
          <t>ÖSTHAMMAR</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12387-2026</t>
        </is>
      </c>
      <c r="B413" s="1" t="n">
        <v>46090</v>
      </c>
      <c r="C413" s="1" t="n">
        <v>46188</v>
      </c>
      <c r="D413" t="inlineStr">
        <is>
          <t>UPPSALA LÄN</t>
        </is>
      </c>
      <c r="E413" t="inlineStr">
        <is>
          <t>ÖSTHAMMAR</t>
        </is>
      </c>
      <c r="G413" t="n">
        <v>1.2</v>
      </c>
      <c r="H413" t="n">
        <v>0</v>
      </c>
      <c r="I413" t="n">
        <v>0</v>
      </c>
      <c r="J413" t="n">
        <v>0</v>
      </c>
      <c r="K413" t="n">
        <v>0</v>
      </c>
      <c r="L413" t="n">
        <v>0</v>
      </c>
      <c r="M413" t="n">
        <v>0</v>
      </c>
      <c r="N413" t="n">
        <v>0</v>
      </c>
      <c r="O413" t="n">
        <v>0</v>
      </c>
      <c r="P413" t="n">
        <v>0</v>
      </c>
      <c r="Q413" t="n">
        <v>0</v>
      </c>
      <c r="R413" s="2" t="inlineStr"/>
    </row>
    <row r="414" ht="15" customHeight="1">
      <c r="A414" t="inlineStr">
        <is>
          <t>A 3514-2023</t>
        </is>
      </c>
      <c r="B414" s="1" t="n">
        <v>44950</v>
      </c>
      <c r="C414" s="1" t="n">
        <v>46188</v>
      </c>
      <c r="D414" t="inlineStr">
        <is>
          <t>UPPSALA LÄN</t>
        </is>
      </c>
      <c r="E414" t="inlineStr">
        <is>
          <t>ÖSTHAMMAR</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33972-2025</t>
        </is>
      </c>
      <c r="B415" s="1" t="n">
        <v>45842.97236111111</v>
      </c>
      <c r="C415" s="1" t="n">
        <v>46188</v>
      </c>
      <c r="D415" t="inlineStr">
        <is>
          <t>UPPSALA LÄN</t>
        </is>
      </c>
      <c r="E415" t="inlineStr">
        <is>
          <t>ÖSTHAMMAR</t>
        </is>
      </c>
      <c r="G415" t="n">
        <v>0.8</v>
      </c>
      <c r="H415" t="n">
        <v>0</v>
      </c>
      <c r="I415" t="n">
        <v>0</v>
      </c>
      <c r="J415" t="n">
        <v>0</v>
      </c>
      <c r="K415" t="n">
        <v>0</v>
      </c>
      <c r="L415" t="n">
        <v>0</v>
      </c>
      <c r="M415" t="n">
        <v>0</v>
      </c>
      <c r="N415" t="n">
        <v>0</v>
      </c>
      <c r="O415" t="n">
        <v>0</v>
      </c>
      <c r="P415" t="n">
        <v>0</v>
      </c>
      <c r="Q415" t="n">
        <v>0</v>
      </c>
      <c r="R415" s="2" t="inlineStr"/>
    </row>
    <row r="416" ht="15" customHeight="1">
      <c r="A416" t="inlineStr">
        <is>
          <t>A 12263-2026</t>
        </is>
      </c>
      <c r="B416" s="1" t="n">
        <v>46087.49299768519</v>
      </c>
      <c r="C416" s="1" t="n">
        <v>46188</v>
      </c>
      <c r="D416" t="inlineStr">
        <is>
          <t>UPPSALA LÄN</t>
        </is>
      </c>
      <c r="E416" t="inlineStr">
        <is>
          <t>ÖSTHAMMAR</t>
        </is>
      </c>
      <c r="F416" t="inlineStr">
        <is>
          <t>Övriga Aktiebolag</t>
        </is>
      </c>
      <c r="G416" t="n">
        <v>2.8</v>
      </c>
      <c r="H416" t="n">
        <v>0</v>
      </c>
      <c r="I416" t="n">
        <v>0</v>
      </c>
      <c r="J416" t="n">
        <v>0</v>
      </c>
      <c r="K416" t="n">
        <v>0</v>
      </c>
      <c r="L416" t="n">
        <v>0</v>
      </c>
      <c r="M416" t="n">
        <v>0</v>
      </c>
      <c r="N416" t="n">
        <v>0</v>
      </c>
      <c r="O416" t="n">
        <v>0</v>
      </c>
      <c r="P416" t="n">
        <v>0</v>
      </c>
      <c r="Q416" t="n">
        <v>0</v>
      </c>
      <c r="R416" s="2" t="inlineStr"/>
    </row>
    <row r="417" ht="15" customHeight="1">
      <c r="A417" t="inlineStr">
        <is>
          <t>A 33973-2025</t>
        </is>
      </c>
      <c r="B417" s="1" t="n">
        <v>45842.98429398148</v>
      </c>
      <c r="C417" s="1" t="n">
        <v>46188</v>
      </c>
      <c r="D417" t="inlineStr">
        <is>
          <t>UPPSALA LÄN</t>
        </is>
      </c>
      <c r="E417" t="inlineStr">
        <is>
          <t>ÖSTHAMMAR</t>
        </is>
      </c>
      <c r="G417" t="n">
        <v>1.9</v>
      </c>
      <c r="H417" t="n">
        <v>0</v>
      </c>
      <c r="I417" t="n">
        <v>0</v>
      </c>
      <c r="J417" t="n">
        <v>0</v>
      </c>
      <c r="K417" t="n">
        <v>0</v>
      </c>
      <c r="L417" t="n">
        <v>0</v>
      </c>
      <c r="M417" t="n">
        <v>0</v>
      </c>
      <c r="N417" t="n">
        <v>0</v>
      </c>
      <c r="O417" t="n">
        <v>0</v>
      </c>
      <c r="P417" t="n">
        <v>0</v>
      </c>
      <c r="Q417" t="n">
        <v>0</v>
      </c>
      <c r="R417" s="2" t="inlineStr"/>
    </row>
    <row r="418" ht="15" customHeight="1">
      <c r="A418" t="inlineStr">
        <is>
          <t>A 24128-2023</t>
        </is>
      </c>
      <c r="B418" s="1" t="n">
        <v>45079.50289351852</v>
      </c>
      <c r="C418" s="1" t="n">
        <v>46188</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12913-2026</t>
        </is>
      </c>
      <c r="B419" s="1" t="n">
        <v>46092.58787037037</v>
      </c>
      <c r="C419" s="1" t="n">
        <v>46188</v>
      </c>
      <c r="D419" t="inlineStr">
        <is>
          <t>UPPSALA LÄN</t>
        </is>
      </c>
      <c r="E419" t="inlineStr">
        <is>
          <t>ÖSTHAMMAR</t>
        </is>
      </c>
      <c r="F419" t="inlineStr">
        <is>
          <t>Övriga Aktiebolag</t>
        </is>
      </c>
      <c r="G419" t="n">
        <v>9</v>
      </c>
      <c r="H419" t="n">
        <v>0</v>
      </c>
      <c r="I419" t="n">
        <v>0</v>
      </c>
      <c r="J419" t="n">
        <v>0</v>
      </c>
      <c r="K419" t="n">
        <v>0</v>
      </c>
      <c r="L419" t="n">
        <v>0</v>
      </c>
      <c r="M419" t="n">
        <v>0</v>
      </c>
      <c r="N419" t="n">
        <v>0</v>
      </c>
      <c r="O419" t="n">
        <v>0</v>
      </c>
      <c r="P419" t="n">
        <v>0</v>
      </c>
      <c r="Q419" t="n">
        <v>0</v>
      </c>
      <c r="R419" s="2" t="inlineStr"/>
    </row>
    <row r="420" ht="15" customHeight="1">
      <c r="A420" t="inlineStr">
        <is>
          <t>A 33552-2024</t>
        </is>
      </c>
      <c r="B420" s="1" t="n">
        <v>45519</v>
      </c>
      <c r="C420" s="1" t="n">
        <v>46188</v>
      </c>
      <c r="D420" t="inlineStr">
        <is>
          <t>UPPSALA LÄN</t>
        </is>
      </c>
      <c r="E420" t="inlineStr">
        <is>
          <t>ÖSTHAMMAR</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24181-2022</t>
        </is>
      </c>
      <c r="B421" s="1" t="n">
        <v>44725</v>
      </c>
      <c r="C421" s="1" t="n">
        <v>46188</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19947-2024</t>
        </is>
      </c>
      <c r="B422" s="1" t="n">
        <v>45433</v>
      </c>
      <c r="C422" s="1" t="n">
        <v>46188</v>
      </c>
      <c r="D422" t="inlineStr">
        <is>
          <t>UPPSALA LÄN</t>
        </is>
      </c>
      <c r="E422" t="inlineStr">
        <is>
          <t>ÖSTHAMMAR</t>
        </is>
      </c>
      <c r="G422" t="n">
        <v>0.3</v>
      </c>
      <c r="H422" t="n">
        <v>0</v>
      </c>
      <c r="I422" t="n">
        <v>0</v>
      </c>
      <c r="J422" t="n">
        <v>0</v>
      </c>
      <c r="K422" t="n">
        <v>0</v>
      </c>
      <c r="L422" t="n">
        <v>0</v>
      </c>
      <c r="M422" t="n">
        <v>0</v>
      </c>
      <c r="N422" t="n">
        <v>0</v>
      </c>
      <c r="O422" t="n">
        <v>0</v>
      </c>
      <c r="P422" t="n">
        <v>0</v>
      </c>
      <c r="Q422" t="n">
        <v>0</v>
      </c>
      <c r="R422" s="2" t="inlineStr"/>
    </row>
    <row r="423" ht="15" customHeight="1">
      <c r="A423" t="inlineStr">
        <is>
          <t>A 57-2023</t>
        </is>
      </c>
      <c r="B423" s="1" t="n">
        <v>44928.40917824074</v>
      </c>
      <c r="C423" s="1" t="n">
        <v>46188</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59-2023</t>
        </is>
      </c>
      <c r="B424" s="1" t="n">
        <v>44928.41822916667</v>
      </c>
      <c r="C424" s="1" t="n">
        <v>46188</v>
      </c>
      <c r="D424" t="inlineStr">
        <is>
          <t>UPPSALA LÄN</t>
        </is>
      </c>
      <c r="E424" t="inlineStr">
        <is>
          <t>ÖSTHAMMAR</t>
        </is>
      </c>
      <c r="G424" t="n">
        <v>1.5</v>
      </c>
      <c r="H424" t="n">
        <v>0</v>
      </c>
      <c r="I424" t="n">
        <v>0</v>
      </c>
      <c r="J424" t="n">
        <v>0</v>
      </c>
      <c r="K424" t="n">
        <v>0</v>
      </c>
      <c r="L424" t="n">
        <v>0</v>
      </c>
      <c r="M424" t="n">
        <v>0</v>
      </c>
      <c r="N424" t="n">
        <v>0</v>
      </c>
      <c r="O424" t="n">
        <v>0</v>
      </c>
      <c r="P424" t="n">
        <v>0</v>
      </c>
      <c r="Q424" t="n">
        <v>0</v>
      </c>
      <c r="R424" s="2" t="inlineStr"/>
    </row>
    <row r="425" ht="15" customHeight="1">
      <c r="A425" t="inlineStr">
        <is>
          <t>A 55079-2024</t>
        </is>
      </c>
      <c r="B425" s="1" t="n">
        <v>45621.42747685185</v>
      </c>
      <c r="C425" s="1" t="n">
        <v>46188</v>
      </c>
      <c r="D425" t="inlineStr">
        <is>
          <t>UPPSALA LÄN</t>
        </is>
      </c>
      <c r="E425" t="inlineStr">
        <is>
          <t>ÖSTHAMMAR</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13472-2026</t>
        </is>
      </c>
      <c r="B426" s="1" t="n">
        <v>46094</v>
      </c>
      <c r="C426" s="1" t="n">
        <v>46188</v>
      </c>
      <c r="D426" t="inlineStr">
        <is>
          <t>UPPSALA LÄN</t>
        </is>
      </c>
      <c r="E426" t="inlineStr">
        <is>
          <t>ÖSTHAMMAR</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33680-2024</t>
        </is>
      </c>
      <c r="B427" s="1" t="n">
        <v>45520.50712962963</v>
      </c>
      <c r="C427" s="1" t="n">
        <v>46188</v>
      </c>
      <c r="D427" t="inlineStr">
        <is>
          <t>UPPSALA LÄN</t>
        </is>
      </c>
      <c r="E427" t="inlineStr">
        <is>
          <t>ÖSTHAMMAR</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30811-2023</t>
        </is>
      </c>
      <c r="B428" s="1" t="n">
        <v>45112.86422453704</v>
      </c>
      <c r="C428" s="1" t="n">
        <v>46188</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13703-2026</t>
        </is>
      </c>
      <c r="B429" s="1" t="n">
        <v>46097.56766203704</v>
      </c>
      <c r="C429" s="1" t="n">
        <v>46188</v>
      </c>
      <c r="D429" t="inlineStr">
        <is>
          <t>UPPSALA LÄN</t>
        </is>
      </c>
      <c r="E429" t="inlineStr">
        <is>
          <t>ÖSTHAMMAR</t>
        </is>
      </c>
      <c r="G429" t="n">
        <v>2.7</v>
      </c>
      <c r="H429" t="n">
        <v>0</v>
      </c>
      <c r="I429" t="n">
        <v>0</v>
      </c>
      <c r="J429" t="n">
        <v>0</v>
      </c>
      <c r="K429" t="n">
        <v>0</v>
      </c>
      <c r="L429" t="n">
        <v>0</v>
      </c>
      <c r="M429" t="n">
        <v>0</v>
      </c>
      <c r="N429" t="n">
        <v>0</v>
      </c>
      <c r="O429" t="n">
        <v>0</v>
      </c>
      <c r="P429" t="n">
        <v>0</v>
      </c>
      <c r="Q429" t="n">
        <v>0</v>
      </c>
      <c r="R429" s="2" t="inlineStr"/>
    </row>
    <row r="430" ht="15" customHeight="1">
      <c r="A430" t="inlineStr">
        <is>
          <t>A 14006-2026</t>
        </is>
      </c>
      <c r="B430" s="1" t="n">
        <v>46098.65136574074</v>
      </c>
      <c r="C430" s="1" t="n">
        <v>46188</v>
      </c>
      <c r="D430" t="inlineStr">
        <is>
          <t>UPPSALA LÄN</t>
        </is>
      </c>
      <c r="E430" t="inlineStr">
        <is>
          <t>ÖSTHAMMAR</t>
        </is>
      </c>
      <c r="G430" t="n">
        <v>2</v>
      </c>
      <c r="H430" t="n">
        <v>0</v>
      </c>
      <c r="I430" t="n">
        <v>0</v>
      </c>
      <c r="J430" t="n">
        <v>0</v>
      </c>
      <c r="K430" t="n">
        <v>0</v>
      </c>
      <c r="L430" t="n">
        <v>0</v>
      </c>
      <c r="M430" t="n">
        <v>0</v>
      </c>
      <c r="N430" t="n">
        <v>0</v>
      </c>
      <c r="O430" t="n">
        <v>0</v>
      </c>
      <c r="P430" t="n">
        <v>0</v>
      </c>
      <c r="Q430" t="n">
        <v>0</v>
      </c>
      <c r="R430" s="2" t="inlineStr"/>
    </row>
    <row r="431" ht="15" customHeight="1">
      <c r="A431" t="inlineStr">
        <is>
          <t>A 14007-2026</t>
        </is>
      </c>
      <c r="B431" s="1" t="n">
        <v>46098.65329861111</v>
      </c>
      <c r="C431" s="1" t="n">
        <v>46188</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55646-2021</t>
        </is>
      </c>
      <c r="B432" s="1" t="n">
        <v>44476.3632175926</v>
      </c>
      <c r="C432" s="1" t="n">
        <v>46188</v>
      </c>
      <c r="D432" t="inlineStr">
        <is>
          <t>UPPSALA LÄN</t>
        </is>
      </c>
      <c r="E432" t="inlineStr">
        <is>
          <t>ÖSTHAMMAR</t>
        </is>
      </c>
      <c r="F432" t="inlineStr">
        <is>
          <t>Bergvik skog öst AB</t>
        </is>
      </c>
      <c r="G432" t="n">
        <v>0.2</v>
      </c>
      <c r="H432" t="n">
        <v>0</v>
      </c>
      <c r="I432" t="n">
        <v>0</v>
      </c>
      <c r="J432" t="n">
        <v>0</v>
      </c>
      <c r="K432" t="n">
        <v>0</v>
      </c>
      <c r="L432" t="n">
        <v>0</v>
      </c>
      <c r="M432" t="n">
        <v>0</v>
      </c>
      <c r="N432" t="n">
        <v>0</v>
      </c>
      <c r="O432" t="n">
        <v>0</v>
      </c>
      <c r="P432" t="n">
        <v>0</v>
      </c>
      <c r="Q432" t="n">
        <v>0</v>
      </c>
      <c r="R432" s="2" t="inlineStr"/>
    </row>
    <row r="433" ht="15" customHeight="1">
      <c r="A433" t="inlineStr">
        <is>
          <t>A 61443-2024</t>
        </is>
      </c>
      <c r="B433" s="1" t="n">
        <v>45646.47936342593</v>
      </c>
      <c r="C433" s="1" t="n">
        <v>46188</v>
      </c>
      <c r="D433" t="inlineStr">
        <is>
          <t>UPPSALA LÄN</t>
        </is>
      </c>
      <c r="E433" t="inlineStr">
        <is>
          <t>ÖSTHAMMAR</t>
        </is>
      </c>
      <c r="G433" t="n">
        <v>0.4</v>
      </c>
      <c r="H433" t="n">
        <v>0</v>
      </c>
      <c r="I433" t="n">
        <v>0</v>
      </c>
      <c r="J433" t="n">
        <v>0</v>
      </c>
      <c r="K433" t="n">
        <v>0</v>
      </c>
      <c r="L433" t="n">
        <v>0</v>
      </c>
      <c r="M433" t="n">
        <v>0</v>
      </c>
      <c r="N433" t="n">
        <v>0</v>
      </c>
      <c r="O433" t="n">
        <v>0</v>
      </c>
      <c r="P433" t="n">
        <v>0</v>
      </c>
      <c r="Q433" t="n">
        <v>0</v>
      </c>
      <c r="R433" s="2" t="inlineStr"/>
    </row>
    <row r="434" ht="15" customHeight="1">
      <c r="A434" t="inlineStr">
        <is>
          <t>A 25859-2024</t>
        </is>
      </c>
      <c r="B434" s="1" t="n">
        <v>45467</v>
      </c>
      <c r="C434" s="1" t="n">
        <v>46188</v>
      </c>
      <c r="D434" t="inlineStr">
        <is>
          <t>UPPSALA LÄN</t>
        </is>
      </c>
      <c r="E434" t="inlineStr">
        <is>
          <t>ÖSTHAMMAR</t>
        </is>
      </c>
      <c r="G434" t="n">
        <v>7.9</v>
      </c>
      <c r="H434" t="n">
        <v>0</v>
      </c>
      <c r="I434" t="n">
        <v>0</v>
      </c>
      <c r="J434" t="n">
        <v>0</v>
      </c>
      <c r="K434" t="n">
        <v>0</v>
      </c>
      <c r="L434" t="n">
        <v>0</v>
      </c>
      <c r="M434" t="n">
        <v>0</v>
      </c>
      <c r="N434" t="n">
        <v>0</v>
      </c>
      <c r="O434" t="n">
        <v>0</v>
      </c>
      <c r="P434" t="n">
        <v>0</v>
      </c>
      <c r="Q434" t="n">
        <v>0</v>
      </c>
      <c r="R434" s="2" t="inlineStr"/>
    </row>
    <row r="435" ht="15" customHeight="1">
      <c r="A435" t="inlineStr">
        <is>
          <t>A 13279-2022</t>
        </is>
      </c>
      <c r="B435" s="1" t="n">
        <v>44644</v>
      </c>
      <c r="C435" s="1" t="n">
        <v>46188</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10117-2025</t>
        </is>
      </c>
      <c r="B436" s="1" t="n">
        <v>45719.59866898148</v>
      </c>
      <c r="C436" s="1" t="n">
        <v>46188</v>
      </c>
      <c r="D436" t="inlineStr">
        <is>
          <t>UPPSALA LÄN</t>
        </is>
      </c>
      <c r="E436" t="inlineStr">
        <is>
          <t>ÖSTHAMMAR</t>
        </is>
      </c>
      <c r="G436" t="n">
        <v>1.1</v>
      </c>
      <c r="H436" t="n">
        <v>0</v>
      </c>
      <c r="I436" t="n">
        <v>0</v>
      </c>
      <c r="J436" t="n">
        <v>0</v>
      </c>
      <c r="K436" t="n">
        <v>0</v>
      </c>
      <c r="L436" t="n">
        <v>0</v>
      </c>
      <c r="M436" t="n">
        <v>0</v>
      </c>
      <c r="N436" t="n">
        <v>0</v>
      </c>
      <c r="O436" t="n">
        <v>0</v>
      </c>
      <c r="P436" t="n">
        <v>0</v>
      </c>
      <c r="Q436" t="n">
        <v>0</v>
      </c>
      <c r="R436" s="2" t="inlineStr"/>
    </row>
    <row r="437" ht="15" customHeight="1">
      <c r="A437" t="inlineStr">
        <is>
          <t>A 14030-2026</t>
        </is>
      </c>
      <c r="B437" s="1" t="n">
        <v>46098.77094907407</v>
      </c>
      <c r="C437" s="1" t="n">
        <v>46188</v>
      </c>
      <c r="D437" t="inlineStr">
        <is>
          <t>UPPSALA LÄN</t>
        </is>
      </c>
      <c r="E437" t="inlineStr">
        <is>
          <t>ÖSTHAMMAR</t>
        </is>
      </c>
      <c r="F437" t="inlineStr">
        <is>
          <t>Bergvik skog öst AB</t>
        </is>
      </c>
      <c r="G437" t="n">
        <v>8.4</v>
      </c>
      <c r="H437" t="n">
        <v>0</v>
      </c>
      <c r="I437" t="n">
        <v>0</v>
      </c>
      <c r="J437" t="n">
        <v>0</v>
      </c>
      <c r="K437" t="n">
        <v>0</v>
      </c>
      <c r="L437" t="n">
        <v>0</v>
      </c>
      <c r="M437" t="n">
        <v>0</v>
      </c>
      <c r="N437" t="n">
        <v>0</v>
      </c>
      <c r="O437" t="n">
        <v>0</v>
      </c>
      <c r="P437" t="n">
        <v>0</v>
      </c>
      <c r="Q437" t="n">
        <v>0</v>
      </c>
      <c r="R437" s="2" t="inlineStr"/>
    </row>
    <row r="438" ht="15" customHeight="1">
      <c r="A438" t="inlineStr">
        <is>
          <t>A 14031-2026</t>
        </is>
      </c>
      <c r="B438" s="1" t="n">
        <v>46098.77274305555</v>
      </c>
      <c r="C438" s="1" t="n">
        <v>46188</v>
      </c>
      <c r="D438" t="inlineStr">
        <is>
          <t>UPPSALA LÄN</t>
        </is>
      </c>
      <c r="E438" t="inlineStr">
        <is>
          <t>ÖSTHAMMAR</t>
        </is>
      </c>
      <c r="F438" t="inlineStr">
        <is>
          <t>Bergvik skog öst AB</t>
        </is>
      </c>
      <c r="G438" t="n">
        <v>2.1</v>
      </c>
      <c r="H438" t="n">
        <v>0</v>
      </c>
      <c r="I438" t="n">
        <v>0</v>
      </c>
      <c r="J438" t="n">
        <v>0</v>
      </c>
      <c r="K438" t="n">
        <v>0</v>
      </c>
      <c r="L438" t="n">
        <v>0</v>
      </c>
      <c r="M438" t="n">
        <v>0</v>
      </c>
      <c r="N438" t="n">
        <v>0</v>
      </c>
      <c r="O438" t="n">
        <v>0</v>
      </c>
      <c r="P438" t="n">
        <v>0</v>
      </c>
      <c r="Q438" t="n">
        <v>0</v>
      </c>
      <c r="R438" s="2" t="inlineStr"/>
    </row>
    <row r="439" ht="15" customHeight="1">
      <c r="A439" t="inlineStr">
        <is>
          <t>A 6046-2025</t>
        </is>
      </c>
      <c r="B439" s="1" t="n">
        <v>45695</v>
      </c>
      <c r="C439" s="1" t="n">
        <v>46188</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c r="U439">
        <f>HYPERLINK("https://klasma.github.io/Logging_0382/knärot/A 6046-2025 karta knärot.png", "A 6046-2025")</f>
        <v/>
      </c>
      <c r="V439">
        <f>HYPERLINK("https://klasma.github.io/Logging_0382/klagomål/A 6046-2025 FSC-klagomål.docx", "A 6046-2025")</f>
        <v/>
      </c>
      <c r="W439">
        <f>HYPERLINK("https://klasma.github.io/Logging_0382/klagomålsmail/A 6046-2025 FSC-klagomål mail.docx", "A 6046-2025")</f>
        <v/>
      </c>
      <c r="X439">
        <f>HYPERLINK("https://klasma.github.io/Logging_0382/tillsyn/A 6046-2025 tillsynsbegäran.docx", "A 6046-2025")</f>
        <v/>
      </c>
      <c r="Y439">
        <f>HYPERLINK("https://klasma.github.io/Logging_0382/tillsynsmail/A 6046-2025 tillsynsbegäran mail.docx", "A 6046-2025")</f>
        <v/>
      </c>
    </row>
    <row r="440" ht="15" customHeight="1">
      <c r="A440" t="inlineStr">
        <is>
          <t>A 19640-2025</t>
        </is>
      </c>
      <c r="B440" s="1" t="n">
        <v>45770.65739583333</v>
      </c>
      <c r="C440" s="1" t="n">
        <v>46188</v>
      </c>
      <c r="D440" t="inlineStr">
        <is>
          <t>UPPSALA LÄN</t>
        </is>
      </c>
      <c r="E440" t="inlineStr">
        <is>
          <t>ÖSTHAMMAR</t>
        </is>
      </c>
      <c r="F440" t="inlineStr">
        <is>
          <t>Övriga Aktiebolag</t>
        </is>
      </c>
      <c r="G440" t="n">
        <v>1.7</v>
      </c>
      <c r="H440" t="n">
        <v>0</v>
      </c>
      <c r="I440" t="n">
        <v>0</v>
      </c>
      <c r="J440" t="n">
        <v>0</v>
      </c>
      <c r="K440" t="n">
        <v>0</v>
      </c>
      <c r="L440" t="n">
        <v>0</v>
      </c>
      <c r="M440" t="n">
        <v>0</v>
      </c>
      <c r="N440" t="n">
        <v>0</v>
      </c>
      <c r="O440" t="n">
        <v>0</v>
      </c>
      <c r="P440" t="n">
        <v>0</v>
      </c>
      <c r="Q440" t="n">
        <v>0</v>
      </c>
      <c r="R440" s="2" t="inlineStr"/>
    </row>
    <row r="441" ht="15" customHeight="1">
      <c r="A441" t="inlineStr">
        <is>
          <t>A 18731-2022</t>
        </is>
      </c>
      <c r="B441" s="1" t="n">
        <v>44687.78673611111</v>
      </c>
      <c r="C441" s="1" t="n">
        <v>46188</v>
      </c>
      <c r="D441" t="inlineStr">
        <is>
          <t>UPPSALA LÄN</t>
        </is>
      </c>
      <c r="E441" t="inlineStr">
        <is>
          <t>ÖSTHAMMAR</t>
        </is>
      </c>
      <c r="G441" t="n">
        <v>4.9</v>
      </c>
      <c r="H441" t="n">
        <v>0</v>
      </c>
      <c r="I441" t="n">
        <v>0</v>
      </c>
      <c r="J441" t="n">
        <v>0</v>
      </c>
      <c r="K441" t="n">
        <v>0</v>
      </c>
      <c r="L441" t="n">
        <v>0</v>
      </c>
      <c r="M441" t="n">
        <v>0</v>
      </c>
      <c r="N441" t="n">
        <v>0</v>
      </c>
      <c r="O441" t="n">
        <v>0</v>
      </c>
      <c r="P441" t="n">
        <v>0</v>
      </c>
      <c r="Q441" t="n">
        <v>0</v>
      </c>
      <c r="R441" s="2" t="inlineStr"/>
    </row>
    <row r="442" ht="15" customHeight="1">
      <c r="A442" t="inlineStr">
        <is>
          <t>A 11385-2024</t>
        </is>
      </c>
      <c r="B442" s="1" t="n">
        <v>45372</v>
      </c>
      <c r="C442" s="1" t="n">
        <v>46188</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9642-2024</t>
        </is>
      </c>
      <c r="B443" s="1" t="n">
        <v>45362.36296296296</v>
      </c>
      <c r="C443" s="1" t="n">
        <v>46188</v>
      </c>
      <c r="D443" t="inlineStr">
        <is>
          <t>UPPSALA LÄN</t>
        </is>
      </c>
      <c r="E443" t="inlineStr">
        <is>
          <t>ÖSTHAMMAR</t>
        </is>
      </c>
      <c r="G443" t="n">
        <v>3.1</v>
      </c>
      <c r="H443" t="n">
        <v>0</v>
      </c>
      <c r="I443" t="n">
        <v>0</v>
      </c>
      <c r="J443" t="n">
        <v>0</v>
      </c>
      <c r="K443" t="n">
        <v>0</v>
      </c>
      <c r="L443" t="n">
        <v>0</v>
      </c>
      <c r="M443" t="n">
        <v>0</v>
      </c>
      <c r="N443" t="n">
        <v>0</v>
      </c>
      <c r="O443" t="n">
        <v>0</v>
      </c>
      <c r="P443" t="n">
        <v>0</v>
      </c>
      <c r="Q443" t="n">
        <v>0</v>
      </c>
      <c r="R443" s="2" t="inlineStr"/>
    </row>
    <row r="444" ht="15" customHeight="1">
      <c r="A444" t="inlineStr">
        <is>
          <t>A 18401-2025</t>
        </is>
      </c>
      <c r="B444" s="1" t="n">
        <v>45762.5966087963</v>
      </c>
      <c r="C444" s="1" t="n">
        <v>46188</v>
      </c>
      <c r="D444" t="inlineStr">
        <is>
          <t>UPPSALA LÄN</t>
        </is>
      </c>
      <c r="E444" t="inlineStr">
        <is>
          <t>ÖSTHAMMAR</t>
        </is>
      </c>
      <c r="G444" t="n">
        <v>1.7</v>
      </c>
      <c r="H444" t="n">
        <v>0</v>
      </c>
      <c r="I444" t="n">
        <v>0</v>
      </c>
      <c r="J444" t="n">
        <v>0</v>
      </c>
      <c r="K444" t="n">
        <v>0</v>
      </c>
      <c r="L444" t="n">
        <v>0</v>
      </c>
      <c r="M444" t="n">
        <v>0</v>
      </c>
      <c r="N444" t="n">
        <v>0</v>
      </c>
      <c r="O444" t="n">
        <v>0</v>
      </c>
      <c r="P444" t="n">
        <v>0</v>
      </c>
      <c r="Q444" t="n">
        <v>0</v>
      </c>
      <c r="R444" s="2" t="inlineStr"/>
    </row>
    <row r="445" ht="15" customHeight="1">
      <c r="A445" t="inlineStr">
        <is>
          <t>A 15006-2026</t>
        </is>
      </c>
      <c r="B445" s="1" t="n">
        <v>46104.6130324074</v>
      </c>
      <c r="C445" s="1" t="n">
        <v>46188</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15640-2026</t>
        </is>
      </c>
      <c r="B446" s="1" t="n">
        <v>46106.63700231481</v>
      </c>
      <c r="C446" s="1" t="n">
        <v>46188</v>
      </c>
      <c r="D446" t="inlineStr">
        <is>
          <t>UPPSALA LÄN</t>
        </is>
      </c>
      <c r="E446" t="inlineStr">
        <is>
          <t>ÖSTHAMMAR</t>
        </is>
      </c>
      <c r="F446" t="inlineStr">
        <is>
          <t>Övriga Aktiebolag</t>
        </is>
      </c>
      <c r="G446" t="n">
        <v>7.7</v>
      </c>
      <c r="H446" t="n">
        <v>0</v>
      </c>
      <c r="I446" t="n">
        <v>0</v>
      </c>
      <c r="J446" t="n">
        <v>0</v>
      </c>
      <c r="K446" t="n">
        <v>0</v>
      </c>
      <c r="L446" t="n">
        <v>0</v>
      </c>
      <c r="M446" t="n">
        <v>0</v>
      </c>
      <c r="N446" t="n">
        <v>0</v>
      </c>
      <c r="O446" t="n">
        <v>0</v>
      </c>
      <c r="P446" t="n">
        <v>0</v>
      </c>
      <c r="Q446" t="n">
        <v>0</v>
      </c>
      <c r="R446" s="2" t="inlineStr"/>
    </row>
    <row r="447" ht="15" customHeight="1">
      <c r="A447" t="inlineStr">
        <is>
          <t>A 28429-2023</t>
        </is>
      </c>
      <c r="B447" s="1" t="n">
        <v>45102.58728009259</v>
      </c>
      <c r="C447" s="1" t="n">
        <v>46188</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21448-2026</t>
        </is>
      </c>
      <c r="B448" s="1" t="n">
        <v>46146</v>
      </c>
      <c r="C448" s="1" t="n">
        <v>46188</v>
      </c>
      <c r="D448" t="inlineStr">
        <is>
          <t>UPPSALA LÄN</t>
        </is>
      </c>
      <c r="E448" t="inlineStr">
        <is>
          <t>ÖSTHAMMAR</t>
        </is>
      </c>
      <c r="G448" t="n">
        <v>2.1</v>
      </c>
      <c r="H448" t="n">
        <v>0</v>
      </c>
      <c r="I448" t="n">
        <v>0</v>
      </c>
      <c r="J448" t="n">
        <v>0</v>
      </c>
      <c r="K448" t="n">
        <v>0</v>
      </c>
      <c r="L448" t="n">
        <v>0</v>
      </c>
      <c r="M448" t="n">
        <v>0</v>
      </c>
      <c r="N448" t="n">
        <v>0</v>
      </c>
      <c r="O448" t="n">
        <v>0</v>
      </c>
      <c r="P448" t="n">
        <v>0</v>
      </c>
      <c r="Q448" t="n">
        <v>0</v>
      </c>
      <c r="R448" s="2" t="inlineStr"/>
    </row>
    <row r="449" ht="15" customHeight="1">
      <c r="A449" t="inlineStr">
        <is>
          <t>A 58878-2022</t>
        </is>
      </c>
      <c r="B449" s="1" t="n">
        <v>44903</v>
      </c>
      <c r="C449" s="1" t="n">
        <v>46188</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30755-2024</t>
        </is>
      </c>
      <c r="B450" s="1" t="n">
        <v>45496</v>
      </c>
      <c r="C450" s="1" t="n">
        <v>46188</v>
      </c>
      <c r="D450" t="inlineStr">
        <is>
          <t>UPPSALA LÄN</t>
        </is>
      </c>
      <c r="E450" t="inlineStr">
        <is>
          <t>ÖSTHAMMAR</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4562-2022</t>
        </is>
      </c>
      <c r="B451" s="1" t="n">
        <v>44591</v>
      </c>
      <c r="C451" s="1" t="n">
        <v>46188</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15475-2026</t>
        </is>
      </c>
      <c r="B452" s="1" t="n">
        <v>46106.43859953704</v>
      </c>
      <c r="C452" s="1" t="n">
        <v>46188</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15478-2026</t>
        </is>
      </c>
      <c r="B453" s="1" t="n">
        <v>46106.44582175926</v>
      </c>
      <c r="C453" s="1" t="n">
        <v>46188</v>
      </c>
      <c r="D453" t="inlineStr">
        <is>
          <t>UPPSALA LÄN</t>
        </is>
      </c>
      <c r="E453" t="inlineStr">
        <is>
          <t>ÖSTHAMMAR</t>
        </is>
      </c>
      <c r="G453" t="n">
        <v>0.4</v>
      </c>
      <c r="H453" t="n">
        <v>0</v>
      </c>
      <c r="I453" t="n">
        <v>0</v>
      </c>
      <c r="J453" t="n">
        <v>0</v>
      </c>
      <c r="K453" t="n">
        <v>0</v>
      </c>
      <c r="L453" t="n">
        <v>0</v>
      </c>
      <c r="M453" t="n">
        <v>0</v>
      </c>
      <c r="N453" t="n">
        <v>0</v>
      </c>
      <c r="O453" t="n">
        <v>0</v>
      </c>
      <c r="P453" t="n">
        <v>0</v>
      </c>
      <c r="Q453" t="n">
        <v>0</v>
      </c>
      <c r="R453" s="2" t="inlineStr"/>
    </row>
    <row r="454" ht="15" customHeight="1">
      <c r="A454" t="inlineStr">
        <is>
          <t>A 53733-2023</t>
        </is>
      </c>
      <c r="B454" s="1" t="n">
        <v>45230.76862268519</v>
      </c>
      <c r="C454" s="1" t="n">
        <v>46188</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41308-2023</t>
        </is>
      </c>
      <c r="B455" s="1" t="n">
        <v>45174.62788194444</v>
      </c>
      <c r="C455" s="1" t="n">
        <v>46188</v>
      </c>
      <c r="D455" t="inlineStr">
        <is>
          <t>UPPSALA LÄN</t>
        </is>
      </c>
      <c r="E455" t="inlineStr">
        <is>
          <t>ÖSTHAMMAR</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15452-2026</t>
        </is>
      </c>
      <c r="B456" s="1" t="n">
        <v>46106.4181712963</v>
      </c>
      <c r="C456" s="1" t="n">
        <v>46188</v>
      </c>
      <c r="D456" t="inlineStr">
        <is>
          <t>UPPSALA LÄN</t>
        </is>
      </c>
      <c r="E456" t="inlineStr">
        <is>
          <t>ÖSTHAMMAR</t>
        </is>
      </c>
      <c r="G456" t="n">
        <v>0.7</v>
      </c>
      <c r="H456" t="n">
        <v>0</v>
      </c>
      <c r="I456" t="n">
        <v>0</v>
      </c>
      <c r="J456" t="n">
        <v>0</v>
      </c>
      <c r="K456" t="n">
        <v>0</v>
      </c>
      <c r="L456" t="n">
        <v>0</v>
      </c>
      <c r="M456" t="n">
        <v>0</v>
      </c>
      <c r="N456" t="n">
        <v>0</v>
      </c>
      <c r="O456" t="n">
        <v>0</v>
      </c>
      <c r="P456" t="n">
        <v>0</v>
      </c>
      <c r="Q456" t="n">
        <v>0</v>
      </c>
      <c r="R456" s="2" t="inlineStr"/>
    </row>
    <row r="457" ht="15" customHeight="1">
      <c r="A457" t="inlineStr">
        <is>
          <t>A 17969-2023</t>
        </is>
      </c>
      <c r="B457" s="1" t="n">
        <v>45040.47081018519</v>
      </c>
      <c r="C457" s="1" t="n">
        <v>46188</v>
      </c>
      <c r="D457" t="inlineStr">
        <is>
          <t>UPPSALA LÄN</t>
        </is>
      </c>
      <c r="E457" t="inlineStr">
        <is>
          <t>ÖSTHAMMAR</t>
        </is>
      </c>
      <c r="G457" t="n">
        <v>5.4</v>
      </c>
      <c r="H457" t="n">
        <v>0</v>
      </c>
      <c r="I457" t="n">
        <v>0</v>
      </c>
      <c r="J457" t="n">
        <v>0</v>
      </c>
      <c r="K457" t="n">
        <v>0</v>
      </c>
      <c r="L457" t="n">
        <v>0</v>
      </c>
      <c r="M457" t="n">
        <v>0</v>
      </c>
      <c r="N457" t="n">
        <v>0</v>
      </c>
      <c r="O457" t="n">
        <v>0</v>
      </c>
      <c r="P457" t="n">
        <v>0</v>
      </c>
      <c r="Q457" t="n">
        <v>0</v>
      </c>
      <c r="R457" s="2" t="inlineStr"/>
    </row>
    <row r="458" ht="15" customHeight="1">
      <c r="A458" t="inlineStr">
        <is>
          <t>A 25969-2023</t>
        </is>
      </c>
      <c r="B458" s="1" t="n">
        <v>45090</v>
      </c>
      <c r="C458" s="1" t="n">
        <v>46188</v>
      </c>
      <c r="D458" t="inlineStr">
        <is>
          <t>UPPSALA LÄN</t>
        </is>
      </c>
      <c r="E458" t="inlineStr">
        <is>
          <t>ÖSTHAMMAR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21389-2026</t>
        </is>
      </c>
      <c r="B459" s="1" t="n">
        <v>46147.73416666667</v>
      </c>
      <c r="C459" s="1" t="n">
        <v>46188</v>
      </c>
      <c r="D459" t="inlineStr">
        <is>
          <t>UPPSALA LÄN</t>
        </is>
      </c>
      <c r="E459" t="inlineStr">
        <is>
          <t>ÖSTHAMMAR</t>
        </is>
      </c>
      <c r="G459" t="n">
        <v>3</v>
      </c>
      <c r="H459" t="n">
        <v>0</v>
      </c>
      <c r="I459" t="n">
        <v>0</v>
      </c>
      <c r="J459" t="n">
        <v>0</v>
      </c>
      <c r="K459" t="n">
        <v>0</v>
      </c>
      <c r="L459" t="n">
        <v>0</v>
      </c>
      <c r="M459" t="n">
        <v>0</v>
      </c>
      <c r="N459" t="n">
        <v>0</v>
      </c>
      <c r="O459" t="n">
        <v>0</v>
      </c>
      <c r="P459" t="n">
        <v>0</v>
      </c>
      <c r="Q459" t="n">
        <v>0</v>
      </c>
      <c r="R459" s="2" t="inlineStr"/>
    </row>
    <row r="460" ht="15" customHeight="1">
      <c r="A460" t="inlineStr">
        <is>
          <t>A 21451-2026</t>
        </is>
      </c>
      <c r="B460" s="1" t="n">
        <v>46146</v>
      </c>
      <c r="C460" s="1" t="n">
        <v>46188</v>
      </c>
      <c r="D460" t="inlineStr">
        <is>
          <t>UPPSALA LÄN</t>
        </is>
      </c>
      <c r="E460" t="inlineStr">
        <is>
          <t>ÖSTHAMMAR</t>
        </is>
      </c>
      <c r="G460" t="n">
        <v>0.7</v>
      </c>
      <c r="H460" t="n">
        <v>0</v>
      </c>
      <c r="I460" t="n">
        <v>0</v>
      </c>
      <c r="J460" t="n">
        <v>0</v>
      </c>
      <c r="K460" t="n">
        <v>0</v>
      </c>
      <c r="L460" t="n">
        <v>0</v>
      </c>
      <c r="M460" t="n">
        <v>0</v>
      </c>
      <c r="N460" t="n">
        <v>0</v>
      </c>
      <c r="O460" t="n">
        <v>0</v>
      </c>
      <c r="P460" t="n">
        <v>0</v>
      </c>
      <c r="Q460" t="n">
        <v>0</v>
      </c>
      <c r="R460" s="2" t="inlineStr"/>
    </row>
    <row r="461" ht="15" customHeight="1">
      <c r="A461" t="inlineStr">
        <is>
          <t>A 21360-2026</t>
        </is>
      </c>
      <c r="B461" s="1" t="n">
        <v>46147.63972222222</v>
      </c>
      <c r="C461" s="1" t="n">
        <v>46188</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50998-2023</t>
        </is>
      </c>
      <c r="B462" s="1" t="n">
        <v>45218.5586574074</v>
      </c>
      <c r="C462" s="1" t="n">
        <v>46188</v>
      </c>
      <c r="D462" t="inlineStr">
        <is>
          <t>UPPSALA LÄN</t>
        </is>
      </c>
      <c r="E462" t="inlineStr">
        <is>
          <t>ÖSTHAMMAR</t>
        </is>
      </c>
      <c r="G462" t="n">
        <v>3.6</v>
      </c>
      <c r="H462" t="n">
        <v>0</v>
      </c>
      <c r="I462" t="n">
        <v>0</v>
      </c>
      <c r="J462" t="n">
        <v>0</v>
      </c>
      <c r="K462" t="n">
        <v>0</v>
      </c>
      <c r="L462" t="n">
        <v>0</v>
      </c>
      <c r="M462" t="n">
        <v>0</v>
      </c>
      <c r="N462" t="n">
        <v>0</v>
      </c>
      <c r="O462" t="n">
        <v>0</v>
      </c>
      <c r="P462" t="n">
        <v>0</v>
      </c>
      <c r="Q462" t="n">
        <v>0</v>
      </c>
      <c r="R462" s="2" t="inlineStr"/>
    </row>
    <row r="463" ht="15" customHeight="1">
      <c r="A463" t="inlineStr">
        <is>
          <t>A 55837-2023</t>
        </is>
      </c>
      <c r="B463" s="1" t="n">
        <v>45239</v>
      </c>
      <c r="C463" s="1" t="n">
        <v>46188</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18838-2023</t>
        </is>
      </c>
      <c r="B464" s="1" t="n">
        <v>45044</v>
      </c>
      <c r="C464" s="1" t="n">
        <v>46188</v>
      </c>
      <c r="D464" t="inlineStr">
        <is>
          <t>UPPSALA LÄN</t>
        </is>
      </c>
      <c r="E464" t="inlineStr">
        <is>
          <t>ÖSTHAMMAR</t>
        </is>
      </c>
      <c r="G464" t="n">
        <v>2.8</v>
      </c>
      <c r="H464" t="n">
        <v>0</v>
      </c>
      <c r="I464" t="n">
        <v>0</v>
      </c>
      <c r="J464" t="n">
        <v>0</v>
      </c>
      <c r="K464" t="n">
        <v>0</v>
      </c>
      <c r="L464" t="n">
        <v>0</v>
      </c>
      <c r="M464" t="n">
        <v>0</v>
      </c>
      <c r="N464" t="n">
        <v>0</v>
      </c>
      <c r="O464" t="n">
        <v>0</v>
      </c>
      <c r="P464" t="n">
        <v>0</v>
      </c>
      <c r="Q464" t="n">
        <v>0</v>
      </c>
      <c r="R464" s="2" t="inlineStr"/>
    </row>
    <row r="465" ht="15" customHeight="1">
      <c r="A465" t="inlineStr">
        <is>
          <t>A 59382-2022</t>
        </is>
      </c>
      <c r="B465" s="1" t="n">
        <v>44905.50363425926</v>
      </c>
      <c r="C465" s="1" t="n">
        <v>46188</v>
      </c>
      <c r="D465" t="inlineStr">
        <is>
          <t>UPPSALA LÄN</t>
        </is>
      </c>
      <c r="E465" t="inlineStr">
        <is>
          <t>ÖSTHAMMAR</t>
        </is>
      </c>
      <c r="G465" t="n">
        <v>2.9</v>
      </c>
      <c r="H465" t="n">
        <v>0</v>
      </c>
      <c r="I465" t="n">
        <v>0</v>
      </c>
      <c r="J465" t="n">
        <v>0</v>
      </c>
      <c r="K465" t="n">
        <v>0</v>
      </c>
      <c r="L465" t="n">
        <v>0</v>
      </c>
      <c r="M465" t="n">
        <v>0</v>
      </c>
      <c r="N465" t="n">
        <v>0</v>
      </c>
      <c r="O465" t="n">
        <v>0</v>
      </c>
      <c r="P465" t="n">
        <v>0</v>
      </c>
      <c r="Q465" t="n">
        <v>0</v>
      </c>
      <c r="R465" s="2" t="inlineStr"/>
    </row>
    <row r="466" ht="15" customHeight="1">
      <c r="A466" t="inlineStr">
        <is>
          <t>A 17085-2025</t>
        </is>
      </c>
      <c r="B466" s="1" t="n">
        <v>45755.64612268518</v>
      </c>
      <c r="C466" s="1" t="n">
        <v>46188</v>
      </c>
      <c r="D466" t="inlineStr">
        <is>
          <t>UPPSALA LÄN</t>
        </is>
      </c>
      <c r="E466" t="inlineStr">
        <is>
          <t>ÖSTHAMMAR</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16038-2026</t>
        </is>
      </c>
      <c r="B467" s="1" t="n">
        <v>46108</v>
      </c>
      <c r="C467" s="1" t="n">
        <v>46188</v>
      </c>
      <c r="D467" t="inlineStr">
        <is>
          <t>UPPSALA LÄN</t>
        </is>
      </c>
      <c r="E467" t="inlineStr">
        <is>
          <t>ÖSTHAMMAR</t>
        </is>
      </c>
      <c r="G467" t="n">
        <v>2.2</v>
      </c>
      <c r="H467" t="n">
        <v>0</v>
      </c>
      <c r="I467" t="n">
        <v>0</v>
      </c>
      <c r="J467" t="n">
        <v>0</v>
      </c>
      <c r="K467" t="n">
        <v>0</v>
      </c>
      <c r="L467" t="n">
        <v>0</v>
      </c>
      <c r="M467" t="n">
        <v>0</v>
      </c>
      <c r="N467" t="n">
        <v>0</v>
      </c>
      <c r="O467" t="n">
        <v>0</v>
      </c>
      <c r="P467" t="n">
        <v>0</v>
      </c>
      <c r="Q467" t="n">
        <v>0</v>
      </c>
      <c r="R467" s="2" t="inlineStr"/>
    </row>
    <row r="468" ht="15" customHeight="1">
      <c r="A468" t="inlineStr">
        <is>
          <t>A 29231-2024</t>
        </is>
      </c>
      <c r="B468" s="1" t="n">
        <v>45482</v>
      </c>
      <c r="C468" s="1" t="n">
        <v>46188</v>
      </c>
      <c r="D468" t="inlineStr">
        <is>
          <t>UPPSALA LÄN</t>
        </is>
      </c>
      <c r="E468" t="inlineStr">
        <is>
          <t>ÖSTHAMMAR</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15744-2026</t>
        </is>
      </c>
      <c r="B469" s="1" t="n">
        <v>46107.4175462963</v>
      </c>
      <c r="C469" s="1" t="n">
        <v>46188</v>
      </c>
      <c r="D469" t="inlineStr">
        <is>
          <t>UPPSALA LÄN</t>
        </is>
      </c>
      <c r="E469" t="inlineStr">
        <is>
          <t>ÖSTHAMMAR</t>
        </is>
      </c>
      <c r="F469" t="inlineStr">
        <is>
          <t>Bergvik skog öst AB</t>
        </is>
      </c>
      <c r="G469" t="n">
        <v>7.8</v>
      </c>
      <c r="H469" t="n">
        <v>0</v>
      </c>
      <c r="I469" t="n">
        <v>0</v>
      </c>
      <c r="J469" t="n">
        <v>0</v>
      </c>
      <c r="K469" t="n">
        <v>0</v>
      </c>
      <c r="L469" t="n">
        <v>0</v>
      </c>
      <c r="M469" t="n">
        <v>0</v>
      </c>
      <c r="N469" t="n">
        <v>0</v>
      </c>
      <c r="O469" t="n">
        <v>0</v>
      </c>
      <c r="P469" t="n">
        <v>0</v>
      </c>
      <c r="Q469" t="n">
        <v>0</v>
      </c>
      <c r="R469" s="2" t="inlineStr"/>
    </row>
    <row r="470" ht="15" customHeight="1">
      <c r="A470" t="inlineStr">
        <is>
          <t>A 15748-2026</t>
        </is>
      </c>
      <c r="B470" s="1" t="n">
        <v>46107.4227662037</v>
      </c>
      <c r="C470" s="1" t="n">
        <v>46188</v>
      </c>
      <c r="D470" t="inlineStr">
        <is>
          <t>UPPSALA LÄN</t>
        </is>
      </c>
      <c r="E470" t="inlineStr">
        <is>
          <t>ÖSTHAMMAR</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21765-2026</t>
        </is>
      </c>
      <c r="B471" s="1" t="n">
        <v>46150.33503472222</v>
      </c>
      <c r="C471" s="1" t="n">
        <v>46188</v>
      </c>
      <c r="D471" t="inlineStr">
        <is>
          <t>UPPSALA LÄN</t>
        </is>
      </c>
      <c r="E471" t="inlineStr">
        <is>
          <t>ÖSTHAMMAR</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16042-2026</t>
        </is>
      </c>
      <c r="B472" s="1" t="n">
        <v>46108</v>
      </c>
      <c r="C472" s="1" t="n">
        <v>46188</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22059-2026</t>
        </is>
      </c>
      <c r="B473" s="1" t="n">
        <v>46153.48164351852</v>
      </c>
      <c r="C473" s="1" t="n">
        <v>46188</v>
      </c>
      <c r="D473" t="inlineStr">
        <is>
          <t>UPPSALA LÄN</t>
        </is>
      </c>
      <c r="E473" t="inlineStr">
        <is>
          <t>ÖSTHAMMAR</t>
        </is>
      </c>
      <c r="G473" t="n">
        <v>7.5</v>
      </c>
      <c r="H473" t="n">
        <v>0</v>
      </c>
      <c r="I473" t="n">
        <v>0</v>
      </c>
      <c r="J473" t="n">
        <v>0</v>
      </c>
      <c r="K473" t="n">
        <v>0</v>
      </c>
      <c r="L473" t="n">
        <v>0</v>
      </c>
      <c r="M473" t="n">
        <v>0</v>
      </c>
      <c r="N473" t="n">
        <v>0</v>
      </c>
      <c r="O473" t="n">
        <v>0</v>
      </c>
      <c r="P473" t="n">
        <v>0</v>
      </c>
      <c r="Q473" t="n">
        <v>0</v>
      </c>
      <c r="R473" s="2" t="inlineStr"/>
    </row>
    <row r="474" ht="15" customHeight="1">
      <c r="A474" t="inlineStr">
        <is>
          <t>A 9264-2024</t>
        </is>
      </c>
      <c r="B474" s="1" t="n">
        <v>45358</v>
      </c>
      <c r="C474" s="1" t="n">
        <v>46188</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44631.92662037037</v>
      </c>
      <c r="C475" s="1" t="n">
        <v>46188</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37865-2023</t>
        </is>
      </c>
      <c r="B476" s="1" t="n">
        <v>45160</v>
      </c>
      <c r="C476" s="1" t="n">
        <v>46188</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34607-2023</t>
        </is>
      </c>
      <c r="B477" s="1" t="n">
        <v>45138</v>
      </c>
      <c r="C477" s="1" t="n">
        <v>46188</v>
      </c>
      <c r="D477" t="inlineStr">
        <is>
          <t>UPPSALA LÄN</t>
        </is>
      </c>
      <c r="E477" t="inlineStr">
        <is>
          <t>ÖSTHAMMAR</t>
        </is>
      </c>
      <c r="G477" t="n">
        <v>4.7</v>
      </c>
      <c r="H477" t="n">
        <v>0</v>
      </c>
      <c r="I477" t="n">
        <v>0</v>
      </c>
      <c r="J477" t="n">
        <v>0</v>
      </c>
      <c r="K477" t="n">
        <v>0</v>
      </c>
      <c r="L477" t="n">
        <v>0</v>
      </c>
      <c r="M477" t="n">
        <v>0</v>
      </c>
      <c r="N477" t="n">
        <v>0</v>
      </c>
      <c r="O477" t="n">
        <v>0</v>
      </c>
      <c r="P477" t="n">
        <v>0</v>
      </c>
      <c r="Q477" t="n">
        <v>0</v>
      </c>
      <c r="R477" s="2" t="inlineStr"/>
    </row>
    <row r="478" ht="15" customHeight="1">
      <c r="A478" t="inlineStr">
        <is>
          <t>A 16522-2026</t>
        </is>
      </c>
      <c r="B478" s="1" t="n">
        <v>46112.46268518519</v>
      </c>
      <c r="C478" s="1" t="n">
        <v>46188</v>
      </c>
      <c r="D478" t="inlineStr">
        <is>
          <t>UPPSALA LÄN</t>
        </is>
      </c>
      <c r="E478" t="inlineStr">
        <is>
          <t>ÖSTHAMMAR</t>
        </is>
      </c>
      <c r="G478" t="n">
        <v>1.1</v>
      </c>
      <c r="H478" t="n">
        <v>0</v>
      </c>
      <c r="I478" t="n">
        <v>0</v>
      </c>
      <c r="J478" t="n">
        <v>0</v>
      </c>
      <c r="K478" t="n">
        <v>0</v>
      </c>
      <c r="L478" t="n">
        <v>0</v>
      </c>
      <c r="M478" t="n">
        <v>0</v>
      </c>
      <c r="N478" t="n">
        <v>0</v>
      </c>
      <c r="O478" t="n">
        <v>0</v>
      </c>
      <c r="P478" t="n">
        <v>0</v>
      </c>
      <c r="Q478" t="n">
        <v>0</v>
      </c>
      <c r="R478" s="2" t="inlineStr"/>
    </row>
    <row r="479" ht="15" customHeight="1">
      <c r="A479" t="inlineStr">
        <is>
          <t>A 5215-2025</t>
        </is>
      </c>
      <c r="B479" s="1" t="n">
        <v>45691</v>
      </c>
      <c r="C479" s="1" t="n">
        <v>46188</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2733-2023</t>
        </is>
      </c>
      <c r="B480" s="1" t="n">
        <v>44943</v>
      </c>
      <c r="C480" s="1" t="n">
        <v>46188</v>
      </c>
      <c r="D480" t="inlineStr">
        <is>
          <t>UPPSALA LÄN</t>
        </is>
      </c>
      <c r="E480" t="inlineStr">
        <is>
          <t>ÖSTHAMMAR</t>
        </is>
      </c>
      <c r="G480" t="n">
        <v>2.6</v>
      </c>
      <c r="H480" t="n">
        <v>0</v>
      </c>
      <c r="I480" t="n">
        <v>0</v>
      </c>
      <c r="J480" t="n">
        <v>0</v>
      </c>
      <c r="K480" t="n">
        <v>0</v>
      </c>
      <c r="L480" t="n">
        <v>0</v>
      </c>
      <c r="M480" t="n">
        <v>0</v>
      </c>
      <c r="N480" t="n">
        <v>0</v>
      </c>
      <c r="O480" t="n">
        <v>0</v>
      </c>
      <c r="P480" t="n">
        <v>0</v>
      </c>
      <c r="Q480" t="n">
        <v>0</v>
      </c>
      <c r="R480" s="2" t="inlineStr"/>
    </row>
    <row r="481" ht="15" customHeight="1">
      <c r="A481" t="inlineStr">
        <is>
          <t>A 16614-2026</t>
        </is>
      </c>
      <c r="B481" s="1" t="n">
        <v>46112.60460648148</v>
      </c>
      <c r="C481" s="1" t="n">
        <v>46188</v>
      </c>
      <c r="D481" t="inlineStr">
        <is>
          <t>UPPSALA LÄN</t>
        </is>
      </c>
      <c r="E481" t="inlineStr">
        <is>
          <t>ÖSTHAMMAR</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8769-2025</t>
        </is>
      </c>
      <c r="B482" s="1" t="n">
        <v>45712.59412037037</v>
      </c>
      <c r="C482" s="1" t="n">
        <v>46188</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16494-2026</t>
        </is>
      </c>
      <c r="B483" s="1" t="n">
        <v>46112.43229166666</v>
      </c>
      <c r="C483" s="1" t="n">
        <v>46188</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34971-2022</t>
        </is>
      </c>
      <c r="B484" s="1" t="n">
        <v>44796.66613425926</v>
      </c>
      <c r="C484" s="1" t="n">
        <v>46188</v>
      </c>
      <c r="D484" t="inlineStr">
        <is>
          <t>UPPSALA LÄN</t>
        </is>
      </c>
      <c r="E484" t="inlineStr">
        <is>
          <t>ÖSTHAMMAR</t>
        </is>
      </c>
      <c r="F484" t="inlineStr">
        <is>
          <t>Bergvik skog öst AB</t>
        </is>
      </c>
      <c r="G484" t="n">
        <v>2.3</v>
      </c>
      <c r="H484" t="n">
        <v>0</v>
      </c>
      <c r="I484" t="n">
        <v>0</v>
      </c>
      <c r="J484" t="n">
        <v>0</v>
      </c>
      <c r="K484" t="n">
        <v>0</v>
      </c>
      <c r="L484" t="n">
        <v>0</v>
      </c>
      <c r="M484" t="n">
        <v>0</v>
      </c>
      <c r="N484" t="n">
        <v>0</v>
      </c>
      <c r="O484" t="n">
        <v>0</v>
      </c>
      <c r="P484" t="n">
        <v>0</v>
      </c>
      <c r="Q484" t="n">
        <v>0</v>
      </c>
      <c r="R484" s="2" t="inlineStr"/>
    </row>
    <row r="485" ht="15" customHeight="1">
      <c r="A485" t="inlineStr">
        <is>
          <t>A 3725-2022</t>
        </is>
      </c>
      <c r="B485" s="1" t="n">
        <v>44586</v>
      </c>
      <c r="C485" s="1" t="n">
        <v>46188</v>
      </c>
      <c r="D485" t="inlineStr">
        <is>
          <t>UPPSALA LÄN</t>
        </is>
      </c>
      <c r="E485" t="inlineStr">
        <is>
          <t>ÖSTHAMMAR</t>
        </is>
      </c>
      <c r="G485" t="n">
        <v>2</v>
      </c>
      <c r="H485" t="n">
        <v>0</v>
      </c>
      <c r="I485" t="n">
        <v>0</v>
      </c>
      <c r="J485" t="n">
        <v>0</v>
      </c>
      <c r="K485" t="n">
        <v>0</v>
      </c>
      <c r="L485" t="n">
        <v>0</v>
      </c>
      <c r="M485" t="n">
        <v>0</v>
      </c>
      <c r="N485" t="n">
        <v>0</v>
      </c>
      <c r="O485" t="n">
        <v>0</v>
      </c>
      <c r="P485" t="n">
        <v>0</v>
      </c>
      <c r="Q485" t="n">
        <v>0</v>
      </c>
      <c r="R485" s="2" t="inlineStr"/>
    </row>
    <row r="486" ht="15" customHeight="1">
      <c r="A486" t="inlineStr">
        <is>
          <t>A 16359-2026</t>
        </is>
      </c>
      <c r="B486" s="1" t="n">
        <v>46111.60564814815</v>
      </c>
      <c r="C486" s="1" t="n">
        <v>46188</v>
      </c>
      <c r="D486" t="inlineStr">
        <is>
          <t>UPPSALA LÄN</t>
        </is>
      </c>
      <c r="E486" t="inlineStr">
        <is>
          <t>ÖSTHAMMAR</t>
        </is>
      </c>
      <c r="G486" t="n">
        <v>2.6</v>
      </c>
      <c r="H486" t="n">
        <v>0</v>
      </c>
      <c r="I486" t="n">
        <v>0</v>
      </c>
      <c r="J486" t="n">
        <v>0</v>
      </c>
      <c r="K486" t="n">
        <v>0</v>
      </c>
      <c r="L486" t="n">
        <v>0</v>
      </c>
      <c r="M486" t="n">
        <v>0</v>
      </c>
      <c r="N486" t="n">
        <v>0</v>
      </c>
      <c r="O486" t="n">
        <v>0</v>
      </c>
      <c r="P486" t="n">
        <v>0</v>
      </c>
      <c r="Q486" t="n">
        <v>0</v>
      </c>
      <c r="R486" s="2" t="inlineStr"/>
    </row>
    <row r="487" ht="15" customHeight="1">
      <c r="A487" t="inlineStr">
        <is>
          <t>A 12812-2024</t>
        </is>
      </c>
      <c r="B487" s="1" t="n">
        <v>45384.65465277778</v>
      </c>
      <c r="C487" s="1" t="n">
        <v>46188</v>
      </c>
      <c r="D487" t="inlineStr">
        <is>
          <t>UPPSALA LÄN</t>
        </is>
      </c>
      <c r="E487" t="inlineStr">
        <is>
          <t>ÖSTHAMMAR</t>
        </is>
      </c>
      <c r="G487" t="n">
        <v>0.4</v>
      </c>
      <c r="H487" t="n">
        <v>0</v>
      </c>
      <c r="I487" t="n">
        <v>0</v>
      </c>
      <c r="J487" t="n">
        <v>0</v>
      </c>
      <c r="K487" t="n">
        <v>0</v>
      </c>
      <c r="L487" t="n">
        <v>0</v>
      </c>
      <c r="M487" t="n">
        <v>0</v>
      </c>
      <c r="N487" t="n">
        <v>0</v>
      </c>
      <c r="O487" t="n">
        <v>0</v>
      </c>
      <c r="P487" t="n">
        <v>0</v>
      </c>
      <c r="Q487" t="n">
        <v>0</v>
      </c>
      <c r="R487" s="2" t="inlineStr"/>
    </row>
    <row r="488" ht="15" customHeight="1">
      <c r="A488" t="inlineStr">
        <is>
          <t>A 28170-2023</t>
        </is>
      </c>
      <c r="B488" s="1" t="n">
        <v>45093</v>
      </c>
      <c r="C488" s="1" t="n">
        <v>46188</v>
      </c>
      <c r="D488" t="inlineStr">
        <is>
          <t>UPPSALA LÄN</t>
        </is>
      </c>
      <c r="E488" t="inlineStr">
        <is>
          <t>ÖSTHAMMAR</t>
        </is>
      </c>
      <c r="G488" t="n">
        <v>7.2</v>
      </c>
      <c r="H488" t="n">
        <v>0</v>
      </c>
      <c r="I488" t="n">
        <v>0</v>
      </c>
      <c r="J488" t="n">
        <v>0</v>
      </c>
      <c r="K488" t="n">
        <v>0</v>
      </c>
      <c r="L488" t="n">
        <v>0</v>
      </c>
      <c r="M488" t="n">
        <v>0</v>
      </c>
      <c r="N488" t="n">
        <v>0</v>
      </c>
      <c r="O488" t="n">
        <v>0</v>
      </c>
      <c r="P488" t="n">
        <v>0</v>
      </c>
      <c r="Q488" t="n">
        <v>0</v>
      </c>
      <c r="R488" s="2" t="inlineStr"/>
    </row>
    <row r="489" ht="15" customHeight="1">
      <c r="A489" t="inlineStr">
        <is>
          <t>A 7876-2023</t>
        </is>
      </c>
      <c r="B489" s="1" t="n">
        <v>44973.57263888889</v>
      </c>
      <c r="C489" s="1" t="n">
        <v>46188</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16498-2026</t>
        </is>
      </c>
      <c r="B490" s="1" t="n">
        <v>46112.43565972222</v>
      </c>
      <c r="C490" s="1" t="n">
        <v>46188</v>
      </c>
      <c r="D490" t="inlineStr">
        <is>
          <t>UPPSALA LÄN</t>
        </is>
      </c>
      <c r="E490" t="inlineStr">
        <is>
          <t>ÖSTHAMMAR</t>
        </is>
      </c>
      <c r="G490" t="n">
        <v>0.4</v>
      </c>
      <c r="H490" t="n">
        <v>0</v>
      </c>
      <c r="I490" t="n">
        <v>0</v>
      </c>
      <c r="J490" t="n">
        <v>0</v>
      </c>
      <c r="K490" t="n">
        <v>0</v>
      </c>
      <c r="L490" t="n">
        <v>0</v>
      </c>
      <c r="M490" t="n">
        <v>0</v>
      </c>
      <c r="N490" t="n">
        <v>0</v>
      </c>
      <c r="O490" t="n">
        <v>0</v>
      </c>
      <c r="P490" t="n">
        <v>0</v>
      </c>
      <c r="Q490" t="n">
        <v>0</v>
      </c>
      <c r="R490" s="2" t="inlineStr"/>
    </row>
    <row r="491" ht="15" customHeight="1">
      <c r="A491" t="inlineStr">
        <is>
          <t>A 16640-2026</t>
        </is>
      </c>
      <c r="B491" s="1" t="n">
        <v>46112.63155092593</v>
      </c>
      <c r="C491" s="1" t="n">
        <v>46188</v>
      </c>
      <c r="D491" t="inlineStr">
        <is>
          <t>UPPSALA LÄN</t>
        </is>
      </c>
      <c r="E491" t="inlineStr">
        <is>
          <t>ÖSTHAMMAR</t>
        </is>
      </c>
      <c r="G491" t="n">
        <v>1.2</v>
      </c>
      <c r="H491" t="n">
        <v>0</v>
      </c>
      <c r="I491" t="n">
        <v>0</v>
      </c>
      <c r="J491" t="n">
        <v>0</v>
      </c>
      <c r="K491" t="n">
        <v>0</v>
      </c>
      <c r="L491" t="n">
        <v>0</v>
      </c>
      <c r="M491" t="n">
        <v>0</v>
      </c>
      <c r="N491" t="n">
        <v>0</v>
      </c>
      <c r="O491" t="n">
        <v>0</v>
      </c>
      <c r="P491" t="n">
        <v>0</v>
      </c>
      <c r="Q491" t="n">
        <v>0</v>
      </c>
      <c r="R491" s="2" t="inlineStr"/>
    </row>
    <row r="492" ht="15" customHeight="1">
      <c r="A492" t="inlineStr">
        <is>
          <t>A 22241-2026</t>
        </is>
      </c>
      <c r="B492" s="1" t="n">
        <v>46154</v>
      </c>
      <c r="C492" s="1" t="n">
        <v>46188</v>
      </c>
      <c r="D492" t="inlineStr">
        <is>
          <t>UPPSALA LÄN</t>
        </is>
      </c>
      <c r="E492" t="inlineStr">
        <is>
          <t>ÖSTHAMMAR</t>
        </is>
      </c>
      <c r="F492" t="inlineStr">
        <is>
          <t>Övriga Aktiebolag</t>
        </is>
      </c>
      <c r="G492" t="n">
        <v>14.6</v>
      </c>
      <c r="H492" t="n">
        <v>0</v>
      </c>
      <c r="I492" t="n">
        <v>0</v>
      </c>
      <c r="J492" t="n">
        <v>0</v>
      </c>
      <c r="K492" t="n">
        <v>0</v>
      </c>
      <c r="L492" t="n">
        <v>0</v>
      </c>
      <c r="M492" t="n">
        <v>0</v>
      </c>
      <c r="N492" t="n">
        <v>0</v>
      </c>
      <c r="O492" t="n">
        <v>0</v>
      </c>
      <c r="P492" t="n">
        <v>0</v>
      </c>
      <c r="Q492" t="n">
        <v>0</v>
      </c>
      <c r="R492" s="2" t="inlineStr"/>
    </row>
    <row r="493" ht="15" customHeight="1">
      <c r="A493" t="inlineStr">
        <is>
          <t>A 16612-2026</t>
        </is>
      </c>
      <c r="B493" s="1" t="n">
        <v>46112.60299768519</v>
      </c>
      <c r="C493" s="1" t="n">
        <v>46188</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22709-2026</t>
        </is>
      </c>
      <c r="B494" s="1" t="n">
        <v>46156.59422453704</v>
      </c>
      <c r="C494" s="1" t="n">
        <v>46188</v>
      </c>
      <c r="D494" t="inlineStr">
        <is>
          <t>UPPSALA LÄN</t>
        </is>
      </c>
      <c r="E494" t="inlineStr">
        <is>
          <t>ÖSTHAMMAR</t>
        </is>
      </c>
      <c r="F494" t="inlineStr">
        <is>
          <t>Övriga Aktiebolag</t>
        </is>
      </c>
      <c r="G494" t="n">
        <v>15.5</v>
      </c>
      <c r="H494" t="n">
        <v>0</v>
      </c>
      <c r="I494" t="n">
        <v>0</v>
      </c>
      <c r="J494" t="n">
        <v>0</v>
      </c>
      <c r="K494" t="n">
        <v>0</v>
      </c>
      <c r="L494" t="n">
        <v>0</v>
      </c>
      <c r="M494" t="n">
        <v>0</v>
      </c>
      <c r="N494" t="n">
        <v>0</v>
      </c>
      <c r="O494" t="n">
        <v>0</v>
      </c>
      <c r="P494" t="n">
        <v>0</v>
      </c>
      <c r="Q494" t="n">
        <v>0</v>
      </c>
      <c r="R494" s="2" t="inlineStr"/>
    </row>
    <row r="495" ht="15" customHeight="1">
      <c r="A495" t="inlineStr">
        <is>
          <t>A 16796-2026</t>
        </is>
      </c>
      <c r="B495" s="1" t="n">
        <v>46113.47394675926</v>
      </c>
      <c r="C495" s="1" t="n">
        <v>46188</v>
      </c>
      <c r="D495" t="inlineStr">
        <is>
          <t>UPPSALA LÄN</t>
        </is>
      </c>
      <c r="E495" t="inlineStr">
        <is>
          <t>ÖSTHAMMAR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16788-2026</t>
        </is>
      </c>
      <c r="B496" s="1" t="n">
        <v>46113.46101851852</v>
      </c>
      <c r="C496" s="1" t="n">
        <v>46188</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22641-2026</t>
        </is>
      </c>
      <c r="B497" s="1" t="n">
        <v>46155.65429398148</v>
      </c>
      <c r="C497" s="1" t="n">
        <v>46188</v>
      </c>
      <c r="D497" t="inlineStr">
        <is>
          <t>UPPSALA LÄN</t>
        </is>
      </c>
      <c r="E497" t="inlineStr">
        <is>
          <t>ÖSTHAMMAR</t>
        </is>
      </c>
      <c r="G497" t="n">
        <v>6.3</v>
      </c>
      <c r="H497" t="n">
        <v>0</v>
      </c>
      <c r="I497" t="n">
        <v>0</v>
      </c>
      <c r="J497" t="n">
        <v>0</v>
      </c>
      <c r="K497" t="n">
        <v>0</v>
      </c>
      <c r="L497" t="n">
        <v>0</v>
      </c>
      <c r="M497" t="n">
        <v>0</v>
      </c>
      <c r="N497" t="n">
        <v>0</v>
      </c>
      <c r="O497" t="n">
        <v>0</v>
      </c>
      <c r="P497" t="n">
        <v>0</v>
      </c>
      <c r="Q497" t="n">
        <v>0</v>
      </c>
      <c r="R497" s="2" t="inlineStr"/>
    </row>
    <row r="498" ht="15" customHeight="1">
      <c r="A498" t="inlineStr">
        <is>
          <t>A 14433-2024</t>
        </is>
      </c>
      <c r="B498" s="1" t="n">
        <v>45394.46115740741</v>
      </c>
      <c r="C498" s="1" t="n">
        <v>46188</v>
      </c>
      <c r="D498" t="inlineStr">
        <is>
          <t>UPPSALA LÄN</t>
        </is>
      </c>
      <c r="E498" t="inlineStr">
        <is>
          <t>ÖSTHAMMAR</t>
        </is>
      </c>
      <c r="G498" t="n">
        <v>1.2</v>
      </c>
      <c r="H498" t="n">
        <v>0</v>
      </c>
      <c r="I498" t="n">
        <v>0</v>
      </c>
      <c r="J498" t="n">
        <v>0</v>
      </c>
      <c r="K498" t="n">
        <v>0</v>
      </c>
      <c r="L498" t="n">
        <v>0</v>
      </c>
      <c r="M498" t="n">
        <v>0</v>
      </c>
      <c r="N498" t="n">
        <v>0</v>
      </c>
      <c r="O498" t="n">
        <v>0</v>
      </c>
      <c r="P498" t="n">
        <v>0</v>
      </c>
      <c r="Q498" t="n">
        <v>0</v>
      </c>
      <c r="R498" s="2" t="inlineStr"/>
    </row>
    <row r="499" ht="15" customHeight="1">
      <c r="A499" t="inlineStr">
        <is>
          <t>A 22567-2026</t>
        </is>
      </c>
      <c r="B499" s="1" t="n">
        <v>46155.55663194445</v>
      </c>
      <c r="C499" s="1" t="n">
        <v>46188</v>
      </c>
      <c r="D499" t="inlineStr">
        <is>
          <t>UPPSALA LÄN</t>
        </is>
      </c>
      <c r="E499" t="inlineStr">
        <is>
          <t>ÖSTHAMMAR</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22642-2026</t>
        </is>
      </c>
      <c r="B500" s="1" t="n">
        <v>46155.65603009259</v>
      </c>
      <c r="C500" s="1" t="n">
        <v>46188</v>
      </c>
      <c r="D500" t="inlineStr">
        <is>
          <t>UPPSALA LÄN</t>
        </is>
      </c>
      <c r="E500" t="inlineStr">
        <is>
          <t>ÖSTHAMMAR</t>
        </is>
      </c>
      <c r="F500" t="inlineStr">
        <is>
          <t>Bergvik skog öst AB</t>
        </is>
      </c>
      <c r="G500" t="n">
        <v>10</v>
      </c>
      <c r="H500" t="n">
        <v>0</v>
      </c>
      <c r="I500" t="n">
        <v>0</v>
      </c>
      <c r="J500" t="n">
        <v>0</v>
      </c>
      <c r="K500" t="n">
        <v>0</v>
      </c>
      <c r="L500" t="n">
        <v>0</v>
      </c>
      <c r="M500" t="n">
        <v>0</v>
      </c>
      <c r="N500" t="n">
        <v>0</v>
      </c>
      <c r="O500" t="n">
        <v>0</v>
      </c>
      <c r="P500" t="n">
        <v>0</v>
      </c>
      <c r="Q500" t="n">
        <v>0</v>
      </c>
      <c r="R500" s="2" t="inlineStr"/>
    </row>
    <row r="501" ht="15" customHeight="1">
      <c r="A501" t="inlineStr">
        <is>
          <t>A 17929-2025</t>
        </is>
      </c>
      <c r="B501" s="1" t="n">
        <v>45759.56462962963</v>
      </c>
      <c r="C501" s="1" t="n">
        <v>46188</v>
      </c>
      <c r="D501" t="inlineStr">
        <is>
          <t>UPPSALA LÄN</t>
        </is>
      </c>
      <c r="E501" t="inlineStr">
        <is>
          <t>ÖSTHAMMAR</t>
        </is>
      </c>
      <c r="G501" t="n">
        <v>3.4</v>
      </c>
      <c r="H501" t="n">
        <v>0</v>
      </c>
      <c r="I501" t="n">
        <v>0</v>
      </c>
      <c r="J501" t="n">
        <v>0</v>
      </c>
      <c r="K501" t="n">
        <v>0</v>
      </c>
      <c r="L501" t="n">
        <v>0</v>
      </c>
      <c r="M501" t="n">
        <v>0</v>
      </c>
      <c r="N501" t="n">
        <v>0</v>
      </c>
      <c r="O501" t="n">
        <v>0</v>
      </c>
      <c r="P501" t="n">
        <v>0</v>
      </c>
      <c r="Q501" t="n">
        <v>0</v>
      </c>
      <c r="R501" s="2" t="inlineStr"/>
    </row>
    <row r="502" ht="15" customHeight="1">
      <c r="A502" t="inlineStr">
        <is>
          <t>A 22409-2026</t>
        </is>
      </c>
      <c r="B502" s="1" t="n">
        <v>46154</v>
      </c>
      <c r="C502" s="1" t="n">
        <v>46188</v>
      </c>
      <c r="D502" t="inlineStr">
        <is>
          <t>UPPSALA LÄN</t>
        </is>
      </c>
      <c r="E502" t="inlineStr">
        <is>
          <t>ÖSTHAMMAR</t>
        </is>
      </c>
      <c r="F502" t="inlineStr">
        <is>
          <t>Övriga Aktiebolag</t>
        </is>
      </c>
      <c r="G502" t="n">
        <v>4.8</v>
      </c>
      <c r="H502" t="n">
        <v>0</v>
      </c>
      <c r="I502" t="n">
        <v>0</v>
      </c>
      <c r="J502" t="n">
        <v>0</v>
      </c>
      <c r="K502" t="n">
        <v>0</v>
      </c>
      <c r="L502" t="n">
        <v>0</v>
      </c>
      <c r="M502" t="n">
        <v>0</v>
      </c>
      <c r="N502" t="n">
        <v>0</v>
      </c>
      <c r="O502" t="n">
        <v>0</v>
      </c>
      <c r="P502" t="n">
        <v>0</v>
      </c>
      <c r="Q502" t="n">
        <v>0</v>
      </c>
      <c r="R502" s="2" t="inlineStr"/>
    </row>
    <row r="503" ht="15" customHeight="1">
      <c r="A503" t="inlineStr">
        <is>
          <t>A 20038-2023</t>
        </is>
      </c>
      <c r="B503" s="1" t="n">
        <v>45054.65834490741</v>
      </c>
      <c r="C503" s="1" t="n">
        <v>46188</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36451-2025</t>
        </is>
      </c>
      <c r="B504" s="1" t="n">
        <v>45869.4290625</v>
      </c>
      <c r="C504" s="1" t="n">
        <v>46188</v>
      </c>
      <c r="D504" t="inlineStr">
        <is>
          <t>UPPSALA LÄN</t>
        </is>
      </c>
      <c r="E504" t="inlineStr">
        <is>
          <t>ÖSTHAMMAR</t>
        </is>
      </c>
      <c r="G504" t="n">
        <v>0.8</v>
      </c>
      <c r="H504" t="n">
        <v>0</v>
      </c>
      <c r="I504" t="n">
        <v>0</v>
      </c>
      <c r="J504" t="n">
        <v>0</v>
      </c>
      <c r="K504" t="n">
        <v>0</v>
      </c>
      <c r="L504" t="n">
        <v>0</v>
      </c>
      <c r="M504" t="n">
        <v>0</v>
      </c>
      <c r="N504" t="n">
        <v>0</v>
      </c>
      <c r="O504" t="n">
        <v>0</v>
      </c>
      <c r="P504" t="n">
        <v>0</v>
      </c>
      <c r="Q504" t="n">
        <v>0</v>
      </c>
      <c r="R504" s="2" t="inlineStr"/>
    </row>
    <row r="505" ht="15" customHeight="1">
      <c r="A505" t="inlineStr">
        <is>
          <t>A 17198-2026</t>
        </is>
      </c>
      <c r="B505" s="1" t="n">
        <v>46118</v>
      </c>
      <c r="C505" s="1" t="n">
        <v>46188</v>
      </c>
      <c r="D505" t="inlineStr">
        <is>
          <t>UPPSALA LÄN</t>
        </is>
      </c>
      <c r="E505" t="inlineStr">
        <is>
          <t>ÖSTHAMMAR</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13738-2023</t>
        </is>
      </c>
      <c r="B506" s="1" t="n">
        <v>45007.37081018519</v>
      </c>
      <c r="C506" s="1" t="n">
        <v>46188</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43439-2024</t>
        </is>
      </c>
      <c r="B507" s="1" t="n">
        <v>45568</v>
      </c>
      <c r="C507" s="1" t="n">
        <v>46188</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8014-2026</t>
        </is>
      </c>
      <c r="B508" s="1" t="n">
        <v>46063.54009259259</v>
      </c>
      <c r="C508" s="1" t="n">
        <v>46188</v>
      </c>
      <c r="D508" t="inlineStr">
        <is>
          <t>UPPSALA LÄN</t>
        </is>
      </c>
      <c r="E508" t="inlineStr">
        <is>
          <t>ÖSTHAMMAR</t>
        </is>
      </c>
      <c r="G508" t="n">
        <v>15.2</v>
      </c>
      <c r="H508" t="n">
        <v>0</v>
      </c>
      <c r="I508" t="n">
        <v>0</v>
      </c>
      <c r="J508" t="n">
        <v>0</v>
      </c>
      <c r="K508" t="n">
        <v>0</v>
      </c>
      <c r="L508" t="n">
        <v>0</v>
      </c>
      <c r="M508" t="n">
        <v>0</v>
      </c>
      <c r="N508" t="n">
        <v>0</v>
      </c>
      <c r="O508" t="n">
        <v>0</v>
      </c>
      <c r="P508" t="n">
        <v>0</v>
      </c>
      <c r="Q508" t="n">
        <v>0</v>
      </c>
      <c r="R508" s="2" t="inlineStr"/>
    </row>
    <row r="509" ht="15" customHeight="1">
      <c r="A509" t="inlineStr">
        <is>
          <t>A 23125-2026</t>
        </is>
      </c>
      <c r="B509" s="1" t="n">
        <v>46161.60623842593</v>
      </c>
      <c r="C509" s="1" t="n">
        <v>46188</v>
      </c>
      <c r="D509" t="inlineStr">
        <is>
          <t>UPPSALA LÄN</t>
        </is>
      </c>
      <c r="E509" t="inlineStr">
        <is>
          <t>ÖSTHAMMAR</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11469-2023</t>
        </is>
      </c>
      <c r="B510" s="1" t="n">
        <v>44993.60099537037</v>
      </c>
      <c r="C510" s="1" t="n">
        <v>46188</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17767-2026</t>
        </is>
      </c>
      <c r="B511" s="1" t="n">
        <v>46122.36061342592</v>
      </c>
      <c r="C511" s="1" t="n">
        <v>46188</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17928-2026</t>
        </is>
      </c>
      <c r="B512" s="1" t="n">
        <v>46122.62048611111</v>
      </c>
      <c r="C512" s="1" t="n">
        <v>46188</v>
      </c>
      <c r="D512" t="inlineStr">
        <is>
          <t>UPPSALA LÄN</t>
        </is>
      </c>
      <c r="E512" t="inlineStr">
        <is>
          <t>ÖSTHAMMAR</t>
        </is>
      </c>
      <c r="F512" t="inlineStr">
        <is>
          <t>Bergvik skog öst AB</t>
        </is>
      </c>
      <c r="G512" t="n">
        <v>14.7</v>
      </c>
      <c r="H512" t="n">
        <v>0</v>
      </c>
      <c r="I512" t="n">
        <v>0</v>
      </c>
      <c r="J512" t="n">
        <v>0</v>
      </c>
      <c r="K512" t="n">
        <v>0</v>
      </c>
      <c r="L512" t="n">
        <v>0</v>
      </c>
      <c r="M512" t="n">
        <v>0</v>
      </c>
      <c r="N512" t="n">
        <v>0</v>
      </c>
      <c r="O512" t="n">
        <v>0</v>
      </c>
      <c r="P512" t="n">
        <v>0</v>
      </c>
      <c r="Q512" t="n">
        <v>0</v>
      </c>
      <c r="R512" s="2" t="inlineStr"/>
    </row>
    <row r="513" ht="15" customHeight="1">
      <c r="A513" t="inlineStr">
        <is>
          <t>A 23619-2026</t>
        </is>
      </c>
      <c r="B513" s="1" t="n">
        <v>46163.67776620371</v>
      </c>
      <c r="C513" s="1" t="n">
        <v>46188</v>
      </c>
      <c r="D513" t="inlineStr">
        <is>
          <t>UPPSALA LÄN</t>
        </is>
      </c>
      <c r="E513" t="inlineStr">
        <is>
          <t>ÖSTHAMMAR</t>
        </is>
      </c>
      <c r="F513" t="inlineStr">
        <is>
          <t>Bergvik skog öst AB</t>
        </is>
      </c>
      <c r="G513" t="n">
        <v>8.6</v>
      </c>
      <c r="H513" t="n">
        <v>0</v>
      </c>
      <c r="I513" t="n">
        <v>0</v>
      </c>
      <c r="J513" t="n">
        <v>0</v>
      </c>
      <c r="K513" t="n">
        <v>0</v>
      </c>
      <c r="L513" t="n">
        <v>0</v>
      </c>
      <c r="M513" t="n">
        <v>0</v>
      </c>
      <c r="N513" t="n">
        <v>0</v>
      </c>
      <c r="O513" t="n">
        <v>0</v>
      </c>
      <c r="P513" t="n">
        <v>0</v>
      </c>
      <c r="Q513" t="n">
        <v>0</v>
      </c>
      <c r="R513" s="2" t="inlineStr"/>
    </row>
    <row r="514" ht="15" customHeight="1">
      <c r="A514" t="inlineStr">
        <is>
          <t>A 17760-2026</t>
        </is>
      </c>
      <c r="B514" s="1" t="n">
        <v>46122.35453703703</v>
      </c>
      <c r="C514" s="1" t="n">
        <v>46188</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25418-2022</t>
        </is>
      </c>
      <c r="B515" s="1" t="n">
        <v>44732.464375</v>
      </c>
      <c r="C515" s="1" t="n">
        <v>46188</v>
      </c>
      <c r="D515" t="inlineStr">
        <is>
          <t>UPPSALA LÄN</t>
        </is>
      </c>
      <c r="E515" t="inlineStr">
        <is>
          <t>ÖSTHAMMAR</t>
        </is>
      </c>
      <c r="G515" t="n">
        <v>2.8</v>
      </c>
      <c r="H515" t="n">
        <v>0</v>
      </c>
      <c r="I515" t="n">
        <v>0</v>
      </c>
      <c r="J515" t="n">
        <v>0</v>
      </c>
      <c r="K515" t="n">
        <v>0</v>
      </c>
      <c r="L515" t="n">
        <v>0</v>
      </c>
      <c r="M515" t="n">
        <v>0</v>
      </c>
      <c r="N515" t="n">
        <v>0</v>
      </c>
      <c r="O515" t="n">
        <v>0</v>
      </c>
      <c r="P515" t="n">
        <v>0</v>
      </c>
      <c r="Q515" t="n">
        <v>0</v>
      </c>
      <c r="R515" s="2" t="inlineStr"/>
    </row>
    <row r="516" ht="15" customHeight="1">
      <c r="A516" t="inlineStr">
        <is>
          <t>A 23414-2026</t>
        </is>
      </c>
      <c r="B516" s="1" t="n">
        <v>46163.28564814815</v>
      </c>
      <c r="C516" s="1" t="n">
        <v>46188</v>
      </c>
      <c r="D516" t="inlineStr">
        <is>
          <t>UPPSALA LÄN</t>
        </is>
      </c>
      <c r="E516" t="inlineStr">
        <is>
          <t>ÖSTHAMMAR</t>
        </is>
      </c>
      <c r="G516" t="n">
        <v>0.9</v>
      </c>
      <c r="H516" t="n">
        <v>0</v>
      </c>
      <c r="I516" t="n">
        <v>0</v>
      </c>
      <c r="J516" t="n">
        <v>0</v>
      </c>
      <c r="K516" t="n">
        <v>0</v>
      </c>
      <c r="L516" t="n">
        <v>0</v>
      </c>
      <c r="M516" t="n">
        <v>0</v>
      </c>
      <c r="N516" t="n">
        <v>0</v>
      </c>
      <c r="O516" t="n">
        <v>0</v>
      </c>
      <c r="P516" t="n">
        <v>0</v>
      </c>
      <c r="Q516" t="n">
        <v>0</v>
      </c>
      <c r="R516" s="2" t="inlineStr"/>
    </row>
    <row r="517" ht="15" customHeight="1">
      <c r="A517" t="inlineStr">
        <is>
          <t>A 14859-2025</t>
        </is>
      </c>
      <c r="B517" s="1" t="n">
        <v>45743.42427083333</v>
      </c>
      <c r="C517" s="1" t="n">
        <v>46188</v>
      </c>
      <c r="D517" t="inlineStr">
        <is>
          <t>UPPSALA LÄN</t>
        </is>
      </c>
      <c r="E517" t="inlineStr">
        <is>
          <t>ÖSTHAMMAR</t>
        </is>
      </c>
      <c r="G517" t="n">
        <v>1.1</v>
      </c>
      <c r="H517" t="n">
        <v>0</v>
      </c>
      <c r="I517" t="n">
        <v>0</v>
      </c>
      <c r="J517" t="n">
        <v>0</v>
      </c>
      <c r="K517" t="n">
        <v>0</v>
      </c>
      <c r="L517" t="n">
        <v>0</v>
      </c>
      <c r="M517" t="n">
        <v>0</v>
      </c>
      <c r="N517" t="n">
        <v>0</v>
      </c>
      <c r="O517" t="n">
        <v>0</v>
      </c>
      <c r="P517" t="n">
        <v>0</v>
      </c>
      <c r="Q517" t="n">
        <v>0</v>
      </c>
      <c r="R517" s="2" t="inlineStr"/>
    </row>
    <row r="518" ht="15" customHeight="1">
      <c r="A518" t="inlineStr">
        <is>
          <t>A 23415-2026</t>
        </is>
      </c>
      <c r="B518" s="1" t="n">
        <v>46163.2859837963</v>
      </c>
      <c r="C518" s="1" t="n">
        <v>46188</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23416-2026</t>
        </is>
      </c>
      <c r="B519" s="1" t="n">
        <v>46163.28630787037</v>
      </c>
      <c r="C519" s="1" t="n">
        <v>46188</v>
      </c>
      <c r="D519" t="inlineStr">
        <is>
          <t>UPPSALA LÄN</t>
        </is>
      </c>
      <c r="E519" t="inlineStr">
        <is>
          <t>ÖSTHAMMAR</t>
        </is>
      </c>
      <c r="G519" t="n">
        <v>7</v>
      </c>
      <c r="H519" t="n">
        <v>0</v>
      </c>
      <c r="I519" t="n">
        <v>0</v>
      </c>
      <c r="J519" t="n">
        <v>0</v>
      </c>
      <c r="K519" t="n">
        <v>0</v>
      </c>
      <c r="L519" t="n">
        <v>0</v>
      </c>
      <c r="M519" t="n">
        <v>0</v>
      </c>
      <c r="N519" t="n">
        <v>0</v>
      </c>
      <c r="O519" t="n">
        <v>0</v>
      </c>
      <c r="P519" t="n">
        <v>0</v>
      </c>
      <c r="Q519" t="n">
        <v>0</v>
      </c>
      <c r="R519" s="2" t="inlineStr"/>
    </row>
    <row r="520" ht="15" customHeight="1">
      <c r="A520" t="inlineStr">
        <is>
          <t>A 23795-2026</t>
        </is>
      </c>
      <c r="B520" s="1" t="n">
        <v>46164.6133912037</v>
      </c>
      <c r="C520" s="1" t="n">
        <v>46188</v>
      </c>
      <c r="D520" t="inlineStr">
        <is>
          <t>UPPSALA LÄN</t>
        </is>
      </c>
      <c r="E520" t="inlineStr">
        <is>
          <t>ÖSTHAMMAR</t>
        </is>
      </c>
      <c r="F520" t="inlineStr">
        <is>
          <t>Bergvik skog öst AB</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14671-2022</t>
        </is>
      </c>
      <c r="B521" s="1" t="n">
        <v>44655.80475694445</v>
      </c>
      <c r="C521" s="1" t="n">
        <v>46188</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17927-2026</t>
        </is>
      </c>
      <c r="B522" s="1" t="n">
        <v>46122.62008101852</v>
      </c>
      <c r="C522" s="1" t="n">
        <v>46188</v>
      </c>
      <c r="D522" t="inlineStr">
        <is>
          <t>UPPSALA LÄN</t>
        </is>
      </c>
      <c r="E522" t="inlineStr">
        <is>
          <t>ÖSTHAMMAR</t>
        </is>
      </c>
      <c r="F522" t="inlineStr">
        <is>
          <t>Bergvik skog öst AB</t>
        </is>
      </c>
      <c r="G522" t="n">
        <v>3.3</v>
      </c>
      <c r="H522" t="n">
        <v>0</v>
      </c>
      <c r="I522" t="n">
        <v>0</v>
      </c>
      <c r="J522" t="n">
        <v>0</v>
      </c>
      <c r="K522" t="n">
        <v>0</v>
      </c>
      <c r="L522" t="n">
        <v>0</v>
      </c>
      <c r="M522" t="n">
        <v>0</v>
      </c>
      <c r="N522" t="n">
        <v>0</v>
      </c>
      <c r="O522" t="n">
        <v>0</v>
      </c>
      <c r="P522" t="n">
        <v>0</v>
      </c>
      <c r="Q522" t="n">
        <v>0</v>
      </c>
      <c r="R522" s="2" t="inlineStr"/>
    </row>
    <row r="523" ht="15" customHeight="1">
      <c r="A523" t="inlineStr">
        <is>
          <t>A 17764-2026</t>
        </is>
      </c>
      <c r="B523" s="1" t="n">
        <v>46122.35938657408</v>
      </c>
      <c r="C523" s="1" t="n">
        <v>46188</v>
      </c>
      <c r="D523" t="inlineStr">
        <is>
          <t>UPPSALA LÄN</t>
        </is>
      </c>
      <c r="E523" t="inlineStr">
        <is>
          <t>ÖSTHAMMAR</t>
        </is>
      </c>
      <c r="F523" t="inlineStr">
        <is>
          <t>Bergvik skog öst AB</t>
        </is>
      </c>
      <c r="G523" t="n">
        <v>3</v>
      </c>
      <c r="H523" t="n">
        <v>0</v>
      </c>
      <c r="I523" t="n">
        <v>0</v>
      </c>
      <c r="J523" t="n">
        <v>0</v>
      </c>
      <c r="K523" t="n">
        <v>0</v>
      </c>
      <c r="L523" t="n">
        <v>0</v>
      </c>
      <c r="M523" t="n">
        <v>0</v>
      </c>
      <c r="N523" t="n">
        <v>0</v>
      </c>
      <c r="O523" t="n">
        <v>0</v>
      </c>
      <c r="P523" t="n">
        <v>0</v>
      </c>
      <c r="Q523" t="n">
        <v>0</v>
      </c>
      <c r="R523" s="2" t="inlineStr"/>
    </row>
    <row r="524" ht="15" customHeight="1">
      <c r="A524" t="inlineStr">
        <is>
          <t>A 46399-2023</t>
        </is>
      </c>
      <c r="B524" s="1" t="n">
        <v>45197.49262731482</v>
      </c>
      <c r="C524" s="1" t="n">
        <v>46188</v>
      </c>
      <c r="D524" t="inlineStr">
        <is>
          <t>UPPSALA LÄN</t>
        </is>
      </c>
      <c r="E524" t="inlineStr">
        <is>
          <t>ÖSTHAMMAR</t>
        </is>
      </c>
      <c r="G524" t="n">
        <v>5.8</v>
      </c>
      <c r="H524" t="n">
        <v>0</v>
      </c>
      <c r="I524" t="n">
        <v>0</v>
      </c>
      <c r="J524" t="n">
        <v>0</v>
      </c>
      <c r="K524" t="n">
        <v>0</v>
      </c>
      <c r="L524" t="n">
        <v>0</v>
      </c>
      <c r="M524" t="n">
        <v>0</v>
      </c>
      <c r="N524" t="n">
        <v>0</v>
      </c>
      <c r="O524" t="n">
        <v>0</v>
      </c>
      <c r="P524" t="n">
        <v>0</v>
      </c>
      <c r="Q524" t="n">
        <v>0</v>
      </c>
      <c r="R524" s="2" t="inlineStr"/>
    </row>
    <row r="525" ht="15" customHeight="1">
      <c r="A525" t="inlineStr">
        <is>
          <t>A 17926-2026</t>
        </is>
      </c>
      <c r="B525" s="1" t="n">
        <v>46122.61969907407</v>
      </c>
      <c r="C525" s="1" t="n">
        <v>46188</v>
      </c>
      <c r="D525" t="inlineStr">
        <is>
          <t>UPPSALA LÄN</t>
        </is>
      </c>
      <c r="E525" t="inlineStr">
        <is>
          <t>ÖSTHAMMAR</t>
        </is>
      </c>
      <c r="F525" t="inlineStr">
        <is>
          <t>Bergvik skog öst AB</t>
        </is>
      </c>
      <c r="G525" t="n">
        <v>2.3</v>
      </c>
      <c r="H525" t="n">
        <v>0</v>
      </c>
      <c r="I525" t="n">
        <v>0</v>
      </c>
      <c r="J525" t="n">
        <v>0</v>
      </c>
      <c r="K525" t="n">
        <v>0</v>
      </c>
      <c r="L525" t="n">
        <v>0</v>
      </c>
      <c r="M525" t="n">
        <v>0</v>
      </c>
      <c r="N525" t="n">
        <v>0</v>
      </c>
      <c r="O525" t="n">
        <v>0</v>
      </c>
      <c r="P525" t="n">
        <v>0</v>
      </c>
      <c r="Q525" t="n">
        <v>0</v>
      </c>
      <c r="R525" s="2" t="inlineStr"/>
    </row>
    <row r="526" ht="15" customHeight="1">
      <c r="A526" t="inlineStr">
        <is>
          <t>A 47614-2025</t>
        </is>
      </c>
      <c r="B526" s="1" t="n">
        <v>45931.47211805556</v>
      </c>
      <c r="C526" s="1" t="n">
        <v>46188</v>
      </c>
      <c r="D526" t="inlineStr">
        <is>
          <t>UPPSALA LÄN</t>
        </is>
      </c>
      <c r="E526" t="inlineStr">
        <is>
          <t>ÖSTHAMMAR</t>
        </is>
      </c>
      <c r="G526" t="n">
        <v>22.8</v>
      </c>
      <c r="H526" t="n">
        <v>0</v>
      </c>
      <c r="I526" t="n">
        <v>0</v>
      </c>
      <c r="J526" t="n">
        <v>0</v>
      </c>
      <c r="K526" t="n">
        <v>0</v>
      </c>
      <c r="L526" t="n">
        <v>0</v>
      </c>
      <c r="M526" t="n">
        <v>0</v>
      </c>
      <c r="N526" t="n">
        <v>0</v>
      </c>
      <c r="O526" t="n">
        <v>0</v>
      </c>
      <c r="P526" t="n">
        <v>0</v>
      </c>
      <c r="Q526" t="n">
        <v>0</v>
      </c>
      <c r="R526" s="2" t="inlineStr"/>
    </row>
    <row r="527" ht="15" customHeight="1">
      <c r="A527" t="inlineStr">
        <is>
          <t>A 45550-2023</t>
        </is>
      </c>
      <c r="B527" s="1" t="n">
        <v>45194.57125</v>
      </c>
      <c r="C527" s="1" t="n">
        <v>46188</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15445-2022</t>
        </is>
      </c>
      <c r="B528" s="1" t="n">
        <v>44660.4987962963</v>
      </c>
      <c r="C528" s="1" t="n">
        <v>46188</v>
      </c>
      <c r="D528" t="inlineStr">
        <is>
          <t>UPPSALA LÄN</t>
        </is>
      </c>
      <c r="E528" t="inlineStr">
        <is>
          <t>ÖSTHAMMAR</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20634-2024</t>
        </is>
      </c>
      <c r="B529" s="1" t="n">
        <v>45436</v>
      </c>
      <c r="C529" s="1" t="n">
        <v>46188</v>
      </c>
      <c r="D529" t="inlineStr">
        <is>
          <t>UPPSALA LÄN</t>
        </is>
      </c>
      <c r="E529" t="inlineStr">
        <is>
          <t>ÖSTHAMMAR</t>
        </is>
      </c>
      <c r="G529" t="n">
        <v>6.5</v>
      </c>
      <c r="H529" t="n">
        <v>0</v>
      </c>
      <c r="I529" t="n">
        <v>0</v>
      </c>
      <c r="J529" t="n">
        <v>0</v>
      </c>
      <c r="K529" t="n">
        <v>0</v>
      </c>
      <c r="L529" t="n">
        <v>0</v>
      </c>
      <c r="M529" t="n">
        <v>0</v>
      </c>
      <c r="N529" t="n">
        <v>0</v>
      </c>
      <c r="O529" t="n">
        <v>0</v>
      </c>
      <c r="P529" t="n">
        <v>0</v>
      </c>
      <c r="Q529" t="n">
        <v>0</v>
      </c>
      <c r="R529" s="2" t="inlineStr"/>
    </row>
    <row r="530" ht="15" customHeight="1">
      <c r="A530" t="inlineStr">
        <is>
          <t>A 7118-2023</t>
        </is>
      </c>
      <c r="B530" s="1" t="n">
        <v>44970.39591435185</v>
      </c>
      <c r="C530" s="1" t="n">
        <v>46188</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61257-2022</t>
        </is>
      </c>
      <c r="B531" s="1" t="n">
        <v>44915.59418981482</v>
      </c>
      <c r="C531" s="1" t="n">
        <v>46188</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18758-2026</t>
        </is>
      </c>
      <c r="B532" s="1" t="n">
        <v>46128.56182870371</v>
      </c>
      <c r="C532" s="1" t="n">
        <v>46188</v>
      </c>
      <c r="D532" t="inlineStr">
        <is>
          <t>UPPSALA LÄN</t>
        </is>
      </c>
      <c r="E532" t="inlineStr">
        <is>
          <t>ÖSTHAMMAR</t>
        </is>
      </c>
      <c r="F532" t="inlineStr">
        <is>
          <t>Bergvik skog öst AB</t>
        </is>
      </c>
      <c r="G532" t="n">
        <v>2.4</v>
      </c>
      <c r="H532" t="n">
        <v>0</v>
      </c>
      <c r="I532" t="n">
        <v>0</v>
      </c>
      <c r="J532" t="n">
        <v>0</v>
      </c>
      <c r="K532" t="n">
        <v>0</v>
      </c>
      <c r="L532" t="n">
        <v>0</v>
      </c>
      <c r="M532" t="n">
        <v>0</v>
      </c>
      <c r="N532" t="n">
        <v>0</v>
      </c>
      <c r="O532" t="n">
        <v>0</v>
      </c>
      <c r="P532" t="n">
        <v>0</v>
      </c>
      <c r="Q532" t="n">
        <v>0</v>
      </c>
      <c r="R532" s="2" t="inlineStr"/>
    </row>
    <row r="533" ht="15" customHeight="1">
      <c r="A533" t="inlineStr">
        <is>
          <t>A 18761-2026</t>
        </is>
      </c>
      <c r="B533" s="1" t="n">
        <v>46128.56317129629</v>
      </c>
      <c r="C533" s="1" t="n">
        <v>46188</v>
      </c>
      <c r="D533" t="inlineStr">
        <is>
          <t>UPPSALA LÄN</t>
        </is>
      </c>
      <c r="E533" t="inlineStr">
        <is>
          <t>ÖSTHAMMAR</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18760-2026</t>
        </is>
      </c>
      <c r="B534" s="1" t="n">
        <v>46128.56234953704</v>
      </c>
      <c r="C534" s="1" t="n">
        <v>46188</v>
      </c>
      <c r="D534" t="inlineStr">
        <is>
          <t>UPPSALA LÄN</t>
        </is>
      </c>
      <c r="E534" t="inlineStr">
        <is>
          <t>ÖSTHAMMAR</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32778-2023</t>
        </is>
      </c>
      <c r="B535" s="1" t="n">
        <v>45123.88789351852</v>
      </c>
      <c r="C535" s="1" t="n">
        <v>46188</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44726.42716435185</v>
      </c>
      <c r="C536" s="1" t="n">
        <v>46188</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5933-2022</t>
        </is>
      </c>
      <c r="B537" s="1" t="n">
        <v>44598.82957175926</v>
      </c>
      <c r="C537" s="1" t="n">
        <v>46188</v>
      </c>
      <c r="D537" t="inlineStr">
        <is>
          <t>UPPSALA LÄN</t>
        </is>
      </c>
      <c r="E537" t="inlineStr">
        <is>
          <t>ÖSTHAMMAR</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22640-2026</t>
        </is>
      </c>
      <c r="B538" s="1" t="n">
        <v>46155.65376157407</v>
      </c>
      <c r="C538" s="1" t="n">
        <v>46188</v>
      </c>
      <c r="D538" t="inlineStr">
        <is>
          <t>UPPSALA LÄN</t>
        </is>
      </c>
      <c r="E538" t="inlineStr">
        <is>
          <t>ÖSTHAMMAR</t>
        </is>
      </c>
      <c r="F538" t="inlineStr">
        <is>
          <t>Bergvik skog öst AB</t>
        </is>
      </c>
      <c r="G538" t="n">
        <v>19.4</v>
      </c>
      <c r="H538" t="n">
        <v>0</v>
      </c>
      <c r="I538" t="n">
        <v>0</v>
      </c>
      <c r="J538" t="n">
        <v>0</v>
      </c>
      <c r="K538" t="n">
        <v>0</v>
      </c>
      <c r="L538" t="n">
        <v>0</v>
      </c>
      <c r="M538" t="n">
        <v>0</v>
      </c>
      <c r="N538" t="n">
        <v>0</v>
      </c>
      <c r="O538" t="n">
        <v>0</v>
      </c>
      <c r="P538" t="n">
        <v>0</v>
      </c>
      <c r="Q538" t="n">
        <v>0</v>
      </c>
      <c r="R538" s="2" t="inlineStr"/>
    </row>
    <row r="539" ht="15" customHeight="1">
      <c r="A539" t="inlineStr">
        <is>
          <t>A 64774-2023</t>
        </is>
      </c>
      <c r="B539" s="1" t="n">
        <v>45282</v>
      </c>
      <c r="C539" s="1" t="n">
        <v>46188</v>
      </c>
      <c r="D539" t="inlineStr">
        <is>
          <t>UPPSALA LÄN</t>
        </is>
      </c>
      <c r="E539" t="inlineStr">
        <is>
          <t>ÖSTHAMMAR</t>
        </is>
      </c>
      <c r="F539" t="inlineStr">
        <is>
          <t>Övriga Aktiebolag</t>
        </is>
      </c>
      <c r="G539" t="n">
        <v>3.7</v>
      </c>
      <c r="H539" t="n">
        <v>0</v>
      </c>
      <c r="I539" t="n">
        <v>0</v>
      </c>
      <c r="J539" t="n">
        <v>0</v>
      </c>
      <c r="K539" t="n">
        <v>0</v>
      </c>
      <c r="L539" t="n">
        <v>0</v>
      </c>
      <c r="M539" t="n">
        <v>0</v>
      </c>
      <c r="N539" t="n">
        <v>0</v>
      </c>
      <c r="O539" t="n">
        <v>0</v>
      </c>
      <c r="P539" t="n">
        <v>0</v>
      </c>
      <c r="Q539" t="n">
        <v>0</v>
      </c>
      <c r="R539" s="2" t="inlineStr"/>
    </row>
    <row r="540" ht="15" customHeight="1">
      <c r="A540" t="inlineStr">
        <is>
          <t>A 27308-2023</t>
        </is>
      </c>
      <c r="B540" s="1" t="n">
        <v>45096.65381944444</v>
      </c>
      <c r="C540" s="1" t="n">
        <v>46188</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29873-2023</t>
        </is>
      </c>
      <c r="B541" s="1" t="n">
        <v>45107</v>
      </c>
      <c r="C541" s="1" t="n">
        <v>46188</v>
      </c>
      <c r="D541" t="inlineStr">
        <is>
          <t>UPPSALA LÄN</t>
        </is>
      </c>
      <c r="E541" t="inlineStr">
        <is>
          <t>ÖSTHAMMAR</t>
        </is>
      </c>
      <c r="F541" t="inlineStr">
        <is>
          <t>Naturvårdsverket</t>
        </is>
      </c>
      <c r="G541" t="n">
        <v>7.8</v>
      </c>
      <c r="H541" t="n">
        <v>0</v>
      </c>
      <c r="I541" t="n">
        <v>0</v>
      </c>
      <c r="J541" t="n">
        <v>0</v>
      </c>
      <c r="K541" t="n">
        <v>0</v>
      </c>
      <c r="L541" t="n">
        <v>0</v>
      </c>
      <c r="M541" t="n">
        <v>0</v>
      </c>
      <c r="N541" t="n">
        <v>0</v>
      </c>
      <c r="O541" t="n">
        <v>0</v>
      </c>
      <c r="P541" t="n">
        <v>0</v>
      </c>
      <c r="Q541" t="n">
        <v>0</v>
      </c>
      <c r="R541" s="2" t="inlineStr"/>
    </row>
    <row r="542" ht="15" customHeight="1">
      <c r="A542" t="inlineStr">
        <is>
          <t>A 61062-2023</t>
        </is>
      </c>
      <c r="B542" s="1" t="n">
        <v>45259</v>
      </c>
      <c r="C542" s="1" t="n">
        <v>46188</v>
      </c>
      <c r="D542" t="inlineStr">
        <is>
          <t>UPPSALA LÄN</t>
        </is>
      </c>
      <c r="E542" t="inlineStr">
        <is>
          <t>ÖSTHAMMAR</t>
        </is>
      </c>
      <c r="G542" t="n">
        <v>5.3</v>
      </c>
      <c r="H542" t="n">
        <v>0</v>
      </c>
      <c r="I542" t="n">
        <v>0</v>
      </c>
      <c r="J542" t="n">
        <v>0</v>
      </c>
      <c r="K542" t="n">
        <v>0</v>
      </c>
      <c r="L542" t="n">
        <v>0</v>
      </c>
      <c r="M542" t="n">
        <v>0</v>
      </c>
      <c r="N542" t="n">
        <v>0</v>
      </c>
      <c r="O542" t="n">
        <v>0</v>
      </c>
      <c r="P542" t="n">
        <v>0</v>
      </c>
      <c r="Q542" t="n">
        <v>0</v>
      </c>
      <c r="R542" s="2" t="inlineStr"/>
    </row>
    <row r="543" ht="15" customHeight="1">
      <c r="A543" t="inlineStr">
        <is>
          <t>A 55100-2024</t>
        </is>
      </c>
      <c r="B543" s="1" t="n">
        <v>45621.4405787037</v>
      </c>
      <c r="C543" s="1" t="n">
        <v>46188</v>
      </c>
      <c r="D543" t="inlineStr">
        <is>
          <t>UPPSALA LÄN</t>
        </is>
      </c>
      <c r="E543" t="inlineStr">
        <is>
          <t>ÖSTHAMMAR</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31669-2022</t>
        </is>
      </c>
      <c r="B544" s="1" t="n">
        <v>44775</v>
      </c>
      <c r="C544" s="1" t="n">
        <v>46188</v>
      </c>
      <c r="D544" t="inlineStr">
        <is>
          <t>UPPSALA LÄN</t>
        </is>
      </c>
      <c r="E544" t="inlineStr">
        <is>
          <t>ÖSTHAMMAR</t>
        </is>
      </c>
      <c r="G544" t="n">
        <v>6</v>
      </c>
      <c r="H544" t="n">
        <v>0</v>
      </c>
      <c r="I544" t="n">
        <v>0</v>
      </c>
      <c r="J544" t="n">
        <v>0</v>
      </c>
      <c r="K544" t="n">
        <v>0</v>
      </c>
      <c r="L544" t="n">
        <v>0</v>
      </c>
      <c r="M544" t="n">
        <v>0</v>
      </c>
      <c r="N544" t="n">
        <v>0</v>
      </c>
      <c r="O544" t="n">
        <v>0</v>
      </c>
      <c r="P544" t="n">
        <v>0</v>
      </c>
      <c r="Q544" t="n">
        <v>0</v>
      </c>
      <c r="R544" s="2" t="inlineStr"/>
    </row>
    <row r="545" ht="15" customHeight="1">
      <c r="A545" t="inlineStr">
        <is>
          <t>A 67151-2021</t>
        </is>
      </c>
      <c r="B545" s="1" t="n">
        <v>44523</v>
      </c>
      <c r="C545" s="1" t="n">
        <v>46188</v>
      </c>
      <c r="D545" t="inlineStr">
        <is>
          <t>UPPSALA LÄN</t>
        </is>
      </c>
      <c r="E545" t="inlineStr">
        <is>
          <t>ÖSTHAMMAR</t>
        </is>
      </c>
      <c r="G545" t="n">
        <v>2.4</v>
      </c>
      <c r="H545" t="n">
        <v>0</v>
      </c>
      <c r="I545" t="n">
        <v>0</v>
      </c>
      <c r="J545" t="n">
        <v>0</v>
      </c>
      <c r="K545" t="n">
        <v>0</v>
      </c>
      <c r="L545" t="n">
        <v>0</v>
      </c>
      <c r="M545" t="n">
        <v>0</v>
      </c>
      <c r="N545" t="n">
        <v>0</v>
      </c>
      <c r="O545" t="n">
        <v>0</v>
      </c>
      <c r="P545" t="n">
        <v>0</v>
      </c>
      <c r="Q545" t="n">
        <v>0</v>
      </c>
      <c r="R545" s="2" t="inlineStr"/>
    </row>
    <row r="546" ht="15" customHeight="1">
      <c r="A546" t="inlineStr">
        <is>
          <t>A 19258-2026</t>
        </is>
      </c>
      <c r="B546" s="1" t="n">
        <v>46132.70572916666</v>
      </c>
      <c r="C546" s="1" t="n">
        <v>46188</v>
      </c>
      <c r="D546" t="inlineStr">
        <is>
          <t>UPPSALA LÄN</t>
        </is>
      </c>
      <c r="E546" t="inlineStr">
        <is>
          <t>ÖSTHAMMAR</t>
        </is>
      </c>
      <c r="F546" t="inlineStr">
        <is>
          <t>Naturvårdsverket</t>
        </is>
      </c>
      <c r="G546" t="n">
        <v>18.6</v>
      </c>
      <c r="H546" t="n">
        <v>0</v>
      </c>
      <c r="I546" t="n">
        <v>0</v>
      </c>
      <c r="J546" t="n">
        <v>0</v>
      </c>
      <c r="K546" t="n">
        <v>0</v>
      </c>
      <c r="L546" t="n">
        <v>0</v>
      </c>
      <c r="M546" t="n">
        <v>0</v>
      </c>
      <c r="N546" t="n">
        <v>0</v>
      </c>
      <c r="O546" t="n">
        <v>0</v>
      </c>
      <c r="P546" t="n">
        <v>0</v>
      </c>
      <c r="Q546" t="n">
        <v>0</v>
      </c>
      <c r="R546" s="2" t="inlineStr"/>
    </row>
    <row r="547" ht="15" customHeight="1">
      <c r="A547" t="inlineStr">
        <is>
          <t>A 9542-2023</t>
        </is>
      </c>
      <c r="B547" s="1" t="n">
        <v>44981</v>
      </c>
      <c r="C547" s="1" t="n">
        <v>46188</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36343-2022</t>
        </is>
      </c>
      <c r="B548" s="1" t="n">
        <v>44803.78524305556</v>
      </c>
      <c r="C548" s="1" t="n">
        <v>46188</v>
      </c>
      <c r="D548" t="inlineStr">
        <is>
          <t>UPPSALA LÄN</t>
        </is>
      </c>
      <c r="E548" t="inlineStr">
        <is>
          <t>ÖSTHAMMAR</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16933-2022</t>
        </is>
      </c>
      <c r="B549" s="1" t="n">
        <v>44676</v>
      </c>
      <c r="C549" s="1" t="n">
        <v>46188</v>
      </c>
      <c r="D549" t="inlineStr">
        <is>
          <t>UPPSALA LÄN</t>
        </is>
      </c>
      <c r="E549" t="inlineStr">
        <is>
          <t>ÖSTHAMMAR</t>
        </is>
      </c>
      <c r="G549" t="n">
        <v>1.3</v>
      </c>
      <c r="H549" t="n">
        <v>0</v>
      </c>
      <c r="I549" t="n">
        <v>0</v>
      </c>
      <c r="J549" t="n">
        <v>0</v>
      </c>
      <c r="K549" t="n">
        <v>0</v>
      </c>
      <c r="L549" t="n">
        <v>0</v>
      </c>
      <c r="M549" t="n">
        <v>0</v>
      </c>
      <c r="N549" t="n">
        <v>0</v>
      </c>
      <c r="O549" t="n">
        <v>0</v>
      </c>
      <c r="P549" t="n">
        <v>0</v>
      </c>
      <c r="Q549" t="n">
        <v>0</v>
      </c>
      <c r="R549" s="2" t="inlineStr"/>
    </row>
    <row r="550" ht="15" customHeight="1">
      <c r="A550" t="inlineStr">
        <is>
          <t>A 19771-2026</t>
        </is>
      </c>
      <c r="B550" s="1" t="n">
        <v>46135.43405092593</v>
      </c>
      <c r="C550" s="1" t="n">
        <v>46188</v>
      </c>
      <c r="D550" t="inlineStr">
        <is>
          <t>UPPSALA LÄN</t>
        </is>
      </c>
      <c r="E550" t="inlineStr">
        <is>
          <t>ÖSTHAMMAR</t>
        </is>
      </c>
      <c r="G550" t="n">
        <v>1.6</v>
      </c>
      <c r="H550" t="n">
        <v>0</v>
      </c>
      <c r="I550" t="n">
        <v>0</v>
      </c>
      <c r="J550" t="n">
        <v>0</v>
      </c>
      <c r="K550" t="n">
        <v>0</v>
      </c>
      <c r="L550" t="n">
        <v>0</v>
      </c>
      <c r="M550" t="n">
        <v>0</v>
      </c>
      <c r="N550" t="n">
        <v>0</v>
      </c>
      <c r="O550" t="n">
        <v>0</v>
      </c>
      <c r="P550" t="n">
        <v>0</v>
      </c>
      <c r="Q550" t="n">
        <v>0</v>
      </c>
      <c r="R550" s="2" t="inlineStr"/>
    </row>
    <row r="551" ht="15" customHeight="1">
      <c r="A551" t="inlineStr">
        <is>
          <t>A 14269-2025</t>
        </is>
      </c>
      <c r="B551" s="1" t="n">
        <v>45740.64078703704</v>
      </c>
      <c r="C551" s="1" t="n">
        <v>46188</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5855-2022</t>
        </is>
      </c>
      <c r="B552" s="1" t="n">
        <v>44596.63290509259</v>
      </c>
      <c r="C552" s="1" t="n">
        <v>46188</v>
      </c>
      <c r="D552" t="inlineStr">
        <is>
          <t>UPPSALA LÄN</t>
        </is>
      </c>
      <c r="E552" t="inlineStr">
        <is>
          <t>ÖSTHAMMAR</t>
        </is>
      </c>
      <c r="G552" t="n">
        <v>0.9</v>
      </c>
      <c r="H552" t="n">
        <v>0</v>
      </c>
      <c r="I552" t="n">
        <v>0</v>
      </c>
      <c r="J552" t="n">
        <v>0</v>
      </c>
      <c r="K552" t="n">
        <v>0</v>
      </c>
      <c r="L552" t="n">
        <v>0</v>
      </c>
      <c r="M552" t="n">
        <v>0</v>
      </c>
      <c r="N552" t="n">
        <v>0</v>
      </c>
      <c r="O552" t="n">
        <v>0</v>
      </c>
      <c r="P552" t="n">
        <v>0</v>
      </c>
      <c r="Q552" t="n">
        <v>0</v>
      </c>
      <c r="R552" s="2" t="inlineStr"/>
    </row>
    <row r="553" ht="15" customHeight="1">
      <c r="A553" t="inlineStr">
        <is>
          <t>A 25398-2026</t>
        </is>
      </c>
      <c r="B553" s="1" t="n">
        <v>46176.73930555556</v>
      </c>
      <c r="C553" s="1" t="n">
        <v>46188</v>
      </c>
      <c r="D553" t="inlineStr">
        <is>
          <t>UPPSALA LÄN</t>
        </is>
      </c>
      <c r="E553" t="inlineStr">
        <is>
          <t>ÖSTHAMMAR</t>
        </is>
      </c>
      <c r="G553" t="n">
        <v>2.4</v>
      </c>
      <c r="H553" t="n">
        <v>0</v>
      </c>
      <c r="I553" t="n">
        <v>0</v>
      </c>
      <c r="J553" t="n">
        <v>0</v>
      </c>
      <c r="K553" t="n">
        <v>0</v>
      </c>
      <c r="L553" t="n">
        <v>0</v>
      </c>
      <c r="M553" t="n">
        <v>0</v>
      </c>
      <c r="N553" t="n">
        <v>0</v>
      </c>
      <c r="O553" t="n">
        <v>0</v>
      </c>
      <c r="P553" t="n">
        <v>0</v>
      </c>
      <c r="Q553" t="n">
        <v>0</v>
      </c>
      <c r="R553" s="2" t="inlineStr"/>
    </row>
    <row r="554" ht="15" customHeight="1">
      <c r="A554" t="inlineStr">
        <is>
          <t>A 25377-2026</t>
        </is>
      </c>
      <c r="B554" s="1" t="n">
        <v>46176.655625</v>
      </c>
      <c r="C554" s="1" t="n">
        <v>46188</v>
      </c>
      <c r="D554" t="inlineStr">
        <is>
          <t>UPPSALA LÄN</t>
        </is>
      </c>
      <c r="E554" t="inlineStr">
        <is>
          <t>ÖSTHAMMAR</t>
        </is>
      </c>
      <c r="G554" t="n">
        <v>14.3</v>
      </c>
      <c r="H554" t="n">
        <v>0</v>
      </c>
      <c r="I554" t="n">
        <v>0</v>
      </c>
      <c r="J554" t="n">
        <v>0</v>
      </c>
      <c r="K554" t="n">
        <v>0</v>
      </c>
      <c r="L554" t="n">
        <v>0</v>
      </c>
      <c r="M554" t="n">
        <v>0</v>
      </c>
      <c r="N554" t="n">
        <v>0</v>
      </c>
      <c r="O554" t="n">
        <v>0</v>
      </c>
      <c r="P554" t="n">
        <v>0</v>
      </c>
      <c r="Q554" t="n">
        <v>0</v>
      </c>
      <c r="R554" s="2" t="inlineStr"/>
    </row>
    <row r="555" ht="15" customHeight="1">
      <c r="A555" t="inlineStr">
        <is>
          <t>A 25394-2026</t>
        </is>
      </c>
      <c r="B555" s="1" t="n">
        <v>46176.73215277777</v>
      </c>
      <c r="C555" s="1" t="n">
        <v>46188</v>
      </c>
      <c r="D555" t="inlineStr">
        <is>
          <t>UPPSALA LÄN</t>
        </is>
      </c>
      <c r="E555" t="inlineStr">
        <is>
          <t>ÖSTHAMMAR</t>
        </is>
      </c>
      <c r="G555" t="n">
        <v>2</v>
      </c>
      <c r="H555" t="n">
        <v>0</v>
      </c>
      <c r="I555" t="n">
        <v>0</v>
      </c>
      <c r="J555" t="n">
        <v>0</v>
      </c>
      <c r="K555" t="n">
        <v>0</v>
      </c>
      <c r="L555" t="n">
        <v>0</v>
      </c>
      <c r="M555" t="n">
        <v>0</v>
      </c>
      <c r="N555" t="n">
        <v>0</v>
      </c>
      <c r="O555" t="n">
        <v>0</v>
      </c>
      <c r="P555" t="n">
        <v>0</v>
      </c>
      <c r="Q555" t="n">
        <v>0</v>
      </c>
      <c r="R555" s="2" t="inlineStr"/>
    </row>
    <row r="556" ht="15" customHeight="1">
      <c r="A556" t="inlineStr">
        <is>
          <t>A 25366-2026</t>
        </is>
      </c>
      <c r="B556" s="1" t="n">
        <v>46176.61556712963</v>
      </c>
      <c r="C556" s="1" t="n">
        <v>46188</v>
      </c>
      <c r="D556" t="inlineStr">
        <is>
          <t>UPPSALA LÄN</t>
        </is>
      </c>
      <c r="E556" t="inlineStr">
        <is>
          <t>ÖSTHAMMAR</t>
        </is>
      </c>
      <c r="G556" t="n">
        <v>2.6</v>
      </c>
      <c r="H556" t="n">
        <v>0</v>
      </c>
      <c r="I556" t="n">
        <v>0</v>
      </c>
      <c r="J556" t="n">
        <v>0</v>
      </c>
      <c r="K556" t="n">
        <v>0</v>
      </c>
      <c r="L556" t="n">
        <v>0</v>
      </c>
      <c r="M556" t="n">
        <v>0</v>
      </c>
      <c r="N556" t="n">
        <v>0</v>
      </c>
      <c r="O556" t="n">
        <v>0</v>
      </c>
      <c r="P556" t="n">
        <v>0</v>
      </c>
      <c r="Q556" t="n">
        <v>0</v>
      </c>
      <c r="R556" s="2" t="inlineStr"/>
    </row>
    <row r="557" ht="15" customHeight="1">
      <c r="A557" t="inlineStr">
        <is>
          <t>A 56759-2024</t>
        </is>
      </c>
      <c r="B557" s="1" t="n">
        <v>45628.39877314815</v>
      </c>
      <c r="C557" s="1" t="n">
        <v>46188</v>
      </c>
      <c r="D557" t="inlineStr">
        <is>
          <t>UPPSALA LÄN</t>
        </is>
      </c>
      <c r="E557" t="inlineStr">
        <is>
          <t>ÖSTHAMMAR</t>
        </is>
      </c>
      <c r="G557" t="n">
        <v>4.7</v>
      </c>
      <c r="H557" t="n">
        <v>0</v>
      </c>
      <c r="I557" t="n">
        <v>0</v>
      </c>
      <c r="J557" t="n">
        <v>0</v>
      </c>
      <c r="K557" t="n">
        <v>0</v>
      </c>
      <c r="L557" t="n">
        <v>0</v>
      </c>
      <c r="M557" t="n">
        <v>0</v>
      </c>
      <c r="N557" t="n">
        <v>0</v>
      </c>
      <c r="O557" t="n">
        <v>0</v>
      </c>
      <c r="P557" t="n">
        <v>0</v>
      </c>
      <c r="Q557" t="n">
        <v>0</v>
      </c>
      <c r="R557" s="2" t="inlineStr"/>
    </row>
    <row r="558" ht="15" customHeight="1">
      <c r="A558" t="inlineStr">
        <is>
          <t>A 25399-2026</t>
        </is>
      </c>
      <c r="B558" s="1" t="n">
        <v>46176.74466435185</v>
      </c>
      <c r="C558" s="1" t="n">
        <v>46188</v>
      </c>
      <c r="D558" t="inlineStr">
        <is>
          <t>UPPSALA LÄN</t>
        </is>
      </c>
      <c r="E558" t="inlineStr">
        <is>
          <t>ÖSTHAMMAR</t>
        </is>
      </c>
      <c r="G558" t="n">
        <v>5.6</v>
      </c>
      <c r="H558" t="n">
        <v>0</v>
      </c>
      <c r="I558" t="n">
        <v>0</v>
      </c>
      <c r="J558" t="n">
        <v>0</v>
      </c>
      <c r="K558" t="n">
        <v>0</v>
      </c>
      <c r="L558" t="n">
        <v>0</v>
      </c>
      <c r="M558" t="n">
        <v>0</v>
      </c>
      <c r="N558" t="n">
        <v>0</v>
      </c>
      <c r="O558" t="n">
        <v>0</v>
      </c>
      <c r="P558" t="n">
        <v>0</v>
      </c>
      <c r="Q558" t="n">
        <v>0</v>
      </c>
      <c r="R558" s="2" t="inlineStr"/>
    </row>
    <row r="559" ht="15" customHeight="1">
      <c r="A559" t="inlineStr">
        <is>
          <t>A 19631-2026</t>
        </is>
      </c>
      <c r="B559" s="1" t="n">
        <v>46134.55738425926</v>
      </c>
      <c r="C559" s="1" t="n">
        <v>46188</v>
      </c>
      <c r="D559" t="inlineStr">
        <is>
          <t>UPPSALA LÄN</t>
        </is>
      </c>
      <c r="E559" t="inlineStr">
        <is>
          <t>ÖSTHAMMAR</t>
        </is>
      </c>
      <c r="F559" t="inlineStr">
        <is>
          <t>Övriga Aktiebolag</t>
        </is>
      </c>
      <c r="G559" t="n">
        <v>4.2</v>
      </c>
      <c r="H559" t="n">
        <v>0</v>
      </c>
      <c r="I559" t="n">
        <v>0</v>
      </c>
      <c r="J559" t="n">
        <v>0</v>
      </c>
      <c r="K559" t="n">
        <v>0</v>
      </c>
      <c r="L559" t="n">
        <v>0</v>
      </c>
      <c r="M559" t="n">
        <v>0</v>
      </c>
      <c r="N559" t="n">
        <v>0</v>
      </c>
      <c r="O559" t="n">
        <v>0</v>
      </c>
      <c r="P559" t="n">
        <v>0</v>
      </c>
      <c r="Q559" t="n">
        <v>0</v>
      </c>
      <c r="R559" s="2" t="inlineStr"/>
    </row>
    <row r="560" ht="15" customHeight="1">
      <c r="A560" t="inlineStr">
        <is>
          <t>A 19485-2026</t>
        </is>
      </c>
      <c r="B560" s="1" t="n">
        <v>46134.29662037037</v>
      </c>
      <c r="C560" s="1" t="n">
        <v>46188</v>
      </c>
      <c r="D560" t="inlineStr">
        <is>
          <t>UPPSALA LÄN</t>
        </is>
      </c>
      <c r="E560" t="inlineStr">
        <is>
          <t>ÖSTHAMMAR</t>
        </is>
      </c>
      <c r="F560" t="inlineStr">
        <is>
          <t>Övriga Aktiebolag</t>
        </is>
      </c>
      <c r="G560" t="n">
        <v>12.1</v>
      </c>
      <c r="H560" t="n">
        <v>0</v>
      </c>
      <c r="I560" t="n">
        <v>0</v>
      </c>
      <c r="J560" t="n">
        <v>0</v>
      </c>
      <c r="K560" t="n">
        <v>0</v>
      </c>
      <c r="L560" t="n">
        <v>0</v>
      </c>
      <c r="M560" t="n">
        <v>0</v>
      </c>
      <c r="N560" t="n">
        <v>0</v>
      </c>
      <c r="O560" t="n">
        <v>0</v>
      </c>
      <c r="P560" t="n">
        <v>0</v>
      </c>
      <c r="Q560" t="n">
        <v>0</v>
      </c>
      <c r="R560" s="2" t="inlineStr"/>
    </row>
    <row r="561" ht="15" customHeight="1">
      <c r="A561" t="inlineStr">
        <is>
          <t>A 24493-2023</t>
        </is>
      </c>
      <c r="B561" s="1" t="n">
        <v>45082.62603009259</v>
      </c>
      <c r="C561" s="1" t="n">
        <v>46188</v>
      </c>
      <c r="D561" t="inlineStr">
        <is>
          <t>UPPSALA LÄN</t>
        </is>
      </c>
      <c r="E561" t="inlineStr">
        <is>
          <t>ÖSTHAMMAR</t>
        </is>
      </c>
      <c r="G561" t="n">
        <v>1.9</v>
      </c>
      <c r="H561" t="n">
        <v>0</v>
      </c>
      <c r="I561" t="n">
        <v>0</v>
      </c>
      <c r="J561" t="n">
        <v>0</v>
      </c>
      <c r="K561" t="n">
        <v>0</v>
      </c>
      <c r="L561" t="n">
        <v>0</v>
      </c>
      <c r="M561" t="n">
        <v>0</v>
      </c>
      <c r="N561" t="n">
        <v>0</v>
      </c>
      <c r="O561" t="n">
        <v>0</v>
      </c>
      <c r="P561" t="n">
        <v>0</v>
      </c>
      <c r="Q561" t="n">
        <v>0</v>
      </c>
      <c r="R561" s="2" t="inlineStr"/>
    </row>
    <row r="562" ht="15" customHeight="1">
      <c r="A562" t="inlineStr">
        <is>
          <t>A 25396-2026</t>
        </is>
      </c>
      <c r="B562" s="1" t="n">
        <v>46176.73696759259</v>
      </c>
      <c r="C562" s="1" t="n">
        <v>46188</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7560-2023</t>
        </is>
      </c>
      <c r="B563" s="1" t="n">
        <v>44972.34811342593</v>
      </c>
      <c r="C563" s="1" t="n">
        <v>46188</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25381-2026</t>
        </is>
      </c>
      <c r="B564" s="1" t="n">
        <v>46176.66626157407</v>
      </c>
      <c r="C564" s="1" t="n">
        <v>46188</v>
      </c>
      <c r="D564" t="inlineStr">
        <is>
          <t>UPPSALA LÄN</t>
        </is>
      </c>
      <c r="E564" t="inlineStr">
        <is>
          <t>ÖSTHAMMAR</t>
        </is>
      </c>
      <c r="G564" t="n">
        <v>2.2</v>
      </c>
      <c r="H564" t="n">
        <v>0</v>
      </c>
      <c r="I564" t="n">
        <v>0</v>
      </c>
      <c r="J564" t="n">
        <v>0</v>
      </c>
      <c r="K564" t="n">
        <v>0</v>
      </c>
      <c r="L564" t="n">
        <v>0</v>
      </c>
      <c r="M564" t="n">
        <v>0</v>
      </c>
      <c r="N564" t="n">
        <v>0</v>
      </c>
      <c r="O564" t="n">
        <v>0</v>
      </c>
      <c r="P564" t="n">
        <v>0</v>
      </c>
      <c r="Q564" t="n">
        <v>0</v>
      </c>
      <c r="R564" s="2" t="inlineStr"/>
    </row>
    <row r="565" ht="15" customHeight="1">
      <c r="A565" t="inlineStr">
        <is>
          <t>A 24174-2025</t>
        </is>
      </c>
      <c r="B565" s="1" t="n">
        <v>45796.69207175926</v>
      </c>
      <c r="C565" s="1" t="n">
        <v>46188</v>
      </c>
      <c r="D565" t="inlineStr">
        <is>
          <t>UPPSALA LÄN</t>
        </is>
      </c>
      <c r="E565" t="inlineStr">
        <is>
          <t>ÖSTHAMMAR</t>
        </is>
      </c>
      <c r="G565" t="n">
        <v>4.9</v>
      </c>
      <c r="H565" t="n">
        <v>0</v>
      </c>
      <c r="I565" t="n">
        <v>0</v>
      </c>
      <c r="J565" t="n">
        <v>0</v>
      </c>
      <c r="K565" t="n">
        <v>0</v>
      </c>
      <c r="L565" t="n">
        <v>0</v>
      </c>
      <c r="M565" t="n">
        <v>0</v>
      </c>
      <c r="N565" t="n">
        <v>0</v>
      </c>
      <c r="O565" t="n">
        <v>0</v>
      </c>
      <c r="P565" t="n">
        <v>0</v>
      </c>
      <c r="Q565" t="n">
        <v>0</v>
      </c>
      <c r="R565" s="2" t="inlineStr"/>
    </row>
    <row r="566" ht="15" customHeight="1">
      <c r="A566" t="inlineStr">
        <is>
          <t>A 19040-2023</t>
        </is>
      </c>
      <c r="B566" s="1" t="n">
        <v>45047</v>
      </c>
      <c r="C566" s="1" t="n">
        <v>46188</v>
      </c>
      <c r="D566" t="inlineStr">
        <is>
          <t>UPPSALA LÄN</t>
        </is>
      </c>
      <c r="E566" t="inlineStr">
        <is>
          <t>ÖSTHAMMAR</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4004-2023</t>
        </is>
      </c>
      <c r="B567" s="1" t="n">
        <v>44952</v>
      </c>
      <c r="C567" s="1" t="n">
        <v>46188</v>
      </c>
      <c r="D567" t="inlineStr">
        <is>
          <t>UPPSALA LÄN</t>
        </is>
      </c>
      <c r="E567" t="inlineStr">
        <is>
          <t>ÖSTHAMMAR</t>
        </is>
      </c>
      <c r="G567" t="n">
        <v>4.1</v>
      </c>
      <c r="H567" t="n">
        <v>0</v>
      </c>
      <c r="I567" t="n">
        <v>0</v>
      </c>
      <c r="J567" t="n">
        <v>0</v>
      </c>
      <c r="K567" t="n">
        <v>0</v>
      </c>
      <c r="L567" t="n">
        <v>0</v>
      </c>
      <c r="M567" t="n">
        <v>0</v>
      </c>
      <c r="N567" t="n">
        <v>0</v>
      </c>
      <c r="O567" t="n">
        <v>0</v>
      </c>
      <c r="P567" t="n">
        <v>0</v>
      </c>
      <c r="Q567" t="n">
        <v>0</v>
      </c>
      <c r="R567" s="2" t="inlineStr"/>
    </row>
    <row r="568" ht="15" customHeight="1">
      <c r="A568" t="inlineStr">
        <is>
          <t>A 28442-2025</t>
        </is>
      </c>
      <c r="B568" s="1" t="n">
        <v>45819</v>
      </c>
      <c r="C568" s="1" t="n">
        <v>46188</v>
      </c>
      <c r="D568" t="inlineStr">
        <is>
          <t>UPPSALA LÄN</t>
        </is>
      </c>
      <c r="E568" t="inlineStr">
        <is>
          <t>ÖSTHAMMAR</t>
        </is>
      </c>
      <c r="F568" t="inlineStr">
        <is>
          <t>Övriga Aktiebolag</t>
        </is>
      </c>
      <c r="G568" t="n">
        <v>1.8</v>
      </c>
      <c r="H568" t="n">
        <v>0</v>
      </c>
      <c r="I568" t="n">
        <v>0</v>
      </c>
      <c r="J568" t="n">
        <v>0</v>
      </c>
      <c r="K568" t="n">
        <v>0</v>
      </c>
      <c r="L568" t="n">
        <v>0</v>
      </c>
      <c r="M568" t="n">
        <v>0</v>
      </c>
      <c r="N568" t="n">
        <v>0</v>
      </c>
      <c r="O568" t="n">
        <v>0</v>
      </c>
      <c r="P568" t="n">
        <v>0</v>
      </c>
      <c r="Q568" t="n">
        <v>0</v>
      </c>
      <c r="R568" s="2" t="inlineStr"/>
    </row>
    <row r="569" ht="15" customHeight="1">
      <c r="A569" t="inlineStr">
        <is>
          <t>A 31549-2022</t>
        </is>
      </c>
      <c r="B569" s="1" t="n">
        <v>44775.400625</v>
      </c>
      <c r="C569" s="1" t="n">
        <v>46188</v>
      </c>
      <c r="D569" t="inlineStr">
        <is>
          <t>UPPSALA LÄN</t>
        </is>
      </c>
      <c r="E569" t="inlineStr">
        <is>
          <t>ÖSTHAMMAR</t>
        </is>
      </c>
      <c r="G569" t="n">
        <v>1.5</v>
      </c>
      <c r="H569" t="n">
        <v>0</v>
      </c>
      <c r="I569" t="n">
        <v>0</v>
      </c>
      <c r="J569" t="n">
        <v>0</v>
      </c>
      <c r="K569" t="n">
        <v>0</v>
      </c>
      <c r="L569" t="n">
        <v>0</v>
      </c>
      <c r="M569" t="n">
        <v>0</v>
      </c>
      <c r="N569" t="n">
        <v>0</v>
      </c>
      <c r="O569" t="n">
        <v>0</v>
      </c>
      <c r="P569" t="n">
        <v>0</v>
      </c>
      <c r="Q569" t="n">
        <v>0</v>
      </c>
      <c r="R569" s="2" t="inlineStr"/>
    </row>
    <row r="570" ht="15" customHeight="1">
      <c r="A570" t="inlineStr">
        <is>
          <t>A 26159-2026</t>
        </is>
      </c>
      <c r="B570" s="1" t="n">
        <v>46181.80207175926</v>
      </c>
      <c r="C570" s="1" t="n">
        <v>46188</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26160-2026</t>
        </is>
      </c>
      <c r="B571" s="1" t="n">
        <v>46181.80462962963</v>
      </c>
      <c r="C571" s="1" t="n">
        <v>46188</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21133-2025</t>
        </is>
      </c>
      <c r="B572" s="1" t="n">
        <v>45778.415625</v>
      </c>
      <c r="C572" s="1" t="n">
        <v>46188</v>
      </c>
      <c r="D572" t="inlineStr">
        <is>
          <t>UPPSALA LÄN</t>
        </is>
      </c>
      <c r="E572" t="inlineStr">
        <is>
          <t>ÖSTHAMMAR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31956-2025</t>
        </is>
      </c>
      <c r="B573" s="1" t="n">
        <v>45835.34184027778</v>
      </c>
      <c r="C573" s="1" t="n">
        <v>46188</v>
      </c>
      <c r="D573" t="inlineStr">
        <is>
          <t>UPPSALA LÄN</t>
        </is>
      </c>
      <c r="E573" t="inlineStr">
        <is>
          <t>ÖSTHAMMAR</t>
        </is>
      </c>
      <c r="F573" t="inlineStr">
        <is>
          <t>Övriga Aktiebolag</t>
        </is>
      </c>
      <c r="G573" t="n">
        <v>4.2</v>
      </c>
      <c r="H573" t="n">
        <v>0</v>
      </c>
      <c r="I573" t="n">
        <v>0</v>
      </c>
      <c r="J573" t="n">
        <v>0</v>
      </c>
      <c r="K573" t="n">
        <v>0</v>
      </c>
      <c r="L573" t="n">
        <v>0</v>
      </c>
      <c r="M573" t="n">
        <v>0</v>
      </c>
      <c r="N573" t="n">
        <v>0</v>
      </c>
      <c r="O573" t="n">
        <v>0</v>
      </c>
      <c r="P573" t="n">
        <v>0</v>
      </c>
      <c r="Q573" t="n">
        <v>0</v>
      </c>
      <c r="R573" s="2" t="inlineStr"/>
    </row>
    <row r="574" ht="15" customHeight="1">
      <c r="A574" t="inlineStr">
        <is>
          <t>A 27352-2025</t>
        </is>
      </c>
      <c r="B574" s="1" t="n">
        <v>45812.62694444445</v>
      </c>
      <c r="C574" s="1" t="n">
        <v>46188</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19901-2026</t>
        </is>
      </c>
      <c r="B575" s="1" t="n">
        <v>46136.29013888889</v>
      </c>
      <c r="C575" s="1" t="n">
        <v>46188</v>
      </c>
      <c r="D575" t="inlineStr">
        <is>
          <t>UPPSALA LÄN</t>
        </is>
      </c>
      <c r="E575" t="inlineStr">
        <is>
          <t>ÖSTHAMMAR</t>
        </is>
      </c>
      <c r="F575" t="inlineStr">
        <is>
          <t>Övriga Aktiebolag</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36857-2023</t>
        </is>
      </c>
      <c r="B576" s="1" t="n">
        <v>45154.55175925926</v>
      </c>
      <c r="C576" s="1" t="n">
        <v>46188</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1800-2023</t>
        </is>
      </c>
      <c r="B577" s="1" t="n">
        <v>44938</v>
      </c>
      <c r="C577" s="1" t="n">
        <v>46188</v>
      </c>
      <c r="D577" t="inlineStr">
        <is>
          <t>UPPSALA LÄN</t>
        </is>
      </c>
      <c r="E577" t="inlineStr">
        <is>
          <t>ÖSTHAMMAR</t>
        </is>
      </c>
      <c r="G577" t="n">
        <v>1.4</v>
      </c>
      <c r="H577" t="n">
        <v>0</v>
      </c>
      <c r="I577" t="n">
        <v>0</v>
      </c>
      <c r="J577" t="n">
        <v>0</v>
      </c>
      <c r="K577" t="n">
        <v>0</v>
      </c>
      <c r="L577" t="n">
        <v>0</v>
      </c>
      <c r="M577" t="n">
        <v>0</v>
      </c>
      <c r="N577" t="n">
        <v>0</v>
      </c>
      <c r="O577" t="n">
        <v>0</v>
      </c>
      <c r="P577" t="n">
        <v>0</v>
      </c>
      <c r="Q577" t="n">
        <v>0</v>
      </c>
      <c r="R577" s="2" t="inlineStr"/>
    </row>
    <row r="578" ht="15" customHeight="1">
      <c r="A578" t="inlineStr">
        <is>
          <t>A 31485-2023</t>
        </is>
      </c>
      <c r="B578" s="1" t="n">
        <v>45114</v>
      </c>
      <c r="C578" s="1" t="n">
        <v>46188</v>
      </c>
      <c r="D578" t="inlineStr">
        <is>
          <t>UPPSALA LÄN</t>
        </is>
      </c>
      <c r="E578" t="inlineStr">
        <is>
          <t>ÖSTHAMMAR</t>
        </is>
      </c>
      <c r="F578" t="inlineStr">
        <is>
          <t>Bergvik skog öst AB</t>
        </is>
      </c>
      <c r="G578" t="n">
        <v>1</v>
      </c>
      <c r="H578" t="n">
        <v>0</v>
      </c>
      <c r="I578" t="n">
        <v>0</v>
      </c>
      <c r="J578" t="n">
        <v>0</v>
      </c>
      <c r="K578" t="n">
        <v>0</v>
      </c>
      <c r="L578" t="n">
        <v>0</v>
      </c>
      <c r="M578" t="n">
        <v>0</v>
      </c>
      <c r="N578" t="n">
        <v>0</v>
      </c>
      <c r="O578" t="n">
        <v>0</v>
      </c>
      <c r="P578" t="n">
        <v>0</v>
      </c>
      <c r="Q578" t="n">
        <v>0</v>
      </c>
      <c r="R578" s="2" t="inlineStr"/>
    </row>
    <row r="579" ht="15" customHeight="1">
      <c r="A579" t="inlineStr">
        <is>
          <t>A 25897-2023</t>
        </is>
      </c>
      <c r="B579" s="1" t="n">
        <v>45090.63300925926</v>
      </c>
      <c r="C579" s="1" t="n">
        <v>46188</v>
      </c>
      <c r="D579" t="inlineStr">
        <is>
          <t>UPPSALA LÄN</t>
        </is>
      </c>
      <c r="E579" t="inlineStr">
        <is>
          <t>ÖSTHAMMAR</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20393-2026</t>
        </is>
      </c>
      <c r="B580" s="1" t="n">
        <v>46139.73195601852</v>
      </c>
      <c r="C580" s="1" t="n">
        <v>46188</v>
      </c>
      <c r="D580" t="inlineStr">
        <is>
          <t>UPPSALA LÄN</t>
        </is>
      </c>
      <c r="E580" t="inlineStr">
        <is>
          <t>ÖSTHAMMAR</t>
        </is>
      </c>
      <c r="G580" t="n">
        <v>4.5</v>
      </c>
      <c r="H580" t="n">
        <v>0</v>
      </c>
      <c r="I580" t="n">
        <v>0</v>
      </c>
      <c r="J580" t="n">
        <v>0</v>
      </c>
      <c r="K580" t="n">
        <v>0</v>
      </c>
      <c r="L580" t="n">
        <v>0</v>
      </c>
      <c r="M580" t="n">
        <v>0</v>
      </c>
      <c r="N580" t="n">
        <v>0</v>
      </c>
      <c r="O580" t="n">
        <v>0</v>
      </c>
      <c r="P580" t="n">
        <v>0</v>
      </c>
      <c r="Q580" t="n">
        <v>0</v>
      </c>
      <c r="R580" s="2" t="inlineStr"/>
    </row>
    <row r="581" ht="15" customHeight="1">
      <c r="A581" t="inlineStr">
        <is>
          <t>A 26162-2026</t>
        </is>
      </c>
      <c r="B581" s="1" t="n">
        <v>46181.8100462963</v>
      </c>
      <c r="C581" s="1" t="n">
        <v>46188</v>
      </c>
      <c r="D581" t="inlineStr">
        <is>
          <t>UPPSALA LÄN</t>
        </is>
      </c>
      <c r="E581" t="inlineStr">
        <is>
          <t>ÖSTHAMMAR</t>
        </is>
      </c>
      <c r="F581" t="inlineStr">
        <is>
          <t>Bergvik skog öst AB</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6120-2024</t>
        </is>
      </c>
      <c r="B582" s="1" t="n">
        <v>45337.41784722222</v>
      </c>
      <c r="C582" s="1" t="n">
        <v>46188</v>
      </c>
      <c r="D582" t="inlineStr">
        <is>
          <t>UPPSALA LÄN</t>
        </is>
      </c>
      <c r="E582" t="inlineStr">
        <is>
          <t>ÖSTHAMMAR</t>
        </is>
      </c>
      <c r="G582" t="n">
        <v>0.7</v>
      </c>
      <c r="H582" t="n">
        <v>0</v>
      </c>
      <c r="I582" t="n">
        <v>0</v>
      </c>
      <c r="J582" t="n">
        <v>0</v>
      </c>
      <c r="K582" t="n">
        <v>0</v>
      </c>
      <c r="L582" t="n">
        <v>0</v>
      </c>
      <c r="M582" t="n">
        <v>0</v>
      </c>
      <c r="N582" t="n">
        <v>0</v>
      </c>
      <c r="O582" t="n">
        <v>0</v>
      </c>
      <c r="P582" t="n">
        <v>0</v>
      </c>
      <c r="Q582" t="n">
        <v>0</v>
      </c>
      <c r="R582" s="2" t="inlineStr"/>
    </row>
    <row r="583" ht="15" customHeight="1">
      <c r="A583" t="inlineStr">
        <is>
          <t>A 20394-2026</t>
        </is>
      </c>
      <c r="B583" s="1" t="n">
        <v>46139.74666666667</v>
      </c>
      <c r="C583" s="1" t="n">
        <v>46188</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56658-2025</t>
        </is>
      </c>
      <c r="B584" s="1" t="n">
        <v>45975.65431712963</v>
      </c>
      <c r="C584" s="1" t="n">
        <v>46188</v>
      </c>
      <c r="D584" t="inlineStr">
        <is>
          <t>UPPSALA LÄN</t>
        </is>
      </c>
      <c r="E584" t="inlineStr">
        <is>
          <t>ÖSTHAMMAR</t>
        </is>
      </c>
      <c r="G584" t="n">
        <v>1.3</v>
      </c>
      <c r="H584" t="n">
        <v>0</v>
      </c>
      <c r="I584" t="n">
        <v>0</v>
      </c>
      <c r="J584" t="n">
        <v>0</v>
      </c>
      <c r="K584" t="n">
        <v>0</v>
      </c>
      <c r="L584" t="n">
        <v>0</v>
      </c>
      <c r="M584" t="n">
        <v>0</v>
      </c>
      <c r="N584" t="n">
        <v>0</v>
      </c>
      <c r="O584" t="n">
        <v>0</v>
      </c>
      <c r="P584" t="n">
        <v>0</v>
      </c>
      <c r="Q584" t="n">
        <v>0</v>
      </c>
      <c r="R584" s="2" t="inlineStr"/>
    </row>
    <row r="585" ht="15" customHeight="1">
      <c r="A585" t="inlineStr">
        <is>
          <t>A 67848-2021</t>
        </is>
      </c>
      <c r="B585" s="1" t="n">
        <v>44525</v>
      </c>
      <c r="C585" s="1" t="n">
        <v>46188</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38600-2023</t>
        </is>
      </c>
      <c r="B586" s="1" t="n">
        <v>45162</v>
      </c>
      <c r="C586" s="1" t="n">
        <v>46188</v>
      </c>
      <c r="D586" t="inlineStr">
        <is>
          <t>UPPSALA LÄN</t>
        </is>
      </c>
      <c r="E586" t="inlineStr">
        <is>
          <t>ÖSTHAMMAR</t>
        </is>
      </c>
      <c r="F586" t="inlineStr">
        <is>
          <t>Bergvik skog väst AB</t>
        </is>
      </c>
      <c r="G586" t="n">
        <v>0.1</v>
      </c>
      <c r="H586" t="n">
        <v>0</v>
      </c>
      <c r="I586" t="n">
        <v>0</v>
      </c>
      <c r="J586" t="n">
        <v>0</v>
      </c>
      <c r="K586" t="n">
        <v>0</v>
      </c>
      <c r="L586" t="n">
        <v>0</v>
      </c>
      <c r="M586" t="n">
        <v>0</v>
      </c>
      <c r="N586" t="n">
        <v>0</v>
      </c>
      <c r="O586" t="n">
        <v>0</v>
      </c>
      <c r="P586" t="n">
        <v>0</v>
      </c>
      <c r="Q586" t="n">
        <v>0</v>
      </c>
      <c r="R586" s="2" t="inlineStr"/>
    </row>
    <row r="587" ht="15" customHeight="1">
      <c r="A587" t="inlineStr">
        <is>
          <t>A 64811-2021</t>
        </is>
      </c>
      <c r="B587" s="1" t="n">
        <v>44512</v>
      </c>
      <c r="C587" s="1" t="n">
        <v>46188</v>
      </c>
      <c r="D587" t="inlineStr">
        <is>
          <t>UPPSALA LÄN</t>
        </is>
      </c>
      <c r="E587" t="inlineStr">
        <is>
          <t>ÖSTHAMMAR</t>
        </is>
      </c>
      <c r="G587" t="n">
        <v>4.2</v>
      </c>
      <c r="H587" t="n">
        <v>0</v>
      </c>
      <c r="I587" t="n">
        <v>0</v>
      </c>
      <c r="J587" t="n">
        <v>0</v>
      </c>
      <c r="K587" t="n">
        <v>0</v>
      </c>
      <c r="L587" t="n">
        <v>0</v>
      </c>
      <c r="M587" t="n">
        <v>0</v>
      </c>
      <c r="N587" t="n">
        <v>0</v>
      </c>
      <c r="O587" t="n">
        <v>0</v>
      </c>
      <c r="P587" t="n">
        <v>0</v>
      </c>
      <c r="Q587" t="n">
        <v>0</v>
      </c>
      <c r="R587" s="2" t="inlineStr"/>
    </row>
    <row r="588" ht="15" customHeight="1">
      <c r="A588" t="inlineStr">
        <is>
          <t>A 2352-2026</t>
        </is>
      </c>
      <c r="B588" s="1" t="n">
        <v>46034</v>
      </c>
      <c r="C588" s="1" t="n">
        <v>46188</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56382-2022</t>
        </is>
      </c>
      <c r="B589" s="1" t="n">
        <v>44890.75795138889</v>
      </c>
      <c r="C589" s="1" t="n">
        <v>46188</v>
      </c>
      <c r="D589" t="inlineStr">
        <is>
          <t>UPPSALA LÄN</t>
        </is>
      </c>
      <c r="E589" t="inlineStr">
        <is>
          <t>ÖSTHAMMAR</t>
        </is>
      </c>
      <c r="F589" t="inlineStr">
        <is>
          <t>Allmännings- och besparingsskogar</t>
        </is>
      </c>
      <c r="G589" t="n">
        <v>1.1</v>
      </c>
      <c r="H589" t="n">
        <v>0</v>
      </c>
      <c r="I589" t="n">
        <v>0</v>
      </c>
      <c r="J589" t="n">
        <v>0</v>
      </c>
      <c r="K589" t="n">
        <v>0</v>
      </c>
      <c r="L589" t="n">
        <v>0</v>
      </c>
      <c r="M589" t="n">
        <v>0</v>
      </c>
      <c r="N589" t="n">
        <v>0</v>
      </c>
      <c r="O589" t="n">
        <v>0</v>
      </c>
      <c r="P589" t="n">
        <v>0</v>
      </c>
      <c r="Q589" t="n">
        <v>0</v>
      </c>
      <c r="R589" s="2" t="inlineStr"/>
    </row>
    <row r="590" ht="15" customHeight="1">
      <c r="A590" t="inlineStr">
        <is>
          <t>A 57043-2022</t>
        </is>
      </c>
      <c r="B590" s="1" t="n">
        <v>44895.36748842592</v>
      </c>
      <c r="C590" s="1" t="n">
        <v>46188</v>
      </c>
      <c r="D590" t="inlineStr">
        <is>
          <t>UPPSALA LÄN</t>
        </is>
      </c>
      <c r="E590" t="inlineStr">
        <is>
          <t>ÖSTHAMMAR</t>
        </is>
      </c>
      <c r="F590" t="inlineStr">
        <is>
          <t>Bergvik skog öst AB</t>
        </is>
      </c>
      <c r="G590" t="n">
        <v>5.7</v>
      </c>
      <c r="H590" t="n">
        <v>0</v>
      </c>
      <c r="I590" t="n">
        <v>0</v>
      </c>
      <c r="J590" t="n">
        <v>0</v>
      </c>
      <c r="K590" t="n">
        <v>0</v>
      </c>
      <c r="L590" t="n">
        <v>0</v>
      </c>
      <c r="M590" t="n">
        <v>0</v>
      </c>
      <c r="N590" t="n">
        <v>0</v>
      </c>
      <c r="O590" t="n">
        <v>0</v>
      </c>
      <c r="P590" t="n">
        <v>0</v>
      </c>
      <c r="Q590" t="n">
        <v>0</v>
      </c>
      <c r="R590" s="2" t="inlineStr"/>
    </row>
    <row r="591" ht="15" customHeight="1">
      <c r="A591" t="inlineStr">
        <is>
          <t>A 59880-2022</t>
        </is>
      </c>
      <c r="B591" s="1" t="n">
        <v>44908.69575231482</v>
      </c>
      <c r="C591" s="1" t="n">
        <v>46188</v>
      </c>
      <c r="D591" t="inlineStr">
        <is>
          <t>UPPSALA LÄN</t>
        </is>
      </c>
      <c r="E591" t="inlineStr">
        <is>
          <t>ÖSTHAMMAR</t>
        </is>
      </c>
      <c r="G591" t="n">
        <v>1.4</v>
      </c>
      <c r="H591" t="n">
        <v>0</v>
      </c>
      <c r="I591" t="n">
        <v>0</v>
      </c>
      <c r="J591" t="n">
        <v>0</v>
      </c>
      <c r="K591" t="n">
        <v>0</v>
      </c>
      <c r="L591" t="n">
        <v>0</v>
      </c>
      <c r="M591" t="n">
        <v>0</v>
      </c>
      <c r="N591" t="n">
        <v>0</v>
      </c>
      <c r="O591" t="n">
        <v>0</v>
      </c>
      <c r="P591" t="n">
        <v>0</v>
      </c>
      <c r="Q591" t="n">
        <v>0</v>
      </c>
      <c r="R591" s="2" t="inlineStr"/>
    </row>
    <row r="592" ht="15" customHeight="1">
      <c r="A592" t="inlineStr">
        <is>
          <t>A 2358-2026</t>
        </is>
      </c>
      <c r="B592" s="1" t="n">
        <v>46034</v>
      </c>
      <c r="C592" s="1" t="n">
        <v>46188</v>
      </c>
      <c r="D592" t="inlineStr">
        <is>
          <t>UPPSALA LÄN</t>
        </is>
      </c>
      <c r="E592" t="inlineStr">
        <is>
          <t>ÖSTHAMMAR</t>
        </is>
      </c>
      <c r="G592" t="n">
        <v>3.6</v>
      </c>
      <c r="H592" t="n">
        <v>0</v>
      </c>
      <c r="I592" t="n">
        <v>0</v>
      </c>
      <c r="J592" t="n">
        <v>0</v>
      </c>
      <c r="K592" t="n">
        <v>0</v>
      </c>
      <c r="L592" t="n">
        <v>0</v>
      </c>
      <c r="M592" t="n">
        <v>0</v>
      </c>
      <c r="N592" t="n">
        <v>0</v>
      </c>
      <c r="O592" t="n">
        <v>0</v>
      </c>
      <c r="P592" t="n">
        <v>0</v>
      </c>
      <c r="Q592" t="n">
        <v>0</v>
      </c>
      <c r="R592" s="2" t="inlineStr"/>
    </row>
    <row r="593" ht="15" customHeight="1">
      <c r="A593" t="inlineStr">
        <is>
          <t>A 7944-2023</t>
        </is>
      </c>
      <c r="B593" s="1" t="n">
        <v>44973.66458333333</v>
      </c>
      <c r="C593" s="1" t="n">
        <v>46188</v>
      </c>
      <c r="D593" t="inlineStr">
        <is>
          <t>UPPSALA LÄN</t>
        </is>
      </c>
      <c r="E593" t="inlineStr">
        <is>
          <t>ÖSTHAMMAR</t>
        </is>
      </c>
      <c r="G593" t="n">
        <v>4.6</v>
      </c>
      <c r="H593" t="n">
        <v>0</v>
      </c>
      <c r="I593" t="n">
        <v>0</v>
      </c>
      <c r="J593" t="n">
        <v>0</v>
      </c>
      <c r="K593" t="n">
        <v>0</v>
      </c>
      <c r="L593" t="n">
        <v>0</v>
      </c>
      <c r="M593" t="n">
        <v>0</v>
      </c>
      <c r="N593" t="n">
        <v>0</v>
      </c>
      <c r="O593" t="n">
        <v>0</v>
      </c>
      <c r="P593" t="n">
        <v>0</v>
      </c>
      <c r="Q593" t="n">
        <v>0</v>
      </c>
      <c r="R593" s="2" t="inlineStr"/>
    </row>
    <row r="594" ht="15" customHeight="1">
      <c r="A594" t="inlineStr">
        <is>
          <t>A 52659-2021</t>
        </is>
      </c>
      <c r="B594" s="1" t="n">
        <v>44466</v>
      </c>
      <c r="C594" s="1" t="n">
        <v>46188</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7216-2025</t>
        </is>
      </c>
      <c r="B595" s="1" t="n">
        <v>45702.47630787037</v>
      </c>
      <c r="C595" s="1" t="n">
        <v>46188</v>
      </c>
      <c r="D595" t="inlineStr">
        <is>
          <t>UPPSALA LÄN</t>
        </is>
      </c>
      <c r="E595" t="inlineStr">
        <is>
          <t>ÖSTHAMMAR</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73965-2021</t>
        </is>
      </c>
      <c r="B596" s="1" t="n">
        <v>44553.80824074074</v>
      </c>
      <c r="C596" s="1" t="n">
        <v>46188</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3418-2025</t>
        </is>
      </c>
      <c r="B597" s="1" t="n">
        <v>45680</v>
      </c>
      <c r="C597" s="1" t="n">
        <v>46188</v>
      </c>
      <c r="D597" t="inlineStr">
        <is>
          <t>UPPSALA LÄN</t>
        </is>
      </c>
      <c r="E597" t="inlineStr">
        <is>
          <t>ÖSTHAMMAR</t>
        </is>
      </c>
      <c r="F597" t="inlineStr">
        <is>
          <t>Bergvik skog väst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26161-2026</t>
        </is>
      </c>
      <c r="B598" s="1" t="n">
        <v>46181.80699074074</v>
      </c>
      <c r="C598" s="1" t="n">
        <v>46188</v>
      </c>
      <c r="D598" t="inlineStr">
        <is>
          <t>UPPSALA LÄN</t>
        </is>
      </c>
      <c r="E598" t="inlineStr">
        <is>
          <t>ÖSTHAMMAR</t>
        </is>
      </c>
      <c r="F598" t="inlineStr">
        <is>
          <t>Bergvik skog öst AB</t>
        </is>
      </c>
      <c r="G598" t="n">
        <v>9.1</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46188</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25843-2026</t>
        </is>
      </c>
      <c r="B600" s="1" t="n">
        <v>46178.54675925926</v>
      </c>
      <c r="C600" s="1" t="n">
        <v>46188</v>
      </c>
      <c r="D600" t="inlineStr">
        <is>
          <t>UPPSALA LÄN</t>
        </is>
      </c>
      <c r="E600" t="inlineStr">
        <is>
          <t>ÖSTHAMMAR</t>
        </is>
      </c>
      <c r="F600" t="inlineStr">
        <is>
          <t>Bergvik skog öst AB</t>
        </is>
      </c>
      <c r="G600" t="n">
        <v>2.3</v>
      </c>
      <c r="H600" t="n">
        <v>0</v>
      </c>
      <c r="I600" t="n">
        <v>0</v>
      </c>
      <c r="J600" t="n">
        <v>0</v>
      </c>
      <c r="K600" t="n">
        <v>0</v>
      </c>
      <c r="L600" t="n">
        <v>0</v>
      </c>
      <c r="M600" t="n">
        <v>0</v>
      </c>
      <c r="N600" t="n">
        <v>0</v>
      </c>
      <c r="O600" t="n">
        <v>0</v>
      </c>
      <c r="P600" t="n">
        <v>0</v>
      </c>
      <c r="Q600" t="n">
        <v>0</v>
      </c>
      <c r="R600" s="2" t="inlineStr"/>
    </row>
    <row r="601" ht="15" customHeight="1">
      <c r="A601" t="inlineStr">
        <is>
          <t>A 20058-2026</t>
        </is>
      </c>
      <c r="B601" s="1" t="n">
        <v>46136.5830787037</v>
      </c>
      <c r="C601" s="1" t="n">
        <v>46188</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26319-2025</t>
        </is>
      </c>
      <c r="B602" s="1" t="n">
        <v>45805.65960648148</v>
      </c>
      <c r="C602" s="1" t="n">
        <v>46188</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65028-2021</t>
        </is>
      </c>
      <c r="B603" s="1" t="n">
        <v>44515</v>
      </c>
      <c r="C603" s="1" t="n">
        <v>46188</v>
      </c>
      <c r="D603" t="inlineStr">
        <is>
          <t>UPPSALA LÄN</t>
        </is>
      </c>
      <c r="E603" t="inlineStr">
        <is>
          <t>ÖSTHAMMAR</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40547-2023</t>
        </is>
      </c>
      <c r="B604" s="1" t="n">
        <v>45170.45050925926</v>
      </c>
      <c r="C604" s="1" t="n">
        <v>46188</v>
      </c>
      <c r="D604" t="inlineStr">
        <is>
          <t>UPPSALA LÄN</t>
        </is>
      </c>
      <c r="E604" t="inlineStr">
        <is>
          <t>ÖSTHAMMAR</t>
        </is>
      </c>
      <c r="G604" t="n">
        <v>2.1</v>
      </c>
      <c r="H604" t="n">
        <v>0</v>
      </c>
      <c r="I604" t="n">
        <v>0</v>
      </c>
      <c r="J604" t="n">
        <v>0</v>
      </c>
      <c r="K604" t="n">
        <v>0</v>
      </c>
      <c r="L604" t="n">
        <v>0</v>
      </c>
      <c r="M604" t="n">
        <v>0</v>
      </c>
      <c r="N604" t="n">
        <v>0</v>
      </c>
      <c r="O604" t="n">
        <v>0</v>
      </c>
      <c r="P604" t="n">
        <v>0</v>
      </c>
      <c r="Q604" t="n">
        <v>0</v>
      </c>
      <c r="R604" s="2" t="inlineStr"/>
    </row>
    <row r="605" ht="15" customHeight="1">
      <c r="A605" t="inlineStr">
        <is>
          <t>A 17938-2025</t>
        </is>
      </c>
      <c r="B605" s="1" t="n">
        <v>45760.55626157407</v>
      </c>
      <c r="C605" s="1" t="n">
        <v>46188</v>
      </c>
      <c r="D605" t="inlineStr">
        <is>
          <t>UPPSALA LÄN</t>
        </is>
      </c>
      <c r="E605" t="inlineStr">
        <is>
          <t>ÖSTHAMMAR</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14505-2023</t>
        </is>
      </c>
      <c r="B606" s="1" t="n">
        <v>45012.7975</v>
      </c>
      <c r="C606" s="1" t="n">
        <v>46188</v>
      </c>
      <c r="D606" t="inlineStr">
        <is>
          <t>UPPSALA LÄN</t>
        </is>
      </c>
      <c r="E606" t="inlineStr">
        <is>
          <t>ÖSTHAMMAR</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64885-2021</t>
        </is>
      </c>
      <c r="B607" s="1" t="n">
        <v>44512</v>
      </c>
      <c r="C607" s="1" t="n">
        <v>46188</v>
      </c>
      <c r="D607" t="inlineStr">
        <is>
          <t>UPPSALA LÄN</t>
        </is>
      </c>
      <c r="E607" t="inlineStr">
        <is>
          <t>ÖSTHAMMAR</t>
        </is>
      </c>
      <c r="G607" t="n">
        <v>2.1</v>
      </c>
      <c r="H607" t="n">
        <v>0</v>
      </c>
      <c r="I607" t="n">
        <v>0</v>
      </c>
      <c r="J607" t="n">
        <v>0</v>
      </c>
      <c r="K607" t="n">
        <v>0</v>
      </c>
      <c r="L607" t="n">
        <v>0</v>
      </c>
      <c r="M607" t="n">
        <v>0</v>
      </c>
      <c r="N607" t="n">
        <v>0</v>
      </c>
      <c r="O607" t="n">
        <v>0</v>
      </c>
      <c r="P607" t="n">
        <v>0</v>
      </c>
      <c r="Q607" t="n">
        <v>0</v>
      </c>
      <c r="R607" s="2" t="inlineStr"/>
    </row>
    <row r="608" ht="15" customHeight="1">
      <c r="A608" t="inlineStr">
        <is>
          <t>A 47341-2023</t>
        </is>
      </c>
      <c r="B608" s="1" t="n">
        <v>45202.55721064815</v>
      </c>
      <c r="C608" s="1" t="n">
        <v>46188</v>
      </c>
      <c r="D608" t="inlineStr">
        <is>
          <t>UPPSALA LÄN</t>
        </is>
      </c>
      <c r="E608" t="inlineStr">
        <is>
          <t>ÖSTHAMMAR</t>
        </is>
      </c>
      <c r="G608" t="n">
        <v>4.9</v>
      </c>
      <c r="H608" t="n">
        <v>0</v>
      </c>
      <c r="I608" t="n">
        <v>0</v>
      </c>
      <c r="J608" t="n">
        <v>0</v>
      </c>
      <c r="K608" t="n">
        <v>0</v>
      </c>
      <c r="L608" t="n">
        <v>0</v>
      </c>
      <c r="M608" t="n">
        <v>0</v>
      </c>
      <c r="N608" t="n">
        <v>0</v>
      </c>
      <c r="O608" t="n">
        <v>0</v>
      </c>
      <c r="P608" t="n">
        <v>0</v>
      </c>
      <c r="Q608" t="n">
        <v>0</v>
      </c>
      <c r="R608" s="2" t="inlineStr"/>
    </row>
    <row r="609" ht="15" customHeight="1">
      <c r="A609" t="inlineStr">
        <is>
          <t>A 12654-2025</t>
        </is>
      </c>
      <c r="B609" s="1" t="n">
        <v>45733.41601851852</v>
      </c>
      <c r="C609" s="1" t="n">
        <v>46188</v>
      </c>
      <c r="D609" t="inlineStr">
        <is>
          <t>UPPSALA LÄN</t>
        </is>
      </c>
      <c r="E609" t="inlineStr">
        <is>
          <t>ÖSTHAMMAR</t>
        </is>
      </c>
      <c r="G609" t="n">
        <v>9.9</v>
      </c>
      <c r="H609" t="n">
        <v>0</v>
      </c>
      <c r="I609" t="n">
        <v>0</v>
      </c>
      <c r="J609" t="n">
        <v>0</v>
      </c>
      <c r="K609" t="n">
        <v>0</v>
      </c>
      <c r="L609" t="n">
        <v>0</v>
      </c>
      <c r="M609" t="n">
        <v>0</v>
      </c>
      <c r="N609" t="n">
        <v>0</v>
      </c>
      <c r="O609" t="n">
        <v>0</v>
      </c>
      <c r="P609" t="n">
        <v>0</v>
      </c>
      <c r="Q609" t="n">
        <v>0</v>
      </c>
      <c r="R609" s="2" t="inlineStr"/>
    </row>
    <row r="610" ht="15" customHeight="1">
      <c r="A610" t="inlineStr">
        <is>
          <t>A 33271-2025</t>
        </is>
      </c>
      <c r="B610" s="1" t="n">
        <v>45840.68381944444</v>
      </c>
      <c r="C610" s="1" t="n">
        <v>46188</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3732-2022</t>
        </is>
      </c>
      <c r="B611" s="1" t="n">
        <v>44586.64851851852</v>
      </c>
      <c r="C611" s="1" t="n">
        <v>46188</v>
      </c>
      <c r="D611" t="inlineStr">
        <is>
          <t>UPPSALA LÄN</t>
        </is>
      </c>
      <c r="E611" t="inlineStr">
        <is>
          <t>ÖSTHAMMAR</t>
        </is>
      </c>
      <c r="F611" t="inlineStr">
        <is>
          <t>Bergvik skog öst AB</t>
        </is>
      </c>
      <c r="G611" t="n">
        <v>3.6</v>
      </c>
      <c r="H611" t="n">
        <v>0</v>
      </c>
      <c r="I611" t="n">
        <v>0</v>
      </c>
      <c r="J611" t="n">
        <v>0</v>
      </c>
      <c r="K611" t="n">
        <v>0</v>
      </c>
      <c r="L611" t="n">
        <v>0</v>
      </c>
      <c r="M611" t="n">
        <v>0</v>
      </c>
      <c r="N611" t="n">
        <v>0</v>
      </c>
      <c r="O611" t="n">
        <v>0</v>
      </c>
      <c r="P611" t="n">
        <v>0</v>
      </c>
      <c r="Q611" t="n">
        <v>0</v>
      </c>
      <c r="R611" s="2" t="inlineStr"/>
    </row>
    <row r="612" ht="15" customHeight="1">
      <c r="A612" t="inlineStr">
        <is>
          <t>A 33056-2021</t>
        </is>
      </c>
      <c r="B612" s="1" t="n">
        <v>44376.52438657408</v>
      </c>
      <c r="C612" s="1" t="n">
        <v>46188</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25269-2024</t>
        </is>
      </c>
      <c r="B613" s="1" t="n">
        <v>45462</v>
      </c>
      <c r="C613" s="1" t="n">
        <v>46188</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13352-2023</t>
        </is>
      </c>
      <c r="B614" s="1" t="n">
        <v>45005</v>
      </c>
      <c r="C614" s="1" t="n">
        <v>46188</v>
      </c>
      <c r="D614" t="inlineStr">
        <is>
          <t>UPPSALA LÄN</t>
        </is>
      </c>
      <c r="E614" t="inlineStr">
        <is>
          <t>ÖSTHAMMAR</t>
        </is>
      </c>
      <c r="G614" t="n">
        <v>1.8</v>
      </c>
      <c r="H614" t="n">
        <v>0</v>
      </c>
      <c r="I614" t="n">
        <v>0</v>
      </c>
      <c r="J614" t="n">
        <v>0</v>
      </c>
      <c r="K614" t="n">
        <v>0</v>
      </c>
      <c r="L614" t="n">
        <v>0</v>
      </c>
      <c r="M614" t="n">
        <v>0</v>
      </c>
      <c r="N614" t="n">
        <v>0</v>
      </c>
      <c r="O614" t="n">
        <v>0</v>
      </c>
      <c r="P614" t="n">
        <v>0</v>
      </c>
      <c r="Q614" t="n">
        <v>0</v>
      </c>
      <c r="R614" s="2" t="inlineStr"/>
    </row>
    <row r="615" ht="15" customHeight="1">
      <c r="A615" t="inlineStr">
        <is>
          <t>A 22804-2022</t>
        </is>
      </c>
      <c r="B615" s="1" t="n">
        <v>44715</v>
      </c>
      <c r="C615" s="1" t="n">
        <v>46188</v>
      </c>
      <c r="D615" t="inlineStr">
        <is>
          <t>UPPSALA LÄN</t>
        </is>
      </c>
      <c r="E615" t="inlineStr">
        <is>
          <t>ÖSTHAMMAR</t>
        </is>
      </c>
      <c r="G615" t="n">
        <v>2.7</v>
      </c>
      <c r="H615" t="n">
        <v>0</v>
      </c>
      <c r="I615" t="n">
        <v>0</v>
      </c>
      <c r="J615" t="n">
        <v>0</v>
      </c>
      <c r="K615" t="n">
        <v>0</v>
      </c>
      <c r="L615" t="n">
        <v>0</v>
      </c>
      <c r="M615" t="n">
        <v>0</v>
      </c>
      <c r="N615" t="n">
        <v>0</v>
      </c>
      <c r="O615" t="n">
        <v>0</v>
      </c>
      <c r="P615" t="n">
        <v>0</v>
      </c>
      <c r="Q615" t="n">
        <v>0</v>
      </c>
      <c r="R615" s="2" t="inlineStr"/>
    </row>
    <row r="616" ht="15" customHeight="1">
      <c r="A616" t="inlineStr">
        <is>
          <t>A 45795-2023</t>
        </is>
      </c>
      <c r="B616" s="1" t="n">
        <v>45195</v>
      </c>
      <c r="C616" s="1" t="n">
        <v>46188</v>
      </c>
      <c r="D616" t="inlineStr">
        <is>
          <t>UPPSALA LÄN</t>
        </is>
      </c>
      <c r="E616" t="inlineStr">
        <is>
          <t>ÖSTHAMMAR</t>
        </is>
      </c>
      <c r="G616" t="n">
        <v>4</v>
      </c>
      <c r="H616" t="n">
        <v>0</v>
      </c>
      <c r="I616" t="n">
        <v>0</v>
      </c>
      <c r="J616" t="n">
        <v>0</v>
      </c>
      <c r="K616" t="n">
        <v>0</v>
      </c>
      <c r="L616" t="n">
        <v>0</v>
      </c>
      <c r="M616" t="n">
        <v>0</v>
      </c>
      <c r="N616" t="n">
        <v>0</v>
      </c>
      <c r="O616" t="n">
        <v>0</v>
      </c>
      <c r="P616" t="n">
        <v>0</v>
      </c>
      <c r="Q616" t="n">
        <v>0</v>
      </c>
      <c r="R616" s="2" t="inlineStr"/>
    </row>
    <row r="617" ht="15" customHeight="1">
      <c r="A617" t="inlineStr">
        <is>
          <t>A 7997-2022</t>
        </is>
      </c>
      <c r="B617" s="1" t="n">
        <v>44609</v>
      </c>
      <c r="C617" s="1" t="n">
        <v>46188</v>
      </c>
      <c r="D617" t="inlineStr">
        <is>
          <t>UPPSALA LÄN</t>
        </is>
      </c>
      <c r="E617" t="inlineStr">
        <is>
          <t>ÖSTHAMMAR</t>
        </is>
      </c>
      <c r="G617" t="n">
        <v>1.8</v>
      </c>
      <c r="H617" t="n">
        <v>0</v>
      </c>
      <c r="I617" t="n">
        <v>0</v>
      </c>
      <c r="J617" t="n">
        <v>0</v>
      </c>
      <c r="K617" t="n">
        <v>0</v>
      </c>
      <c r="L617" t="n">
        <v>0</v>
      </c>
      <c r="M617" t="n">
        <v>0</v>
      </c>
      <c r="N617" t="n">
        <v>0</v>
      </c>
      <c r="O617" t="n">
        <v>0</v>
      </c>
      <c r="P617" t="n">
        <v>0</v>
      </c>
      <c r="Q617" t="n">
        <v>0</v>
      </c>
      <c r="R617" s="2" t="inlineStr"/>
    </row>
    <row r="618" ht="15" customHeight="1">
      <c r="A618" t="inlineStr">
        <is>
          <t>A 20796-2026</t>
        </is>
      </c>
      <c r="B618" s="1" t="n">
        <v>46141.65921296296</v>
      </c>
      <c r="C618" s="1" t="n">
        <v>46188</v>
      </c>
      <c r="D618" t="inlineStr">
        <is>
          <t>UPPSALA LÄN</t>
        </is>
      </c>
      <c r="E618" t="inlineStr">
        <is>
          <t>ÖSTHAMMAR</t>
        </is>
      </c>
      <c r="F618" t="inlineStr">
        <is>
          <t>Bergvik skog öst AB</t>
        </is>
      </c>
      <c r="G618" t="n">
        <v>2.4</v>
      </c>
      <c r="H618" t="n">
        <v>0</v>
      </c>
      <c r="I618" t="n">
        <v>0</v>
      </c>
      <c r="J618" t="n">
        <v>0</v>
      </c>
      <c r="K618" t="n">
        <v>0</v>
      </c>
      <c r="L618" t="n">
        <v>0</v>
      </c>
      <c r="M618" t="n">
        <v>0</v>
      </c>
      <c r="N618" t="n">
        <v>0</v>
      </c>
      <c r="O618" t="n">
        <v>0</v>
      </c>
      <c r="P618" t="n">
        <v>0</v>
      </c>
      <c r="Q618" t="n">
        <v>0</v>
      </c>
      <c r="R618" s="2" t="inlineStr"/>
    </row>
    <row r="619" ht="15" customHeight="1">
      <c r="A619" t="inlineStr">
        <is>
          <t>A 67199-2021</t>
        </is>
      </c>
      <c r="B619" s="1" t="n">
        <v>44523.46197916667</v>
      </c>
      <c r="C619" s="1" t="n">
        <v>46188</v>
      </c>
      <c r="D619" t="inlineStr">
        <is>
          <t>UPPSALA LÄN</t>
        </is>
      </c>
      <c r="E619" t="inlineStr">
        <is>
          <t>ÖSTHAMMAR</t>
        </is>
      </c>
      <c r="G619" t="n">
        <v>2.3</v>
      </c>
      <c r="H619" t="n">
        <v>0</v>
      </c>
      <c r="I619" t="n">
        <v>0</v>
      </c>
      <c r="J619" t="n">
        <v>0</v>
      </c>
      <c r="K619" t="n">
        <v>0</v>
      </c>
      <c r="L619" t="n">
        <v>0</v>
      </c>
      <c r="M619" t="n">
        <v>0</v>
      </c>
      <c r="N619" t="n">
        <v>0</v>
      </c>
      <c r="O619" t="n">
        <v>0</v>
      </c>
      <c r="P619" t="n">
        <v>0</v>
      </c>
      <c r="Q619" t="n">
        <v>0</v>
      </c>
      <c r="R619" s="2" t="inlineStr"/>
    </row>
    <row r="620" ht="15" customHeight="1">
      <c r="A620" t="inlineStr">
        <is>
          <t>A 15449-2022</t>
        </is>
      </c>
      <c r="B620" s="1" t="n">
        <v>44660.91659722223</v>
      </c>
      <c r="C620" s="1" t="n">
        <v>46188</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26305-2026</t>
        </is>
      </c>
      <c r="B621" s="1" t="n">
        <v>46182.57784722222</v>
      </c>
      <c r="C621" s="1" t="n">
        <v>46188</v>
      </c>
      <c r="D621" t="inlineStr">
        <is>
          <t>UPPSALA LÄN</t>
        </is>
      </c>
      <c r="E621" t="inlineStr">
        <is>
          <t>ÖSTHAMMAR</t>
        </is>
      </c>
      <c r="G621" t="n">
        <v>6.4</v>
      </c>
      <c r="H621" t="n">
        <v>0</v>
      </c>
      <c r="I621" t="n">
        <v>0</v>
      </c>
      <c r="J621" t="n">
        <v>0</v>
      </c>
      <c r="K621" t="n">
        <v>0</v>
      </c>
      <c r="L621" t="n">
        <v>0</v>
      </c>
      <c r="M621" t="n">
        <v>0</v>
      </c>
      <c r="N621" t="n">
        <v>0</v>
      </c>
      <c r="O621" t="n">
        <v>0</v>
      </c>
      <c r="P621" t="n">
        <v>0</v>
      </c>
      <c r="Q621" t="n">
        <v>0</v>
      </c>
      <c r="R621" s="2" t="inlineStr"/>
    </row>
    <row r="622" ht="15" customHeight="1">
      <c r="A622" t="inlineStr">
        <is>
          <t>A 14989-2026</t>
        </is>
      </c>
      <c r="B622" s="1" t="n">
        <v>46104.58371527777</v>
      </c>
      <c r="C622" s="1" t="n">
        <v>46188</v>
      </c>
      <c r="D622" t="inlineStr">
        <is>
          <t>UPPSALA LÄN</t>
        </is>
      </c>
      <c r="E622" t="inlineStr">
        <is>
          <t>ÖSTHAMMAR</t>
        </is>
      </c>
      <c r="F622" t="inlineStr">
        <is>
          <t>Övriga Aktiebolag</t>
        </is>
      </c>
      <c r="G622" t="n">
        <v>1.6</v>
      </c>
      <c r="H622" t="n">
        <v>0</v>
      </c>
      <c r="I622" t="n">
        <v>0</v>
      </c>
      <c r="J622" t="n">
        <v>0</v>
      </c>
      <c r="K622" t="n">
        <v>0</v>
      </c>
      <c r="L622" t="n">
        <v>0</v>
      </c>
      <c r="M622" t="n">
        <v>0</v>
      </c>
      <c r="N622" t="n">
        <v>0</v>
      </c>
      <c r="O622" t="n">
        <v>0</v>
      </c>
      <c r="P622" t="n">
        <v>0</v>
      </c>
      <c r="Q622" t="n">
        <v>0</v>
      </c>
      <c r="R622" s="2" t="inlineStr"/>
    </row>
    <row r="623" ht="15" customHeight="1">
      <c r="A623" t="inlineStr">
        <is>
          <t>A 26581-2026</t>
        </is>
      </c>
      <c r="B623" s="1" t="n">
        <v>46183.68798611111</v>
      </c>
      <c r="C623" s="1" t="n">
        <v>46188</v>
      </c>
      <c r="D623" t="inlineStr">
        <is>
          <t>UPPSALA LÄN</t>
        </is>
      </c>
      <c r="E623" t="inlineStr">
        <is>
          <t>ÖSTHAMMAR</t>
        </is>
      </c>
      <c r="G623" t="n">
        <v>2.6</v>
      </c>
      <c r="H623" t="n">
        <v>0</v>
      </c>
      <c r="I623" t="n">
        <v>0</v>
      </c>
      <c r="J623" t="n">
        <v>0</v>
      </c>
      <c r="K623" t="n">
        <v>0</v>
      </c>
      <c r="L623" t="n">
        <v>0</v>
      </c>
      <c r="M623" t="n">
        <v>0</v>
      </c>
      <c r="N623" t="n">
        <v>0</v>
      </c>
      <c r="O623" t="n">
        <v>0</v>
      </c>
      <c r="P623" t="n">
        <v>0</v>
      </c>
      <c r="Q623" t="n">
        <v>0</v>
      </c>
      <c r="R623" s="2" t="inlineStr"/>
    </row>
    <row r="624" ht="15" customHeight="1">
      <c r="A624" t="inlineStr">
        <is>
          <t>A 18183-2022</t>
        </is>
      </c>
      <c r="B624" s="1" t="n">
        <v>44684</v>
      </c>
      <c r="C624" s="1" t="n">
        <v>46188</v>
      </c>
      <c r="D624" t="inlineStr">
        <is>
          <t>UPPSALA LÄN</t>
        </is>
      </c>
      <c r="E624" t="inlineStr">
        <is>
          <t>ÖSTHAMMAR</t>
        </is>
      </c>
      <c r="G624" t="n">
        <v>0.2</v>
      </c>
      <c r="H624" t="n">
        <v>0</v>
      </c>
      <c r="I624" t="n">
        <v>0</v>
      </c>
      <c r="J624" t="n">
        <v>0</v>
      </c>
      <c r="K624" t="n">
        <v>0</v>
      </c>
      <c r="L624" t="n">
        <v>0</v>
      </c>
      <c r="M624" t="n">
        <v>0</v>
      </c>
      <c r="N624" t="n">
        <v>0</v>
      </c>
      <c r="O624" t="n">
        <v>0</v>
      </c>
      <c r="P624" t="n">
        <v>0</v>
      </c>
      <c r="Q624" t="n">
        <v>0</v>
      </c>
      <c r="R624" s="2" t="inlineStr"/>
    </row>
    <row r="625" ht="15" customHeight="1">
      <c r="A625" t="inlineStr">
        <is>
          <t>A 25983-2026</t>
        </is>
      </c>
      <c r="B625" s="1" t="n">
        <v>46181</v>
      </c>
      <c r="C625" s="1" t="n">
        <v>46188</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20776-2026</t>
        </is>
      </c>
      <c r="B626" s="1" t="n">
        <v>46141.62767361111</v>
      </c>
      <c r="C626" s="1" t="n">
        <v>46188</v>
      </c>
      <c r="D626" t="inlineStr">
        <is>
          <t>UPPSALA LÄN</t>
        </is>
      </c>
      <c r="E626" t="inlineStr">
        <is>
          <t>ÖSTHAMMAR</t>
        </is>
      </c>
      <c r="F626" t="inlineStr">
        <is>
          <t>Övriga Aktiebolag</t>
        </is>
      </c>
      <c r="G626" t="n">
        <v>3</v>
      </c>
      <c r="H626" t="n">
        <v>0</v>
      </c>
      <c r="I626" t="n">
        <v>0</v>
      </c>
      <c r="J626" t="n">
        <v>0</v>
      </c>
      <c r="K626" t="n">
        <v>0</v>
      </c>
      <c r="L626" t="n">
        <v>0</v>
      </c>
      <c r="M626" t="n">
        <v>0</v>
      </c>
      <c r="N626" t="n">
        <v>0</v>
      </c>
      <c r="O626" t="n">
        <v>0</v>
      </c>
      <c r="P626" t="n">
        <v>0</v>
      </c>
      <c r="Q626" t="n">
        <v>0</v>
      </c>
      <c r="R626" s="2" t="inlineStr"/>
    </row>
    <row r="627" ht="15" customHeight="1">
      <c r="A627" t="inlineStr">
        <is>
          <t>A 26524-2026</t>
        </is>
      </c>
      <c r="B627" s="1" t="n">
        <v>46183.59011574074</v>
      </c>
      <c r="C627" s="1" t="n">
        <v>46188</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20779-2026</t>
        </is>
      </c>
      <c r="B628" s="1" t="n">
        <v>46141.63182870371</v>
      </c>
      <c r="C628" s="1" t="n">
        <v>46188</v>
      </c>
      <c r="D628" t="inlineStr">
        <is>
          <t>UPPSALA LÄN</t>
        </is>
      </c>
      <c r="E628" t="inlineStr">
        <is>
          <t>ÖSTHAMMAR</t>
        </is>
      </c>
      <c r="F628" t="inlineStr">
        <is>
          <t>Övriga Aktiebolag</t>
        </is>
      </c>
      <c r="G628" t="n">
        <v>2.5</v>
      </c>
      <c r="H628" t="n">
        <v>0</v>
      </c>
      <c r="I628" t="n">
        <v>0</v>
      </c>
      <c r="J628" t="n">
        <v>0</v>
      </c>
      <c r="K628" t="n">
        <v>0</v>
      </c>
      <c r="L628" t="n">
        <v>0</v>
      </c>
      <c r="M628" t="n">
        <v>0</v>
      </c>
      <c r="N628" t="n">
        <v>0</v>
      </c>
      <c r="O628" t="n">
        <v>0</v>
      </c>
      <c r="P628" t="n">
        <v>0</v>
      </c>
      <c r="Q628" t="n">
        <v>0</v>
      </c>
      <c r="R628" s="2" t="inlineStr"/>
    </row>
    <row r="629" ht="15" customHeight="1">
      <c r="A629" t="inlineStr">
        <is>
          <t>A 20786-2026</t>
        </is>
      </c>
      <c r="B629" s="1" t="n">
        <v>46141.64342592593</v>
      </c>
      <c r="C629" s="1" t="n">
        <v>46188</v>
      </c>
      <c r="D629" t="inlineStr">
        <is>
          <t>UPPSALA LÄN</t>
        </is>
      </c>
      <c r="E629" t="inlineStr">
        <is>
          <t>ÖSTHAMMAR</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6892-2022</t>
        </is>
      </c>
      <c r="B630" s="1" t="n">
        <v>44602</v>
      </c>
      <c r="C630" s="1" t="n">
        <v>46188</v>
      </c>
      <c r="D630" t="inlineStr">
        <is>
          <t>UPPSALA LÄN</t>
        </is>
      </c>
      <c r="E630" t="inlineStr">
        <is>
          <t>ÖSTHAMMAR</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46188</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14878-2026</t>
        </is>
      </c>
      <c r="B632" s="1" t="n">
        <v>46104.44351851852</v>
      </c>
      <c r="C632" s="1" t="n">
        <v>46188</v>
      </c>
      <c r="D632" t="inlineStr">
        <is>
          <t>UPPSALA LÄN</t>
        </is>
      </c>
      <c r="E632" t="inlineStr">
        <is>
          <t>ÖSTHAMMAR</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8830-2023</t>
        </is>
      </c>
      <c r="B633" s="1" t="n">
        <v>44978</v>
      </c>
      <c r="C633" s="1" t="n">
        <v>46188</v>
      </c>
      <c r="D633" t="inlineStr">
        <is>
          <t>UPPSALA LÄN</t>
        </is>
      </c>
      <c r="E633" t="inlineStr">
        <is>
          <t>ÖSTHAMMAR</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18091-2023</t>
        </is>
      </c>
      <c r="B634" s="1" t="n">
        <v>45040</v>
      </c>
      <c r="C634" s="1" t="n">
        <v>46188</v>
      </c>
      <c r="D634" t="inlineStr">
        <is>
          <t>UPPSALA LÄN</t>
        </is>
      </c>
      <c r="E634" t="inlineStr">
        <is>
          <t>ÖSTHAMMAR</t>
        </is>
      </c>
      <c r="G634" t="n">
        <v>2.4</v>
      </c>
      <c r="H634" t="n">
        <v>0</v>
      </c>
      <c r="I634" t="n">
        <v>0</v>
      </c>
      <c r="J634" t="n">
        <v>0</v>
      </c>
      <c r="K634" t="n">
        <v>0</v>
      </c>
      <c r="L634" t="n">
        <v>0</v>
      </c>
      <c r="M634" t="n">
        <v>0</v>
      </c>
      <c r="N634" t="n">
        <v>0</v>
      </c>
      <c r="O634" t="n">
        <v>0</v>
      </c>
      <c r="P634" t="n">
        <v>0</v>
      </c>
      <c r="Q634" t="n">
        <v>0</v>
      </c>
      <c r="R634" s="2" t="inlineStr"/>
    </row>
    <row r="635" ht="15" customHeight="1">
      <c r="A635" t="inlineStr">
        <is>
          <t>A 47522-2023</t>
        </is>
      </c>
      <c r="B635" s="1" t="n">
        <v>45203</v>
      </c>
      <c r="C635" s="1" t="n">
        <v>46188</v>
      </c>
      <c r="D635" t="inlineStr">
        <is>
          <t>UPPSALA LÄN</t>
        </is>
      </c>
      <c r="E635" t="inlineStr">
        <is>
          <t>ÖSTHAMMAR</t>
        </is>
      </c>
      <c r="F635" t="inlineStr">
        <is>
          <t>Bergvik skog öst AB</t>
        </is>
      </c>
      <c r="G635" t="n">
        <v>0.9</v>
      </c>
      <c r="H635" t="n">
        <v>0</v>
      </c>
      <c r="I635" t="n">
        <v>0</v>
      </c>
      <c r="J635" t="n">
        <v>0</v>
      </c>
      <c r="K635" t="n">
        <v>0</v>
      </c>
      <c r="L635" t="n">
        <v>0</v>
      </c>
      <c r="M635" t="n">
        <v>0</v>
      </c>
      <c r="N635" t="n">
        <v>0</v>
      </c>
      <c r="O635" t="n">
        <v>0</v>
      </c>
      <c r="P635" t="n">
        <v>0</v>
      </c>
      <c r="Q635" t="n">
        <v>0</v>
      </c>
      <c r="R635" s="2" t="inlineStr"/>
    </row>
    <row r="636" ht="15" customHeight="1">
      <c r="A636" t="inlineStr">
        <is>
          <t>A 13358-2024</t>
        </is>
      </c>
      <c r="B636" s="1" t="n">
        <v>45387.3503125</v>
      </c>
      <c r="C636" s="1" t="n">
        <v>46188</v>
      </c>
      <c r="D636" t="inlineStr">
        <is>
          <t>UPPSALA LÄN</t>
        </is>
      </c>
      <c r="E636" t="inlineStr">
        <is>
          <t>ÖSTHAMMAR</t>
        </is>
      </c>
      <c r="G636" t="n">
        <v>2.2</v>
      </c>
      <c r="H636" t="n">
        <v>0</v>
      </c>
      <c r="I636" t="n">
        <v>0</v>
      </c>
      <c r="J636" t="n">
        <v>0</v>
      </c>
      <c r="K636" t="n">
        <v>0</v>
      </c>
      <c r="L636" t="n">
        <v>0</v>
      </c>
      <c r="M636" t="n">
        <v>0</v>
      </c>
      <c r="N636" t="n">
        <v>0</v>
      </c>
      <c r="O636" t="n">
        <v>0</v>
      </c>
      <c r="P636" t="n">
        <v>0</v>
      </c>
      <c r="Q636" t="n">
        <v>0</v>
      </c>
      <c r="R636" s="2" t="inlineStr"/>
    </row>
    <row r="637" ht="15" customHeight="1">
      <c r="A637" t="inlineStr">
        <is>
          <t>A 29282-2021</t>
        </is>
      </c>
      <c r="B637" s="1" t="n">
        <v>44361</v>
      </c>
      <c r="C637" s="1" t="n">
        <v>46188</v>
      </c>
      <c r="D637" t="inlineStr">
        <is>
          <t>UPPSALA LÄN</t>
        </is>
      </c>
      <c r="E637" t="inlineStr">
        <is>
          <t>ÖSTHAMMAR</t>
        </is>
      </c>
      <c r="G637" t="n">
        <v>2.4</v>
      </c>
      <c r="H637" t="n">
        <v>0</v>
      </c>
      <c r="I637" t="n">
        <v>0</v>
      </c>
      <c r="J637" t="n">
        <v>0</v>
      </c>
      <c r="K637" t="n">
        <v>0</v>
      </c>
      <c r="L637" t="n">
        <v>0</v>
      </c>
      <c r="M637" t="n">
        <v>0</v>
      </c>
      <c r="N637" t="n">
        <v>0</v>
      </c>
      <c r="O637" t="n">
        <v>0</v>
      </c>
      <c r="P637" t="n">
        <v>0</v>
      </c>
      <c r="Q637" t="n">
        <v>0</v>
      </c>
      <c r="R637" s="2" t="inlineStr"/>
    </row>
    <row r="638" ht="15" customHeight="1">
      <c r="A638" t="inlineStr">
        <is>
          <t>A 54366-2023</t>
        </is>
      </c>
      <c r="B638" s="1" t="n">
        <v>45233</v>
      </c>
      <c r="C638" s="1" t="n">
        <v>46188</v>
      </c>
      <c r="D638" t="inlineStr">
        <is>
          <t>UPPSALA LÄN</t>
        </is>
      </c>
      <c r="E638" t="inlineStr">
        <is>
          <t>ÖSTHAMMAR</t>
        </is>
      </c>
      <c r="F638" t="inlineStr">
        <is>
          <t>Bergvik skog öst AB</t>
        </is>
      </c>
      <c r="G638" t="n">
        <v>2.9</v>
      </c>
      <c r="H638" t="n">
        <v>0</v>
      </c>
      <c r="I638" t="n">
        <v>0</v>
      </c>
      <c r="J638" t="n">
        <v>0</v>
      </c>
      <c r="K638" t="n">
        <v>0</v>
      </c>
      <c r="L638" t="n">
        <v>0</v>
      </c>
      <c r="M638" t="n">
        <v>0</v>
      </c>
      <c r="N638" t="n">
        <v>0</v>
      </c>
      <c r="O638" t="n">
        <v>0</v>
      </c>
      <c r="P638" t="n">
        <v>0</v>
      </c>
      <c r="Q638" t="n">
        <v>0</v>
      </c>
      <c r="R638" s="2" t="inlineStr"/>
    </row>
    <row r="639" ht="15" customHeight="1">
      <c r="A639" t="inlineStr">
        <is>
          <t>A 52694-2023</t>
        </is>
      </c>
      <c r="B639" s="1" t="n">
        <v>45225.76836805556</v>
      </c>
      <c r="C639" s="1" t="n">
        <v>46188</v>
      </c>
      <c r="D639" t="inlineStr">
        <is>
          <t>UPPSALA LÄN</t>
        </is>
      </c>
      <c r="E639" t="inlineStr">
        <is>
          <t>ÖSTHAMMAR</t>
        </is>
      </c>
      <c r="G639" t="n">
        <v>0.8</v>
      </c>
      <c r="H639" t="n">
        <v>0</v>
      </c>
      <c r="I639" t="n">
        <v>0</v>
      </c>
      <c r="J639" t="n">
        <v>0</v>
      </c>
      <c r="K639" t="n">
        <v>0</v>
      </c>
      <c r="L639" t="n">
        <v>0</v>
      </c>
      <c r="M639" t="n">
        <v>0</v>
      </c>
      <c r="N639" t="n">
        <v>0</v>
      </c>
      <c r="O639" t="n">
        <v>0</v>
      </c>
      <c r="P639" t="n">
        <v>0</v>
      </c>
      <c r="Q639" t="n">
        <v>0</v>
      </c>
      <c r="R639" s="2" t="inlineStr"/>
    </row>
    <row r="640" ht="15" customHeight="1">
      <c r="A640" t="inlineStr">
        <is>
          <t>A 16608-2026</t>
        </is>
      </c>
      <c r="B640" s="1" t="n">
        <v>46112.60068287037</v>
      </c>
      <c r="C640" s="1" t="n">
        <v>46188</v>
      </c>
      <c r="D640" t="inlineStr">
        <is>
          <t>UPPSALA LÄN</t>
        </is>
      </c>
      <c r="E640" t="inlineStr">
        <is>
          <t>ÖSTHAMMAR</t>
        </is>
      </c>
      <c r="F640" t="inlineStr">
        <is>
          <t>Bergvik skog öst AB</t>
        </is>
      </c>
      <c r="G640" t="n">
        <v>2.6</v>
      </c>
      <c r="H640" t="n">
        <v>0</v>
      </c>
      <c r="I640" t="n">
        <v>0</v>
      </c>
      <c r="J640" t="n">
        <v>0</v>
      </c>
      <c r="K640" t="n">
        <v>0</v>
      </c>
      <c r="L640" t="n">
        <v>0</v>
      </c>
      <c r="M640" t="n">
        <v>0</v>
      </c>
      <c r="N640" t="n">
        <v>0</v>
      </c>
      <c r="O640" t="n">
        <v>0</v>
      </c>
      <c r="P640" t="n">
        <v>0</v>
      </c>
      <c r="Q640" t="n">
        <v>0</v>
      </c>
      <c r="R640" s="2" t="inlineStr"/>
    </row>
    <row r="641" ht="15" customHeight="1">
      <c r="A641" t="inlineStr">
        <is>
          <t>A 36873-2022</t>
        </is>
      </c>
      <c r="B641" s="1" t="n">
        <v>44805.63708333333</v>
      </c>
      <c r="C641" s="1" t="n">
        <v>46188</v>
      </c>
      <c r="D641" t="inlineStr">
        <is>
          <t>UPPSALA LÄN</t>
        </is>
      </c>
      <c r="E641" t="inlineStr">
        <is>
          <t>ÖSTHAMMAR</t>
        </is>
      </c>
      <c r="G641" t="n">
        <v>2.5</v>
      </c>
      <c r="H641" t="n">
        <v>0</v>
      </c>
      <c r="I641" t="n">
        <v>0</v>
      </c>
      <c r="J641" t="n">
        <v>0</v>
      </c>
      <c r="K641" t="n">
        <v>0</v>
      </c>
      <c r="L641" t="n">
        <v>0</v>
      </c>
      <c r="M641" t="n">
        <v>0</v>
      </c>
      <c r="N641" t="n">
        <v>0</v>
      </c>
      <c r="O641" t="n">
        <v>0</v>
      </c>
      <c r="P641" t="n">
        <v>0</v>
      </c>
      <c r="Q641" t="n">
        <v>0</v>
      </c>
      <c r="R641" s="2" t="inlineStr"/>
    </row>
    <row r="642" ht="15" customHeight="1">
      <c r="A642" t="inlineStr">
        <is>
          <t>A 54666-2022</t>
        </is>
      </c>
      <c r="B642" s="1" t="n">
        <v>44883</v>
      </c>
      <c r="C642" s="1" t="n">
        <v>46188</v>
      </c>
      <c r="D642" t="inlineStr">
        <is>
          <t>UPPSALA LÄN</t>
        </is>
      </c>
      <c r="E642" t="inlineStr">
        <is>
          <t>ÖSTHAMMAR</t>
        </is>
      </c>
      <c r="G642" t="n">
        <v>14.3</v>
      </c>
      <c r="H642" t="n">
        <v>0</v>
      </c>
      <c r="I642" t="n">
        <v>0</v>
      </c>
      <c r="J642" t="n">
        <v>0</v>
      </c>
      <c r="K642" t="n">
        <v>0</v>
      </c>
      <c r="L642" t="n">
        <v>0</v>
      </c>
      <c r="M642" t="n">
        <v>0</v>
      </c>
      <c r="N642" t="n">
        <v>0</v>
      </c>
      <c r="O642" t="n">
        <v>0</v>
      </c>
      <c r="P642" t="n">
        <v>0</v>
      </c>
      <c r="Q642" t="n">
        <v>0</v>
      </c>
      <c r="R642" s="2" t="inlineStr"/>
    </row>
    <row r="643" ht="15" customHeight="1">
      <c r="A643" t="inlineStr">
        <is>
          <t>A 61817-2021</t>
        </is>
      </c>
      <c r="B643" s="1" t="n">
        <v>44501.76855324074</v>
      </c>
      <c r="C643" s="1" t="n">
        <v>46188</v>
      </c>
      <c r="D643" t="inlineStr">
        <is>
          <t>UPPSALA LÄN</t>
        </is>
      </c>
      <c r="E643" t="inlineStr">
        <is>
          <t>ÖSTHAMMAR</t>
        </is>
      </c>
      <c r="F643" t="inlineStr">
        <is>
          <t>Bergvik skog öst AB</t>
        </is>
      </c>
      <c r="G643" t="n">
        <v>2.3</v>
      </c>
      <c r="H643" t="n">
        <v>0</v>
      </c>
      <c r="I643" t="n">
        <v>0</v>
      </c>
      <c r="J643" t="n">
        <v>0</v>
      </c>
      <c r="K643" t="n">
        <v>0</v>
      </c>
      <c r="L643" t="n">
        <v>0</v>
      </c>
      <c r="M643" t="n">
        <v>0</v>
      </c>
      <c r="N643" t="n">
        <v>0</v>
      </c>
      <c r="O643" t="n">
        <v>0</v>
      </c>
      <c r="P643" t="n">
        <v>0</v>
      </c>
      <c r="Q643" t="n">
        <v>0</v>
      </c>
      <c r="R643" s="2" t="inlineStr"/>
    </row>
    <row r="644" ht="15" customHeight="1">
      <c r="A644" t="inlineStr">
        <is>
          <t>A 26778-2026</t>
        </is>
      </c>
      <c r="B644" s="1" t="n">
        <v>46184.67229166667</v>
      </c>
      <c r="C644" s="1" t="n">
        <v>46188</v>
      </c>
      <c r="D644" t="inlineStr">
        <is>
          <t>UPPSALA LÄN</t>
        </is>
      </c>
      <c r="E644" t="inlineStr">
        <is>
          <t>ÖSTHAMMAR</t>
        </is>
      </c>
      <c r="G644" t="n">
        <v>12.5</v>
      </c>
      <c r="H644" t="n">
        <v>0</v>
      </c>
      <c r="I644" t="n">
        <v>0</v>
      </c>
      <c r="J644" t="n">
        <v>0</v>
      </c>
      <c r="K644" t="n">
        <v>0</v>
      </c>
      <c r="L644" t="n">
        <v>0</v>
      </c>
      <c r="M644" t="n">
        <v>0</v>
      </c>
      <c r="N644" t="n">
        <v>0</v>
      </c>
      <c r="O644" t="n">
        <v>0</v>
      </c>
      <c r="P644" t="n">
        <v>0</v>
      </c>
      <c r="Q644" t="n">
        <v>0</v>
      </c>
      <c r="R644" s="2" t="inlineStr"/>
    </row>
    <row r="645" ht="15" customHeight="1">
      <c r="A645" t="inlineStr">
        <is>
          <t>A 54437-2024</t>
        </is>
      </c>
      <c r="B645" s="1" t="n">
        <v>45617</v>
      </c>
      <c r="C645" s="1" t="n">
        <v>46188</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9052-2023</t>
        </is>
      </c>
      <c r="B646" s="1" t="n">
        <v>44979</v>
      </c>
      <c r="C646" s="1" t="n">
        <v>46188</v>
      </c>
      <c r="D646" t="inlineStr">
        <is>
          <t>UPPSALA LÄN</t>
        </is>
      </c>
      <c r="E646" t="inlineStr">
        <is>
          <t>ÖSTHAMMAR</t>
        </is>
      </c>
      <c r="F646" t="inlineStr">
        <is>
          <t>Kyrkan</t>
        </is>
      </c>
      <c r="G646" t="n">
        <v>0.2</v>
      </c>
      <c r="H646" t="n">
        <v>0</v>
      </c>
      <c r="I646" t="n">
        <v>0</v>
      </c>
      <c r="J646" t="n">
        <v>0</v>
      </c>
      <c r="K646" t="n">
        <v>0</v>
      </c>
      <c r="L646" t="n">
        <v>0</v>
      </c>
      <c r="M646" t="n">
        <v>0</v>
      </c>
      <c r="N646" t="n">
        <v>0</v>
      </c>
      <c r="O646" t="n">
        <v>0</v>
      </c>
      <c r="P646" t="n">
        <v>0</v>
      </c>
      <c r="Q646" t="n">
        <v>0</v>
      </c>
      <c r="R646" s="2" t="inlineStr"/>
    </row>
    <row r="647" ht="15" customHeight="1">
      <c r="A647" t="inlineStr">
        <is>
          <t>A 28152-2024</t>
        </is>
      </c>
      <c r="B647" s="1" t="n">
        <v>45476.77056712963</v>
      </c>
      <c r="C647" s="1" t="n">
        <v>46188</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20871-2026</t>
        </is>
      </c>
      <c r="B648" s="1" t="n">
        <v>46142.38075231481</v>
      </c>
      <c r="C648" s="1" t="n">
        <v>46188</v>
      </c>
      <c r="D648" t="inlineStr">
        <is>
          <t>UPPSALA LÄN</t>
        </is>
      </c>
      <c r="E648" t="inlineStr">
        <is>
          <t>ÖSTHAMMAR</t>
        </is>
      </c>
      <c r="F648" t="inlineStr">
        <is>
          <t>Övriga Aktiebolag</t>
        </is>
      </c>
      <c r="G648" t="n">
        <v>6.2</v>
      </c>
      <c r="H648" t="n">
        <v>0</v>
      </c>
      <c r="I648" t="n">
        <v>0</v>
      </c>
      <c r="J648" t="n">
        <v>0</v>
      </c>
      <c r="K648" t="n">
        <v>0</v>
      </c>
      <c r="L648" t="n">
        <v>0</v>
      </c>
      <c r="M648" t="n">
        <v>0</v>
      </c>
      <c r="N648" t="n">
        <v>0</v>
      </c>
      <c r="O648" t="n">
        <v>0</v>
      </c>
      <c r="P648" t="n">
        <v>0</v>
      </c>
      <c r="Q648" t="n">
        <v>0</v>
      </c>
      <c r="R648" s="2" t="inlineStr"/>
    </row>
    <row r="649" ht="15" customHeight="1">
      <c r="A649" t="inlineStr">
        <is>
          <t>A 25856-2026</t>
        </is>
      </c>
      <c r="B649" s="1" t="n">
        <v>46178.55827546296</v>
      </c>
      <c r="C649" s="1" t="n">
        <v>46188</v>
      </c>
      <c r="D649" t="inlineStr">
        <is>
          <t>UPPSALA LÄN</t>
        </is>
      </c>
      <c r="E649" t="inlineStr">
        <is>
          <t>ÖSTHAMMAR</t>
        </is>
      </c>
      <c r="F649" t="inlineStr">
        <is>
          <t>Bergvik skog öst AB</t>
        </is>
      </c>
      <c r="G649" t="n">
        <v>6.7</v>
      </c>
      <c r="H649" t="n">
        <v>0</v>
      </c>
      <c r="I649" t="n">
        <v>0</v>
      </c>
      <c r="J649" t="n">
        <v>0</v>
      </c>
      <c r="K649" t="n">
        <v>0</v>
      </c>
      <c r="L649" t="n">
        <v>0</v>
      </c>
      <c r="M649" t="n">
        <v>0</v>
      </c>
      <c r="N649" t="n">
        <v>0</v>
      </c>
      <c r="O649" t="n">
        <v>0</v>
      </c>
      <c r="P649" t="n">
        <v>0</v>
      </c>
      <c r="Q649" t="n">
        <v>0</v>
      </c>
      <c r="R649" s="2" t="inlineStr"/>
    </row>
    <row r="650" ht="15" customHeight="1">
      <c r="A650" t="inlineStr">
        <is>
          <t>A 12262-2023</t>
        </is>
      </c>
      <c r="B650" s="1" t="n">
        <v>44998.66662037037</v>
      </c>
      <c r="C650" s="1" t="n">
        <v>46188</v>
      </c>
      <c r="D650" t="inlineStr">
        <is>
          <t>UPPSALA LÄN</t>
        </is>
      </c>
      <c r="E650" t="inlineStr">
        <is>
          <t>ÖSTHAMMAR</t>
        </is>
      </c>
      <c r="G650" t="n">
        <v>4.1</v>
      </c>
      <c r="H650" t="n">
        <v>0</v>
      </c>
      <c r="I650" t="n">
        <v>0</v>
      </c>
      <c r="J650" t="n">
        <v>0</v>
      </c>
      <c r="K650" t="n">
        <v>0</v>
      </c>
      <c r="L650" t="n">
        <v>0</v>
      </c>
      <c r="M650" t="n">
        <v>0</v>
      </c>
      <c r="N650" t="n">
        <v>0</v>
      </c>
      <c r="O650" t="n">
        <v>0</v>
      </c>
      <c r="P650" t="n">
        <v>0</v>
      </c>
      <c r="Q650" t="n">
        <v>0</v>
      </c>
      <c r="R650" s="2" t="inlineStr"/>
    </row>
    <row r="651" ht="15" customHeight="1">
      <c r="A651" t="inlineStr">
        <is>
          <t>A 41478-2024</t>
        </is>
      </c>
      <c r="B651" s="1" t="n">
        <v>45560.44158564815</v>
      </c>
      <c r="C651" s="1" t="n">
        <v>46188</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25833-2026</t>
        </is>
      </c>
      <c r="B652" s="1" t="n">
        <v>46178.54403935185</v>
      </c>
      <c r="C652" s="1" t="n">
        <v>46188</v>
      </c>
      <c r="D652" t="inlineStr">
        <is>
          <t>UPPSALA LÄN</t>
        </is>
      </c>
      <c r="E652" t="inlineStr">
        <is>
          <t>ÖSTHAMMAR</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25846-2026</t>
        </is>
      </c>
      <c r="B653" s="1" t="n">
        <v>46178.55153935185</v>
      </c>
      <c r="C653" s="1" t="n">
        <v>46188</v>
      </c>
      <c r="D653" t="inlineStr">
        <is>
          <t>UPPSALA LÄN</t>
        </is>
      </c>
      <c r="E653" t="inlineStr">
        <is>
          <t>ÖSTHAMMAR</t>
        </is>
      </c>
      <c r="F653" t="inlineStr">
        <is>
          <t>Bergvik skog öst AB</t>
        </is>
      </c>
      <c r="G653" t="n">
        <v>2.4</v>
      </c>
      <c r="H653" t="n">
        <v>0</v>
      </c>
      <c r="I653" t="n">
        <v>0</v>
      </c>
      <c r="J653" t="n">
        <v>0</v>
      </c>
      <c r="K653" t="n">
        <v>0</v>
      </c>
      <c r="L653" t="n">
        <v>0</v>
      </c>
      <c r="M653" t="n">
        <v>0</v>
      </c>
      <c r="N653" t="n">
        <v>0</v>
      </c>
      <c r="O653" t="n">
        <v>0</v>
      </c>
      <c r="P653" t="n">
        <v>0</v>
      </c>
      <c r="Q653" t="n">
        <v>0</v>
      </c>
      <c r="R653" s="2" t="inlineStr"/>
    </row>
    <row r="654" ht="15" customHeight="1">
      <c r="A654" t="inlineStr">
        <is>
          <t>A 16141-2022</t>
        </is>
      </c>
      <c r="B654" s="1" t="n">
        <v>44665</v>
      </c>
      <c r="C654" s="1" t="n">
        <v>46188</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34922-2023</t>
        </is>
      </c>
      <c r="B655" s="1" t="n">
        <v>45142.48359953704</v>
      </c>
      <c r="C655" s="1" t="n">
        <v>46188</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23495-2023</t>
        </is>
      </c>
      <c r="B656" s="1" t="n">
        <v>45076.71652777777</v>
      </c>
      <c r="C656" s="1" t="n">
        <v>46188</v>
      </c>
      <c r="D656" t="inlineStr">
        <is>
          <t>UPPSALA LÄN</t>
        </is>
      </c>
      <c r="E656" t="inlineStr">
        <is>
          <t>ÖSTHAMMAR</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38233-2024</t>
        </is>
      </c>
      <c r="B657" s="1" t="n">
        <v>45545</v>
      </c>
      <c r="C657" s="1" t="n">
        <v>46188</v>
      </c>
      <c r="D657" t="inlineStr">
        <is>
          <t>UPPSALA LÄN</t>
        </is>
      </c>
      <c r="E657" t="inlineStr">
        <is>
          <t>ÖSTHAMMAR</t>
        </is>
      </c>
      <c r="G657" t="n">
        <v>3.4</v>
      </c>
      <c r="H657" t="n">
        <v>0</v>
      </c>
      <c r="I657" t="n">
        <v>0</v>
      </c>
      <c r="J657" t="n">
        <v>0</v>
      </c>
      <c r="K657" t="n">
        <v>0</v>
      </c>
      <c r="L657" t="n">
        <v>0</v>
      </c>
      <c r="M657" t="n">
        <v>0</v>
      </c>
      <c r="N657" t="n">
        <v>0</v>
      </c>
      <c r="O657" t="n">
        <v>0</v>
      </c>
      <c r="P657" t="n">
        <v>0</v>
      </c>
      <c r="Q657" t="n">
        <v>0</v>
      </c>
      <c r="R657" s="2" t="inlineStr"/>
    </row>
    <row r="658" ht="15" customHeight="1">
      <c r="A658" t="inlineStr">
        <is>
          <t>A 17947-2022</t>
        </is>
      </c>
      <c r="B658" s="1" t="n">
        <v>44683</v>
      </c>
      <c r="C658" s="1" t="n">
        <v>46188</v>
      </c>
      <c r="D658" t="inlineStr">
        <is>
          <t>UPPSALA LÄN</t>
        </is>
      </c>
      <c r="E658" t="inlineStr">
        <is>
          <t>ÖSTHAMMAR</t>
        </is>
      </c>
      <c r="G658" t="n">
        <v>5.5</v>
      </c>
      <c r="H658" t="n">
        <v>0</v>
      </c>
      <c r="I658" t="n">
        <v>0</v>
      </c>
      <c r="J658" t="n">
        <v>0</v>
      </c>
      <c r="K658" t="n">
        <v>0</v>
      </c>
      <c r="L658" t="n">
        <v>0</v>
      </c>
      <c r="M658" t="n">
        <v>0</v>
      </c>
      <c r="N658" t="n">
        <v>0</v>
      </c>
      <c r="O658" t="n">
        <v>0</v>
      </c>
      <c r="P658" t="n">
        <v>0</v>
      </c>
      <c r="Q658" t="n">
        <v>0</v>
      </c>
      <c r="R658" s="2" t="inlineStr"/>
    </row>
    <row r="659" ht="15" customHeight="1">
      <c r="A659" t="inlineStr">
        <is>
          <t>A 22798-2023</t>
        </is>
      </c>
      <c r="B659" s="1" t="n">
        <v>45072</v>
      </c>
      <c r="C659" s="1" t="n">
        <v>46188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4561-2022</t>
        </is>
      </c>
      <c r="B660" s="1" t="n">
        <v>44591.59170138889</v>
      </c>
      <c r="C660" s="1" t="n">
        <v>46188</v>
      </c>
      <c r="D660" t="inlineStr">
        <is>
          <t>UPPSALA LÄN</t>
        </is>
      </c>
      <c r="E660" t="inlineStr">
        <is>
          <t>ÖSTHAMMAR</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23741-2024</t>
        </is>
      </c>
      <c r="B661" s="1" t="n">
        <v>45455</v>
      </c>
      <c r="C661" s="1" t="n">
        <v>46188</v>
      </c>
      <c r="D661" t="inlineStr">
        <is>
          <t>UPPSALA LÄN</t>
        </is>
      </c>
      <c r="E661" t="inlineStr">
        <is>
          <t>ÖSTHAMMAR</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26612-2023</t>
        </is>
      </c>
      <c r="B662" s="1" t="n">
        <v>45089</v>
      </c>
      <c r="C662" s="1" t="n">
        <v>46188</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32244-2021</t>
        </is>
      </c>
      <c r="B663" s="1" t="n">
        <v>44371.45335648148</v>
      </c>
      <c r="C663" s="1" t="n">
        <v>46188</v>
      </c>
      <c r="D663" t="inlineStr">
        <is>
          <t>UPPSALA LÄN</t>
        </is>
      </c>
      <c r="E663" t="inlineStr">
        <is>
          <t>ÖSTHAMMAR</t>
        </is>
      </c>
      <c r="F663" t="inlineStr">
        <is>
          <t>Bergvik skog öst AB</t>
        </is>
      </c>
      <c r="G663" t="n">
        <v>2.6</v>
      </c>
      <c r="H663" t="n">
        <v>0</v>
      </c>
      <c r="I663" t="n">
        <v>0</v>
      </c>
      <c r="J663" t="n">
        <v>0</v>
      </c>
      <c r="K663" t="n">
        <v>0</v>
      </c>
      <c r="L663" t="n">
        <v>0</v>
      </c>
      <c r="M663" t="n">
        <v>0</v>
      </c>
      <c r="N663" t="n">
        <v>0</v>
      </c>
      <c r="O663" t="n">
        <v>0</v>
      </c>
      <c r="P663" t="n">
        <v>0</v>
      </c>
      <c r="Q663" t="n">
        <v>0</v>
      </c>
      <c r="R663" s="2" t="inlineStr"/>
    </row>
    <row r="664" ht="15" customHeight="1">
      <c r="A664" t="inlineStr">
        <is>
          <t>A 60079-2022</t>
        </is>
      </c>
      <c r="B664" s="1" t="n">
        <v>44909</v>
      </c>
      <c r="C664" s="1" t="n">
        <v>46188</v>
      </c>
      <c r="D664" t="inlineStr">
        <is>
          <t>UPPSALA LÄN</t>
        </is>
      </c>
      <c r="E664" t="inlineStr">
        <is>
          <t>ÖSTHAMMAR</t>
        </is>
      </c>
      <c r="G664" t="n">
        <v>9.6</v>
      </c>
      <c r="H664" t="n">
        <v>0</v>
      </c>
      <c r="I664" t="n">
        <v>0</v>
      </c>
      <c r="J664" t="n">
        <v>0</v>
      </c>
      <c r="K664" t="n">
        <v>0</v>
      </c>
      <c r="L664" t="n">
        <v>0</v>
      </c>
      <c r="M664" t="n">
        <v>0</v>
      </c>
      <c r="N664" t="n">
        <v>0</v>
      </c>
      <c r="O664" t="n">
        <v>0</v>
      </c>
      <c r="P664" t="n">
        <v>0</v>
      </c>
      <c r="Q664" t="n">
        <v>0</v>
      </c>
      <c r="R664" s="2" t="inlineStr"/>
    </row>
    <row r="665" ht="15" customHeight="1">
      <c r="A665" t="inlineStr">
        <is>
          <t>A 40637-2022</t>
        </is>
      </c>
      <c r="B665" s="1" t="n">
        <v>44824</v>
      </c>
      <c r="C665" s="1" t="n">
        <v>46188</v>
      </c>
      <c r="D665" t="inlineStr">
        <is>
          <t>UPPSALA LÄN</t>
        </is>
      </c>
      <c r="E665" t="inlineStr">
        <is>
          <t>ÖSTHAMMAR</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56260-2022</t>
        </is>
      </c>
      <c r="B666" s="1" t="n">
        <v>44890</v>
      </c>
      <c r="C666" s="1" t="n">
        <v>46188</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62394-2022</t>
        </is>
      </c>
      <c r="B667" s="1" t="n">
        <v>44923.82017361111</v>
      </c>
      <c r="C667" s="1" t="n">
        <v>46188</v>
      </c>
      <c r="D667" t="inlineStr">
        <is>
          <t>UPPSALA LÄN</t>
        </is>
      </c>
      <c r="E667" t="inlineStr">
        <is>
          <t>ÖSTHAMMAR</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46188</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41538-2021</t>
        </is>
      </c>
      <c r="B669" s="1" t="n">
        <v>44425.35016203704</v>
      </c>
      <c r="C669" s="1" t="n">
        <v>46188</v>
      </c>
      <c r="D669" t="inlineStr">
        <is>
          <t>UPPSALA LÄN</t>
        </is>
      </c>
      <c r="E669" t="inlineStr">
        <is>
          <t>ÖSTHAMMAR</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34742-2022</t>
        </is>
      </c>
      <c r="B670" s="1" t="n">
        <v>44795.61990740741</v>
      </c>
      <c r="C670" s="1" t="n">
        <v>46188</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55090-2024</t>
        </is>
      </c>
      <c r="B671" s="1" t="n">
        <v>45621.4350462963</v>
      </c>
      <c r="C671" s="1" t="n">
        <v>46188</v>
      </c>
      <c r="D671" t="inlineStr">
        <is>
          <t>UPPSALA LÄN</t>
        </is>
      </c>
      <c r="E671" t="inlineStr">
        <is>
          <t>ÖSTHAMMAR</t>
        </is>
      </c>
      <c r="F671" t="inlineStr">
        <is>
          <t>Sveaskog</t>
        </is>
      </c>
      <c r="G671" t="n">
        <v>4.4</v>
      </c>
      <c r="H671" t="n">
        <v>0</v>
      </c>
      <c r="I671" t="n">
        <v>0</v>
      </c>
      <c r="J671" t="n">
        <v>0</v>
      </c>
      <c r="K671" t="n">
        <v>0</v>
      </c>
      <c r="L671" t="n">
        <v>0</v>
      </c>
      <c r="M671" t="n">
        <v>0</v>
      </c>
      <c r="N671" t="n">
        <v>0</v>
      </c>
      <c r="O671" t="n">
        <v>0</v>
      </c>
      <c r="P671" t="n">
        <v>0</v>
      </c>
      <c r="Q671" t="n">
        <v>0</v>
      </c>
      <c r="R671" s="2" t="inlineStr"/>
    </row>
    <row r="672" ht="15" customHeight="1">
      <c r="A672" t="inlineStr">
        <is>
          <t>A 55093-2024</t>
        </is>
      </c>
      <c r="B672" s="1" t="n">
        <v>45621.43712962963</v>
      </c>
      <c r="C672" s="1" t="n">
        <v>46188</v>
      </c>
      <c r="D672" t="inlineStr">
        <is>
          <t>UPPSALA LÄN</t>
        </is>
      </c>
      <c r="E672" t="inlineStr">
        <is>
          <t>ÖSTHAMMAR</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55097-2024</t>
        </is>
      </c>
      <c r="B673" s="1" t="n">
        <v>45621.43855324074</v>
      </c>
      <c r="C673" s="1" t="n">
        <v>46188</v>
      </c>
      <c r="D673" t="inlineStr">
        <is>
          <t>UPPSALA LÄN</t>
        </is>
      </c>
      <c r="E673" t="inlineStr">
        <is>
          <t>ÖSTHAMMAR</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3327-2023</t>
        </is>
      </c>
      <c r="B674" s="1" t="n">
        <v>44949.4377662037</v>
      </c>
      <c r="C674" s="1" t="n">
        <v>46188</v>
      </c>
      <c r="D674" t="inlineStr">
        <is>
          <t>UPPSALA LÄN</t>
        </is>
      </c>
      <c r="E674" t="inlineStr">
        <is>
          <t>ÖSTHAMMAR</t>
        </is>
      </c>
      <c r="G674" t="n">
        <v>1.1</v>
      </c>
      <c r="H674" t="n">
        <v>0</v>
      </c>
      <c r="I674" t="n">
        <v>0</v>
      </c>
      <c r="J674" t="n">
        <v>0</v>
      </c>
      <c r="K674" t="n">
        <v>0</v>
      </c>
      <c r="L674" t="n">
        <v>0</v>
      </c>
      <c r="M674" t="n">
        <v>0</v>
      </c>
      <c r="N674" t="n">
        <v>0</v>
      </c>
      <c r="O674" t="n">
        <v>0</v>
      </c>
      <c r="P674" t="n">
        <v>0</v>
      </c>
      <c r="Q674" t="n">
        <v>0</v>
      </c>
      <c r="R674" s="2" t="inlineStr"/>
    </row>
    <row r="675" ht="15" customHeight="1">
      <c r="A675" t="inlineStr">
        <is>
          <t>A 41821-2023</t>
        </is>
      </c>
      <c r="B675" s="1" t="n">
        <v>45176</v>
      </c>
      <c r="C675" s="1" t="n">
        <v>46188</v>
      </c>
      <c r="D675" t="inlineStr">
        <is>
          <t>UPPSALA LÄN</t>
        </is>
      </c>
      <c r="E675" t="inlineStr">
        <is>
          <t>ÖSTHAMMAR</t>
        </is>
      </c>
      <c r="G675" t="n">
        <v>0.9</v>
      </c>
      <c r="H675" t="n">
        <v>0</v>
      </c>
      <c r="I675" t="n">
        <v>0</v>
      </c>
      <c r="J675" t="n">
        <v>0</v>
      </c>
      <c r="K675" t="n">
        <v>0</v>
      </c>
      <c r="L675" t="n">
        <v>0</v>
      </c>
      <c r="M675" t="n">
        <v>0</v>
      </c>
      <c r="N675" t="n">
        <v>0</v>
      </c>
      <c r="O675" t="n">
        <v>0</v>
      </c>
      <c r="P675" t="n">
        <v>0</v>
      </c>
      <c r="Q675" t="n">
        <v>0</v>
      </c>
      <c r="R675" s="2" t="inlineStr"/>
    </row>
    <row r="676" ht="15" customHeight="1">
      <c r="A676" t="inlineStr">
        <is>
          <t>A 14272-2025</t>
        </is>
      </c>
      <c r="B676" s="1" t="n">
        <v>45740.64327546296</v>
      </c>
      <c r="C676" s="1" t="n">
        <v>46188</v>
      </c>
      <c r="D676" t="inlineStr">
        <is>
          <t>UPPSALA LÄN</t>
        </is>
      </c>
      <c r="E676" t="inlineStr">
        <is>
          <t>ÖSTHAMMAR</t>
        </is>
      </c>
      <c r="G676" t="n">
        <v>5.7</v>
      </c>
      <c r="H676" t="n">
        <v>0</v>
      </c>
      <c r="I676" t="n">
        <v>0</v>
      </c>
      <c r="J676" t="n">
        <v>0</v>
      </c>
      <c r="K676" t="n">
        <v>0</v>
      </c>
      <c r="L676" t="n">
        <v>0</v>
      </c>
      <c r="M676" t="n">
        <v>0</v>
      </c>
      <c r="N676" t="n">
        <v>0</v>
      </c>
      <c r="O676" t="n">
        <v>0</v>
      </c>
      <c r="P676" t="n">
        <v>0</v>
      </c>
      <c r="Q676" t="n">
        <v>0</v>
      </c>
      <c r="R676" s="2" t="inlineStr"/>
    </row>
    <row r="677" ht="15" customHeight="1">
      <c r="A677" t="inlineStr">
        <is>
          <t>A 12215-2023</t>
        </is>
      </c>
      <c r="B677" s="1" t="n">
        <v>44998</v>
      </c>
      <c r="C677" s="1" t="n">
        <v>46188</v>
      </c>
      <c r="D677" t="inlineStr">
        <is>
          <t>UPPSALA LÄN</t>
        </is>
      </c>
      <c r="E677" t="inlineStr">
        <is>
          <t>ÖSTHAMMAR</t>
        </is>
      </c>
      <c r="G677" t="n">
        <v>5.1</v>
      </c>
      <c r="H677" t="n">
        <v>0</v>
      </c>
      <c r="I677" t="n">
        <v>0</v>
      </c>
      <c r="J677" t="n">
        <v>0</v>
      </c>
      <c r="K677" t="n">
        <v>0</v>
      </c>
      <c r="L677" t="n">
        <v>0</v>
      </c>
      <c r="M677" t="n">
        <v>0</v>
      </c>
      <c r="N677" t="n">
        <v>0</v>
      </c>
      <c r="O677" t="n">
        <v>0</v>
      </c>
      <c r="P677" t="n">
        <v>0</v>
      </c>
      <c r="Q677" t="n">
        <v>0</v>
      </c>
      <c r="R677" s="2" t="inlineStr"/>
    </row>
    <row r="678" ht="15" customHeight="1">
      <c r="A678" t="inlineStr">
        <is>
          <t>A 66779-2021</t>
        </is>
      </c>
      <c r="B678" s="1" t="n">
        <v>44522.31700231481</v>
      </c>
      <c r="C678" s="1" t="n">
        <v>46188</v>
      </c>
      <c r="D678" t="inlineStr">
        <is>
          <t>UPPSALA LÄN</t>
        </is>
      </c>
      <c r="E678" t="inlineStr">
        <is>
          <t>ÖSTHAMMAR</t>
        </is>
      </c>
      <c r="G678" t="n">
        <v>2</v>
      </c>
      <c r="H678" t="n">
        <v>0</v>
      </c>
      <c r="I678" t="n">
        <v>0</v>
      </c>
      <c r="J678" t="n">
        <v>0</v>
      </c>
      <c r="K678" t="n">
        <v>0</v>
      </c>
      <c r="L678" t="n">
        <v>0</v>
      </c>
      <c r="M678" t="n">
        <v>0</v>
      </c>
      <c r="N678" t="n">
        <v>0</v>
      </c>
      <c r="O678" t="n">
        <v>0</v>
      </c>
      <c r="P678" t="n">
        <v>0</v>
      </c>
      <c r="Q678" t="n">
        <v>0</v>
      </c>
      <c r="R678" s="2" t="inlineStr"/>
    </row>
    <row r="679" ht="15" customHeight="1">
      <c r="A679" t="inlineStr">
        <is>
          <t>A 33062-2021</t>
        </is>
      </c>
      <c r="B679" s="1" t="n">
        <v>44376</v>
      </c>
      <c r="C679" s="1" t="n">
        <v>46188</v>
      </c>
      <c r="D679" t="inlineStr">
        <is>
          <t>UPPSALA LÄN</t>
        </is>
      </c>
      <c r="E679" t="inlineStr">
        <is>
          <t>ÖSTHAMMAR</t>
        </is>
      </c>
      <c r="G679" t="n">
        <v>12</v>
      </c>
      <c r="H679" t="n">
        <v>0</v>
      </c>
      <c r="I679" t="n">
        <v>0</v>
      </c>
      <c r="J679" t="n">
        <v>0</v>
      </c>
      <c r="K679" t="n">
        <v>0</v>
      </c>
      <c r="L679" t="n">
        <v>0</v>
      </c>
      <c r="M679" t="n">
        <v>0</v>
      </c>
      <c r="N679" t="n">
        <v>0</v>
      </c>
      <c r="O679" t="n">
        <v>0</v>
      </c>
      <c r="P679" t="n">
        <v>0</v>
      </c>
      <c r="Q679" t="n">
        <v>0</v>
      </c>
      <c r="R679" s="2" t="inlineStr"/>
    </row>
    <row r="680" ht="15" customHeight="1">
      <c r="A680" t="inlineStr">
        <is>
          <t>A 24033-2023</t>
        </is>
      </c>
      <c r="B680" s="1" t="n">
        <v>45078</v>
      </c>
      <c r="C680" s="1" t="n">
        <v>46188</v>
      </c>
      <c r="D680" t="inlineStr">
        <is>
          <t>UPPSALA LÄN</t>
        </is>
      </c>
      <c r="E680" t="inlineStr">
        <is>
          <t>ÖSTHAMMAR</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3638-2022</t>
        </is>
      </c>
      <c r="B681" s="1" t="n">
        <v>44578</v>
      </c>
      <c r="C681" s="1" t="n">
        <v>46188</v>
      </c>
      <c r="D681" t="inlineStr">
        <is>
          <t>UPPSALA LÄN</t>
        </is>
      </c>
      <c r="E681" t="inlineStr">
        <is>
          <t>ÖSTHAMMAR</t>
        </is>
      </c>
      <c r="G681" t="n">
        <v>1.7</v>
      </c>
      <c r="H681" t="n">
        <v>0</v>
      </c>
      <c r="I681" t="n">
        <v>0</v>
      </c>
      <c r="J681" t="n">
        <v>0</v>
      </c>
      <c r="K681" t="n">
        <v>0</v>
      </c>
      <c r="L681" t="n">
        <v>0</v>
      </c>
      <c r="M681" t="n">
        <v>0</v>
      </c>
      <c r="N681" t="n">
        <v>0</v>
      </c>
      <c r="O681" t="n">
        <v>0</v>
      </c>
      <c r="P681" t="n">
        <v>0</v>
      </c>
      <c r="Q681" t="n">
        <v>0</v>
      </c>
      <c r="R681" s="2" t="inlineStr"/>
    </row>
    <row r="682" ht="15" customHeight="1">
      <c r="A682" t="inlineStr">
        <is>
          <t>A 49897-2023</t>
        </is>
      </c>
      <c r="B682" s="1" t="n">
        <v>45213.84846064815</v>
      </c>
      <c r="C682" s="1" t="n">
        <v>46188</v>
      </c>
      <c r="D682" t="inlineStr">
        <is>
          <t>UPPSALA LÄN</t>
        </is>
      </c>
      <c r="E682" t="inlineStr">
        <is>
          <t>ÖSTHAMMAR</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37812-2022</t>
        </is>
      </c>
      <c r="B683" s="1" t="n">
        <v>44810</v>
      </c>
      <c r="C683" s="1" t="n">
        <v>46188</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60555-2023</t>
        </is>
      </c>
      <c r="B684" s="1" t="n">
        <v>45259</v>
      </c>
      <c r="C684" s="1" t="n">
        <v>46188</v>
      </c>
      <c r="D684" t="inlineStr">
        <is>
          <t>UPPSALA LÄN</t>
        </is>
      </c>
      <c r="E684" t="inlineStr">
        <is>
          <t>ÖSTHAMMAR</t>
        </is>
      </c>
      <c r="G684" t="n">
        <v>2</v>
      </c>
      <c r="H684" t="n">
        <v>0</v>
      </c>
      <c r="I684" t="n">
        <v>0</v>
      </c>
      <c r="J684" t="n">
        <v>0</v>
      </c>
      <c r="K684" t="n">
        <v>0</v>
      </c>
      <c r="L684" t="n">
        <v>0</v>
      </c>
      <c r="M684" t="n">
        <v>0</v>
      </c>
      <c r="N684" t="n">
        <v>0</v>
      </c>
      <c r="O684" t="n">
        <v>0</v>
      </c>
      <c r="P684" t="n">
        <v>0</v>
      </c>
      <c r="Q684" t="n">
        <v>0</v>
      </c>
      <c r="R684" s="2" t="inlineStr"/>
    </row>
    <row r="685" ht="15" customHeight="1">
      <c r="A685" t="inlineStr">
        <is>
          <t>A 44815-2022</t>
        </is>
      </c>
      <c r="B685" s="1" t="n">
        <v>44841.40452546296</v>
      </c>
      <c r="C685" s="1" t="n">
        <v>46188</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73483-2021</t>
        </is>
      </c>
      <c r="B686" s="1" t="n">
        <v>44550</v>
      </c>
      <c r="C686" s="1" t="n">
        <v>46188</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6121-2024</t>
        </is>
      </c>
      <c r="B687" s="1" t="n">
        <v>45337.4219212963</v>
      </c>
      <c r="C687" s="1" t="n">
        <v>46188</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62391-2022</t>
        </is>
      </c>
      <c r="B688" s="1" t="n">
        <v>44923.7849537037</v>
      </c>
      <c r="C688" s="1" t="n">
        <v>46188</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54314-2023</t>
        </is>
      </c>
      <c r="B689" s="1" t="n">
        <v>45225</v>
      </c>
      <c r="C689" s="1" t="n">
        <v>46188</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23363-2023</t>
        </is>
      </c>
      <c r="B690" s="1" t="n">
        <v>45076</v>
      </c>
      <c r="C690" s="1" t="n">
        <v>46188</v>
      </c>
      <c r="D690" t="inlineStr">
        <is>
          <t>UPPSALA LÄN</t>
        </is>
      </c>
      <c r="E690" t="inlineStr">
        <is>
          <t>ÖSTHAMMAR</t>
        </is>
      </c>
      <c r="G690" t="n">
        <v>3</v>
      </c>
      <c r="H690" t="n">
        <v>0</v>
      </c>
      <c r="I690" t="n">
        <v>0</v>
      </c>
      <c r="J690" t="n">
        <v>0</v>
      </c>
      <c r="K690" t="n">
        <v>0</v>
      </c>
      <c r="L690" t="n">
        <v>0</v>
      </c>
      <c r="M690" t="n">
        <v>0</v>
      </c>
      <c r="N690" t="n">
        <v>0</v>
      </c>
      <c r="O690" t="n">
        <v>0</v>
      </c>
      <c r="P690" t="n">
        <v>0</v>
      </c>
      <c r="Q690" t="n">
        <v>0</v>
      </c>
      <c r="R690" s="2" t="inlineStr"/>
    </row>
    <row r="691" ht="15" customHeight="1">
      <c r="A691" t="inlineStr">
        <is>
          <t>A 4233-2023</t>
        </is>
      </c>
      <c r="B691" s="1" t="n">
        <v>44953.48619212963</v>
      </c>
      <c r="C691" s="1" t="n">
        <v>46188</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58270-2023</t>
        </is>
      </c>
      <c r="B692" s="1" t="n">
        <v>45250.49961805555</v>
      </c>
      <c r="C692" s="1" t="n">
        <v>46188</v>
      </c>
      <c r="D692" t="inlineStr">
        <is>
          <t>UPPSALA LÄN</t>
        </is>
      </c>
      <c r="E692" t="inlineStr">
        <is>
          <t>ÖSTHAMMAR</t>
        </is>
      </c>
      <c r="G692" t="n">
        <v>1.3</v>
      </c>
      <c r="H692" t="n">
        <v>0</v>
      </c>
      <c r="I692" t="n">
        <v>0</v>
      </c>
      <c r="J692" t="n">
        <v>0</v>
      </c>
      <c r="K692" t="n">
        <v>0</v>
      </c>
      <c r="L692" t="n">
        <v>0</v>
      </c>
      <c r="M692" t="n">
        <v>0</v>
      </c>
      <c r="N692" t="n">
        <v>0</v>
      </c>
      <c r="O692" t="n">
        <v>0</v>
      </c>
      <c r="P692" t="n">
        <v>0</v>
      </c>
      <c r="Q692" t="n">
        <v>0</v>
      </c>
      <c r="R692" s="2" t="inlineStr"/>
    </row>
    <row r="693" ht="15" customHeight="1">
      <c r="A693" t="inlineStr">
        <is>
          <t>A 73592-2021</t>
        </is>
      </c>
      <c r="B693" s="1" t="n">
        <v>44552.36974537037</v>
      </c>
      <c r="C693" s="1" t="n">
        <v>46188</v>
      </c>
      <c r="D693" t="inlineStr">
        <is>
          <t>UPPSALA LÄN</t>
        </is>
      </c>
      <c r="E693" t="inlineStr">
        <is>
          <t>ÖSTHAMMAR</t>
        </is>
      </c>
      <c r="G693" t="n">
        <v>1.7</v>
      </c>
      <c r="H693" t="n">
        <v>0</v>
      </c>
      <c r="I693" t="n">
        <v>0</v>
      </c>
      <c r="J693" t="n">
        <v>0</v>
      </c>
      <c r="K693" t="n">
        <v>0</v>
      </c>
      <c r="L693" t="n">
        <v>0</v>
      </c>
      <c r="M693" t="n">
        <v>0</v>
      </c>
      <c r="N693" t="n">
        <v>0</v>
      </c>
      <c r="O693" t="n">
        <v>0</v>
      </c>
      <c r="P693" t="n">
        <v>0</v>
      </c>
      <c r="Q693" t="n">
        <v>0</v>
      </c>
      <c r="R693" s="2" t="inlineStr"/>
    </row>
    <row r="694" ht="15" customHeight="1">
      <c r="A694" t="inlineStr">
        <is>
          <t>A 25938-2024</t>
        </is>
      </c>
      <c r="B694" s="1" t="n">
        <v>45467.63127314814</v>
      </c>
      <c r="C694" s="1" t="n">
        <v>46188</v>
      </c>
      <c r="D694" t="inlineStr">
        <is>
          <t>UPPSALA LÄN</t>
        </is>
      </c>
      <c r="E694" t="inlineStr">
        <is>
          <t>ÖSTHAMMAR</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35539-2023</t>
        </is>
      </c>
      <c r="B695" s="1" t="n">
        <v>45147.37006944444</v>
      </c>
      <c r="C695" s="1" t="n">
        <v>46188</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32744-2022</t>
        </is>
      </c>
      <c r="B696" s="1" t="n">
        <v>44783.70378472222</v>
      </c>
      <c r="C696" s="1" t="n">
        <v>46188</v>
      </c>
      <c r="D696" t="inlineStr">
        <is>
          <t>UPPSALA LÄN</t>
        </is>
      </c>
      <c r="E696" t="inlineStr">
        <is>
          <t>ÖSTHAMMAR</t>
        </is>
      </c>
      <c r="F696" t="inlineStr">
        <is>
          <t>Bergvik skog öst AB</t>
        </is>
      </c>
      <c r="G696" t="n">
        <v>3</v>
      </c>
      <c r="H696" t="n">
        <v>0</v>
      </c>
      <c r="I696" t="n">
        <v>0</v>
      </c>
      <c r="J696" t="n">
        <v>0</v>
      </c>
      <c r="K696" t="n">
        <v>0</v>
      </c>
      <c r="L696" t="n">
        <v>0</v>
      </c>
      <c r="M696" t="n">
        <v>0</v>
      </c>
      <c r="N696" t="n">
        <v>0</v>
      </c>
      <c r="O696" t="n">
        <v>0</v>
      </c>
      <c r="P696" t="n">
        <v>0</v>
      </c>
      <c r="Q696" t="n">
        <v>0</v>
      </c>
      <c r="R696" s="2" t="inlineStr"/>
    </row>
    <row r="697" ht="15" customHeight="1">
      <c r="A697" t="inlineStr">
        <is>
          <t>A 8006-2023</t>
        </is>
      </c>
      <c r="B697" s="1" t="n">
        <v>44973</v>
      </c>
      <c r="C697" s="1" t="n">
        <v>46188</v>
      </c>
      <c r="D697" t="inlineStr">
        <is>
          <t>UPPSALA LÄN</t>
        </is>
      </c>
      <c r="E697" t="inlineStr">
        <is>
          <t>ÖSTHAMMAR</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46188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7543-2023</t>
        </is>
      </c>
      <c r="B699" s="1" t="n">
        <v>44972</v>
      </c>
      <c r="C699" s="1" t="n">
        <v>46188</v>
      </c>
      <c r="D699" t="inlineStr">
        <is>
          <t>UPPSALA LÄN</t>
        </is>
      </c>
      <c r="E699" t="inlineStr">
        <is>
          <t>ÖSTHAMMAR</t>
        </is>
      </c>
      <c r="F699" t="inlineStr">
        <is>
          <t>Bergvik skog öst AB</t>
        </is>
      </c>
      <c r="G699" t="n">
        <v>13.3</v>
      </c>
      <c r="H699" t="n">
        <v>0</v>
      </c>
      <c r="I699" t="n">
        <v>0</v>
      </c>
      <c r="J699" t="n">
        <v>0</v>
      </c>
      <c r="K699" t="n">
        <v>0</v>
      </c>
      <c r="L699" t="n">
        <v>0</v>
      </c>
      <c r="M699" t="n">
        <v>0</v>
      </c>
      <c r="N699" t="n">
        <v>0</v>
      </c>
      <c r="O699" t="n">
        <v>0</v>
      </c>
      <c r="P699" t="n">
        <v>0</v>
      </c>
      <c r="Q699" t="n">
        <v>0</v>
      </c>
      <c r="R699" s="2" t="inlineStr"/>
    </row>
    <row r="700" ht="15" customHeight="1">
      <c r="A700" t="inlineStr">
        <is>
          <t>A 49899-2023</t>
        </is>
      </c>
      <c r="B700" s="1" t="n">
        <v>45213</v>
      </c>
      <c r="C700" s="1" t="n">
        <v>46188</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4676-2025</t>
        </is>
      </c>
      <c r="B701" s="1" t="n">
        <v>45687.8313425926</v>
      </c>
      <c r="C701" s="1" t="n">
        <v>46188</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24259-2022</t>
        </is>
      </c>
      <c r="B702" s="1" t="n">
        <v>44725</v>
      </c>
      <c r="C702" s="1" t="n">
        <v>46188</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18113-2023</t>
        </is>
      </c>
      <c r="B703" s="1" t="n">
        <v>45040</v>
      </c>
      <c r="C703" s="1" t="n">
        <v>46188</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61216-2022</t>
        </is>
      </c>
      <c r="B704" s="1" t="n">
        <v>44915.55423611111</v>
      </c>
      <c r="C704" s="1" t="n">
        <v>46188</v>
      </c>
      <c r="D704" t="inlineStr">
        <is>
          <t>UPPSALA LÄN</t>
        </is>
      </c>
      <c r="E704" t="inlineStr">
        <is>
          <t>ÖSTHAMMAR</t>
        </is>
      </c>
      <c r="G704" t="n">
        <v>2.9</v>
      </c>
      <c r="H704" t="n">
        <v>0</v>
      </c>
      <c r="I704" t="n">
        <v>0</v>
      </c>
      <c r="J704" t="n">
        <v>0</v>
      </c>
      <c r="K704" t="n">
        <v>0</v>
      </c>
      <c r="L704" t="n">
        <v>0</v>
      </c>
      <c r="M704" t="n">
        <v>0</v>
      </c>
      <c r="N704" t="n">
        <v>0</v>
      </c>
      <c r="O704" t="n">
        <v>0</v>
      </c>
      <c r="P704" t="n">
        <v>0</v>
      </c>
      <c r="Q704" t="n">
        <v>0</v>
      </c>
      <c r="R704" s="2" t="inlineStr"/>
    </row>
    <row r="705" ht="15" customHeight="1">
      <c r="A705" t="inlineStr">
        <is>
          <t>A 27660-2023</t>
        </is>
      </c>
      <c r="B705" s="1" t="n">
        <v>45097</v>
      </c>
      <c r="C705" s="1" t="n">
        <v>46188</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69411-2021</t>
        </is>
      </c>
      <c r="B706" s="1" t="n">
        <v>44531.61038194445</v>
      </c>
      <c r="C706" s="1" t="n">
        <v>46188</v>
      </c>
      <c r="D706" t="inlineStr">
        <is>
          <t>UPPSALA LÄN</t>
        </is>
      </c>
      <c r="E706" t="inlineStr">
        <is>
          <t>ÖSTHAMMAR</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c r="A707" t="inlineStr">
        <is>
          <t>A 26303-2024</t>
        </is>
      </c>
      <c r="B707" s="1" t="n">
        <v>45468</v>
      </c>
      <c r="C707" s="1" t="n">
        <v>46188</v>
      </c>
      <c r="D707" t="inlineStr">
        <is>
          <t>UPPSALA LÄN</t>
        </is>
      </c>
      <c r="E707" t="inlineStr">
        <is>
          <t>ÖSTHAMMAR</t>
        </is>
      </c>
      <c r="G707" t="n">
        <v>1.2</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2026-06-15T09:30:49Z</dcterms:created>
  <dcterms:modified xmlns:dcterms="http://purl.org/dc/terms/" xmlns:xsi="http://www.w3.org/2001/XMLSchema-instance" xsi:type="dcterms:W3CDTF">2026-06-15T09:30:50Z</dcterms:modified>
</cp:coreProperties>
</file>