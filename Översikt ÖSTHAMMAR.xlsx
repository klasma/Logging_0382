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45792</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45792</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45792</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45792</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45792</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45792</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45792</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45792</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45792</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45792</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45792</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45792</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45792</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45792</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45792</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45792</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45792</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45792</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45792</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45792</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45792</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45792</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45792</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45792</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45792</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45792</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45792</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45792</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45792</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45792</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45792</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45792</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45792</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45792</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45792</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45792</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45792</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45792</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45792</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45792</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45792</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45792</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45792</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45792</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45792</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45792</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45792</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45792</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45792</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45792</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45792</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45792</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45792</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45792</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45792</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45792</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45792</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45792</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45792</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45792</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45792</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45792</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45792</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45792</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45792</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45792</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45792</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45792</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45792</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45792</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45792</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45792</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45792</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45792</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45792</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45792</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45792</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45792</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45792</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45792</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45792</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45792</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45792</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45792</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45792</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45792</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45792</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45792</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45792</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45792</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45792</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45792</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45792</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45792</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45792</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45792</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45792</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45792</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45792</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45792</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45792</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45792</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45792</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45792</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45792</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45792</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45792</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45792</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45792</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45792</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45792</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45792</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45792</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45792</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45792</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45792</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45792</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45792</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45792</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45792</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45792</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45792</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45792</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45792</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45792</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45792</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45792</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45792</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45792</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45792</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45792</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45792</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45792</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45792</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45792</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45792</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45792</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45792</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45792</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45792</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45792</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45792</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45792</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45792</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53706-2023</t>
        </is>
      </c>
      <c r="B172" s="1" t="n">
        <v>45230</v>
      </c>
      <c r="C172" s="1" t="n">
        <v>45792</v>
      </c>
      <c r="D172" t="inlineStr">
        <is>
          <t>UPPSALA LÄN</t>
        </is>
      </c>
      <c r="E172" t="inlineStr">
        <is>
          <t>ÖSTHAMMAR</t>
        </is>
      </c>
      <c r="G172" t="n">
        <v>2.9</v>
      </c>
      <c r="H172" t="n">
        <v>0</v>
      </c>
      <c r="I172" t="n">
        <v>1</v>
      </c>
      <c r="J172" t="n">
        <v>0</v>
      </c>
      <c r="K172" t="n">
        <v>0</v>
      </c>
      <c r="L172" t="n">
        <v>0</v>
      </c>
      <c r="M172" t="n">
        <v>0</v>
      </c>
      <c r="N172" t="n">
        <v>0</v>
      </c>
      <c r="O172" t="n">
        <v>0</v>
      </c>
      <c r="P172" t="n">
        <v>0</v>
      </c>
      <c r="Q172" t="n">
        <v>1</v>
      </c>
      <c r="R172" s="2" t="inlineStr">
        <is>
          <t>Dofttråding</t>
        </is>
      </c>
      <c r="S172">
        <f>HYPERLINK("https://klasma.github.io/Logging_0382/artfynd/A 53706-2023 artfynd.xlsx", "A 53706-2023")</f>
        <v/>
      </c>
      <c r="T172">
        <f>HYPERLINK("https://klasma.github.io/Logging_0382/kartor/A 53706-2023 karta.png", "A 53706-2023")</f>
        <v/>
      </c>
      <c r="V172">
        <f>HYPERLINK("https://klasma.github.io/Logging_0382/klagomål/A 53706-2023 FSC-klagomål.docx", "A 53706-2023")</f>
        <v/>
      </c>
      <c r="W172">
        <f>HYPERLINK("https://klasma.github.io/Logging_0382/klagomålsmail/A 53706-2023 FSC-klagomål mail.docx", "A 53706-2023")</f>
        <v/>
      </c>
      <c r="X172">
        <f>HYPERLINK("https://klasma.github.io/Logging_0382/tillsyn/A 53706-2023 tillsynsbegäran.docx", "A 53706-2023")</f>
        <v/>
      </c>
      <c r="Y172">
        <f>HYPERLINK("https://klasma.github.io/Logging_0382/tillsynsmail/A 53706-2023 tillsynsbegäran mail.docx", "A 53706-2023")</f>
        <v/>
      </c>
    </row>
    <row r="173" ht="15" customHeight="1">
      <c r="A173" t="inlineStr">
        <is>
          <t>A 53729-2023</t>
        </is>
      </c>
      <c r="B173" s="1" t="n">
        <v>45230</v>
      </c>
      <c r="C173" s="1" t="n">
        <v>45792</v>
      </c>
      <c r="D173" t="inlineStr">
        <is>
          <t>UPPSALA LÄN</t>
        </is>
      </c>
      <c r="E173" t="inlineStr">
        <is>
          <t>ÖSTHAMMAR</t>
        </is>
      </c>
      <c r="G173" t="n">
        <v>2.6</v>
      </c>
      <c r="H173" t="n">
        <v>1</v>
      </c>
      <c r="I173" t="n">
        <v>0</v>
      </c>
      <c r="J173" t="n">
        <v>0</v>
      </c>
      <c r="K173" t="n">
        <v>0</v>
      </c>
      <c r="L173" t="n">
        <v>0</v>
      </c>
      <c r="M173" t="n">
        <v>0</v>
      </c>
      <c r="N173" t="n">
        <v>0</v>
      </c>
      <c r="O173" t="n">
        <v>0</v>
      </c>
      <c r="P173" t="n">
        <v>0</v>
      </c>
      <c r="Q173" t="n">
        <v>1</v>
      </c>
      <c r="R173" s="2" t="inlineStr">
        <is>
          <t>Gullviva</t>
        </is>
      </c>
      <c r="S173">
        <f>HYPERLINK("https://klasma.github.io/Logging_0382/artfynd/A 53729-2023 artfynd.xlsx", "A 53729-2023")</f>
        <v/>
      </c>
      <c r="T173">
        <f>HYPERLINK("https://klasma.github.io/Logging_0382/kartor/A 53729-2023 karta.png", "A 53729-2023")</f>
        <v/>
      </c>
      <c r="V173">
        <f>HYPERLINK("https://klasma.github.io/Logging_0382/klagomål/A 53729-2023 FSC-klagomål.docx", "A 53729-2023")</f>
        <v/>
      </c>
      <c r="W173">
        <f>HYPERLINK("https://klasma.github.io/Logging_0382/klagomålsmail/A 53729-2023 FSC-klagomål mail.docx", "A 53729-2023")</f>
        <v/>
      </c>
      <c r="X173">
        <f>HYPERLINK("https://klasma.github.io/Logging_0382/tillsyn/A 53729-2023 tillsynsbegäran.docx", "A 53729-2023")</f>
        <v/>
      </c>
      <c r="Y173">
        <f>HYPERLINK("https://klasma.github.io/Logging_0382/tillsynsmail/A 53729-2023 tillsynsbegäran mail.docx", "A 53729-2023")</f>
        <v/>
      </c>
    </row>
    <row r="174" ht="15" customHeight="1">
      <c r="A174" t="inlineStr">
        <is>
          <t>A 55492-2023</t>
        </is>
      </c>
      <c r="B174" s="1" t="n">
        <v>45238</v>
      </c>
      <c r="C174" s="1" t="n">
        <v>45792</v>
      </c>
      <c r="D174" t="inlineStr">
        <is>
          <t>UPPSALA LÄN</t>
        </is>
      </c>
      <c r="E174" t="inlineStr">
        <is>
          <t>ÖSTHAMMAR</t>
        </is>
      </c>
      <c r="G174" t="n">
        <v>3.1</v>
      </c>
      <c r="H174" t="n">
        <v>0</v>
      </c>
      <c r="I174" t="n">
        <v>0</v>
      </c>
      <c r="J174" t="n">
        <v>0</v>
      </c>
      <c r="K174" t="n">
        <v>1</v>
      </c>
      <c r="L174" t="n">
        <v>0</v>
      </c>
      <c r="M174" t="n">
        <v>0</v>
      </c>
      <c r="N174" t="n">
        <v>0</v>
      </c>
      <c r="O174" t="n">
        <v>1</v>
      </c>
      <c r="P174" t="n">
        <v>1</v>
      </c>
      <c r="Q174" t="n">
        <v>1</v>
      </c>
      <c r="R174" s="2" t="inlineStr">
        <is>
          <t>Violgubbe</t>
        </is>
      </c>
      <c r="S174">
        <f>HYPERLINK("https://klasma.github.io/Logging_0382/artfynd/A 55492-2023 artfynd.xlsx", "A 55492-2023")</f>
        <v/>
      </c>
      <c r="T174">
        <f>HYPERLINK("https://klasma.github.io/Logging_0382/kartor/A 55492-2023 karta.png", "A 55492-2023")</f>
        <v/>
      </c>
      <c r="V174">
        <f>HYPERLINK("https://klasma.github.io/Logging_0382/klagomål/A 55492-2023 FSC-klagomål.docx", "A 55492-2023")</f>
        <v/>
      </c>
      <c r="W174">
        <f>HYPERLINK("https://klasma.github.io/Logging_0382/klagomålsmail/A 55492-2023 FSC-klagomål mail.docx", "A 55492-2023")</f>
        <v/>
      </c>
      <c r="X174">
        <f>HYPERLINK("https://klasma.github.io/Logging_0382/tillsyn/A 55492-2023 tillsynsbegäran.docx", "A 55492-2023")</f>
        <v/>
      </c>
      <c r="Y174">
        <f>HYPERLINK("https://klasma.github.io/Logging_0382/tillsynsmail/A 55492-2023 tillsynsbegäran mail.docx", "A 55492-2023")</f>
        <v/>
      </c>
    </row>
    <row r="175" ht="15" customHeight="1">
      <c r="A175" t="inlineStr">
        <is>
          <t>A 57598-2023</t>
        </is>
      </c>
      <c r="B175" s="1" t="n">
        <v>45246</v>
      </c>
      <c r="C175" s="1" t="n">
        <v>45792</v>
      </c>
      <c r="D175" t="inlineStr">
        <is>
          <t>UPPSALA LÄN</t>
        </is>
      </c>
      <c r="E175" t="inlineStr">
        <is>
          <t>ÖSTHAMMAR</t>
        </is>
      </c>
      <c r="F175" t="inlineStr">
        <is>
          <t>Bergvik skog öst AB</t>
        </is>
      </c>
      <c r="G175" t="n">
        <v>1</v>
      </c>
      <c r="H175" t="n">
        <v>1</v>
      </c>
      <c r="I175" t="n">
        <v>1</v>
      </c>
      <c r="J175" t="n">
        <v>0</v>
      </c>
      <c r="K175" t="n">
        <v>0</v>
      </c>
      <c r="L175" t="n">
        <v>0</v>
      </c>
      <c r="M175" t="n">
        <v>0</v>
      </c>
      <c r="N175" t="n">
        <v>0</v>
      </c>
      <c r="O175" t="n">
        <v>0</v>
      </c>
      <c r="P175" t="n">
        <v>0</v>
      </c>
      <c r="Q175" t="n">
        <v>1</v>
      </c>
      <c r="R175" s="2" t="inlineStr">
        <is>
          <t>Skogsknipprot</t>
        </is>
      </c>
      <c r="S175">
        <f>HYPERLINK("https://klasma.github.io/Logging_0382/artfynd/A 57598-2023 artfynd.xlsx", "A 57598-2023")</f>
        <v/>
      </c>
      <c r="T175">
        <f>HYPERLINK("https://klasma.github.io/Logging_0382/kartor/A 57598-2023 karta.png", "A 57598-2023")</f>
        <v/>
      </c>
      <c r="V175">
        <f>HYPERLINK("https://klasma.github.io/Logging_0382/klagomål/A 57598-2023 FSC-klagomål.docx", "A 57598-2023")</f>
        <v/>
      </c>
      <c r="W175">
        <f>HYPERLINK("https://klasma.github.io/Logging_0382/klagomålsmail/A 57598-2023 FSC-klagomål mail.docx", "A 57598-2023")</f>
        <v/>
      </c>
      <c r="X175">
        <f>HYPERLINK("https://klasma.github.io/Logging_0382/tillsyn/A 57598-2023 tillsynsbegäran.docx", "A 57598-2023")</f>
        <v/>
      </c>
      <c r="Y175">
        <f>HYPERLINK("https://klasma.github.io/Logging_0382/tillsynsmail/A 57598-2023 tillsynsbegäran mail.docx", "A 57598-2023")</f>
        <v/>
      </c>
    </row>
    <row r="176" ht="15" customHeight="1">
      <c r="A176" t="inlineStr">
        <is>
          <t>A 57607-2023</t>
        </is>
      </c>
      <c r="B176" s="1" t="n">
        <v>45246</v>
      </c>
      <c r="C176" s="1" t="n">
        <v>45792</v>
      </c>
      <c r="D176" t="inlineStr">
        <is>
          <t>UPPSALA LÄN</t>
        </is>
      </c>
      <c r="E176" t="inlineStr">
        <is>
          <t>ÖSTHAMMAR</t>
        </is>
      </c>
      <c r="F176" t="inlineStr">
        <is>
          <t>Bergvik skog öst AB</t>
        </is>
      </c>
      <c r="G176" t="n">
        <v>5.8</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57607-2023 artfynd.xlsx", "A 57607-2023")</f>
        <v/>
      </c>
      <c r="T176">
        <f>HYPERLINK("https://klasma.github.io/Logging_0382/kartor/A 57607-2023 karta.png", "A 57607-2023")</f>
        <v/>
      </c>
      <c r="V176">
        <f>HYPERLINK("https://klasma.github.io/Logging_0382/klagomål/A 57607-2023 FSC-klagomål.docx", "A 57607-2023")</f>
        <v/>
      </c>
      <c r="W176">
        <f>HYPERLINK("https://klasma.github.io/Logging_0382/klagomålsmail/A 57607-2023 FSC-klagomål mail.docx", "A 57607-2023")</f>
        <v/>
      </c>
      <c r="X176">
        <f>HYPERLINK("https://klasma.github.io/Logging_0382/tillsyn/A 57607-2023 tillsynsbegäran.docx", "A 57607-2023")</f>
        <v/>
      </c>
      <c r="Y176">
        <f>HYPERLINK("https://klasma.github.io/Logging_0382/tillsynsmail/A 57607-2023 tillsynsbegäran mail.docx", "A 57607-2023")</f>
        <v/>
      </c>
    </row>
    <row r="177" ht="15" customHeight="1">
      <c r="A177" t="inlineStr">
        <is>
          <t>A 57640-2023</t>
        </is>
      </c>
      <c r="B177" s="1" t="n">
        <v>45246</v>
      </c>
      <c r="C177" s="1" t="n">
        <v>45792</v>
      </c>
      <c r="D177" t="inlineStr">
        <is>
          <t>UPPSALA LÄN</t>
        </is>
      </c>
      <c r="E177" t="inlineStr">
        <is>
          <t>ÖSTHAMMAR</t>
        </is>
      </c>
      <c r="F177" t="inlineStr">
        <is>
          <t>Bergvik skog öst AB</t>
        </is>
      </c>
      <c r="G177" t="n">
        <v>2.3</v>
      </c>
      <c r="H177" t="n">
        <v>0</v>
      </c>
      <c r="I177" t="n">
        <v>1</v>
      </c>
      <c r="J177" t="n">
        <v>0</v>
      </c>
      <c r="K177" t="n">
        <v>0</v>
      </c>
      <c r="L177" t="n">
        <v>0</v>
      </c>
      <c r="M177" t="n">
        <v>0</v>
      </c>
      <c r="N177" t="n">
        <v>0</v>
      </c>
      <c r="O177" t="n">
        <v>0</v>
      </c>
      <c r="P177" t="n">
        <v>0</v>
      </c>
      <c r="Q177" t="n">
        <v>1</v>
      </c>
      <c r="R177" s="2" t="inlineStr">
        <is>
          <t>Svavelriska</t>
        </is>
      </c>
      <c r="S177">
        <f>HYPERLINK("https://klasma.github.io/Logging_0382/artfynd/A 57640-2023 artfynd.xlsx", "A 57640-2023")</f>
        <v/>
      </c>
      <c r="T177">
        <f>HYPERLINK("https://klasma.github.io/Logging_0382/kartor/A 57640-2023 karta.png", "A 57640-2023")</f>
        <v/>
      </c>
      <c r="V177">
        <f>HYPERLINK("https://klasma.github.io/Logging_0382/klagomål/A 57640-2023 FSC-klagomål.docx", "A 57640-2023")</f>
        <v/>
      </c>
      <c r="W177">
        <f>HYPERLINK("https://klasma.github.io/Logging_0382/klagomålsmail/A 57640-2023 FSC-klagomål mail.docx", "A 57640-2023")</f>
        <v/>
      </c>
      <c r="X177">
        <f>HYPERLINK("https://klasma.github.io/Logging_0382/tillsyn/A 57640-2023 tillsynsbegäran.docx", "A 57640-2023")</f>
        <v/>
      </c>
      <c r="Y177">
        <f>HYPERLINK("https://klasma.github.io/Logging_0382/tillsynsmail/A 57640-2023 tillsynsbegäran mail.docx", "A 57640-2023")</f>
        <v/>
      </c>
    </row>
    <row r="178" ht="15" customHeight="1">
      <c r="A178" t="inlineStr">
        <is>
          <t>A 4048-2024</t>
        </is>
      </c>
      <c r="B178" s="1" t="n">
        <v>45323</v>
      </c>
      <c r="C178" s="1" t="n">
        <v>45792</v>
      </c>
      <c r="D178" t="inlineStr">
        <is>
          <t>UPPSALA LÄN</t>
        </is>
      </c>
      <c r="E178" t="inlineStr">
        <is>
          <t>ÖSTHAMMAR</t>
        </is>
      </c>
      <c r="F178" t="inlineStr">
        <is>
          <t>Övriga Aktiebolag</t>
        </is>
      </c>
      <c r="G178" t="n">
        <v>21.2</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4048-2024 artfynd.xlsx", "A 4048-2024")</f>
        <v/>
      </c>
      <c r="T178">
        <f>HYPERLINK("https://klasma.github.io/Logging_0382/kartor/A 4048-2024 karta.png", "A 4048-2024")</f>
        <v/>
      </c>
      <c r="V178">
        <f>HYPERLINK("https://klasma.github.io/Logging_0382/klagomål/A 4048-2024 FSC-klagomål.docx", "A 4048-2024")</f>
        <v/>
      </c>
      <c r="W178">
        <f>HYPERLINK("https://klasma.github.io/Logging_0382/klagomålsmail/A 4048-2024 FSC-klagomål mail.docx", "A 4048-2024")</f>
        <v/>
      </c>
      <c r="X178">
        <f>HYPERLINK("https://klasma.github.io/Logging_0382/tillsyn/A 4048-2024 tillsynsbegäran.docx", "A 4048-2024")</f>
        <v/>
      </c>
      <c r="Y178">
        <f>HYPERLINK("https://klasma.github.io/Logging_0382/tillsynsmail/A 4048-2024 tillsynsbegäran mail.docx", "A 4048-2024")</f>
        <v/>
      </c>
    </row>
    <row r="179" ht="15" customHeight="1">
      <c r="A179" t="inlineStr">
        <is>
          <t>A 10210-2024</t>
        </is>
      </c>
      <c r="B179" s="1" t="n">
        <v>45364</v>
      </c>
      <c r="C179" s="1" t="n">
        <v>45792</v>
      </c>
      <c r="D179" t="inlineStr">
        <is>
          <t>UPPSALA LÄN</t>
        </is>
      </c>
      <c r="E179" t="inlineStr">
        <is>
          <t>ÖSTHAMMAR</t>
        </is>
      </c>
      <c r="F179" t="inlineStr">
        <is>
          <t>Bergvik skog öst AB</t>
        </is>
      </c>
      <c r="G179" t="n">
        <v>18</v>
      </c>
      <c r="H179" t="n">
        <v>1</v>
      </c>
      <c r="I179" t="n">
        <v>0</v>
      </c>
      <c r="J179" t="n">
        <v>0</v>
      </c>
      <c r="K179" t="n">
        <v>0</v>
      </c>
      <c r="L179" t="n">
        <v>0</v>
      </c>
      <c r="M179" t="n">
        <v>0</v>
      </c>
      <c r="N179" t="n">
        <v>0</v>
      </c>
      <c r="O179" t="n">
        <v>0</v>
      </c>
      <c r="P179" t="n">
        <v>0</v>
      </c>
      <c r="Q179" t="n">
        <v>1</v>
      </c>
      <c r="R179" s="2" t="inlineStr">
        <is>
          <t>Tjäder</t>
        </is>
      </c>
      <c r="S179">
        <f>HYPERLINK("https://klasma.github.io/Logging_0382/artfynd/A 10210-2024 artfynd.xlsx", "A 10210-2024")</f>
        <v/>
      </c>
      <c r="T179">
        <f>HYPERLINK("https://klasma.github.io/Logging_0382/kartor/A 10210-2024 karta.png", "A 10210-2024")</f>
        <v/>
      </c>
      <c r="V179">
        <f>HYPERLINK("https://klasma.github.io/Logging_0382/klagomål/A 10210-2024 FSC-klagomål.docx", "A 10210-2024")</f>
        <v/>
      </c>
      <c r="W179">
        <f>HYPERLINK("https://klasma.github.io/Logging_0382/klagomålsmail/A 10210-2024 FSC-klagomål mail.docx", "A 10210-2024")</f>
        <v/>
      </c>
      <c r="X179">
        <f>HYPERLINK("https://klasma.github.io/Logging_0382/tillsyn/A 10210-2024 tillsynsbegäran.docx", "A 10210-2024")</f>
        <v/>
      </c>
      <c r="Y179">
        <f>HYPERLINK("https://klasma.github.io/Logging_0382/tillsynsmail/A 10210-2024 tillsynsbegäran mail.docx", "A 10210-2024")</f>
        <v/>
      </c>
      <c r="Z179">
        <f>HYPERLINK("https://klasma.github.io/Logging_0382/fåglar/A 10210-2024 prioriterade fågelarter.docx", "A 10210-2024")</f>
        <v/>
      </c>
    </row>
    <row r="180" ht="15" customHeight="1">
      <c r="A180" t="inlineStr">
        <is>
          <t>A 12753-2024</t>
        </is>
      </c>
      <c r="B180" s="1" t="n">
        <v>45384</v>
      </c>
      <c r="C180" s="1" t="n">
        <v>45792</v>
      </c>
      <c r="D180" t="inlineStr">
        <is>
          <t>UPPSALA LÄN</t>
        </is>
      </c>
      <c r="E180" t="inlineStr">
        <is>
          <t>ÖSTHAMMAR</t>
        </is>
      </c>
      <c r="G180" t="n">
        <v>1.7</v>
      </c>
      <c r="H180" t="n">
        <v>0</v>
      </c>
      <c r="I180" t="n">
        <v>0</v>
      </c>
      <c r="J180" t="n">
        <v>1</v>
      </c>
      <c r="K180" t="n">
        <v>0</v>
      </c>
      <c r="L180" t="n">
        <v>0</v>
      </c>
      <c r="M180" t="n">
        <v>0</v>
      </c>
      <c r="N180" t="n">
        <v>0</v>
      </c>
      <c r="O180" t="n">
        <v>1</v>
      </c>
      <c r="P180" t="n">
        <v>0</v>
      </c>
      <c r="Q180" t="n">
        <v>1</v>
      </c>
      <c r="R180" s="2" t="inlineStr">
        <is>
          <t>Flattoppad klubbsvamp</t>
        </is>
      </c>
      <c r="S180">
        <f>HYPERLINK("https://klasma.github.io/Logging_0382/artfynd/A 12753-2024 artfynd.xlsx", "A 12753-2024")</f>
        <v/>
      </c>
      <c r="T180">
        <f>HYPERLINK("https://klasma.github.io/Logging_0382/kartor/A 12753-2024 karta.png", "A 12753-2024")</f>
        <v/>
      </c>
      <c r="V180">
        <f>HYPERLINK("https://klasma.github.io/Logging_0382/klagomål/A 12753-2024 FSC-klagomål.docx", "A 12753-2024")</f>
        <v/>
      </c>
      <c r="W180">
        <f>HYPERLINK("https://klasma.github.io/Logging_0382/klagomålsmail/A 12753-2024 FSC-klagomål mail.docx", "A 12753-2024")</f>
        <v/>
      </c>
      <c r="X180">
        <f>HYPERLINK("https://klasma.github.io/Logging_0382/tillsyn/A 12753-2024 tillsynsbegäran.docx", "A 12753-2024")</f>
        <v/>
      </c>
      <c r="Y180">
        <f>HYPERLINK("https://klasma.github.io/Logging_0382/tillsynsmail/A 12753-2024 tillsynsbegäran mail.docx", "A 12753-2024")</f>
        <v/>
      </c>
    </row>
    <row r="181" ht="15" customHeight="1">
      <c r="A181" t="inlineStr">
        <is>
          <t>A 14203-2024</t>
        </is>
      </c>
      <c r="B181" s="1" t="n">
        <v>45393</v>
      </c>
      <c r="C181" s="1" t="n">
        <v>45792</v>
      </c>
      <c r="D181" t="inlineStr">
        <is>
          <t>UPPSALA LÄN</t>
        </is>
      </c>
      <c r="E181" t="inlineStr">
        <is>
          <t>ÖSTHAMMAR</t>
        </is>
      </c>
      <c r="G181" t="n">
        <v>1.4</v>
      </c>
      <c r="H181" t="n">
        <v>0</v>
      </c>
      <c r="I181" t="n">
        <v>0</v>
      </c>
      <c r="J181" t="n">
        <v>1</v>
      </c>
      <c r="K181" t="n">
        <v>0</v>
      </c>
      <c r="L181" t="n">
        <v>0</v>
      </c>
      <c r="M181" t="n">
        <v>0</v>
      </c>
      <c r="N181" t="n">
        <v>0</v>
      </c>
      <c r="O181" t="n">
        <v>1</v>
      </c>
      <c r="P181" t="n">
        <v>0</v>
      </c>
      <c r="Q181" t="n">
        <v>1</v>
      </c>
      <c r="R181" s="2" t="inlineStr">
        <is>
          <t>Scharlakansvaxing</t>
        </is>
      </c>
      <c r="S181">
        <f>HYPERLINK("https://klasma.github.io/Logging_0382/artfynd/A 14203-2024 artfynd.xlsx", "A 14203-2024")</f>
        <v/>
      </c>
      <c r="T181">
        <f>HYPERLINK("https://klasma.github.io/Logging_0382/kartor/A 14203-2024 karta.png", "A 14203-2024")</f>
        <v/>
      </c>
      <c r="V181">
        <f>HYPERLINK("https://klasma.github.io/Logging_0382/klagomål/A 14203-2024 FSC-klagomål.docx", "A 14203-2024")</f>
        <v/>
      </c>
      <c r="W181">
        <f>HYPERLINK("https://klasma.github.io/Logging_0382/klagomålsmail/A 14203-2024 FSC-klagomål mail.docx", "A 14203-2024")</f>
        <v/>
      </c>
      <c r="X181">
        <f>HYPERLINK("https://klasma.github.io/Logging_0382/tillsyn/A 14203-2024 tillsynsbegäran.docx", "A 14203-2024")</f>
        <v/>
      </c>
      <c r="Y181">
        <f>HYPERLINK("https://klasma.github.io/Logging_0382/tillsynsmail/A 14203-2024 tillsynsbegäran mail.docx", "A 14203-2024")</f>
        <v/>
      </c>
    </row>
    <row r="182" ht="15" customHeight="1">
      <c r="A182" t="inlineStr">
        <is>
          <t>A 22375-2024</t>
        </is>
      </c>
      <c r="B182" s="1" t="n">
        <v>45446</v>
      </c>
      <c r="C182" s="1" t="n">
        <v>45792</v>
      </c>
      <c r="D182" t="inlineStr">
        <is>
          <t>UPPSALA LÄN</t>
        </is>
      </c>
      <c r="E182" t="inlineStr">
        <is>
          <t>ÖSTHAMMAR</t>
        </is>
      </c>
      <c r="F182" t="inlineStr">
        <is>
          <t>Bergvik skog öst AB</t>
        </is>
      </c>
      <c r="G182" t="n">
        <v>2.2</v>
      </c>
      <c r="H182" t="n">
        <v>0</v>
      </c>
      <c r="I182" t="n">
        <v>0</v>
      </c>
      <c r="J182" t="n">
        <v>1</v>
      </c>
      <c r="K182" t="n">
        <v>0</v>
      </c>
      <c r="L182" t="n">
        <v>0</v>
      </c>
      <c r="M182" t="n">
        <v>0</v>
      </c>
      <c r="N182" t="n">
        <v>0</v>
      </c>
      <c r="O182" t="n">
        <v>1</v>
      </c>
      <c r="P182" t="n">
        <v>0</v>
      </c>
      <c r="Q182" t="n">
        <v>1</v>
      </c>
      <c r="R182" s="2" t="inlineStr">
        <is>
          <t>Slåtterfibbla</t>
        </is>
      </c>
      <c r="S182">
        <f>HYPERLINK("https://klasma.github.io/Logging_0382/artfynd/A 22375-2024 artfynd.xlsx", "A 22375-2024")</f>
        <v/>
      </c>
      <c r="T182">
        <f>HYPERLINK("https://klasma.github.io/Logging_0382/kartor/A 22375-2024 karta.png", "A 22375-2024")</f>
        <v/>
      </c>
      <c r="V182">
        <f>HYPERLINK("https://klasma.github.io/Logging_0382/klagomål/A 22375-2024 FSC-klagomål.docx", "A 22375-2024")</f>
        <v/>
      </c>
      <c r="W182">
        <f>HYPERLINK("https://klasma.github.io/Logging_0382/klagomålsmail/A 22375-2024 FSC-klagomål mail.docx", "A 22375-2024")</f>
        <v/>
      </c>
      <c r="X182">
        <f>HYPERLINK("https://klasma.github.io/Logging_0382/tillsyn/A 22375-2024 tillsynsbegäran.docx", "A 22375-2024")</f>
        <v/>
      </c>
      <c r="Y182">
        <f>HYPERLINK("https://klasma.github.io/Logging_0382/tillsynsmail/A 22375-2024 tillsynsbegäran mail.docx", "A 22375-2024")</f>
        <v/>
      </c>
    </row>
    <row r="183" ht="15" customHeight="1">
      <c r="A183" t="inlineStr">
        <is>
          <t>A 36622-2024</t>
        </is>
      </c>
      <c r="B183" s="1" t="n">
        <v>45537</v>
      </c>
      <c r="C183" s="1" t="n">
        <v>45792</v>
      </c>
      <c r="D183" t="inlineStr">
        <is>
          <t>UPPSALA LÄN</t>
        </is>
      </c>
      <c r="E183" t="inlineStr">
        <is>
          <t>ÖSTHAMMAR</t>
        </is>
      </c>
      <c r="F183" t="inlineStr">
        <is>
          <t>Bergvik skog väst AB</t>
        </is>
      </c>
      <c r="G183" t="n">
        <v>5.2</v>
      </c>
      <c r="H183" t="n">
        <v>1</v>
      </c>
      <c r="I183" t="n">
        <v>0</v>
      </c>
      <c r="J183" t="n">
        <v>0</v>
      </c>
      <c r="K183" t="n">
        <v>0</v>
      </c>
      <c r="L183" t="n">
        <v>0</v>
      </c>
      <c r="M183" t="n">
        <v>0</v>
      </c>
      <c r="N183" t="n">
        <v>0</v>
      </c>
      <c r="O183" t="n">
        <v>0</v>
      </c>
      <c r="P183" t="n">
        <v>0</v>
      </c>
      <c r="Q183" t="n">
        <v>1</v>
      </c>
      <c r="R183" s="2" t="inlineStr">
        <is>
          <t>Blåsippa</t>
        </is>
      </c>
      <c r="S183">
        <f>HYPERLINK("https://klasma.github.io/Logging_0382/artfynd/A 36622-2024 artfynd.xlsx", "A 36622-2024")</f>
        <v/>
      </c>
      <c r="T183">
        <f>HYPERLINK("https://klasma.github.io/Logging_0382/kartor/A 36622-2024 karta.png", "A 36622-2024")</f>
        <v/>
      </c>
      <c r="V183">
        <f>HYPERLINK("https://klasma.github.io/Logging_0382/klagomål/A 36622-2024 FSC-klagomål.docx", "A 36622-2024")</f>
        <v/>
      </c>
      <c r="W183">
        <f>HYPERLINK("https://klasma.github.io/Logging_0382/klagomålsmail/A 36622-2024 FSC-klagomål mail.docx", "A 36622-2024")</f>
        <v/>
      </c>
      <c r="X183">
        <f>HYPERLINK("https://klasma.github.io/Logging_0382/tillsyn/A 36622-2024 tillsynsbegäran.docx", "A 36622-2024")</f>
        <v/>
      </c>
      <c r="Y183">
        <f>HYPERLINK("https://klasma.github.io/Logging_0382/tillsynsmail/A 36622-2024 tillsynsbegäran mail.docx", "A 36622-2024")</f>
        <v/>
      </c>
    </row>
    <row r="184" ht="15" customHeight="1">
      <c r="A184" t="inlineStr">
        <is>
          <t>A 46632-2024</t>
        </is>
      </c>
      <c r="B184" s="1" t="n">
        <v>45583</v>
      </c>
      <c r="C184" s="1" t="n">
        <v>45792</v>
      </c>
      <c r="D184" t="inlineStr">
        <is>
          <t>UPPSALA LÄN</t>
        </is>
      </c>
      <c r="E184" t="inlineStr">
        <is>
          <t>ÖSTHAMMAR</t>
        </is>
      </c>
      <c r="F184" t="inlineStr">
        <is>
          <t>Bergvik skog öst AB</t>
        </is>
      </c>
      <c r="G184" t="n">
        <v>5.3</v>
      </c>
      <c r="H184" t="n">
        <v>0</v>
      </c>
      <c r="I184" t="n">
        <v>0</v>
      </c>
      <c r="J184" t="n">
        <v>1</v>
      </c>
      <c r="K184" t="n">
        <v>0</v>
      </c>
      <c r="L184" t="n">
        <v>0</v>
      </c>
      <c r="M184" t="n">
        <v>0</v>
      </c>
      <c r="N184" t="n">
        <v>0</v>
      </c>
      <c r="O184" t="n">
        <v>1</v>
      </c>
      <c r="P184" t="n">
        <v>0</v>
      </c>
      <c r="Q184" t="n">
        <v>1</v>
      </c>
      <c r="R184" s="2" t="inlineStr">
        <is>
          <t>Sexfläckig bastardsvärmare</t>
        </is>
      </c>
      <c r="S184">
        <f>HYPERLINK("https://klasma.github.io/Logging_0382/artfynd/A 46632-2024 artfynd.xlsx", "A 46632-2024")</f>
        <v/>
      </c>
      <c r="T184">
        <f>HYPERLINK("https://klasma.github.io/Logging_0382/kartor/A 46632-2024 karta.png", "A 46632-2024")</f>
        <v/>
      </c>
      <c r="V184">
        <f>HYPERLINK("https://klasma.github.io/Logging_0382/klagomål/A 46632-2024 FSC-klagomål.docx", "A 46632-2024")</f>
        <v/>
      </c>
      <c r="W184">
        <f>HYPERLINK("https://klasma.github.io/Logging_0382/klagomålsmail/A 46632-2024 FSC-klagomål mail.docx", "A 46632-2024")</f>
        <v/>
      </c>
      <c r="X184">
        <f>HYPERLINK("https://klasma.github.io/Logging_0382/tillsyn/A 46632-2024 tillsynsbegäran.docx", "A 46632-2024")</f>
        <v/>
      </c>
      <c r="Y184">
        <f>HYPERLINK("https://klasma.github.io/Logging_0382/tillsynsmail/A 46632-2024 tillsynsbegäran mail.docx", "A 46632-2024")</f>
        <v/>
      </c>
    </row>
    <row r="185" ht="15" customHeight="1">
      <c r="A185" t="inlineStr">
        <is>
          <t>A 46629-2024</t>
        </is>
      </c>
      <c r="B185" s="1" t="n">
        <v>45583</v>
      </c>
      <c r="C185" s="1" t="n">
        <v>45792</v>
      </c>
      <c r="D185" t="inlineStr">
        <is>
          <t>UPPSALA LÄN</t>
        </is>
      </c>
      <c r="E185" t="inlineStr">
        <is>
          <t>ÖSTHAMMAR</t>
        </is>
      </c>
      <c r="F185" t="inlineStr">
        <is>
          <t>Bergvik skog öst AB</t>
        </is>
      </c>
      <c r="G185" t="n">
        <v>0.7</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46629-2024 artfynd.xlsx", "A 46629-2024")</f>
        <v/>
      </c>
      <c r="T185">
        <f>HYPERLINK("https://klasma.github.io/Logging_0382/kartor/A 46629-2024 karta.png", "A 46629-2024")</f>
        <v/>
      </c>
      <c r="V185">
        <f>HYPERLINK("https://klasma.github.io/Logging_0382/klagomål/A 46629-2024 FSC-klagomål.docx", "A 46629-2024")</f>
        <v/>
      </c>
      <c r="W185">
        <f>HYPERLINK("https://klasma.github.io/Logging_0382/klagomålsmail/A 46629-2024 FSC-klagomål mail.docx", "A 46629-2024")</f>
        <v/>
      </c>
      <c r="X185">
        <f>HYPERLINK("https://klasma.github.io/Logging_0382/tillsyn/A 46629-2024 tillsynsbegäran.docx", "A 46629-2024")</f>
        <v/>
      </c>
      <c r="Y185">
        <f>HYPERLINK("https://klasma.github.io/Logging_0382/tillsynsmail/A 46629-2024 tillsynsbegäran mail.docx", "A 46629-2024")</f>
        <v/>
      </c>
    </row>
    <row r="186" ht="15" customHeight="1">
      <c r="A186" t="inlineStr">
        <is>
          <t>A 55169-2024</t>
        </is>
      </c>
      <c r="B186" s="1" t="n">
        <v>45621</v>
      </c>
      <c r="C186" s="1" t="n">
        <v>45792</v>
      </c>
      <c r="D186" t="inlineStr">
        <is>
          <t>UPPSALA LÄN</t>
        </is>
      </c>
      <c r="E186" t="inlineStr">
        <is>
          <t>ÖSTHAMMAR</t>
        </is>
      </c>
      <c r="G186" t="n">
        <v>1.1</v>
      </c>
      <c r="H186" t="n">
        <v>0</v>
      </c>
      <c r="I186" t="n">
        <v>1</v>
      </c>
      <c r="J186" t="n">
        <v>0</v>
      </c>
      <c r="K186" t="n">
        <v>0</v>
      </c>
      <c r="L186" t="n">
        <v>0</v>
      </c>
      <c r="M186" t="n">
        <v>0</v>
      </c>
      <c r="N186" t="n">
        <v>0</v>
      </c>
      <c r="O186" t="n">
        <v>0</v>
      </c>
      <c r="P186" t="n">
        <v>0</v>
      </c>
      <c r="Q186" t="n">
        <v>1</v>
      </c>
      <c r="R186" s="2" t="inlineStr">
        <is>
          <t>Svavelriska</t>
        </is>
      </c>
      <c r="S186">
        <f>HYPERLINK("https://klasma.github.io/Logging_0382/artfynd/A 55169-2024 artfynd.xlsx", "A 55169-2024")</f>
        <v/>
      </c>
      <c r="T186">
        <f>HYPERLINK("https://klasma.github.io/Logging_0382/kartor/A 55169-2024 karta.png", "A 55169-2024")</f>
        <v/>
      </c>
      <c r="V186">
        <f>HYPERLINK("https://klasma.github.io/Logging_0382/klagomål/A 55169-2024 FSC-klagomål.docx", "A 55169-2024")</f>
        <v/>
      </c>
      <c r="W186">
        <f>HYPERLINK("https://klasma.github.io/Logging_0382/klagomålsmail/A 55169-2024 FSC-klagomål mail.docx", "A 55169-2024")</f>
        <v/>
      </c>
      <c r="X186">
        <f>HYPERLINK("https://klasma.github.io/Logging_0382/tillsyn/A 55169-2024 tillsynsbegäran.docx", "A 55169-2024")</f>
        <v/>
      </c>
      <c r="Y186">
        <f>HYPERLINK("https://klasma.github.io/Logging_0382/tillsynsmail/A 55169-2024 tillsynsbegäran mail.docx", "A 55169-2024")</f>
        <v/>
      </c>
    </row>
    <row r="187" ht="15" customHeight="1">
      <c r="A187" t="inlineStr">
        <is>
          <t>A 6143-2025</t>
        </is>
      </c>
      <c r="B187" s="1" t="n">
        <v>45698</v>
      </c>
      <c r="C187" s="1" t="n">
        <v>45792</v>
      </c>
      <c r="D187" t="inlineStr">
        <is>
          <t>UPPSALA LÄN</t>
        </is>
      </c>
      <c r="E187" t="inlineStr">
        <is>
          <t>ÖSTHAMMAR</t>
        </is>
      </c>
      <c r="F187" t="inlineStr">
        <is>
          <t>Bergvik skog öst AB</t>
        </is>
      </c>
      <c r="G187" t="n">
        <v>3.6</v>
      </c>
      <c r="H187" t="n">
        <v>0</v>
      </c>
      <c r="I187" t="n">
        <v>1</v>
      </c>
      <c r="J187" t="n">
        <v>0</v>
      </c>
      <c r="K187" t="n">
        <v>0</v>
      </c>
      <c r="L187" t="n">
        <v>0</v>
      </c>
      <c r="M187" t="n">
        <v>0</v>
      </c>
      <c r="N187" t="n">
        <v>0</v>
      </c>
      <c r="O187" t="n">
        <v>0</v>
      </c>
      <c r="P187" t="n">
        <v>0</v>
      </c>
      <c r="Q187" t="n">
        <v>1</v>
      </c>
      <c r="R187" s="2" t="inlineStr">
        <is>
          <t>Svavelriska</t>
        </is>
      </c>
      <c r="S187">
        <f>HYPERLINK("https://klasma.github.io/Logging_0382/artfynd/A 6143-2025 artfynd.xlsx", "A 6143-2025")</f>
        <v/>
      </c>
      <c r="T187">
        <f>HYPERLINK("https://klasma.github.io/Logging_0382/kartor/A 6143-2025 karta.png", "A 6143-2025")</f>
        <v/>
      </c>
      <c r="V187">
        <f>HYPERLINK("https://klasma.github.io/Logging_0382/klagomål/A 6143-2025 FSC-klagomål.docx", "A 6143-2025")</f>
        <v/>
      </c>
      <c r="W187">
        <f>HYPERLINK("https://klasma.github.io/Logging_0382/klagomålsmail/A 6143-2025 FSC-klagomål mail.docx", "A 6143-2025")</f>
        <v/>
      </c>
      <c r="X187">
        <f>HYPERLINK("https://klasma.github.io/Logging_0382/tillsyn/A 6143-2025 tillsynsbegäran.docx", "A 6143-2025")</f>
        <v/>
      </c>
      <c r="Y187">
        <f>HYPERLINK("https://klasma.github.io/Logging_0382/tillsynsmail/A 6143-2025 tillsynsbegäran mail.docx", "A 6143-2025")</f>
        <v/>
      </c>
    </row>
    <row r="188" ht="15" customHeight="1">
      <c r="A188" t="inlineStr">
        <is>
          <t>A 17141-2025</t>
        </is>
      </c>
      <c r="B188" s="1" t="n">
        <v>45755</v>
      </c>
      <c r="C188" s="1" t="n">
        <v>45792</v>
      </c>
      <c r="D188" t="inlineStr">
        <is>
          <t>UPPSALA LÄN</t>
        </is>
      </c>
      <c r="E188" t="inlineStr">
        <is>
          <t>ÖSTHAMMAR</t>
        </is>
      </c>
      <c r="F188" t="inlineStr">
        <is>
          <t>Bergvik skog öst AB</t>
        </is>
      </c>
      <c r="G188" t="n">
        <v>7</v>
      </c>
      <c r="H188" t="n">
        <v>1</v>
      </c>
      <c r="I188" t="n">
        <v>1</v>
      </c>
      <c r="J188" t="n">
        <v>0</v>
      </c>
      <c r="K188" t="n">
        <v>0</v>
      </c>
      <c r="L188" t="n">
        <v>0</v>
      </c>
      <c r="M188" t="n">
        <v>0</v>
      </c>
      <c r="N188" t="n">
        <v>0</v>
      </c>
      <c r="O188" t="n">
        <v>0</v>
      </c>
      <c r="P188" t="n">
        <v>0</v>
      </c>
      <c r="Q188" t="n">
        <v>1</v>
      </c>
      <c r="R188" s="2" t="inlineStr">
        <is>
          <t>Grönkulla</t>
        </is>
      </c>
      <c r="S188">
        <f>HYPERLINK("https://klasma.github.io/Logging_030382/artfynd/A 17141-2025 artfynd.xlsx", "A 17141-2025")</f>
        <v/>
      </c>
      <c r="T188">
        <f>HYPERLINK("https://klasma.github.io/Logging_030382/kartor/A 17141-2025 karta.png", "A 17141-2025")</f>
        <v/>
      </c>
      <c r="V188">
        <f>HYPERLINK("https://klasma.github.io/Logging_030382/klagomål/A 17141-2025 FSC-klagomål.docx", "A 17141-2025")</f>
        <v/>
      </c>
      <c r="W188">
        <f>HYPERLINK("https://klasma.github.io/Logging_030382/klagomålsmail/A 17141-2025 FSC-klagomål mail.docx", "A 17141-2025")</f>
        <v/>
      </c>
      <c r="X188">
        <f>HYPERLINK("https://klasma.github.io/Logging_030382/tillsyn/A 17141-2025 tillsynsbegäran.docx", "A 17141-2025")</f>
        <v/>
      </c>
      <c r="Y188">
        <f>HYPERLINK("https://klasma.github.io/Logging_030382/tillsynsmail/A 17141-2025 tillsynsbegäran mail.docx", "A 17141-2025")</f>
        <v/>
      </c>
    </row>
    <row r="189" ht="15" customHeight="1">
      <c r="A189" t="inlineStr">
        <is>
          <t>A 18596-2019</t>
        </is>
      </c>
      <c r="B189" s="1" t="n">
        <v>43560</v>
      </c>
      <c r="C189" s="1" t="n">
        <v>45792</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18781-2019</t>
        </is>
      </c>
      <c r="B190" s="1" t="n">
        <v>43561</v>
      </c>
      <c r="C190" s="1" t="n">
        <v>45792</v>
      </c>
      <c r="D190" t="inlineStr">
        <is>
          <t>UPPSALA LÄN</t>
        </is>
      </c>
      <c r="E190" t="inlineStr">
        <is>
          <t>ÖSTHAMMAR</t>
        </is>
      </c>
      <c r="F190" t="inlineStr">
        <is>
          <t>Bergvik skog öst AB</t>
        </is>
      </c>
      <c r="G190" t="n">
        <v>0.7</v>
      </c>
      <c r="H190" t="n">
        <v>0</v>
      </c>
      <c r="I190" t="n">
        <v>0</v>
      </c>
      <c r="J190" t="n">
        <v>0</v>
      </c>
      <c r="K190" t="n">
        <v>0</v>
      </c>
      <c r="L190" t="n">
        <v>0</v>
      </c>
      <c r="M190" t="n">
        <v>0</v>
      </c>
      <c r="N190" t="n">
        <v>0</v>
      </c>
      <c r="O190" t="n">
        <v>0</v>
      </c>
      <c r="P190" t="n">
        <v>0</v>
      </c>
      <c r="Q190" t="n">
        <v>0</v>
      </c>
      <c r="R190" s="2" t="inlineStr"/>
    </row>
    <row r="191" ht="15" customHeight="1">
      <c r="A191" t="inlineStr">
        <is>
          <t>A 18792-2019</t>
        </is>
      </c>
      <c r="B191" s="1" t="n">
        <v>43562</v>
      </c>
      <c r="C191" s="1" t="n">
        <v>45792</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18800-2019</t>
        </is>
      </c>
      <c r="B192" s="1" t="n">
        <v>43562</v>
      </c>
      <c r="C192" s="1" t="n">
        <v>45792</v>
      </c>
      <c r="D192" t="inlineStr">
        <is>
          <t>UPPSALA LÄN</t>
        </is>
      </c>
      <c r="E192" t="inlineStr">
        <is>
          <t>ÖSTHAMMAR</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20683-2019</t>
        </is>
      </c>
      <c r="B193" s="1" t="n">
        <v>43573</v>
      </c>
      <c r="C193" s="1" t="n">
        <v>45792</v>
      </c>
      <c r="D193" t="inlineStr">
        <is>
          <t>UPPSALA LÄN</t>
        </is>
      </c>
      <c r="E193" t="inlineStr">
        <is>
          <t>ÖSTHAMMAR</t>
        </is>
      </c>
      <c r="G193" t="n">
        <v>2.6</v>
      </c>
      <c r="H193" t="n">
        <v>0</v>
      </c>
      <c r="I193" t="n">
        <v>0</v>
      </c>
      <c r="J193" t="n">
        <v>0</v>
      </c>
      <c r="K193" t="n">
        <v>0</v>
      </c>
      <c r="L193" t="n">
        <v>0</v>
      </c>
      <c r="M193" t="n">
        <v>0</v>
      </c>
      <c r="N193" t="n">
        <v>0</v>
      </c>
      <c r="O193" t="n">
        <v>0</v>
      </c>
      <c r="P193" t="n">
        <v>0</v>
      </c>
      <c r="Q193" t="n">
        <v>0</v>
      </c>
      <c r="R193" s="2" t="inlineStr"/>
    </row>
    <row r="194" ht="15" customHeight="1">
      <c r="A194" t="inlineStr">
        <is>
          <t>A 21471-2019</t>
        </is>
      </c>
      <c r="B194" s="1" t="n">
        <v>43580</v>
      </c>
      <c r="C194" s="1" t="n">
        <v>45792</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22800-2019</t>
        </is>
      </c>
      <c r="B195" s="1" t="n">
        <v>43590</v>
      </c>
      <c r="C195" s="1" t="n">
        <v>45792</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c r="U195">
        <f>HYPERLINK("https://klasma.github.io/Logging_0382/knärot/A 22800-2019 karta knärot.png", "A 22800-2019")</f>
        <v/>
      </c>
      <c r="V195">
        <f>HYPERLINK("https://klasma.github.io/Logging_0382/klagomål/A 22800-2019 FSC-klagomål.docx", "A 22800-2019")</f>
        <v/>
      </c>
      <c r="W195">
        <f>HYPERLINK("https://klasma.github.io/Logging_0382/klagomålsmail/A 22800-2019 FSC-klagomål mail.docx", "A 22800-2019")</f>
        <v/>
      </c>
      <c r="X195">
        <f>HYPERLINK("https://klasma.github.io/Logging_0382/tillsyn/A 22800-2019 tillsynsbegäran.docx", "A 22800-2019")</f>
        <v/>
      </c>
      <c r="Y195">
        <f>HYPERLINK("https://klasma.github.io/Logging_0382/tillsynsmail/A 22800-2019 tillsynsbegäran mail.docx", "A 22800-2019")</f>
        <v/>
      </c>
    </row>
    <row r="196" ht="15" customHeight="1">
      <c r="A196" t="inlineStr">
        <is>
          <t>A 22801-2019</t>
        </is>
      </c>
      <c r="B196" s="1" t="n">
        <v>43590</v>
      </c>
      <c r="C196" s="1" t="n">
        <v>45792</v>
      </c>
      <c r="D196" t="inlineStr">
        <is>
          <t>UPPSALA LÄN</t>
        </is>
      </c>
      <c r="E196" t="inlineStr">
        <is>
          <t>ÖSTHAMMAR</t>
        </is>
      </c>
      <c r="G196" t="n">
        <v>2.2</v>
      </c>
      <c r="H196" t="n">
        <v>0</v>
      </c>
      <c r="I196" t="n">
        <v>0</v>
      </c>
      <c r="J196" t="n">
        <v>0</v>
      </c>
      <c r="K196" t="n">
        <v>0</v>
      </c>
      <c r="L196" t="n">
        <v>0</v>
      </c>
      <c r="M196" t="n">
        <v>0</v>
      </c>
      <c r="N196" t="n">
        <v>0</v>
      </c>
      <c r="O196" t="n">
        <v>0</v>
      </c>
      <c r="P196" t="n">
        <v>0</v>
      </c>
      <c r="Q196" t="n">
        <v>0</v>
      </c>
      <c r="R196" s="2" t="inlineStr"/>
    </row>
    <row r="197" ht="15" customHeight="1">
      <c r="A197" t="inlineStr">
        <is>
          <t>A 23008-2019</t>
        </is>
      </c>
      <c r="B197" s="1" t="n">
        <v>43591</v>
      </c>
      <c r="C197" s="1" t="n">
        <v>45792</v>
      </c>
      <c r="D197" t="inlineStr">
        <is>
          <t>UPPSALA LÄN</t>
        </is>
      </c>
      <c r="E197" t="inlineStr">
        <is>
          <t>ÖSTHAMMAR</t>
        </is>
      </c>
      <c r="G197" t="n">
        <v>4.5</v>
      </c>
      <c r="H197" t="n">
        <v>0</v>
      </c>
      <c r="I197" t="n">
        <v>0</v>
      </c>
      <c r="J197" t="n">
        <v>0</v>
      </c>
      <c r="K197" t="n">
        <v>0</v>
      </c>
      <c r="L197" t="n">
        <v>0</v>
      </c>
      <c r="M197" t="n">
        <v>0</v>
      </c>
      <c r="N197" t="n">
        <v>0</v>
      </c>
      <c r="O197" t="n">
        <v>0</v>
      </c>
      <c r="P197" t="n">
        <v>0</v>
      </c>
      <c r="Q197" t="n">
        <v>0</v>
      </c>
      <c r="R197" s="2" t="inlineStr"/>
    </row>
    <row r="198" ht="15" customHeight="1">
      <c r="A198" t="inlineStr">
        <is>
          <t>A 25874-2019</t>
        </is>
      </c>
      <c r="B198" s="1" t="n">
        <v>43605</v>
      </c>
      <c r="C198" s="1" t="n">
        <v>45792</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25703-2019</t>
        </is>
      </c>
      <c r="B199" s="1" t="n">
        <v>43607</v>
      </c>
      <c r="C199" s="1" t="n">
        <v>45792</v>
      </c>
      <c r="D199" t="inlineStr">
        <is>
          <t>UPPSALA LÄN</t>
        </is>
      </c>
      <c r="E199" t="inlineStr">
        <is>
          <t>ÖSTHAMMAR</t>
        </is>
      </c>
      <c r="F199" t="inlineStr">
        <is>
          <t>Bergvik skog öst AB</t>
        </is>
      </c>
      <c r="G199" t="n">
        <v>2.2</v>
      </c>
      <c r="H199" t="n">
        <v>0</v>
      </c>
      <c r="I199" t="n">
        <v>0</v>
      </c>
      <c r="J199" t="n">
        <v>0</v>
      </c>
      <c r="K199" t="n">
        <v>0</v>
      </c>
      <c r="L199" t="n">
        <v>0</v>
      </c>
      <c r="M199" t="n">
        <v>0</v>
      </c>
      <c r="N199" t="n">
        <v>0</v>
      </c>
      <c r="O199" t="n">
        <v>0</v>
      </c>
      <c r="P199" t="n">
        <v>0</v>
      </c>
      <c r="Q199" t="n">
        <v>0</v>
      </c>
      <c r="R199" s="2" t="inlineStr"/>
    </row>
    <row r="200" ht="15" customHeight="1">
      <c r="A200" t="inlineStr">
        <is>
          <t>A 25708-2019</t>
        </is>
      </c>
      <c r="B200" s="1" t="n">
        <v>43607</v>
      </c>
      <c r="C200" s="1" t="n">
        <v>45792</v>
      </c>
      <c r="D200" t="inlineStr">
        <is>
          <t>UPPSALA LÄN</t>
        </is>
      </c>
      <c r="E200" t="inlineStr">
        <is>
          <t>ÖSTHAMMAR</t>
        </is>
      </c>
      <c r="F200" t="inlineStr">
        <is>
          <t>Bergvik skog öst AB</t>
        </is>
      </c>
      <c r="G200" t="n">
        <v>1.3</v>
      </c>
      <c r="H200" t="n">
        <v>0</v>
      </c>
      <c r="I200" t="n">
        <v>0</v>
      </c>
      <c r="J200" t="n">
        <v>0</v>
      </c>
      <c r="K200" t="n">
        <v>0</v>
      </c>
      <c r="L200" t="n">
        <v>0</v>
      </c>
      <c r="M200" t="n">
        <v>0</v>
      </c>
      <c r="N200" t="n">
        <v>0</v>
      </c>
      <c r="O200" t="n">
        <v>0</v>
      </c>
      <c r="P200" t="n">
        <v>0</v>
      </c>
      <c r="Q200" t="n">
        <v>0</v>
      </c>
      <c r="R200" s="2" t="inlineStr"/>
    </row>
    <row r="201" ht="15" customHeight="1">
      <c r="A201" t="inlineStr">
        <is>
          <t>A 25706-2019</t>
        </is>
      </c>
      <c r="B201" s="1" t="n">
        <v>43607</v>
      </c>
      <c r="C201" s="1" t="n">
        <v>45792</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26562-2019</t>
        </is>
      </c>
      <c r="B202" s="1" t="n">
        <v>43612</v>
      </c>
      <c r="C202" s="1" t="n">
        <v>45792</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26724-2019</t>
        </is>
      </c>
      <c r="B203" s="1" t="n">
        <v>43613</v>
      </c>
      <c r="C203" s="1" t="n">
        <v>45792</v>
      </c>
      <c r="D203" t="inlineStr">
        <is>
          <t>UPPSALA LÄN</t>
        </is>
      </c>
      <c r="E203" t="inlineStr">
        <is>
          <t>ÖSTHAMMAR</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26796-2019</t>
        </is>
      </c>
      <c r="B204" s="1" t="n">
        <v>43613</v>
      </c>
      <c r="C204" s="1" t="n">
        <v>45792</v>
      </c>
      <c r="D204" t="inlineStr">
        <is>
          <t>UPPSALA LÄN</t>
        </is>
      </c>
      <c r="E204" t="inlineStr">
        <is>
          <t>ÖSTHAMMAR</t>
        </is>
      </c>
      <c r="F204" t="inlineStr">
        <is>
          <t>Bergvik skog öst AB</t>
        </is>
      </c>
      <c r="G204" t="n">
        <v>4.4</v>
      </c>
      <c r="H204" t="n">
        <v>0</v>
      </c>
      <c r="I204" t="n">
        <v>0</v>
      </c>
      <c r="J204" t="n">
        <v>0</v>
      </c>
      <c r="K204" t="n">
        <v>0</v>
      </c>
      <c r="L204" t="n">
        <v>0</v>
      </c>
      <c r="M204" t="n">
        <v>0</v>
      </c>
      <c r="N204" t="n">
        <v>0</v>
      </c>
      <c r="O204" t="n">
        <v>0</v>
      </c>
      <c r="P204" t="n">
        <v>0</v>
      </c>
      <c r="Q204" t="n">
        <v>0</v>
      </c>
      <c r="R204" s="2" t="inlineStr"/>
    </row>
    <row r="205" ht="15" customHeight="1">
      <c r="A205" t="inlineStr">
        <is>
          <t>A 27458-2019</t>
        </is>
      </c>
      <c r="B205" s="1" t="n">
        <v>43618</v>
      </c>
      <c r="C205" s="1" t="n">
        <v>45792</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29204-2019</t>
        </is>
      </c>
      <c r="B206" s="1" t="n">
        <v>43623</v>
      </c>
      <c r="C206" s="1" t="n">
        <v>45792</v>
      </c>
      <c r="D206" t="inlineStr">
        <is>
          <t>UPPSALA LÄN</t>
        </is>
      </c>
      <c r="E206" t="inlineStr">
        <is>
          <t>ÖSTHAMMAR</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31106-2019</t>
        </is>
      </c>
      <c r="B207" s="1" t="n">
        <v>43635</v>
      </c>
      <c r="C207" s="1" t="n">
        <v>45792</v>
      </c>
      <c r="D207" t="inlineStr">
        <is>
          <t>UPPSALA LÄN</t>
        </is>
      </c>
      <c r="E207" t="inlineStr">
        <is>
          <t>ÖSTHAMMAR</t>
        </is>
      </c>
      <c r="F207" t="inlineStr">
        <is>
          <t>Övriga statliga verk och myndigheter</t>
        </is>
      </c>
      <c r="G207" t="n">
        <v>1.5</v>
      </c>
      <c r="H207" t="n">
        <v>0</v>
      </c>
      <c r="I207" t="n">
        <v>0</v>
      </c>
      <c r="J207" t="n">
        <v>0</v>
      </c>
      <c r="K207" t="n">
        <v>0</v>
      </c>
      <c r="L207" t="n">
        <v>0</v>
      </c>
      <c r="M207" t="n">
        <v>0</v>
      </c>
      <c r="N207" t="n">
        <v>0</v>
      </c>
      <c r="O207" t="n">
        <v>0</v>
      </c>
      <c r="P207" t="n">
        <v>0</v>
      </c>
      <c r="Q207" t="n">
        <v>0</v>
      </c>
      <c r="R207" s="2" t="inlineStr"/>
    </row>
    <row r="208" ht="15" customHeight="1">
      <c r="A208" t="inlineStr">
        <is>
          <t>A 31716-2019</t>
        </is>
      </c>
      <c r="B208" s="1" t="n">
        <v>43642</v>
      </c>
      <c r="C208" s="1" t="n">
        <v>45792</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31882-2019</t>
        </is>
      </c>
      <c r="B209" s="1" t="n">
        <v>43642</v>
      </c>
      <c r="C209" s="1" t="n">
        <v>45792</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32718-2019</t>
        </is>
      </c>
      <c r="B210" s="1" t="n">
        <v>43647</v>
      </c>
      <c r="C210" s="1" t="n">
        <v>45792</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33532-2019</t>
        </is>
      </c>
      <c r="B211" s="1" t="n">
        <v>43651</v>
      </c>
      <c r="C211" s="1" t="n">
        <v>45792</v>
      </c>
      <c r="D211" t="inlineStr">
        <is>
          <t>UPPSALA LÄN</t>
        </is>
      </c>
      <c r="E211" t="inlineStr">
        <is>
          <t>ÖSTHAMMAR</t>
        </is>
      </c>
      <c r="G211" t="n">
        <v>1.6</v>
      </c>
      <c r="H211" t="n">
        <v>0</v>
      </c>
      <c r="I211" t="n">
        <v>0</v>
      </c>
      <c r="J211" t="n">
        <v>0</v>
      </c>
      <c r="K211" t="n">
        <v>0</v>
      </c>
      <c r="L211" t="n">
        <v>0</v>
      </c>
      <c r="M211" t="n">
        <v>0</v>
      </c>
      <c r="N211" t="n">
        <v>0</v>
      </c>
      <c r="O211" t="n">
        <v>0</v>
      </c>
      <c r="P211" t="n">
        <v>0</v>
      </c>
      <c r="Q211" t="n">
        <v>0</v>
      </c>
      <c r="R211" s="2" t="inlineStr"/>
    </row>
    <row r="212" ht="15" customHeight="1">
      <c r="A212" t="inlineStr">
        <is>
          <t>A 33544-2019</t>
        </is>
      </c>
      <c r="B212" s="1" t="n">
        <v>43651</v>
      </c>
      <c r="C212" s="1" t="n">
        <v>45792</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33539-2019</t>
        </is>
      </c>
      <c r="B213" s="1" t="n">
        <v>43651</v>
      </c>
      <c r="C213" s="1" t="n">
        <v>45792</v>
      </c>
      <c r="D213" t="inlineStr">
        <is>
          <t>UPPSALA LÄN</t>
        </is>
      </c>
      <c r="E213" t="inlineStr">
        <is>
          <t>ÖSTHAMMAR</t>
        </is>
      </c>
      <c r="G213" t="n">
        <v>4.6</v>
      </c>
      <c r="H213" t="n">
        <v>0</v>
      </c>
      <c r="I213" t="n">
        <v>0</v>
      </c>
      <c r="J213" t="n">
        <v>0</v>
      </c>
      <c r="K213" t="n">
        <v>0</v>
      </c>
      <c r="L213" t="n">
        <v>0</v>
      </c>
      <c r="M213" t="n">
        <v>0</v>
      </c>
      <c r="N213" t="n">
        <v>0</v>
      </c>
      <c r="O213" t="n">
        <v>0</v>
      </c>
      <c r="P213" t="n">
        <v>0</v>
      </c>
      <c r="Q213" t="n">
        <v>0</v>
      </c>
      <c r="R213" s="2" t="inlineStr"/>
    </row>
    <row r="214" ht="15" customHeight="1">
      <c r="A214" t="inlineStr">
        <is>
          <t>A 33551-2019</t>
        </is>
      </c>
      <c r="B214" s="1" t="n">
        <v>43651</v>
      </c>
      <c r="C214" s="1" t="n">
        <v>45792</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33784-2019</t>
        </is>
      </c>
      <c r="B215" s="1" t="n">
        <v>43651</v>
      </c>
      <c r="C215" s="1" t="n">
        <v>45792</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39582-2019</t>
        </is>
      </c>
      <c r="B216" s="1" t="n">
        <v>43686</v>
      </c>
      <c r="C216" s="1" t="n">
        <v>45792</v>
      </c>
      <c r="D216" t="inlineStr">
        <is>
          <t>UPPSALA LÄN</t>
        </is>
      </c>
      <c r="E216" t="inlineStr">
        <is>
          <t>ÖSTHAMMAR</t>
        </is>
      </c>
      <c r="G216" t="n">
        <v>12.2</v>
      </c>
      <c r="H216" t="n">
        <v>0</v>
      </c>
      <c r="I216" t="n">
        <v>0</v>
      </c>
      <c r="J216" t="n">
        <v>0</v>
      </c>
      <c r="K216" t="n">
        <v>0</v>
      </c>
      <c r="L216" t="n">
        <v>0</v>
      </c>
      <c r="M216" t="n">
        <v>0</v>
      </c>
      <c r="N216" t="n">
        <v>0</v>
      </c>
      <c r="O216" t="n">
        <v>0</v>
      </c>
      <c r="P216" t="n">
        <v>0</v>
      </c>
      <c r="Q216" t="n">
        <v>0</v>
      </c>
      <c r="R216" s="2" t="inlineStr"/>
    </row>
    <row r="217" ht="15" customHeight="1">
      <c r="A217" t="inlineStr">
        <is>
          <t>A 39910-2019</t>
        </is>
      </c>
      <c r="B217" s="1" t="n">
        <v>43692</v>
      </c>
      <c r="C217" s="1" t="n">
        <v>45792</v>
      </c>
      <c r="D217" t="inlineStr">
        <is>
          <t>UPPSALA LÄN</t>
        </is>
      </c>
      <c r="E217" t="inlineStr">
        <is>
          <t>ÖSTHAMMAR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41697-2019</t>
        </is>
      </c>
      <c r="B218" s="1" t="n">
        <v>43699</v>
      </c>
      <c r="C218" s="1" t="n">
        <v>45792</v>
      </c>
      <c r="D218" t="inlineStr">
        <is>
          <t>UPPSALA LÄN</t>
        </is>
      </c>
      <c r="E218" t="inlineStr">
        <is>
          <t>ÖSTHAMMAR</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41539-2019</t>
        </is>
      </c>
      <c r="B219" s="1" t="n">
        <v>43699</v>
      </c>
      <c r="C219" s="1" t="n">
        <v>45792</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43426-2019</t>
        </is>
      </c>
      <c r="B220" s="1" t="n">
        <v>43706</v>
      </c>
      <c r="C220" s="1" t="n">
        <v>45792</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45140-2019</t>
        </is>
      </c>
      <c r="B221" s="1" t="n">
        <v>43713</v>
      </c>
      <c r="C221" s="1" t="n">
        <v>45792</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45681-2019</t>
        </is>
      </c>
      <c r="B222" s="1" t="n">
        <v>43717</v>
      </c>
      <c r="C222" s="1" t="n">
        <v>45792</v>
      </c>
      <c r="D222" t="inlineStr">
        <is>
          <t>UPPSALA LÄN</t>
        </is>
      </c>
      <c r="E222" t="inlineStr">
        <is>
          <t>ÖSTHAMMAR</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47440-2019</t>
        </is>
      </c>
      <c r="B223" s="1" t="n">
        <v>43723</v>
      </c>
      <c r="C223" s="1" t="n">
        <v>45792</v>
      </c>
      <c r="D223" t="inlineStr">
        <is>
          <t>UPPSALA LÄN</t>
        </is>
      </c>
      <c r="E223" t="inlineStr">
        <is>
          <t>ÖSTHAMMAR</t>
        </is>
      </c>
      <c r="G223" t="n">
        <v>0.1</v>
      </c>
      <c r="H223" t="n">
        <v>0</v>
      </c>
      <c r="I223" t="n">
        <v>0</v>
      </c>
      <c r="J223" t="n">
        <v>0</v>
      </c>
      <c r="K223" t="n">
        <v>0</v>
      </c>
      <c r="L223" t="n">
        <v>0</v>
      </c>
      <c r="M223" t="n">
        <v>0</v>
      </c>
      <c r="N223" t="n">
        <v>0</v>
      </c>
      <c r="O223" t="n">
        <v>0</v>
      </c>
      <c r="P223" t="n">
        <v>0</v>
      </c>
      <c r="Q223" t="n">
        <v>0</v>
      </c>
      <c r="R223" s="2" t="inlineStr"/>
    </row>
    <row r="224" ht="15" customHeight="1">
      <c r="A224" t="inlineStr">
        <is>
          <t>A 47436-2019</t>
        </is>
      </c>
      <c r="B224" s="1" t="n">
        <v>43723</v>
      </c>
      <c r="C224" s="1" t="n">
        <v>45792</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51025-2019</t>
        </is>
      </c>
      <c r="B225" s="1" t="n">
        <v>43739</v>
      </c>
      <c r="C225" s="1" t="n">
        <v>45792</v>
      </c>
      <c r="D225" t="inlineStr">
        <is>
          <t>UPPSALA LÄN</t>
        </is>
      </c>
      <c r="E225" t="inlineStr">
        <is>
          <t>ÖSTHAMMAR</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53442-2019</t>
        </is>
      </c>
      <c r="B226" s="1" t="n">
        <v>43748</v>
      </c>
      <c r="C226" s="1" t="n">
        <v>45792</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55382-2019</t>
        </is>
      </c>
      <c r="B227" s="1" t="n">
        <v>43755</v>
      </c>
      <c r="C227" s="1" t="n">
        <v>45792</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57686-2019</t>
        </is>
      </c>
      <c r="B228" s="1" t="n">
        <v>43761</v>
      </c>
      <c r="C228" s="1" t="n">
        <v>45792</v>
      </c>
      <c r="D228" t="inlineStr">
        <is>
          <t>UPPSALA LÄN</t>
        </is>
      </c>
      <c r="E228" t="inlineStr">
        <is>
          <t>ÖSTHAMMAR</t>
        </is>
      </c>
      <c r="G228" t="n">
        <v>5.7</v>
      </c>
      <c r="H228" t="n">
        <v>0</v>
      </c>
      <c r="I228" t="n">
        <v>0</v>
      </c>
      <c r="J228" t="n">
        <v>0</v>
      </c>
      <c r="K228" t="n">
        <v>0</v>
      </c>
      <c r="L228" t="n">
        <v>0</v>
      </c>
      <c r="M228" t="n">
        <v>0</v>
      </c>
      <c r="N228" t="n">
        <v>0</v>
      </c>
      <c r="O228" t="n">
        <v>0</v>
      </c>
      <c r="P228" t="n">
        <v>0</v>
      </c>
      <c r="Q228" t="n">
        <v>0</v>
      </c>
      <c r="R228" s="2" t="inlineStr"/>
    </row>
    <row r="229" ht="15" customHeight="1">
      <c r="A229" t="inlineStr">
        <is>
          <t>A 57304-2019</t>
        </is>
      </c>
      <c r="B229" s="1" t="n">
        <v>43767</v>
      </c>
      <c r="C229" s="1" t="n">
        <v>45792</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58665-2019</t>
        </is>
      </c>
      <c r="B230" s="1" t="n">
        <v>43773</v>
      </c>
      <c r="C230" s="1" t="n">
        <v>45792</v>
      </c>
      <c r="D230" t="inlineStr">
        <is>
          <t>UPPSALA LÄN</t>
        </is>
      </c>
      <c r="E230" t="inlineStr">
        <is>
          <t>ÖSTHAMMAR</t>
        </is>
      </c>
      <c r="G230" t="n">
        <v>2</v>
      </c>
      <c r="H230" t="n">
        <v>0</v>
      </c>
      <c r="I230" t="n">
        <v>0</v>
      </c>
      <c r="J230" t="n">
        <v>0</v>
      </c>
      <c r="K230" t="n">
        <v>0</v>
      </c>
      <c r="L230" t="n">
        <v>0</v>
      </c>
      <c r="M230" t="n">
        <v>0</v>
      </c>
      <c r="N230" t="n">
        <v>0</v>
      </c>
      <c r="O230" t="n">
        <v>0</v>
      </c>
      <c r="P230" t="n">
        <v>0</v>
      </c>
      <c r="Q230" t="n">
        <v>0</v>
      </c>
      <c r="R230" s="2" t="inlineStr"/>
    </row>
    <row r="231" ht="15" customHeight="1">
      <c r="A231" t="inlineStr">
        <is>
          <t>A 60977-2019</t>
        </is>
      </c>
      <c r="B231" s="1" t="n">
        <v>43782</v>
      </c>
      <c r="C231" s="1" t="n">
        <v>45792</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61866-2019</t>
        </is>
      </c>
      <c r="B232" s="1" t="n">
        <v>43787</v>
      </c>
      <c r="C232" s="1" t="n">
        <v>45792</v>
      </c>
      <c r="D232" t="inlineStr">
        <is>
          <t>UPPSALA LÄN</t>
        </is>
      </c>
      <c r="E232" t="inlineStr">
        <is>
          <t>ÖSTHAMMAR</t>
        </is>
      </c>
      <c r="F232" t="inlineStr">
        <is>
          <t>Bergvik skog öst AB</t>
        </is>
      </c>
      <c r="G232" t="n">
        <v>6.6</v>
      </c>
      <c r="H232" t="n">
        <v>0</v>
      </c>
      <c r="I232" t="n">
        <v>0</v>
      </c>
      <c r="J232" t="n">
        <v>0</v>
      </c>
      <c r="K232" t="n">
        <v>0</v>
      </c>
      <c r="L232" t="n">
        <v>0</v>
      </c>
      <c r="M232" t="n">
        <v>0</v>
      </c>
      <c r="N232" t="n">
        <v>0</v>
      </c>
      <c r="O232" t="n">
        <v>0</v>
      </c>
      <c r="P232" t="n">
        <v>0</v>
      </c>
      <c r="Q232" t="n">
        <v>0</v>
      </c>
      <c r="R232" s="2" t="inlineStr"/>
    </row>
    <row r="233" ht="15" customHeight="1">
      <c r="A233" t="inlineStr">
        <is>
          <t>A 62808-2019</t>
        </is>
      </c>
      <c r="B233" s="1" t="n">
        <v>43790</v>
      </c>
      <c r="C233" s="1" t="n">
        <v>45792</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63564-2019</t>
        </is>
      </c>
      <c r="B234" s="1" t="n">
        <v>43795</v>
      </c>
      <c r="C234" s="1" t="n">
        <v>45792</v>
      </c>
      <c r="D234" t="inlineStr">
        <is>
          <t>UPPSALA LÄN</t>
        </is>
      </c>
      <c r="E234" t="inlineStr">
        <is>
          <t>ÖSTHAMMAR</t>
        </is>
      </c>
      <c r="F234" t="inlineStr">
        <is>
          <t>Övriga Aktiebolag</t>
        </is>
      </c>
      <c r="G234" t="n">
        <v>4.7</v>
      </c>
      <c r="H234" t="n">
        <v>0</v>
      </c>
      <c r="I234" t="n">
        <v>0</v>
      </c>
      <c r="J234" t="n">
        <v>0</v>
      </c>
      <c r="K234" t="n">
        <v>0</v>
      </c>
      <c r="L234" t="n">
        <v>0</v>
      </c>
      <c r="M234" t="n">
        <v>0</v>
      </c>
      <c r="N234" t="n">
        <v>0</v>
      </c>
      <c r="O234" t="n">
        <v>0</v>
      </c>
      <c r="P234" t="n">
        <v>0</v>
      </c>
      <c r="Q234" t="n">
        <v>0</v>
      </c>
      <c r="R234" s="2" t="inlineStr"/>
    </row>
    <row r="235" ht="15" customHeight="1">
      <c r="A235" t="inlineStr">
        <is>
          <t>A 64344-2019</t>
        </is>
      </c>
      <c r="B235" s="1" t="n">
        <v>43797</v>
      </c>
      <c r="C235" s="1" t="n">
        <v>45792</v>
      </c>
      <c r="D235" t="inlineStr">
        <is>
          <t>UPPSALA LÄN</t>
        </is>
      </c>
      <c r="E235" t="inlineStr">
        <is>
          <t>ÖSTHAMMAR</t>
        </is>
      </c>
      <c r="G235" t="n">
        <v>3.1</v>
      </c>
      <c r="H235" t="n">
        <v>0</v>
      </c>
      <c r="I235" t="n">
        <v>0</v>
      </c>
      <c r="J235" t="n">
        <v>0</v>
      </c>
      <c r="K235" t="n">
        <v>0</v>
      </c>
      <c r="L235" t="n">
        <v>0</v>
      </c>
      <c r="M235" t="n">
        <v>0</v>
      </c>
      <c r="N235" t="n">
        <v>0</v>
      </c>
      <c r="O235" t="n">
        <v>0</v>
      </c>
      <c r="P235" t="n">
        <v>0</v>
      </c>
      <c r="Q235" t="n">
        <v>0</v>
      </c>
      <c r="R235" s="2" t="inlineStr"/>
    </row>
    <row r="236" ht="15" customHeight="1">
      <c r="A236" t="inlineStr">
        <is>
          <t>A 65107-2019</t>
        </is>
      </c>
      <c r="B236" s="1" t="n">
        <v>43802</v>
      </c>
      <c r="C236" s="1" t="n">
        <v>45792</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67647-2019</t>
        </is>
      </c>
      <c r="B237" s="1" t="n">
        <v>43808</v>
      </c>
      <c r="C237" s="1" t="n">
        <v>45792</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66802-2019</t>
        </is>
      </c>
      <c r="B238" s="1" t="n">
        <v>43810</v>
      </c>
      <c r="C238" s="1" t="n">
        <v>45792</v>
      </c>
      <c r="D238" t="inlineStr">
        <is>
          <t>UPPSALA LÄN</t>
        </is>
      </c>
      <c r="E238" t="inlineStr">
        <is>
          <t>ÖSTHAMMAR</t>
        </is>
      </c>
      <c r="F238" t="inlineStr">
        <is>
          <t>Bergvik skog öst AB</t>
        </is>
      </c>
      <c r="G238" t="n">
        <v>34.8</v>
      </c>
      <c r="H238" t="n">
        <v>0</v>
      </c>
      <c r="I238" t="n">
        <v>0</v>
      </c>
      <c r="J238" t="n">
        <v>0</v>
      </c>
      <c r="K238" t="n">
        <v>0</v>
      </c>
      <c r="L238" t="n">
        <v>0</v>
      </c>
      <c r="M238" t="n">
        <v>0</v>
      </c>
      <c r="N238" t="n">
        <v>0</v>
      </c>
      <c r="O238" t="n">
        <v>0</v>
      </c>
      <c r="P238" t="n">
        <v>0</v>
      </c>
      <c r="Q238" t="n">
        <v>0</v>
      </c>
      <c r="R238" s="2" t="inlineStr"/>
    </row>
    <row r="239" ht="15" customHeight="1">
      <c r="A239" t="inlineStr">
        <is>
          <t>A 67254-2019</t>
        </is>
      </c>
      <c r="B239" s="1" t="n">
        <v>43812</v>
      </c>
      <c r="C239" s="1" t="n">
        <v>45792</v>
      </c>
      <c r="D239" t="inlineStr">
        <is>
          <t>UPPSALA LÄN</t>
        </is>
      </c>
      <c r="E239" t="inlineStr">
        <is>
          <t>ÖSTHAMMAR</t>
        </is>
      </c>
      <c r="F239" t="inlineStr">
        <is>
          <t>Allmännings- och besparingsskogar</t>
        </is>
      </c>
      <c r="G239" t="n">
        <v>0.8</v>
      </c>
      <c r="H239" t="n">
        <v>0</v>
      </c>
      <c r="I239" t="n">
        <v>0</v>
      </c>
      <c r="J239" t="n">
        <v>0</v>
      </c>
      <c r="K239" t="n">
        <v>0</v>
      </c>
      <c r="L239" t="n">
        <v>0</v>
      </c>
      <c r="M239" t="n">
        <v>0</v>
      </c>
      <c r="N239" t="n">
        <v>0</v>
      </c>
      <c r="O239" t="n">
        <v>0</v>
      </c>
      <c r="P239" t="n">
        <v>0</v>
      </c>
      <c r="Q239" t="n">
        <v>0</v>
      </c>
      <c r="R239" s="2" t="inlineStr"/>
    </row>
    <row r="240" ht="15" customHeight="1">
      <c r="A240" t="inlineStr">
        <is>
          <t>A 618-2020</t>
        </is>
      </c>
      <c r="B240" s="1" t="n">
        <v>43817</v>
      </c>
      <c r="C240" s="1" t="n">
        <v>45792</v>
      </c>
      <c r="D240" t="inlineStr">
        <is>
          <t>UPPSALA LÄN</t>
        </is>
      </c>
      <c r="E240" t="inlineStr">
        <is>
          <t>ÖSTHAMMAR</t>
        </is>
      </c>
      <c r="G240" t="n">
        <v>3.2</v>
      </c>
      <c r="H240" t="n">
        <v>0</v>
      </c>
      <c r="I240" t="n">
        <v>0</v>
      </c>
      <c r="J240" t="n">
        <v>0</v>
      </c>
      <c r="K240" t="n">
        <v>0</v>
      </c>
      <c r="L240" t="n">
        <v>0</v>
      </c>
      <c r="M240" t="n">
        <v>0</v>
      </c>
      <c r="N240" t="n">
        <v>0</v>
      </c>
      <c r="O240" t="n">
        <v>0</v>
      </c>
      <c r="P240" t="n">
        <v>0</v>
      </c>
      <c r="Q240" t="n">
        <v>0</v>
      </c>
      <c r="R240" s="2" t="inlineStr"/>
    </row>
    <row r="241" ht="15" customHeight="1">
      <c r="A241" t="inlineStr">
        <is>
          <t>A 68870-2019</t>
        </is>
      </c>
      <c r="B241" s="1" t="n">
        <v>43821</v>
      </c>
      <c r="C241" s="1" t="n">
        <v>45792</v>
      </c>
      <c r="D241" t="inlineStr">
        <is>
          <t>UPPSALA LÄN</t>
        </is>
      </c>
      <c r="E241" t="inlineStr">
        <is>
          <t>ÖSTHAMMAR</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68871-2019</t>
        </is>
      </c>
      <c r="B242" s="1" t="n">
        <v>43821</v>
      </c>
      <c r="C242" s="1" t="n">
        <v>45792</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68868-2019</t>
        </is>
      </c>
      <c r="B243" s="1" t="n">
        <v>43821</v>
      </c>
      <c r="C243" s="1" t="n">
        <v>45792</v>
      </c>
      <c r="D243" t="inlineStr">
        <is>
          <t>UPPSALA LÄN</t>
        </is>
      </c>
      <c r="E243" t="inlineStr">
        <is>
          <t>ÖSTHAMMAR</t>
        </is>
      </c>
      <c r="F243" t="inlineStr">
        <is>
          <t>Bergvik skog öst AB</t>
        </is>
      </c>
      <c r="G243" t="n">
        <v>1.7</v>
      </c>
      <c r="H243" t="n">
        <v>0</v>
      </c>
      <c r="I243" t="n">
        <v>0</v>
      </c>
      <c r="J243" t="n">
        <v>0</v>
      </c>
      <c r="K243" t="n">
        <v>0</v>
      </c>
      <c r="L243" t="n">
        <v>0</v>
      </c>
      <c r="M243" t="n">
        <v>0</v>
      </c>
      <c r="N243" t="n">
        <v>0</v>
      </c>
      <c r="O243" t="n">
        <v>0</v>
      </c>
      <c r="P243" t="n">
        <v>0</v>
      </c>
      <c r="Q243" t="n">
        <v>0</v>
      </c>
      <c r="R243" s="2" t="inlineStr"/>
    </row>
    <row r="244" ht="15" customHeight="1">
      <c r="A244" t="inlineStr">
        <is>
          <t>A 685-2020</t>
        </is>
      </c>
      <c r="B244" s="1" t="n">
        <v>43838</v>
      </c>
      <c r="C244" s="1" t="n">
        <v>45792</v>
      </c>
      <c r="D244" t="inlineStr">
        <is>
          <t>UPPSALA LÄN</t>
        </is>
      </c>
      <c r="E244" t="inlineStr">
        <is>
          <t>ÖSTHAMMAR</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1685-2020</t>
        </is>
      </c>
      <c r="B245" s="1" t="n">
        <v>43844</v>
      </c>
      <c r="C245" s="1" t="n">
        <v>45792</v>
      </c>
      <c r="D245" t="inlineStr">
        <is>
          <t>UPPSALA LÄN</t>
        </is>
      </c>
      <c r="E245" t="inlineStr">
        <is>
          <t>ÖSTHAMMAR</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1681-2020</t>
        </is>
      </c>
      <c r="B246" s="1" t="n">
        <v>43844</v>
      </c>
      <c r="C246" s="1" t="n">
        <v>45792</v>
      </c>
      <c r="D246" t="inlineStr">
        <is>
          <t>UPPSALA LÄN</t>
        </is>
      </c>
      <c r="E246" t="inlineStr">
        <is>
          <t>ÖSTHAMMAR</t>
        </is>
      </c>
      <c r="F246" t="inlineStr">
        <is>
          <t>Övriga Aktiebolag</t>
        </is>
      </c>
      <c r="G246" t="n">
        <v>1.6</v>
      </c>
      <c r="H246" t="n">
        <v>0</v>
      </c>
      <c r="I246" t="n">
        <v>0</v>
      </c>
      <c r="J246" t="n">
        <v>0</v>
      </c>
      <c r="K246" t="n">
        <v>0</v>
      </c>
      <c r="L246" t="n">
        <v>0</v>
      </c>
      <c r="M246" t="n">
        <v>0</v>
      </c>
      <c r="N246" t="n">
        <v>0</v>
      </c>
      <c r="O246" t="n">
        <v>0</v>
      </c>
      <c r="P246" t="n">
        <v>0</v>
      </c>
      <c r="Q246" t="n">
        <v>0</v>
      </c>
      <c r="R246" s="2" t="inlineStr"/>
    </row>
    <row r="247" ht="15" customHeight="1">
      <c r="A247" t="inlineStr">
        <is>
          <t>A 4473-2020</t>
        </is>
      </c>
      <c r="B247" s="1" t="n">
        <v>43850</v>
      </c>
      <c r="C247" s="1" t="n">
        <v>45792</v>
      </c>
      <c r="D247" t="inlineStr">
        <is>
          <t>UPPSALA LÄN</t>
        </is>
      </c>
      <c r="E247" t="inlineStr">
        <is>
          <t>ÖSTHAMMAR</t>
        </is>
      </c>
      <c r="G247" t="n">
        <v>1.4</v>
      </c>
      <c r="H247" t="n">
        <v>0</v>
      </c>
      <c r="I247" t="n">
        <v>0</v>
      </c>
      <c r="J247" t="n">
        <v>0</v>
      </c>
      <c r="K247" t="n">
        <v>0</v>
      </c>
      <c r="L247" t="n">
        <v>0</v>
      </c>
      <c r="M247" t="n">
        <v>0</v>
      </c>
      <c r="N247" t="n">
        <v>0</v>
      </c>
      <c r="O247" t="n">
        <v>0</v>
      </c>
      <c r="P247" t="n">
        <v>0</v>
      </c>
      <c r="Q247" t="n">
        <v>0</v>
      </c>
      <c r="R247" s="2" t="inlineStr"/>
    </row>
    <row r="248" ht="15" customHeight="1">
      <c r="A248" t="inlineStr">
        <is>
          <t>A 3334-2020</t>
        </is>
      </c>
      <c r="B248" s="1" t="n">
        <v>43852</v>
      </c>
      <c r="C248" s="1" t="n">
        <v>45792</v>
      </c>
      <c r="D248" t="inlineStr">
        <is>
          <t>UPPSALA LÄN</t>
        </is>
      </c>
      <c r="E248" t="inlineStr">
        <is>
          <t>ÖSTHAMMAR</t>
        </is>
      </c>
      <c r="G248" t="n">
        <v>2.5</v>
      </c>
      <c r="H248" t="n">
        <v>0</v>
      </c>
      <c r="I248" t="n">
        <v>0</v>
      </c>
      <c r="J248" t="n">
        <v>0</v>
      </c>
      <c r="K248" t="n">
        <v>0</v>
      </c>
      <c r="L248" t="n">
        <v>0</v>
      </c>
      <c r="M248" t="n">
        <v>0</v>
      </c>
      <c r="N248" t="n">
        <v>0</v>
      </c>
      <c r="O248" t="n">
        <v>0</v>
      </c>
      <c r="P248" t="n">
        <v>0</v>
      </c>
      <c r="Q248" t="n">
        <v>0</v>
      </c>
      <c r="R248" s="2" t="inlineStr"/>
    </row>
    <row r="249" ht="15" customHeight="1">
      <c r="A249" t="inlineStr">
        <is>
          <t>A 3984-2020</t>
        </is>
      </c>
      <c r="B249" s="1" t="n">
        <v>43855</v>
      </c>
      <c r="C249" s="1" t="n">
        <v>45792</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6052-2020</t>
        </is>
      </c>
      <c r="B250" s="1" t="n">
        <v>43864</v>
      </c>
      <c r="C250" s="1" t="n">
        <v>45792</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6026-2020</t>
        </is>
      </c>
      <c r="B251" s="1" t="n">
        <v>43865</v>
      </c>
      <c r="C251" s="1" t="n">
        <v>45792</v>
      </c>
      <c r="D251" t="inlineStr">
        <is>
          <t>UPPSALA LÄN</t>
        </is>
      </c>
      <c r="E251" t="inlineStr">
        <is>
          <t>ÖSTHAMMAR</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6791-2020</t>
        </is>
      </c>
      <c r="B252" s="1" t="n">
        <v>43867</v>
      </c>
      <c r="C252" s="1" t="n">
        <v>45792</v>
      </c>
      <c r="D252" t="inlineStr">
        <is>
          <t>UPPSALA LÄN</t>
        </is>
      </c>
      <c r="E252" t="inlineStr">
        <is>
          <t>ÖSTHAMMAR</t>
        </is>
      </c>
      <c r="G252" t="n">
        <v>3</v>
      </c>
      <c r="H252" t="n">
        <v>0</v>
      </c>
      <c r="I252" t="n">
        <v>0</v>
      </c>
      <c r="J252" t="n">
        <v>0</v>
      </c>
      <c r="K252" t="n">
        <v>0</v>
      </c>
      <c r="L252" t="n">
        <v>0</v>
      </c>
      <c r="M252" t="n">
        <v>0</v>
      </c>
      <c r="N252" t="n">
        <v>0</v>
      </c>
      <c r="O252" t="n">
        <v>0</v>
      </c>
      <c r="P252" t="n">
        <v>0</v>
      </c>
      <c r="Q252" t="n">
        <v>0</v>
      </c>
      <c r="R252" s="2" t="inlineStr"/>
    </row>
    <row r="253" ht="15" customHeight="1">
      <c r="A253" t="inlineStr">
        <is>
          <t>A 7847-2020</t>
        </is>
      </c>
      <c r="B253" s="1" t="n">
        <v>43873</v>
      </c>
      <c r="C253" s="1" t="n">
        <v>45792</v>
      </c>
      <c r="D253" t="inlineStr">
        <is>
          <t>UPPSALA LÄN</t>
        </is>
      </c>
      <c r="E253" t="inlineStr">
        <is>
          <t>ÖSTHAMMAR</t>
        </is>
      </c>
      <c r="F253" t="inlineStr">
        <is>
          <t>Övriga Aktiebolag</t>
        </is>
      </c>
      <c r="G253" t="n">
        <v>15.3</v>
      </c>
      <c r="H253" t="n">
        <v>0</v>
      </c>
      <c r="I253" t="n">
        <v>0</v>
      </c>
      <c r="J253" t="n">
        <v>0</v>
      </c>
      <c r="K253" t="n">
        <v>0</v>
      </c>
      <c r="L253" t="n">
        <v>0</v>
      </c>
      <c r="M253" t="n">
        <v>0</v>
      </c>
      <c r="N253" t="n">
        <v>0</v>
      </c>
      <c r="O253" t="n">
        <v>0</v>
      </c>
      <c r="P253" t="n">
        <v>0</v>
      </c>
      <c r="Q253" t="n">
        <v>0</v>
      </c>
      <c r="R253" s="2" t="inlineStr"/>
    </row>
    <row r="254" ht="15" customHeight="1">
      <c r="A254" t="inlineStr">
        <is>
          <t>A 10008-2020</t>
        </is>
      </c>
      <c r="B254" s="1" t="n">
        <v>43882</v>
      </c>
      <c r="C254" s="1" t="n">
        <v>45792</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10345-2020</t>
        </is>
      </c>
      <c r="B255" s="1" t="n">
        <v>43885</v>
      </c>
      <c r="C255" s="1" t="n">
        <v>45792</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10347-2020</t>
        </is>
      </c>
      <c r="B256" s="1" t="n">
        <v>43885</v>
      </c>
      <c r="C256" s="1" t="n">
        <v>45792</v>
      </c>
      <c r="D256" t="inlineStr">
        <is>
          <t>UPPSALA LÄN</t>
        </is>
      </c>
      <c r="E256" t="inlineStr">
        <is>
          <t>ÖSTHAMMAR</t>
        </is>
      </c>
      <c r="F256" t="inlineStr">
        <is>
          <t>Allmännings- och besparingsskogar</t>
        </is>
      </c>
      <c r="G256" t="n">
        <v>1.2</v>
      </c>
      <c r="H256" t="n">
        <v>0</v>
      </c>
      <c r="I256" t="n">
        <v>0</v>
      </c>
      <c r="J256" t="n">
        <v>0</v>
      </c>
      <c r="K256" t="n">
        <v>0</v>
      </c>
      <c r="L256" t="n">
        <v>0</v>
      </c>
      <c r="M256" t="n">
        <v>0</v>
      </c>
      <c r="N256" t="n">
        <v>0</v>
      </c>
      <c r="O256" t="n">
        <v>0</v>
      </c>
      <c r="P256" t="n">
        <v>0</v>
      </c>
      <c r="Q256" t="n">
        <v>0</v>
      </c>
      <c r="R256" s="2" t="inlineStr"/>
    </row>
    <row r="257" ht="15" customHeight="1">
      <c r="A257" t="inlineStr">
        <is>
          <t>A 12080-2020</t>
        </is>
      </c>
      <c r="B257" s="1" t="n">
        <v>43895</v>
      </c>
      <c r="C257" s="1" t="n">
        <v>45792</v>
      </c>
      <c r="D257" t="inlineStr">
        <is>
          <t>UPPSALA LÄN</t>
        </is>
      </c>
      <c r="E257" t="inlineStr">
        <is>
          <t>ÖSTHAMMAR</t>
        </is>
      </c>
      <c r="F257" t="inlineStr">
        <is>
          <t>Övriga Aktiebolag</t>
        </is>
      </c>
      <c r="G257" t="n">
        <v>13.9</v>
      </c>
      <c r="H257" t="n">
        <v>0</v>
      </c>
      <c r="I257" t="n">
        <v>0</v>
      </c>
      <c r="J257" t="n">
        <v>0</v>
      </c>
      <c r="K257" t="n">
        <v>0</v>
      </c>
      <c r="L257" t="n">
        <v>0</v>
      </c>
      <c r="M257" t="n">
        <v>0</v>
      </c>
      <c r="N257" t="n">
        <v>0</v>
      </c>
      <c r="O257" t="n">
        <v>0</v>
      </c>
      <c r="P257" t="n">
        <v>0</v>
      </c>
      <c r="Q257" t="n">
        <v>0</v>
      </c>
      <c r="R257" s="2" t="inlineStr"/>
    </row>
    <row r="258" ht="15" customHeight="1">
      <c r="A258" t="inlineStr">
        <is>
          <t>A 13112-2020</t>
        </is>
      </c>
      <c r="B258" s="1" t="n">
        <v>43901</v>
      </c>
      <c r="C258" s="1" t="n">
        <v>45792</v>
      </c>
      <c r="D258" t="inlineStr">
        <is>
          <t>UPPSALA LÄN</t>
        </is>
      </c>
      <c r="E258" t="inlineStr">
        <is>
          <t>ÖSTHAMMAR</t>
        </is>
      </c>
      <c r="F258" t="inlineStr">
        <is>
          <t>Övriga Aktiebolag</t>
        </is>
      </c>
      <c r="G258" t="n">
        <v>6.5</v>
      </c>
      <c r="H258" t="n">
        <v>0</v>
      </c>
      <c r="I258" t="n">
        <v>0</v>
      </c>
      <c r="J258" t="n">
        <v>0</v>
      </c>
      <c r="K258" t="n">
        <v>0</v>
      </c>
      <c r="L258" t="n">
        <v>0</v>
      </c>
      <c r="M258" t="n">
        <v>0</v>
      </c>
      <c r="N258" t="n">
        <v>0</v>
      </c>
      <c r="O258" t="n">
        <v>0</v>
      </c>
      <c r="P258" t="n">
        <v>0</v>
      </c>
      <c r="Q258" t="n">
        <v>0</v>
      </c>
      <c r="R258" s="2" t="inlineStr"/>
    </row>
    <row r="259" ht="15" customHeight="1">
      <c r="A259" t="inlineStr">
        <is>
          <t>A 13310-2020</t>
        </is>
      </c>
      <c r="B259" s="1" t="n">
        <v>43902</v>
      </c>
      <c r="C259" s="1" t="n">
        <v>45792</v>
      </c>
      <c r="D259" t="inlineStr">
        <is>
          <t>UPPSALA LÄN</t>
        </is>
      </c>
      <c r="E259" t="inlineStr">
        <is>
          <t>ÖSTHAMMAR</t>
        </is>
      </c>
      <c r="F259" t="inlineStr">
        <is>
          <t>Bergvik skog öst AB</t>
        </is>
      </c>
      <c r="G259" t="n">
        <v>14.4</v>
      </c>
      <c r="H259" t="n">
        <v>0</v>
      </c>
      <c r="I259" t="n">
        <v>0</v>
      </c>
      <c r="J259" t="n">
        <v>0</v>
      </c>
      <c r="K259" t="n">
        <v>0</v>
      </c>
      <c r="L259" t="n">
        <v>0</v>
      </c>
      <c r="M259" t="n">
        <v>0</v>
      </c>
      <c r="N259" t="n">
        <v>0</v>
      </c>
      <c r="O259" t="n">
        <v>0</v>
      </c>
      <c r="P259" t="n">
        <v>0</v>
      </c>
      <c r="Q259" t="n">
        <v>0</v>
      </c>
      <c r="R259" s="2" t="inlineStr"/>
    </row>
    <row r="260" ht="15" customHeight="1">
      <c r="A260" t="inlineStr">
        <is>
          <t>A 13595-2020</t>
        </is>
      </c>
      <c r="B260" s="1" t="n">
        <v>43903</v>
      </c>
      <c r="C260" s="1" t="n">
        <v>45792</v>
      </c>
      <c r="D260" t="inlineStr">
        <is>
          <t>UPPSALA LÄN</t>
        </is>
      </c>
      <c r="E260" t="inlineStr">
        <is>
          <t>ÖSTHAMMAR</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13945-2020</t>
        </is>
      </c>
      <c r="B261" s="1" t="n">
        <v>43906</v>
      </c>
      <c r="C261" s="1" t="n">
        <v>45792</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14802-2020</t>
        </is>
      </c>
      <c r="B262" s="1" t="n">
        <v>43909</v>
      </c>
      <c r="C262" s="1" t="n">
        <v>45792</v>
      </c>
      <c r="D262" t="inlineStr">
        <is>
          <t>UPPSALA LÄN</t>
        </is>
      </c>
      <c r="E262" t="inlineStr">
        <is>
          <t>ÖSTHAMMAR</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14817-2020</t>
        </is>
      </c>
      <c r="B263" s="1" t="n">
        <v>43909</v>
      </c>
      <c r="C263" s="1" t="n">
        <v>45792</v>
      </c>
      <c r="D263" t="inlineStr">
        <is>
          <t>UPPSALA LÄN</t>
        </is>
      </c>
      <c r="E263" t="inlineStr">
        <is>
          <t>ÖSTHAMMAR</t>
        </is>
      </c>
      <c r="F263" t="inlineStr">
        <is>
          <t>Bergvik skog öst AB</t>
        </is>
      </c>
      <c r="G263" t="n">
        <v>3.1</v>
      </c>
      <c r="H263" t="n">
        <v>0</v>
      </c>
      <c r="I263" t="n">
        <v>0</v>
      </c>
      <c r="J263" t="n">
        <v>0</v>
      </c>
      <c r="K263" t="n">
        <v>0</v>
      </c>
      <c r="L263" t="n">
        <v>0</v>
      </c>
      <c r="M263" t="n">
        <v>0</v>
      </c>
      <c r="N263" t="n">
        <v>0</v>
      </c>
      <c r="O263" t="n">
        <v>0</v>
      </c>
      <c r="P263" t="n">
        <v>0</v>
      </c>
      <c r="Q263" t="n">
        <v>0</v>
      </c>
      <c r="R263" s="2" t="inlineStr"/>
    </row>
    <row r="264" ht="15" customHeight="1">
      <c r="A264" t="inlineStr">
        <is>
          <t>A 15067-2020</t>
        </is>
      </c>
      <c r="B264" s="1" t="n">
        <v>43910</v>
      </c>
      <c r="C264" s="1" t="n">
        <v>45792</v>
      </c>
      <c r="D264" t="inlineStr">
        <is>
          <t>UPPSALA LÄN</t>
        </is>
      </c>
      <c r="E264" t="inlineStr">
        <is>
          <t>ÖSTHAMMAR</t>
        </is>
      </c>
      <c r="F264" t="inlineStr">
        <is>
          <t>Bergvik skog öst AB</t>
        </is>
      </c>
      <c r="G264" t="n">
        <v>20.5</v>
      </c>
      <c r="H264" t="n">
        <v>0</v>
      </c>
      <c r="I264" t="n">
        <v>0</v>
      </c>
      <c r="J264" t="n">
        <v>0</v>
      </c>
      <c r="K264" t="n">
        <v>0</v>
      </c>
      <c r="L264" t="n">
        <v>0</v>
      </c>
      <c r="M264" t="n">
        <v>0</v>
      </c>
      <c r="N264" t="n">
        <v>0</v>
      </c>
      <c r="O264" t="n">
        <v>0</v>
      </c>
      <c r="P264" t="n">
        <v>0</v>
      </c>
      <c r="Q264" t="n">
        <v>0</v>
      </c>
      <c r="R264" s="2" t="inlineStr"/>
    </row>
    <row r="265" ht="15" customHeight="1">
      <c r="A265" t="inlineStr">
        <is>
          <t>A 17549-2020</t>
        </is>
      </c>
      <c r="B265" s="1" t="n">
        <v>43920</v>
      </c>
      <c r="C265" s="1" t="n">
        <v>45792</v>
      </c>
      <c r="D265" t="inlineStr">
        <is>
          <t>UPPSALA LÄN</t>
        </is>
      </c>
      <c r="E265" t="inlineStr">
        <is>
          <t>ÖSTHAMMAR</t>
        </is>
      </c>
      <c r="G265" t="n">
        <v>1.5</v>
      </c>
      <c r="H265" t="n">
        <v>0</v>
      </c>
      <c r="I265" t="n">
        <v>0</v>
      </c>
      <c r="J265" t="n">
        <v>0</v>
      </c>
      <c r="K265" t="n">
        <v>0</v>
      </c>
      <c r="L265" t="n">
        <v>0</v>
      </c>
      <c r="M265" t="n">
        <v>0</v>
      </c>
      <c r="N265" t="n">
        <v>0</v>
      </c>
      <c r="O265" t="n">
        <v>0</v>
      </c>
      <c r="P265" t="n">
        <v>0</v>
      </c>
      <c r="Q265" t="n">
        <v>0</v>
      </c>
      <c r="R265" s="2" t="inlineStr"/>
    </row>
    <row r="266" ht="15" customHeight="1">
      <c r="A266" t="inlineStr">
        <is>
          <t>A 19556-2020</t>
        </is>
      </c>
      <c r="B266" s="1" t="n">
        <v>43936</v>
      </c>
      <c r="C266" s="1" t="n">
        <v>45792</v>
      </c>
      <c r="D266" t="inlineStr">
        <is>
          <t>UPPSALA LÄN</t>
        </is>
      </c>
      <c r="E266" t="inlineStr">
        <is>
          <t>ÖSTHAMMAR</t>
        </is>
      </c>
      <c r="G266" t="n">
        <v>6.3</v>
      </c>
      <c r="H266" t="n">
        <v>0</v>
      </c>
      <c r="I266" t="n">
        <v>0</v>
      </c>
      <c r="J266" t="n">
        <v>0</v>
      </c>
      <c r="K266" t="n">
        <v>0</v>
      </c>
      <c r="L266" t="n">
        <v>0</v>
      </c>
      <c r="M266" t="n">
        <v>0</v>
      </c>
      <c r="N266" t="n">
        <v>0</v>
      </c>
      <c r="O266" t="n">
        <v>0</v>
      </c>
      <c r="P266" t="n">
        <v>0</v>
      </c>
      <c r="Q266" t="n">
        <v>0</v>
      </c>
      <c r="R266" s="2" t="inlineStr"/>
    </row>
    <row r="267" ht="15" customHeight="1">
      <c r="A267" t="inlineStr">
        <is>
          <t>A 23621-2020</t>
        </is>
      </c>
      <c r="B267" s="1" t="n">
        <v>43969</v>
      </c>
      <c r="C267" s="1" t="n">
        <v>45792</v>
      </c>
      <c r="D267" t="inlineStr">
        <is>
          <t>UPPSALA LÄN</t>
        </is>
      </c>
      <c r="E267" t="inlineStr">
        <is>
          <t>ÖSTHAMMAR</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26198-2020</t>
        </is>
      </c>
      <c r="B268" s="1" t="n">
        <v>43986</v>
      </c>
      <c r="C268" s="1" t="n">
        <v>45792</v>
      </c>
      <c r="D268" t="inlineStr">
        <is>
          <t>UPPSALA LÄN</t>
        </is>
      </c>
      <c r="E268" t="inlineStr">
        <is>
          <t>ÖSTHAMMAR</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30338-2020</t>
        </is>
      </c>
      <c r="B269" s="1" t="n">
        <v>44007</v>
      </c>
      <c r="C269" s="1" t="n">
        <v>45792</v>
      </c>
      <c r="D269" t="inlineStr">
        <is>
          <t>UPPSALA LÄN</t>
        </is>
      </c>
      <c r="E269" t="inlineStr">
        <is>
          <t>ÖSTHAMMAR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30419-2020</t>
        </is>
      </c>
      <c r="B270" s="1" t="n">
        <v>44007</v>
      </c>
      <c r="C270" s="1" t="n">
        <v>45792</v>
      </c>
      <c r="D270" t="inlineStr">
        <is>
          <t>UPPSALA LÄN</t>
        </is>
      </c>
      <c r="E270" t="inlineStr">
        <is>
          <t>ÖSTHAMMAR</t>
        </is>
      </c>
      <c r="G270" t="n">
        <v>5.6</v>
      </c>
      <c r="H270" t="n">
        <v>0</v>
      </c>
      <c r="I270" t="n">
        <v>0</v>
      </c>
      <c r="J270" t="n">
        <v>0</v>
      </c>
      <c r="K270" t="n">
        <v>0</v>
      </c>
      <c r="L270" t="n">
        <v>0</v>
      </c>
      <c r="M270" t="n">
        <v>0</v>
      </c>
      <c r="N270" t="n">
        <v>0</v>
      </c>
      <c r="O270" t="n">
        <v>0</v>
      </c>
      <c r="P270" t="n">
        <v>0</v>
      </c>
      <c r="Q270" t="n">
        <v>0</v>
      </c>
      <c r="R270" s="2" t="inlineStr"/>
    </row>
    <row r="271" ht="15" customHeight="1">
      <c r="A271" t="inlineStr">
        <is>
          <t>A 32192-2020</t>
        </is>
      </c>
      <c r="B271" s="1" t="n">
        <v>44015</v>
      </c>
      <c r="C271" s="1" t="n">
        <v>45792</v>
      </c>
      <c r="D271" t="inlineStr">
        <is>
          <t>UPPSALA LÄN</t>
        </is>
      </c>
      <c r="E271" t="inlineStr">
        <is>
          <t>ÖSTHAMMAR</t>
        </is>
      </c>
      <c r="G271" t="n">
        <v>1.6</v>
      </c>
      <c r="H271" t="n">
        <v>0</v>
      </c>
      <c r="I271" t="n">
        <v>0</v>
      </c>
      <c r="J271" t="n">
        <v>0</v>
      </c>
      <c r="K271" t="n">
        <v>0</v>
      </c>
      <c r="L271" t="n">
        <v>0</v>
      </c>
      <c r="M271" t="n">
        <v>0</v>
      </c>
      <c r="N271" t="n">
        <v>0</v>
      </c>
      <c r="O271" t="n">
        <v>0</v>
      </c>
      <c r="P271" t="n">
        <v>0</v>
      </c>
      <c r="Q271" t="n">
        <v>0</v>
      </c>
      <c r="R271" s="2" t="inlineStr"/>
    </row>
    <row r="272" ht="15" customHeight="1">
      <c r="A272" t="inlineStr">
        <is>
          <t>A 33098-2020</t>
        </is>
      </c>
      <c r="B272" s="1" t="n">
        <v>44021</v>
      </c>
      <c r="C272" s="1" t="n">
        <v>45792</v>
      </c>
      <c r="D272" t="inlineStr">
        <is>
          <t>UPPSALA LÄN</t>
        </is>
      </c>
      <c r="E272" t="inlineStr">
        <is>
          <t>ÖSTHAMMAR</t>
        </is>
      </c>
      <c r="G272" t="n">
        <v>3.8</v>
      </c>
      <c r="H272" t="n">
        <v>0</v>
      </c>
      <c r="I272" t="n">
        <v>0</v>
      </c>
      <c r="J272" t="n">
        <v>0</v>
      </c>
      <c r="K272" t="n">
        <v>0</v>
      </c>
      <c r="L272" t="n">
        <v>0</v>
      </c>
      <c r="M272" t="n">
        <v>0</v>
      </c>
      <c r="N272" t="n">
        <v>0</v>
      </c>
      <c r="O272" t="n">
        <v>0</v>
      </c>
      <c r="P272" t="n">
        <v>0</v>
      </c>
      <c r="Q272" t="n">
        <v>0</v>
      </c>
      <c r="R272" s="2" t="inlineStr"/>
    </row>
    <row r="273" ht="15" customHeight="1">
      <c r="A273" t="inlineStr">
        <is>
          <t>A 34943-2020</t>
        </is>
      </c>
      <c r="B273" s="1" t="n">
        <v>44038</v>
      </c>
      <c r="C273" s="1" t="n">
        <v>45792</v>
      </c>
      <c r="D273" t="inlineStr">
        <is>
          <t>UPPSALA LÄN</t>
        </is>
      </c>
      <c r="E273" t="inlineStr">
        <is>
          <t>ÖSTHAMMAR</t>
        </is>
      </c>
      <c r="F273" t="inlineStr">
        <is>
          <t>Bergvik skog öst AB</t>
        </is>
      </c>
      <c r="G273" t="n">
        <v>4.2</v>
      </c>
      <c r="H273" t="n">
        <v>0</v>
      </c>
      <c r="I273" t="n">
        <v>0</v>
      </c>
      <c r="J273" t="n">
        <v>0</v>
      </c>
      <c r="K273" t="n">
        <v>0</v>
      </c>
      <c r="L273" t="n">
        <v>0</v>
      </c>
      <c r="M273" t="n">
        <v>0</v>
      </c>
      <c r="N273" t="n">
        <v>0</v>
      </c>
      <c r="O273" t="n">
        <v>0</v>
      </c>
      <c r="P273" t="n">
        <v>0</v>
      </c>
      <c r="Q273" t="n">
        <v>0</v>
      </c>
      <c r="R273" s="2" t="inlineStr"/>
    </row>
    <row r="274" ht="15" customHeight="1">
      <c r="A274" t="inlineStr">
        <is>
          <t>A 34941-2020</t>
        </is>
      </c>
      <c r="B274" s="1" t="n">
        <v>44038</v>
      </c>
      <c r="C274" s="1" t="n">
        <v>45792</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34940-2020</t>
        </is>
      </c>
      <c r="B275" s="1" t="n">
        <v>44038</v>
      </c>
      <c r="C275" s="1" t="n">
        <v>45792</v>
      </c>
      <c r="D275" t="inlineStr">
        <is>
          <t>UPPSALA LÄN</t>
        </is>
      </c>
      <c r="E275" t="inlineStr">
        <is>
          <t>ÖSTHAMMAR</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35094-2020</t>
        </is>
      </c>
      <c r="B276" s="1" t="n">
        <v>44040</v>
      </c>
      <c r="C276" s="1" t="n">
        <v>45792</v>
      </c>
      <c r="D276" t="inlineStr">
        <is>
          <t>UPPSALA LÄN</t>
        </is>
      </c>
      <c r="E276" t="inlineStr">
        <is>
          <t>ÖSTHAMMAR</t>
        </is>
      </c>
      <c r="F276" t="inlineStr">
        <is>
          <t>Bergvik skog öst AB</t>
        </is>
      </c>
      <c r="G276" t="n">
        <v>14.5</v>
      </c>
      <c r="H276" t="n">
        <v>0</v>
      </c>
      <c r="I276" t="n">
        <v>0</v>
      </c>
      <c r="J276" t="n">
        <v>0</v>
      </c>
      <c r="K276" t="n">
        <v>0</v>
      </c>
      <c r="L276" t="n">
        <v>0</v>
      </c>
      <c r="M276" t="n">
        <v>0</v>
      </c>
      <c r="N276" t="n">
        <v>0</v>
      </c>
      <c r="O276" t="n">
        <v>0</v>
      </c>
      <c r="P276" t="n">
        <v>0</v>
      </c>
      <c r="Q276" t="n">
        <v>0</v>
      </c>
      <c r="R276" s="2" t="inlineStr"/>
    </row>
    <row r="277" ht="15" customHeight="1">
      <c r="A277" t="inlineStr">
        <is>
          <t>A 35096-2020</t>
        </is>
      </c>
      <c r="B277" s="1" t="n">
        <v>44040</v>
      </c>
      <c r="C277" s="1" t="n">
        <v>45792</v>
      </c>
      <c r="D277" t="inlineStr">
        <is>
          <t>UPPSALA LÄN</t>
        </is>
      </c>
      <c r="E277" t="inlineStr">
        <is>
          <t>ÖSTHAMMAR</t>
        </is>
      </c>
      <c r="F277" t="inlineStr">
        <is>
          <t>Bergvik skog öst AB</t>
        </is>
      </c>
      <c r="G277" t="n">
        <v>7.6</v>
      </c>
      <c r="H277" t="n">
        <v>0</v>
      </c>
      <c r="I277" t="n">
        <v>0</v>
      </c>
      <c r="J277" t="n">
        <v>0</v>
      </c>
      <c r="K277" t="n">
        <v>0</v>
      </c>
      <c r="L277" t="n">
        <v>0</v>
      </c>
      <c r="M277" t="n">
        <v>0</v>
      </c>
      <c r="N277" t="n">
        <v>0</v>
      </c>
      <c r="O277" t="n">
        <v>0</v>
      </c>
      <c r="P277" t="n">
        <v>0</v>
      </c>
      <c r="Q277" t="n">
        <v>0</v>
      </c>
      <c r="R277" s="2" t="inlineStr"/>
    </row>
    <row r="278" ht="15" customHeight="1">
      <c r="A278" t="inlineStr">
        <is>
          <t>A 38285-2020</t>
        </is>
      </c>
      <c r="B278" s="1" t="n">
        <v>44060</v>
      </c>
      <c r="C278" s="1" t="n">
        <v>45792</v>
      </c>
      <c r="D278" t="inlineStr">
        <is>
          <t>UPPSALA LÄN</t>
        </is>
      </c>
      <c r="E278" t="inlineStr">
        <is>
          <t>ÖSTHAMMAR</t>
        </is>
      </c>
      <c r="G278" t="n">
        <v>4.7</v>
      </c>
      <c r="H278" t="n">
        <v>0</v>
      </c>
      <c r="I278" t="n">
        <v>0</v>
      </c>
      <c r="J278" t="n">
        <v>0</v>
      </c>
      <c r="K278" t="n">
        <v>0</v>
      </c>
      <c r="L278" t="n">
        <v>0</v>
      </c>
      <c r="M278" t="n">
        <v>0</v>
      </c>
      <c r="N278" t="n">
        <v>0</v>
      </c>
      <c r="O278" t="n">
        <v>0</v>
      </c>
      <c r="P278" t="n">
        <v>0</v>
      </c>
      <c r="Q278" t="n">
        <v>0</v>
      </c>
      <c r="R278" s="2" t="inlineStr"/>
    </row>
    <row r="279" ht="15" customHeight="1">
      <c r="A279" t="inlineStr">
        <is>
          <t>A 38630-2020</t>
        </is>
      </c>
      <c r="B279" s="1" t="n">
        <v>44061</v>
      </c>
      <c r="C279" s="1" t="n">
        <v>45792</v>
      </c>
      <c r="D279" t="inlineStr">
        <is>
          <t>UPPSALA LÄN</t>
        </is>
      </c>
      <c r="E279" t="inlineStr">
        <is>
          <t>ÖSTHAMMAR</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39640-2020</t>
        </is>
      </c>
      <c r="B280" s="1" t="n">
        <v>44064</v>
      </c>
      <c r="C280" s="1" t="n">
        <v>45792</v>
      </c>
      <c r="D280" t="inlineStr">
        <is>
          <t>UPPSALA LÄN</t>
        </is>
      </c>
      <c r="E280" t="inlineStr">
        <is>
          <t>ÖSTHAMMAR</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41849-2020</t>
        </is>
      </c>
      <c r="B281" s="1" t="n">
        <v>44074</v>
      </c>
      <c r="C281" s="1" t="n">
        <v>45792</v>
      </c>
      <c r="D281" t="inlineStr">
        <is>
          <t>UPPSALA LÄN</t>
        </is>
      </c>
      <c r="E281" t="inlineStr">
        <is>
          <t>ÖSTHAMMAR</t>
        </is>
      </c>
      <c r="F281" t="inlineStr">
        <is>
          <t>Bergvik skog öst AB</t>
        </is>
      </c>
      <c r="G281" t="n">
        <v>2.5</v>
      </c>
      <c r="H281" t="n">
        <v>0</v>
      </c>
      <c r="I281" t="n">
        <v>0</v>
      </c>
      <c r="J281" t="n">
        <v>0</v>
      </c>
      <c r="K281" t="n">
        <v>0</v>
      </c>
      <c r="L281" t="n">
        <v>0</v>
      </c>
      <c r="M281" t="n">
        <v>0</v>
      </c>
      <c r="N281" t="n">
        <v>0</v>
      </c>
      <c r="O281" t="n">
        <v>0</v>
      </c>
      <c r="P281" t="n">
        <v>0</v>
      </c>
      <c r="Q281" t="n">
        <v>0</v>
      </c>
      <c r="R281" s="2" t="inlineStr"/>
    </row>
    <row r="282" ht="15" customHeight="1">
      <c r="A282" t="inlineStr">
        <is>
          <t>A 42549-2020</t>
        </is>
      </c>
      <c r="B282" s="1" t="n">
        <v>44077</v>
      </c>
      <c r="C282" s="1" t="n">
        <v>45792</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46311-2020</t>
        </is>
      </c>
      <c r="B283" s="1" t="n">
        <v>44092</v>
      </c>
      <c r="C283" s="1" t="n">
        <v>45792</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46423-2020</t>
        </is>
      </c>
      <c r="B284" s="1" t="n">
        <v>44095</v>
      </c>
      <c r="C284" s="1" t="n">
        <v>45792</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47481-2020</t>
        </is>
      </c>
      <c r="B285" s="1" t="n">
        <v>44098</v>
      </c>
      <c r="C285" s="1" t="n">
        <v>45792</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49206-2020</t>
        </is>
      </c>
      <c r="B286" s="1" t="n">
        <v>44105</v>
      </c>
      <c r="C286" s="1" t="n">
        <v>45792</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49336-2020</t>
        </is>
      </c>
      <c r="B287" s="1" t="n">
        <v>44105</v>
      </c>
      <c r="C287" s="1" t="n">
        <v>45792</v>
      </c>
      <c r="D287" t="inlineStr">
        <is>
          <t>UPPSALA LÄN</t>
        </is>
      </c>
      <c r="E287" t="inlineStr">
        <is>
          <t>ÖSTHAMMAR</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52432-2020</t>
        </is>
      </c>
      <c r="B288" s="1" t="n">
        <v>44118</v>
      </c>
      <c r="C288" s="1" t="n">
        <v>45792</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52434-2020</t>
        </is>
      </c>
      <c r="B289" s="1" t="n">
        <v>44118</v>
      </c>
      <c r="C289" s="1" t="n">
        <v>45792</v>
      </c>
      <c r="D289" t="inlineStr">
        <is>
          <t>UPPSALA LÄN</t>
        </is>
      </c>
      <c r="E289" t="inlineStr">
        <is>
          <t>ÖSTHAMMAR</t>
        </is>
      </c>
      <c r="G289" t="n">
        <v>2.8</v>
      </c>
      <c r="H289" t="n">
        <v>0</v>
      </c>
      <c r="I289" t="n">
        <v>0</v>
      </c>
      <c r="J289" t="n">
        <v>0</v>
      </c>
      <c r="K289" t="n">
        <v>0</v>
      </c>
      <c r="L289" t="n">
        <v>0</v>
      </c>
      <c r="M289" t="n">
        <v>0</v>
      </c>
      <c r="N289" t="n">
        <v>0</v>
      </c>
      <c r="O289" t="n">
        <v>0</v>
      </c>
      <c r="P289" t="n">
        <v>0</v>
      </c>
      <c r="Q289" t="n">
        <v>0</v>
      </c>
      <c r="R289" s="2" t="inlineStr"/>
    </row>
    <row r="290" ht="15" customHeight="1">
      <c r="A290" t="inlineStr">
        <is>
          <t>A 53137-2020</t>
        </is>
      </c>
      <c r="B290" s="1" t="n">
        <v>44120</v>
      </c>
      <c r="C290" s="1" t="n">
        <v>45792</v>
      </c>
      <c r="D290" t="inlineStr">
        <is>
          <t>UPPSALA LÄN</t>
        </is>
      </c>
      <c r="E290" t="inlineStr">
        <is>
          <t>ÖSTHAMMAR</t>
        </is>
      </c>
      <c r="G290" t="n">
        <v>1.9</v>
      </c>
      <c r="H290" t="n">
        <v>0</v>
      </c>
      <c r="I290" t="n">
        <v>0</v>
      </c>
      <c r="J290" t="n">
        <v>0</v>
      </c>
      <c r="K290" t="n">
        <v>0</v>
      </c>
      <c r="L290" t="n">
        <v>0</v>
      </c>
      <c r="M290" t="n">
        <v>0</v>
      </c>
      <c r="N290" t="n">
        <v>0</v>
      </c>
      <c r="O290" t="n">
        <v>0</v>
      </c>
      <c r="P290" t="n">
        <v>0</v>
      </c>
      <c r="Q290" t="n">
        <v>0</v>
      </c>
      <c r="R290" s="2" t="inlineStr"/>
    </row>
    <row r="291" ht="15" customHeight="1">
      <c r="A291" t="inlineStr">
        <is>
          <t>A 55389-2020</t>
        </is>
      </c>
      <c r="B291" s="1" t="n">
        <v>44131</v>
      </c>
      <c r="C291" s="1" t="n">
        <v>45792</v>
      </c>
      <c r="D291" t="inlineStr">
        <is>
          <t>UPPSALA LÄN</t>
        </is>
      </c>
      <c r="E291" t="inlineStr">
        <is>
          <t>ÖSTHAMMAR</t>
        </is>
      </c>
      <c r="G291" t="n">
        <v>1.3</v>
      </c>
      <c r="H291" t="n">
        <v>0</v>
      </c>
      <c r="I291" t="n">
        <v>0</v>
      </c>
      <c r="J291" t="n">
        <v>0</v>
      </c>
      <c r="K291" t="n">
        <v>0</v>
      </c>
      <c r="L291" t="n">
        <v>0</v>
      </c>
      <c r="M291" t="n">
        <v>0</v>
      </c>
      <c r="N291" t="n">
        <v>0</v>
      </c>
      <c r="O291" t="n">
        <v>0</v>
      </c>
      <c r="P291" t="n">
        <v>0</v>
      </c>
      <c r="Q291" t="n">
        <v>0</v>
      </c>
      <c r="R291" s="2" t="inlineStr"/>
    </row>
    <row r="292" ht="15" customHeight="1">
      <c r="A292" t="inlineStr">
        <is>
          <t>A 56041-2020</t>
        </is>
      </c>
      <c r="B292" s="1" t="n">
        <v>44133</v>
      </c>
      <c r="C292" s="1" t="n">
        <v>45792</v>
      </c>
      <c r="D292" t="inlineStr">
        <is>
          <t>UPPSALA LÄN</t>
        </is>
      </c>
      <c r="E292" t="inlineStr">
        <is>
          <t>ÖSTHAMMAR</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56079-2020</t>
        </is>
      </c>
      <c r="B293" s="1" t="n">
        <v>44133</v>
      </c>
      <c r="C293" s="1" t="n">
        <v>45792</v>
      </c>
      <c r="D293" t="inlineStr">
        <is>
          <t>UPPSALA LÄN</t>
        </is>
      </c>
      <c r="E293" t="inlineStr">
        <is>
          <t>ÖSTHAMMAR</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56089-2020</t>
        </is>
      </c>
      <c r="B294" s="1" t="n">
        <v>44133</v>
      </c>
      <c r="C294" s="1" t="n">
        <v>45792</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57408-2020</t>
        </is>
      </c>
      <c r="B295" s="1" t="n">
        <v>44140</v>
      </c>
      <c r="C295" s="1" t="n">
        <v>45792</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59432-2020</t>
        </is>
      </c>
      <c r="B296" s="1" t="n">
        <v>44148</v>
      </c>
      <c r="C296" s="1" t="n">
        <v>45792</v>
      </c>
      <c r="D296" t="inlineStr">
        <is>
          <t>UPPSALA LÄN</t>
        </is>
      </c>
      <c r="E296" t="inlineStr">
        <is>
          <t>ÖSTHAMMAR</t>
        </is>
      </c>
      <c r="F296" t="inlineStr">
        <is>
          <t>Sveaskog</t>
        </is>
      </c>
      <c r="G296" t="n">
        <v>3.4</v>
      </c>
      <c r="H296" t="n">
        <v>0</v>
      </c>
      <c r="I296" t="n">
        <v>0</v>
      </c>
      <c r="J296" t="n">
        <v>0</v>
      </c>
      <c r="K296" t="n">
        <v>0</v>
      </c>
      <c r="L296" t="n">
        <v>0</v>
      </c>
      <c r="M296" t="n">
        <v>0</v>
      </c>
      <c r="N296" t="n">
        <v>0</v>
      </c>
      <c r="O296" t="n">
        <v>0</v>
      </c>
      <c r="P296" t="n">
        <v>0</v>
      </c>
      <c r="Q296" t="n">
        <v>0</v>
      </c>
      <c r="R296" s="2" t="inlineStr"/>
    </row>
    <row r="297" ht="15" customHeight="1">
      <c r="A297" t="inlineStr">
        <is>
          <t>A 59414-2020</t>
        </is>
      </c>
      <c r="B297" s="1" t="n">
        <v>44148</v>
      </c>
      <c r="C297" s="1" t="n">
        <v>45792</v>
      </c>
      <c r="D297" t="inlineStr">
        <is>
          <t>UPPSALA LÄN</t>
        </is>
      </c>
      <c r="E297" t="inlineStr">
        <is>
          <t>ÖSTHAMMAR</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59417-2020</t>
        </is>
      </c>
      <c r="B298" s="1" t="n">
        <v>44148</v>
      </c>
      <c r="C298" s="1" t="n">
        <v>45792</v>
      </c>
      <c r="D298" t="inlineStr">
        <is>
          <t>UPPSALA LÄN</t>
        </is>
      </c>
      <c r="E298" t="inlineStr">
        <is>
          <t>ÖSTHAMMAR</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59714-2020</t>
        </is>
      </c>
      <c r="B299" s="1" t="n">
        <v>44151</v>
      </c>
      <c r="C299" s="1" t="n">
        <v>45792</v>
      </c>
      <c r="D299" t="inlineStr">
        <is>
          <t>UPPSALA LÄN</t>
        </is>
      </c>
      <c r="E299" t="inlineStr">
        <is>
          <t>ÖSTHAMMAR</t>
        </is>
      </c>
      <c r="F299" t="inlineStr">
        <is>
          <t>Bergvik skog öst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45792</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61193-2020</t>
        </is>
      </c>
      <c r="B301" s="1" t="n">
        <v>44155</v>
      </c>
      <c r="C301" s="1" t="n">
        <v>45792</v>
      </c>
      <c r="D301" t="inlineStr">
        <is>
          <t>UPPSALA LÄN</t>
        </is>
      </c>
      <c r="E301" t="inlineStr">
        <is>
          <t>ÖSTHAMMAR</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62484-2020</t>
        </is>
      </c>
      <c r="B302" s="1" t="n">
        <v>44160</v>
      </c>
      <c r="C302" s="1" t="n">
        <v>45792</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63637-2020</t>
        </is>
      </c>
      <c r="B303" s="1" t="n">
        <v>44162</v>
      </c>
      <c r="C303" s="1" t="n">
        <v>45792</v>
      </c>
      <c r="D303" t="inlineStr">
        <is>
          <t>UPPSALA LÄN</t>
        </is>
      </c>
      <c r="E303" t="inlineStr">
        <is>
          <t>ÖSTHAMMAR</t>
        </is>
      </c>
      <c r="G303" t="n">
        <v>4</v>
      </c>
      <c r="H303" t="n">
        <v>0</v>
      </c>
      <c r="I303" t="n">
        <v>0</v>
      </c>
      <c r="J303" t="n">
        <v>0</v>
      </c>
      <c r="K303" t="n">
        <v>0</v>
      </c>
      <c r="L303" t="n">
        <v>0</v>
      </c>
      <c r="M303" t="n">
        <v>0</v>
      </c>
      <c r="N303" t="n">
        <v>0</v>
      </c>
      <c r="O303" t="n">
        <v>0</v>
      </c>
      <c r="P303" t="n">
        <v>0</v>
      </c>
      <c r="Q303" t="n">
        <v>0</v>
      </c>
      <c r="R303" s="2" t="inlineStr"/>
    </row>
    <row r="304" ht="15" customHeight="1">
      <c r="A304" t="inlineStr">
        <is>
          <t>A 63577-2020</t>
        </is>
      </c>
      <c r="B304" s="1" t="n">
        <v>44165</v>
      </c>
      <c r="C304" s="1" t="n">
        <v>45792</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63987-2020</t>
        </is>
      </c>
      <c r="B305" s="1" t="n">
        <v>44167</v>
      </c>
      <c r="C305" s="1" t="n">
        <v>45792</v>
      </c>
      <c r="D305" t="inlineStr">
        <is>
          <t>UPPSALA LÄN</t>
        </is>
      </c>
      <c r="E305" t="inlineStr">
        <is>
          <t>ÖSTHAMMAR</t>
        </is>
      </c>
      <c r="G305" t="n">
        <v>5.9</v>
      </c>
      <c r="H305" t="n">
        <v>0</v>
      </c>
      <c r="I305" t="n">
        <v>0</v>
      </c>
      <c r="J305" t="n">
        <v>0</v>
      </c>
      <c r="K305" t="n">
        <v>0</v>
      </c>
      <c r="L305" t="n">
        <v>0</v>
      </c>
      <c r="M305" t="n">
        <v>0</v>
      </c>
      <c r="N305" t="n">
        <v>0</v>
      </c>
      <c r="O305" t="n">
        <v>0</v>
      </c>
      <c r="P305" t="n">
        <v>0</v>
      </c>
      <c r="Q305" t="n">
        <v>0</v>
      </c>
      <c r="R305" s="2" t="inlineStr"/>
    </row>
    <row r="306" ht="15" customHeight="1">
      <c r="A306" t="inlineStr">
        <is>
          <t>A 65361-2020</t>
        </is>
      </c>
      <c r="B306" s="1" t="n">
        <v>44173</v>
      </c>
      <c r="C306" s="1" t="n">
        <v>45792</v>
      </c>
      <c r="D306" t="inlineStr">
        <is>
          <t>UPPSALA LÄN</t>
        </is>
      </c>
      <c r="E306" t="inlineStr">
        <is>
          <t>ÖSTHAMMAR</t>
        </is>
      </c>
      <c r="G306" t="n">
        <v>3.6</v>
      </c>
      <c r="H306" t="n">
        <v>0</v>
      </c>
      <c r="I306" t="n">
        <v>0</v>
      </c>
      <c r="J306" t="n">
        <v>0</v>
      </c>
      <c r="K306" t="n">
        <v>0</v>
      </c>
      <c r="L306" t="n">
        <v>0</v>
      </c>
      <c r="M306" t="n">
        <v>0</v>
      </c>
      <c r="N306" t="n">
        <v>0</v>
      </c>
      <c r="O306" t="n">
        <v>0</v>
      </c>
      <c r="P306" t="n">
        <v>0</v>
      </c>
      <c r="Q306" t="n">
        <v>0</v>
      </c>
      <c r="R306" s="2" t="inlineStr"/>
    </row>
    <row r="307" ht="15" customHeight="1">
      <c r="A307" t="inlineStr">
        <is>
          <t>A 68243-2020</t>
        </is>
      </c>
      <c r="B307" s="1" t="n">
        <v>44183</v>
      </c>
      <c r="C307" s="1" t="n">
        <v>45792</v>
      </c>
      <c r="D307" t="inlineStr">
        <is>
          <t>UPPSALA LÄN</t>
        </is>
      </c>
      <c r="E307" t="inlineStr">
        <is>
          <t>ÖSTHAMMAR</t>
        </is>
      </c>
      <c r="G307" t="n">
        <v>8.5</v>
      </c>
      <c r="H307" t="n">
        <v>0</v>
      </c>
      <c r="I307" t="n">
        <v>0</v>
      </c>
      <c r="J307" t="n">
        <v>0</v>
      </c>
      <c r="K307" t="n">
        <v>0</v>
      </c>
      <c r="L307" t="n">
        <v>0</v>
      </c>
      <c r="M307" t="n">
        <v>0</v>
      </c>
      <c r="N307" t="n">
        <v>0</v>
      </c>
      <c r="O307" t="n">
        <v>0</v>
      </c>
      <c r="P307" t="n">
        <v>0</v>
      </c>
      <c r="Q307" t="n">
        <v>0</v>
      </c>
      <c r="R307" s="2" t="inlineStr"/>
    </row>
    <row r="308" ht="15" customHeight="1">
      <c r="A308" t="inlineStr">
        <is>
          <t>A 68828-2020</t>
        </is>
      </c>
      <c r="B308" s="1" t="n">
        <v>44186</v>
      </c>
      <c r="C308" s="1" t="n">
        <v>45792</v>
      </c>
      <c r="D308" t="inlineStr">
        <is>
          <t>UPPSALA LÄN</t>
        </is>
      </c>
      <c r="E308" t="inlineStr">
        <is>
          <t>ÖSTHAMMAR</t>
        </is>
      </c>
      <c r="G308" t="n">
        <v>1.5</v>
      </c>
      <c r="H308" t="n">
        <v>0</v>
      </c>
      <c r="I308" t="n">
        <v>0</v>
      </c>
      <c r="J308" t="n">
        <v>0</v>
      </c>
      <c r="K308" t="n">
        <v>0</v>
      </c>
      <c r="L308" t="n">
        <v>0</v>
      </c>
      <c r="M308" t="n">
        <v>0</v>
      </c>
      <c r="N308" t="n">
        <v>0</v>
      </c>
      <c r="O308" t="n">
        <v>0</v>
      </c>
      <c r="P308" t="n">
        <v>0</v>
      </c>
      <c r="Q308" t="n">
        <v>0</v>
      </c>
      <c r="R308" s="2" t="inlineStr"/>
    </row>
    <row r="309" ht="15" customHeight="1">
      <c r="A309" t="inlineStr">
        <is>
          <t>A 69681-2020</t>
        </is>
      </c>
      <c r="B309" s="1" t="n">
        <v>44196</v>
      </c>
      <c r="C309" s="1" t="n">
        <v>45792</v>
      </c>
      <c r="D309" t="inlineStr">
        <is>
          <t>UPPSALA LÄN</t>
        </is>
      </c>
      <c r="E309" t="inlineStr">
        <is>
          <t>ÖSTHAMMAR</t>
        </is>
      </c>
      <c r="F309" t="inlineStr">
        <is>
          <t>Bergvik skog öst AB</t>
        </is>
      </c>
      <c r="G309" t="n">
        <v>21.9</v>
      </c>
      <c r="H309" t="n">
        <v>0</v>
      </c>
      <c r="I309" t="n">
        <v>0</v>
      </c>
      <c r="J309" t="n">
        <v>0</v>
      </c>
      <c r="K309" t="n">
        <v>0</v>
      </c>
      <c r="L309" t="n">
        <v>0</v>
      </c>
      <c r="M309" t="n">
        <v>0</v>
      </c>
      <c r="N309" t="n">
        <v>0</v>
      </c>
      <c r="O309" t="n">
        <v>0</v>
      </c>
      <c r="P309" t="n">
        <v>0</v>
      </c>
      <c r="Q309" t="n">
        <v>0</v>
      </c>
      <c r="R309" s="2" t="inlineStr"/>
    </row>
    <row r="310" ht="15" customHeight="1">
      <c r="A310" t="inlineStr">
        <is>
          <t>A 3693-2021</t>
        </is>
      </c>
      <c r="B310" s="1" t="n">
        <v>44221</v>
      </c>
      <c r="C310" s="1" t="n">
        <v>45792</v>
      </c>
      <c r="D310" t="inlineStr">
        <is>
          <t>UPPSALA LÄN</t>
        </is>
      </c>
      <c r="E310" t="inlineStr">
        <is>
          <t>ÖSTHAMMAR</t>
        </is>
      </c>
      <c r="G310" t="n">
        <v>0.3</v>
      </c>
      <c r="H310" t="n">
        <v>0</v>
      </c>
      <c r="I310" t="n">
        <v>0</v>
      </c>
      <c r="J310" t="n">
        <v>0</v>
      </c>
      <c r="K310" t="n">
        <v>0</v>
      </c>
      <c r="L310" t="n">
        <v>0</v>
      </c>
      <c r="M310" t="n">
        <v>0</v>
      </c>
      <c r="N310" t="n">
        <v>0</v>
      </c>
      <c r="O310" t="n">
        <v>0</v>
      </c>
      <c r="P310" t="n">
        <v>0</v>
      </c>
      <c r="Q310" t="n">
        <v>0</v>
      </c>
      <c r="R310" s="2" t="inlineStr"/>
    </row>
    <row r="311" ht="15" customHeight="1">
      <c r="A311" t="inlineStr">
        <is>
          <t>A 4151-2021</t>
        </is>
      </c>
      <c r="B311" s="1" t="n">
        <v>44221</v>
      </c>
      <c r="C311" s="1" t="n">
        <v>45792</v>
      </c>
      <c r="D311" t="inlineStr">
        <is>
          <t>UPPSALA LÄN</t>
        </is>
      </c>
      <c r="E311" t="inlineStr">
        <is>
          <t>ÖSTHAMMAR</t>
        </is>
      </c>
      <c r="G311" t="n">
        <v>2.9</v>
      </c>
      <c r="H311" t="n">
        <v>0</v>
      </c>
      <c r="I311" t="n">
        <v>0</v>
      </c>
      <c r="J311" t="n">
        <v>0</v>
      </c>
      <c r="K311" t="n">
        <v>0</v>
      </c>
      <c r="L311" t="n">
        <v>0</v>
      </c>
      <c r="M311" t="n">
        <v>0</v>
      </c>
      <c r="N311" t="n">
        <v>0</v>
      </c>
      <c r="O311" t="n">
        <v>0</v>
      </c>
      <c r="P311" t="n">
        <v>0</v>
      </c>
      <c r="Q311" t="n">
        <v>0</v>
      </c>
      <c r="R311" s="2" t="inlineStr"/>
    </row>
    <row r="312" ht="15" customHeight="1">
      <c r="A312" t="inlineStr">
        <is>
          <t>A 4590-2021</t>
        </is>
      </c>
      <c r="B312" s="1" t="n">
        <v>44224</v>
      </c>
      <c r="C312" s="1" t="n">
        <v>45792</v>
      </c>
      <c r="D312" t="inlineStr">
        <is>
          <t>UPPSALA LÄN</t>
        </is>
      </c>
      <c r="E312" t="inlineStr">
        <is>
          <t>ÖSTHAMMAR</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6221-2021</t>
        </is>
      </c>
      <c r="B313" s="1" t="n">
        <v>44235</v>
      </c>
      <c r="C313" s="1" t="n">
        <v>45792</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7113-2021</t>
        </is>
      </c>
      <c r="B314" s="1" t="n">
        <v>44238</v>
      </c>
      <c r="C314" s="1" t="n">
        <v>45792</v>
      </c>
      <c r="D314" t="inlineStr">
        <is>
          <t>UPPSALA LÄN</t>
        </is>
      </c>
      <c r="E314" t="inlineStr">
        <is>
          <t>ÖSTHAMMAR</t>
        </is>
      </c>
      <c r="F314" t="inlineStr">
        <is>
          <t>Bergvik skog öst AB</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8009-2021</t>
        </is>
      </c>
      <c r="B315" s="1" t="n">
        <v>44243</v>
      </c>
      <c r="C315" s="1" t="n">
        <v>45792</v>
      </c>
      <c r="D315" t="inlineStr">
        <is>
          <t>UPPSALA LÄN</t>
        </is>
      </c>
      <c r="E315" t="inlineStr">
        <is>
          <t>ÖSTHAMMAR</t>
        </is>
      </c>
      <c r="G315" t="n">
        <v>9.9</v>
      </c>
      <c r="H315" t="n">
        <v>0</v>
      </c>
      <c r="I315" t="n">
        <v>0</v>
      </c>
      <c r="J315" t="n">
        <v>0</v>
      </c>
      <c r="K315" t="n">
        <v>0</v>
      </c>
      <c r="L315" t="n">
        <v>0</v>
      </c>
      <c r="M315" t="n">
        <v>0</v>
      </c>
      <c r="N315" t="n">
        <v>0</v>
      </c>
      <c r="O315" t="n">
        <v>0</v>
      </c>
      <c r="P315" t="n">
        <v>0</v>
      </c>
      <c r="Q315" t="n">
        <v>0</v>
      </c>
      <c r="R315" s="2" t="inlineStr"/>
    </row>
    <row r="316" ht="15" customHeight="1">
      <c r="A316" t="inlineStr">
        <is>
          <t>A 10316-2021</t>
        </is>
      </c>
      <c r="B316" s="1" t="n">
        <v>44257</v>
      </c>
      <c r="C316" s="1" t="n">
        <v>45792</v>
      </c>
      <c r="D316" t="inlineStr">
        <is>
          <t>UPPSALA LÄN</t>
        </is>
      </c>
      <c r="E316" t="inlineStr">
        <is>
          <t>ÖSTHAMMAR</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10498-2021</t>
        </is>
      </c>
      <c r="B317" s="1" t="n">
        <v>44258</v>
      </c>
      <c r="C317" s="1" t="n">
        <v>45792</v>
      </c>
      <c r="D317" t="inlineStr">
        <is>
          <t>UPPSALA LÄN</t>
        </is>
      </c>
      <c r="E317" t="inlineStr">
        <is>
          <t>ÖSTHAMMAR</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14248-2021</t>
        </is>
      </c>
      <c r="B318" s="1" t="n">
        <v>44278</v>
      </c>
      <c r="C318" s="1" t="n">
        <v>45792</v>
      </c>
      <c r="D318" t="inlineStr">
        <is>
          <t>UPPSALA LÄN</t>
        </is>
      </c>
      <c r="E318" t="inlineStr">
        <is>
          <t>ÖSTHAMMAR</t>
        </is>
      </c>
      <c r="F318" t="inlineStr">
        <is>
          <t>Övriga Aktiebolag</t>
        </is>
      </c>
      <c r="G318" t="n">
        <v>1.2</v>
      </c>
      <c r="H318" t="n">
        <v>0</v>
      </c>
      <c r="I318" t="n">
        <v>0</v>
      </c>
      <c r="J318" t="n">
        <v>0</v>
      </c>
      <c r="K318" t="n">
        <v>0</v>
      </c>
      <c r="L318" t="n">
        <v>0</v>
      </c>
      <c r="M318" t="n">
        <v>0</v>
      </c>
      <c r="N318" t="n">
        <v>0</v>
      </c>
      <c r="O318" t="n">
        <v>0</v>
      </c>
      <c r="P318" t="n">
        <v>0</v>
      </c>
      <c r="Q318" t="n">
        <v>0</v>
      </c>
      <c r="R318" s="2" t="inlineStr"/>
    </row>
    <row r="319" ht="15" customHeight="1">
      <c r="A319" t="inlineStr">
        <is>
          <t>A 14525-2021</t>
        </is>
      </c>
      <c r="B319" s="1" t="n">
        <v>44279</v>
      </c>
      <c r="C319" s="1" t="n">
        <v>45792</v>
      </c>
      <c r="D319" t="inlineStr">
        <is>
          <t>UPPSALA LÄN</t>
        </is>
      </c>
      <c r="E319" t="inlineStr">
        <is>
          <t>ÖSTHAMMAR</t>
        </is>
      </c>
      <c r="F319" t="inlineStr">
        <is>
          <t>Bergvik skog öst AB</t>
        </is>
      </c>
      <c r="G319" t="n">
        <v>2.1</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45792</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16209-2021</t>
        </is>
      </c>
      <c r="B321" s="1" t="n">
        <v>44287</v>
      </c>
      <c r="C321" s="1" t="n">
        <v>45792</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17009-2021</t>
        </is>
      </c>
      <c r="B322" s="1" t="n">
        <v>44295</v>
      </c>
      <c r="C322" s="1" t="n">
        <v>45792</v>
      </c>
      <c r="D322" t="inlineStr">
        <is>
          <t>UPPSALA LÄN</t>
        </is>
      </c>
      <c r="E322" t="inlineStr">
        <is>
          <t>ÖSTHAMMAR</t>
        </is>
      </c>
      <c r="F322" t="inlineStr">
        <is>
          <t>Bergvik skog öst AB</t>
        </is>
      </c>
      <c r="G322" t="n">
        <v>3.2</v>
      </c>
      <c r="H322" t="n">
        <v>0</v>
      </c>
      <c r="I322" t="n">
        <v>0</v>
      </c>
      <c r="J322" t="n">
        <v>0</v>
      </c>
      <c r="K322" t="n">
        <v>0</v>
      </c>
      <c r="L322" t="n">
        <v>0</v>
      </c>
      <c r="M322" t="n">
        <v>0</v>
      </c>
      <c r="N322" t="n">
        <v>0</v>
      </c>
      <c r="O322" t="n">
        <v>0</v>
      </c>
      <c r="P322" t="n">
        <v>0</v>
      </c>
      <c r="Q322" t="n">
        <v>0</v>
      </c>
      <c r="R322" s="2" t="inlineStr"/>
    </row>
    <row r="323" ht="15" customHeight="1">
      <c r="A323" t="inlineStr">
        <is>
          <t>A 17022-2021</t>
        </is>
      </c>
      <c r="B323" s="1" t="n">
        <v>44295</v>
      </c>
      <c r="C323" s="1" t="n">
        <v>45792</v>
      </c>
      <c r="D323" t="inlineStr">
        <is>
          <t>UPPSALA LÄN</t>
        </is>
      </c>
      <c r="E323" t="inlineStr">
        <is>
          <t>ÖSTHAMMAR</t>
        </is>
      </c>
      <c r="F323" t="inlineStr">
        <is>
          <t>Bergvik skog öst AB</t>
        </is>
      </c>
      <c r="G323" t="n">
        <v>0.3</v>
      </c>
      <c r="H323" t="n">
        <v>0</v>
      </c>
      <c r="I323" t="n">
        <v>0</v>
      </c>
      <c r="J323" t="n">
        <v>0</v>
      </c>
      <c r="K323" t="n">
        <v>0</v>
      </c>
      <c r="L323" t="n">
        <v>0</v>
      </c>
      <c r="M323" t="n">
        <v>0</v>
      </c>
      <c r="N323" t="n">
        <v>0</v>
      </c>
      <c r="O323" t="n">
        <v>0</v>
      </c>
      <c r="P323" t="n">
        <v>0</v>
      </c>
      <c r="Q323" t="n">
        <v>0</v>
      </c>
      <c r="R323" s="2" t="inlineStr"/>
    </row>
    <row r="324" ht="15" customHeight="1">
      <c r="A324" t="inlineStr">
        <is>
          <t>A 17033-2021</t>
        </is>
      </c>
      <c r="B324" s="1" t="n">
        <v>44295</v>
      </c>
      <c r="C324" s="1" t="n">
        <v>45792</v>
      </c>
      <c r="D324" t="inlineStr">
        <is>
          <t>UPPSALA LÄN</t>
        </is>
      </c>
      <c r="E324" t="inlineStr">
        <is>
          <t>ÖSTHAMMAR</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17349-2021</t>
        </is>
      </c>
      <c r="B325" s="1" t="n">
        <v>44298</v>
      </c>
      <c r="C325" s="1" t="n">
        <v>45792</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18944-2021</t>
        </is>
      </c>
      <c r="B326" s="1" t="n">
        <v>44308</v>
      </c>
      <c r="C326" s="1" t="n">
        <v>45792</v>
      </c>
      <c r="D326" t="inlineStr">
        <is>
          <t>UPPSALA LÄN</t>
        </is>
      </c>
      <c r="E326" t="inlineStr">
        <is>
          <t>ÖSTHAMMAR</t>
        </is>
      </c>
      <c r="F326" t="inlineStr">
        <is>
          <t>Bergvik skog öst AB</t>
        </is>
      </c>
      <c r="G326" t="n">
        <v>12.5</v>
      </c>
      <c r="H326" t="n">
        <v>0</v>
      </c>
      <c r="I326" t="n">
        <v>0</v>
      </c>
      <c r="J326" t="n">
        <v>0</v>
      </c>
      <c r="K326" t="n">
        <v>0</v>
      </c>
      <c r="L326" t="n">
        <v>0</v>
      </c>
      <c r="M326" t="n">
        <v>0</v>
      </c>
      <c r="N326" t="n">
        <v>0</v>
      </c>
      <c r="O326" t="n">
        <v>0</v>
      </c>
      <c r="P326" t="n">
        <v>0</v>
      </c>
      <c r="Q326" t="n">
        <v>0</v>
      </c>
      <c r="R326" s="2" t="inlineStr"/>
    </row>
    <row r="327" ht="15" customHeight="1">
      <c r="A327" t="inlineStr">
        <is>
          <t>A 20326-2021</t>
        </is>
      </c>
      <c r="B327" s="1" t="n">
        <v>44308</v>
      </c>
      <c r="C327" s="1" t="n">
        <v>45792</v>
      </c>
      <c r="D327" t="inlineStr">
        <is>
          <t>UPPSALA LÄN</t>
        </is>
      </c>
      <c r="E327" t="inlineStr">
        <is>
          <t>ÖSTHAMMAR</t>
        </is>
      </c>
      <c r="G327" t="n">
        <v>7.8</v>
      </c>
      <c r="H327" t="n">
        <v>0</v>
      </c>
      <c r="I327" t="n">
        <v>0</v>
      </c>
      <c r="J327" t="n">
        <v>0</v>
      </c>
      <c r="K327" t="n">
        <v>0</v>
      </c>
      <c r="L327" t="n">
        <v>0</v>
      </c>
      <c r="M327" t="n">
        <v>0</v>
      </c>
      <c r="N327" t="n">
        <v>0</v>
      </c>
      <c r="O327" t="n">
        <v>0</v>
      </c>
      <c r="P327" t="n">
        <v>0</v>
      </c>
      <c r="Q327" t="n">
        <v>0</v>
      </c>
      <c r="R327" s="2" t="inlineStr"/>
    </row>
    <row r="328" ht="15" customHeight="1">
      <c r="A328" t="inlineStr">
        <is>
          <t>A 20325-2021</t>
        </is>
      </c>
      <c r="B328" s="1" t="n">
        <v>44308</v>
      </c>
      <c r="C328" s="1" t="n">
        <v>45792</v>
      </c>
      <c r="D328" t="inlineStr">
        <is>
          <t>UPPSALA LÄN</t>
        </is>
      </c>
      <c r="E328" t="inlineStr">
        <is>
          <t>ÖSTHAMMAR</t>
        </is>
      </c>
      <c r="G328" t="n">
        <v>5</v>
      </c>
      <c r="H328" t="n">
        <v>0</v>
      </c>
      <c r="I328" t="n">
        <v>0</v>
      </c>
      <c r="J328" t="n">
        <v>0</v>
      </c>
      <c r="K328" t="n">
        <v>0</v>
      </c>
      <c r="L328" t="n">
        <v>0</v>
      </c>
      <c r="M328" t="n">
        <v>0</v>
      </c>
      <c r="N328" t="n">
        <v>0</v>
      </c>
      <c r="O328" t="n">
        <v>0</v>
      </c>
      <c r="P328" t="n">
        <v>0</v>
      </c>
      <c r="Q328" t="n">
        <v>0</v>
      </c>
      <c r="R328" s="2" t="inlineStr"/>
    </row>
    <row r="329" ht="15" customHeight="1">
      <c r="A329" t="inlineStr">
        <is>
          <t>A 20324-2021</t>
        </is>
      </c>
      <c r="B329" s="1" t="n">
        <v>44308</v>
      </c>
      <c r="C329" s="1" t="n">
        <v>45792</v>
      </c>
      <c r="D329" t="inlineStr">
        <is>
          <t>UPPSALA LÄN</t>
        </is>
      </c>
      <c r="E329" t="inlineStr">
        <is>
          <t>ÖSTHAMMAR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19214-2021</t>
        </is>
      </c>
      <c r="B330" s="1" t="n">
        <v>44309</v>
      </c>
      <c r="C330" s="1" t="n">
        <v>45792</v>
      </c>
      <c r="D330" t="inlineStr">
        <is>
          <t>UPPSALA LÄN</t>
        </is>
      </c>
      <c r="E330" t="inlineStr">
        <is>
          <t>ÖSTHAMMAR</t>
        </is>
      </c>
      <c r="F330" t="inlineStr">
        <is>
          <t>Bergvik skog öst AB</t>
        </is>
      </c>
      <c r="G330" t="n">
        <v>6</v>
      </c>
      <c r="H330" t="n">
        <v>0</v>
      </c>
      <c r="I330" t="n">
        <v>0</v>
      </c>
      <c r="J330" t="n">
        <v>0</v>
      </c>
      <c r="K330" t="n">
        <v>0</v>
      </c>
      <c r="L330" t="n">
        <v>0</v>
      </c>
      <c r="M330" t="n">
        <v>0</v>
      </c>
      <c r="N330" t="n">
        <v>0</v>
      </c>
      <c r="O330" t="n">
        <v>0</v>
      </c>
      <c r="P330" t="n">
        <v>0</v>
      </c>
      <c r="Q330" t="n">
        <v>0</v>
      </c>
      <c r="R330" s="2" t="inlineStr"/>
    </row>
    <row r="331" ht="15" customHeight="1">
      <c r="A331" t="inlineStr">
        <is>
          <t>A 19552-2021</t>
        </is>
      </c>
      <c r="B331" s="1" t="n">
        <v>44312</v>
      </c>
      <c r="C331" s="1" t="n">
        <v>45792</v>
      </c>
      <c r="D331" t="inlineStr">
        <is>
          <t>UPPSALA LÄN</t>
        </is>
      </c>
      <c r="E331" t="inlineStr">
        <is>
          <t>ÖSTHAMMAR</t>
        </is>
      </c>
      <c r="G331" t="n">
        <v>4.5</v>
      </c>
      <c r="H331" t="n">
        <v>0</v>
      </c>
      <c r="I331" t="n">
        <v>0</v>
      </c>
      <c r="J331" t="n">
        <v>0</v>
      </c>
      <c r="K331" t="n">
        <v>0</v>
      </c>
      <c r="L331" t="n">
        <v>0</v>
      </c>
      <c r="M331" t="n">
        <v>0</v>
      </c>
      <c r="N331" t="n">
        <v>0</v>
      </c>
      <c r="O331" t="n">
        <v>0</v>
      </c>
      <c r="P331" t="n">
        <v>0</v>
      </c>
      <c r="Q331" t="n">
        <v>0</v>
      </c>
      <c r="R331" s="2" t="inlineStr"/>
    </row>
    <row r="332" ht="15" customHeight="1">
      <c r="A332" t="inlineStr">
        <is>
          <t>A 22709-2021</t>
        </is>
      </c>
      <c r="B332" s="1" t="n">
        <v>44327</v>
      </c>
      <c r="C332" s="1" t="n">
        <v>45792</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23120-2021</t>
        </is>
      </c>
      <c r="B333" s="1" t="n">
        <v>44330</v>
      </c>
      <c r="C333" s="1" t="n">
        <v>45792</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24062-2021</t>
        </is>
      </c>
      <c r="B334" s="1" t="n">
        <v>44336</v>
      </c>
      <c r="C334" s="1" t="n">
        <v>45792</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24316-2021</t>
        </is>
      </c>
      <c r="B335" s="1" t="n">
        <v>44337</v>
      </c>
      <c r="C335" s="1" t="n">
        <v>45792</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25033-2021</t>
        </is>
      </c>
      <c r="B336" s="1" t="n">
        <v>44341</v>
      </c>
      <c r="C336" s="1" t="n">
        <v>45792</v>
      </c>
      <c r="D336" t="inlineStr">
        <is>
          <t>UPPSALA LÄN</t>
        </is>
      </c>
      <c r="E336" t="inlineStr">
        <is>
          <t>ÖSTHAMMAR</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25378-2021</t>
        </is>
      </c>
      <c r="B337" s="1" t="n">
        <v>44342</v>
      </c>
      <c r="C337" s="1" t="n">
        <v>45792</v>
      </c>
      <c r="D337" t="inlineStr">
        <is>
          <t>UPPSALA LÄN</t>
        </is>
      </c>
      <c r="E337" t="inlineStr">
        <is>
          <t>ÖSTHAMMAR</t>
        </is>
      </c>
      <c r="F337" t="inlineStr">
        <is>
          <t>Övriga Aktiebolag</t>
        </is>
      </c>
      <c r="G337" t="n">
        <v>2.3</v>
      </c>
      <c r="H337" t="n">
        <v>0</v>
      </c>
      <c r="I337" t="n">
        <v>0</v>
      </c>
      <c r="J337" t="n">
        <v>0</v>
      </c>
      <c r="K337" t="n">
        <v>0</v>
      </c>
      <c r="L337" t="n">
        <v>0</v>
      </c>
      <c r="M337" t="n">
        <v>0</v>
      </c>
      <c r="N337" t="n">
        <v>0</v>
      </c>
      <c r="O337" t="n">
        <v>0</v>
      </c>
      <c r="P337" t="n">
        <v>0</v>
      </c>
      <c r="Q337" t="n">
        <v>0</v>
      </c>
      <c r="R337" s="2" t="inlineStr"/>
    </row>
    <row r="338" ht="15" customHeight="1">
      <c r="A338" t="inlineStr">
        <is>
          <t>A 25395-2021</t>
        </is>
      </c>
      <c r="B338" s="1" t="n">
        <v>44342</v>
      </c>
      <c r="C338" s="1" t="n">
        <v>45792</v>
      </c>
      <c r="D338" t="inlineStr">
        <is>
          <t>UPPSALA LÄN</t>
        </is>
      </c>
      <c r="E338" t="inlineStr">
        <is>
          <t>ÖSTHAMMAR</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26257-2021</t>
        </is>
      </c>
      <c r="B339" s="1" t="n">
        <v>44347</v>
      </c>
      <c r="C339" s="1" t="n">
        <v>45792</v>
      </c>
      <c r="D339" t="inlineStr">
        <is>
          <t>UPPSALA LÄN</t>
        </is>
      </c>
      <c r="E339" t="inlineStr">
        <is>
          <t>ÖSTHAMMAR</t>
        </is>
      </c>
      <c r="G339" t="n">
        <v>3.2</v>
      </c>
      <c r="H339" t="n">
        <v>0</v>
      </c>
      <c r="I339" t="n">
        <v>0</v>
      </c>
      <c r="J339" t="n">
        <v>0</v>
      </c>
      <c r="K339" t="n">
        <v>0</v>
      </c>
      <c r="L339" t="n">
        <v>0</v>
      </c>
      <c r="M339" t="n">
        <v>0</v>
      </c>
      <c r="N339" t="n">
        <v>0</v>
      </c>
      <c r="O339" t="n">
        <v>0</v>
      </c>
      <c r="P339" t="n">
        <v>0</v>
      </c>
      <c r="Q339" t="n">
        <v>0</v>
      </c>
      <c r="R339" s="2" t="inlineStr"/>
    </row>
    <row r="340" ht="15" customHeight="1">
      <c r="A340" t="inlineStr">
        <is>
          <t>A 27939-2021</t>
        </is>
      </c>
      <c r="B340" s="1" t="n">
        <v>44354</v>
      </c>
      <c r="C340" s="1" t="n">
        <v>45792</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27940-2021</t>
        </is>
      </c>
      <c r="B341" s="1" t="n">
        <v>44354</v>
      </c>
      <c r="C341" s="1" t="n">
        <v>45792</v>
      </c>
      <c r="D341" t="inlineStr">
        <is>
          <t>UPPSALA LÄN</t>
        </is>
      </c>
      <c r="E341" t="inlineStr">
        <is>
          <t>ÖSTHAMMAR</t>
        </is>
      </c>
      <c r="G341" t="n">
        <v>1.6</v>
      </c>
      <c r="H341" t="n">
        <v>0</v>
      </c>
      <c r="I341" t="n">
        <v>0</v>
      </c>
      <c r="J341" t="n">
        <v>0</v>
      </c>
      <c r="K341" t="n">
        <v>0</v>
      </c>
      <c r="L341" t="n">
        <v>0</v>
      </c>
      <c r="M341" t="n">
        <v>0</v>
      </c>
      <c r="N341" t="n">
        <v>0</v>
      </c>
      <c r="O341" t="n">
        <v>0</v>
      </c>
      <c r="P341" t="n">
        <v>0</v>
      </c>
      <c r="Q341" t="n">
        <v>0</v>
      </c>
      <c r="R341" s="2" t="inlineStr"/>
    </row>
    <row r="342" ht="15" customHeight="1">
      <c r="A342" t="inlineStr">
        <is>
          <t>A 29282-2021</t>
        </is>
      </c>
      <c r="B342" s="1" t="n">
        <v>44361</v>
      </c>
      <c r="C342" s="1" t="n">
        <v>45792</v>
      </c>
      <c r="D342" t="inlineStr">
        <is>
          <t>UPPSALA LÄN</t>
        </is>
      </c>
      <c r="E342" t="inlineStr">
        <is>
          <t>ÖSTHAMMAR</t>
        </is>
      </c>
      <c r="G342" t="n">
        <v>2.4</v>
      </c>
      <c r="H342" t="n">
        <v>0</v>
      </c>
      <c r="I342" t="n">
        <v>0</v>
      </c>
      <c r="J342" t="n">
        <v>0</v>
      </c>
      <c r="K342" t="n">
        <v>0</v>
      </c>
      <c r="L342" t="n">
        <v>0</v>
      </c>
      <c r="M342" t="n">
        <v>0</v>
      </c>
      <c r="N342" t="n">
        <v>0</v>
      </c>
      <c r="O342" t="n">
        <v>0</v>
      </c>
      <c r="P342" t="n">
        <v>0</v>
      </c>
      <c r="Q342" t="n">
        <v>0</v>
      </c>
      <c r="R342" s="2" t="inlineStr"/>
    </row>
    <row r="343" ht="15" customHeight="1">
      <c r="A343" t="inlineStr">
        <is>
          <t>A 30927-2021</t>
        </is>
      </c>
      <c r="B343" s="1" t="n">
        <v>44365</v>
      </c>
      <c r="C343" s="1" t="n">
        <v>45792</v>
      </c>
      <c r="D343" t="inlineStr">
        <is>
          <t>UPPSALA LÄN</t>
        </is>
      </c>
      <c r="E343" t="inlineStr">
        <is>
          <t>ÖSTHAMMAR</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30931-2021</t>
        </is>
      </c>
      <c r="B344" s="1" t="n">
        <v>44365</v>
      </c>
      <c r="C344" s="1" t="n">
        <v>45792</v>
      </c>
      <c r="D344" t="inlineStr">
        <is>
          <t>UPPSALA LÄN</t>
        </is>
      </c>
      <c r="E344" t="inlineStr">
        <is>
          <t>ÖSTHAMMAR</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31263-2021</t>
        </is>
      </c>
      <c r="B345" s="1" t="n">
        <v>44368</v>
      </c>
      <c r="C345" s="1" t="n">
        <v>45792</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32244-2021</t>
        </is>
      </c>
      <c r="B346" s="1" t="n">
        <v>44371</v>
      </c>
      <c r="C346" s="1" t="n">
        <v>45792</v>
      </c>
      <c r="D346" t="inlineStr">
        <is>
          <t>UPPSALA LÄN</t>
        </is>
      </c>
      <c r="E346" t="inlineStr">
        <is>
          <t>ÖSTHAMMAR</t>
        </is>
      </c>
      <c r="F346" t="inlineStr">
        <is>
          <t>Bergvik skog öst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32939-2021</t>
        </is>
      </c>
      <c r="B347" s="1" t="n">
        <v>44376</v>
      </c>
      <c r="C347" s="1" t="n">
        <v>45792</v>
      </c>
      <c r="D347" t="inlineStr">
        <is>
          <t>UPPSALA LÄN</t>
        </is>
      </c>
      <c r="E347" t="inlineStr">
        <is>
          <t>ÖSTHAMMAR</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32948-2021</t>
        </is>
      </c>
      <c r="B348" s="1" t="n">
        <v>44376</v>
      </c>
      <c r="C348" s="1" t="n">
        <v>45792</v>
      </c>
      <c r="D348" t="inlineStr">
        <is>
          <t>UPPSALA LÄN</t>
        </is>
      </c>
      <c r="E348" t="inlineStr">
        <is>
          <t>ÖSTHAMMAR</t>
        </is>
      </c>
      <c r="F348" t="inlineStr">
        <is>
          <t>Bergvik skog öst AB</t>
        </is>
      </c>
      <c r="G348" t="n">
        <v>13.5</v>
      </c>
      <c r="H348" t="n">
        <v>0</v>
      </c>
      <c r="I348" t="n">
        <v>0</v>
      </c>
      <c r="J348" t="n">
        <v>0</v>
      </c>
      <c r="K348" t="n">
        <v>0</v>
      </c>
      <c r="L348" t="n">
        <v>0</v>
      </c>
      <c r="M348" t="n">
        <v>0</v>
      </c>
      <c r="N348" t="n">
        <v>0</v>
      </c>
      <c r="O348" t="n">
        <v>0</v>
      </c>
      <c r="P348" t="n">
        <v>0</v>
      </c>
      <c r="Q348" t="n">
        <v>0</v>
      </c>
      <c r="R348" s="2" t="inlineStr"/>
    </row>
    <row r="349" ht="15" customHeight="1">
      <c r="A349" t="inlineStr">
        <is>
          <t>A 33062-2021</t>
        </is>
      </c>
      <c r="B349" s="1" t="n">
        <v>44376</v>
      </c>
      <c r="C349" s="1" t="n">
        <v>45792</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33056-2021</t>
        </is>
      </c>
      <c r="B350" s="1" t="n">
        <v>44376</v>
      </c>
      <c r="C350" s="1" t="n">
        <v>45792</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33271-2021</t>
        </is>
      </c>
      <c r="B351" s="1" t="n">
        <v>44377</v>
      </c>
      <c r="C351" s="1" t="n">
        <v>45792</v>
      </c>
      <c r="D351" t="inlineStr">
        <is>
          <t>UPPSALA LÄN</t>
        </is>
      </c>
      <c r="E351" t="inlineStr">
        <is>
          <t>ÖSTHAMMAR</t>
        </is>
      </c>
      <c r="F351" t="inlineStr">
        <is>
          <t>Bergvik skog öst AB</t>
        </is>
      </c>
      <c r="G351" t="n">
        <v>3.9</v>
      </c>
      <c r="H351" t="n">
        <v>0</v>
      </c>
      <c r="I351" t="n">
        <v>0</v>
      </c>
      <c r="J351" t="n">
        <v>0</v>
      </c>
      <c r="K351" t="n">
        <v>0</v>
      </c>
      <c r="L351" t="n">
        <v>0</v>
      </c>
      <c r="M351" t="n">
        <v>0</v>
      </c>
      <c r="N351" t="n">
        <v>0</v>
      </c>
      <c r="O351" t="n">
        <v>0</v>
      </c>
      <c r="P351" t="n">
        <v>0</v>
      </c>
      <c r="Q351" t="n">
        <v>0</v>
      </c>
      <c r="R351" s="2" t="inlineStr"/>
    </row>
    <row r="352" ht="15" customHeight="1">
      <c r="A352" t="inlineStr">
        <is>
          <t>A 38411-2021</t>
        </is>
      </c>
      <c r="B352" s="1" t="n">
        <v>44406</v>
      </c>
      <c r="C352" s="1" t="n">
        <v>45792</v>
      </c>
      <c r="D352" t="inlineStr">
        <is>
          <t>UPPSALA LÄN</t>
        </is>
      </c>
      <c r="E352" t="inlineStr">
        <is>
          <t>ÖSTHAMMAR</t>
        </is>
      </c>
      <c r="F352" t="inlineStr">
        <is>
          <t>Bergvik skog öst AB</t>
        </is>
      </c>
      <c r="G352" t="n">
        <v>20.6</v>
      </c>
      <c r="H352" t="n">
        <v>0</v>
      </c>
      <c r="I352" t="n">
        <v>0</v>
      </c>
      <c r="J352" t="n">
        <v>0</v>
      </c>
      <c r="K352" t="n">
        <v>0</v>
      </c>
      <c r="L352" t="n">
        <v>0</v>
      </c>
      <c r="M352" t="n">
        <v>0</v>
      </c>
      <c r="N352" t="n">
        <v>0</v>
      </c>
      <c r="O352" t="n">
        <v>0</v>
      </c>
      <c r="P352" t="n">
        <v>0</v>
      </c>
      <c r="Q352" t="n">
        <v>0</v>
      </c>
      <c r="R352" s="2" t="inlineStr"/>
    </row>
    <row r="353" ht="15" customHeight="1">
      <c r="A353" t="inlineStr">
        <is>
          <t>A 40606-2021</t>
        </is>
      </c>
      <c r="B353" s="1" t="n">
        <v>44420</v>
      </c>
      <c r="C353" s="1" t="n">
        <v>45792</v>
      </c>
      <c r="D353" t="inlineStr">
        <is>
          <t>UPPSALA LÄN</t>
        </is>
      </c>
      <c r="E353" t="inlineStr">
        <is>
          <t>ÖSTHAMMAR</t>
        </is>
      </c>
      <c r="G353" t="n">
        <v>0.8</v>
      </c>
      <c r="H353" t="n">
        <v>0</v>
      </c>
      <c r="I353" t="n">
        <v>0</v>
      </c>
      <c r="J353" t="n">
        <v>0</v>
      </c>
      <c r="K353" t="n">
        <v>0</v>
      </c>
      <c r="L353" t="n">
        <v>0</v>
      </c>
      <c r="M353" t="n">
        <v>0</v>
      </c>
      <c r="N353" t="n">
        <v>0</v>
      </c>
      <c r="O353" t="n">
        <v>0</v>
      </c>
      <c r="P353" t="n">
        <v>0</v>
      </c>
      <c r="Q353" t="n">
        <v>0</v>
      </c>
      <c r="R353" s="2" t="inlineStr"/>
    </row>
    <row r="354" ht="15" customHeight="1">
      <c r="A354" t="inlineStr">
        <is>
          <t>A 41531-2021</t>
        </is>
      </c>
      <c r="B354" s="1" t="n">
        <v>44425</v>
      </c>
      <c r="C354" s="1" t="n">
        <v>45792</v>
      </c>
      <c r="D354" t="inlineStr">
        <is>
          <t>UPPSALA LÄN</t>
        </is>
      </c>
      <c r="E354" t="inlineStr">
        <is>
          <t>ÖSTHAMMAR</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41558-2021</t>
        </is>
      </c>
      <c r="B355" s="1" t="n">
        <v>44425</v>
      </c>
      <c r="C355" s="1" t="n">
        <v>45792</v>
      </c>
      <c r="D355" t="inlineStr">
        <is>
          <t>UPPSALA LÄN</t>
        </is>
      </c>
      <c r="E355" t="inlineStr">
        <is>
          <t>ÖSTHAMMAR</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41538-2021</t>
        </is>
      </c>
      <c r="B356" s="1" t="n">
        <v>44425</v>
      </c>
      <c r="C356" s="1" t="n">
        <v>45792</v>
      </c>
      <c r="D356" t="inlineStr">
        <is>
          <t>UPPSALA LÄN</t>
        </is>
      </c>
      <c r="E356" t="inlineStr">
        <is>
          <t>ÖSTHAMMAR</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41744-2021</t>
        </is>
      </c>
      <c r="B357" s="1" t="n">
        <v>44425</v>
      </c>
      <c r="C357" s="1" t="n">
        <v>45792</v>
      </c>
      <c r="D357" t="inlineStr">
        <is>
          <t>UPPSALA LÄN</t>
        </is>
      </c>
      <c r="E357" t="inlineStr">
        <is>
          <t>ÖSTHAMMAR</t>
        </is>
      </c>
      <c r="F357" t="inlineStr">
        <is>
          <t>Bergvik skog öst AB</t>
        </is>
      </c>
      <c r="G357" t="n">
        <v>2.7</v>
      </c>
      <c r="H357" t="n">
        <v>0</v>
      </c>
      <c r="I357" t="n">
        <v>0</v>
      </c>
      <c r="J357" t="n">
        <v>0</v>
      </c>
      <c r="K357" t="n">
        <v>0</v>
      </c>
      <c r="L357" t="n">
        <v>0</v>
      </c>
      <c r="M357" t="n">
        <v>0</v>
      </c>
      <c r="N357" t="n">
        <v>0</v>
      </c>
      <c r="O357" t="n">
        <v>0</v>
      </c>
      <c r="P357" t="n">
        <v>0</v>
      </c>
      <c r="Q357" t="n">
        <v>0</v>
      </c>
      <c r="R357" s="2" t="inlineStr"/>
    </row>
    <row r="358" ht="15" customHeight="1">
      <c r="A358" t="inlineStr">
        <is>
          <t>A 43469-2021</t>
        </is>
      </c>
      <c r="B358" s="1" t="n">
        <v>44432</v>
      </c>
      <c r="C358" s="1" t="n">
        <v>45792</v>
      </c>
      <c r="D358" t="inlineStr">
        <is>
          <t>UPPSALA LÄN</t>
        </is>
      </c>
      <c r="E358" t="inlineStr">
        <is>
          <t>ÖSTHAMMAR</t>
        </is>
      </c>
      <c r="G358" t="n">
        <v>3.9</v>
      </c>
      <c r="H358" t="n">
        <v>0</v>
      </c>
      <c r="I358" t="n">
        <v>0</v>
      </c>
      <c r="J358" t="n">
        <v>0</v>
      </c>
      <c r="K358" t="n">
        <v>0</v>
      </c>
      <c r="L358" t="n">
        <v>0</v>
      </c>
      <c r="M358" t="n">
        <v>0</v>
      </c>
      <c r="N358" t="n">
        <v>0</v>
      </c>
      <c r="O358" t="n">
        <v>0</v>
      </c>
      <c r="P358" t="n">
        <v>0</v>
      </c>
      <c r="Q358" t="n">
        <v>0</v>
      </c>
      <c r="R358" s="2" t="inlineStr"/>
    </row>
    <row r="359" ht="15" customHeight="1">
      <c r="A359" t="inlineStr">
        <is>
          <t>A 48308-2021</t>
        </is>
      </c>
      <c r="B359" s="1" t="n">
        <v>44450</v>
      </c>
      <c r="C359" s="1" t="n">
        <v>45792</v>
      </c>
      <c r="D359" t="inlineStr">
        <is>
          <t>UPPSALA LÄN</t>
        </is>
      </c>
      <c r="E359" t="inlineStr">
        <is>
          <t>ÖSTHAMMAR</t>
        </is>
      </c>
      <c r="G359" t="n">
        <v>3.5</v>
      </c>
      <c r="H359" t="n">
        <v>0</v>
      </c>
      <c r="I359" t="n">
        <v>0</v>
      </c>
      <c r="J359" t="n">
        <v>0</v>
      </c>
      <c r="K359" t="n">
        <v>0</v>
      </c>
      <c r="L359" t="n">
        <v>0</v>
      </c>
      <c r="M359" t="n">
        <v>0</v>
      </c>
      <c r="N359" t="n">
        <v>0</v>
      </c>
      <c r="O359" t="n">
        <v>0</v>
      </c>
      <c r="P359" t="n">
        <v>0</v>
      </c>
      <c r="Q359" t="n">
        <v>0</v>
      </c>
      <c r="R359" s="2" t="inlineStr"/>
    </row>
    <row r="360" ht="15" customHeight="1">
      <c r="A360" t="inlineStr">
        <is>
          <t>A 51010-2021</t>
        </is>
      </c>
      <c r="B360" s="1" t="n">
        <v>44460</v>
      </c>
      <c r="C360" s="1" t="n">
        <v>45792</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51412-2021</t>
        </is>
      </c>
      <c r="B361" s="1" t="n">
        <v>44461</v>
      </c>
      <c r="C361" s="1" t="n">
        <v>45792</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51364-2021</t>
        </is>
      </c>
      <c r="B362" s="1" t="n">
        <v>44461</v>
      </c>
      <c r="C362" s="1" t="n">
        <v>45792</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51612-2021</t>
        </is>
      </c>
      <c r="B363" s="1" t="n">
        <v>44462</v>
      </c>
      <c r="C363" s="1" t="n">
        <v>45792</v>
      </c>
      <c r="D363" t="inlineStr">
        <is>
          <t>UPPSALA LÄN</t>
        </is>
      </c>
      <c r="E363" t="inlineStr">
        <is>
          <t>ÖSTHAMMAR</t>
        </is>
      </c>
      <c r="G363" t="n">
        <v>2.7</v>
      </c>
      <c r="H363" t="n">
        <v>0</v>
      </c>
      <c r="I363" t="n">
        <v>0</v>
      </c>
      <c r="J363" t="n">
        <v>0</v>
      </c>
      <c r="K363" t="n">
        <v>0</v>
      </c>
      <c r="L363" t="n">
        <v>0</v>
      </c>
      <c r="M363" t="n">
        <v>0</v>
      </c>
      <c r="N363" t="n">
        <v>0</v>
      </c>
      <c r="O363" t="n">
        <v>0</v>
      </c>
      <c r="P363" t="n">
        <v>0</v>
      </c>
      <c r="Q363" t="n">
        <v>0</v>
      </c>
      <c r="R363" s="2" t="inlineStr"/>
    </row>
    <row r="364" ht="15" customHeight="1">
      <c r="A364" t="inlineStr">
        <is>
          <t>A 52659-2021</t>
        </is>
      </c>
      <c r="B364" s="1" t="n">
        <v>44466</v>
      </c>
      <c r="C364" s="1" t="n">
        <v>45792</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52544-2021</t>
        </is>
      </c>
      <c r="B365" s="1" t="n">
        <v>44466</v>
      </c>
      <c r="C365" s="1" t="n">
        <v>45792</v>
      </c>
      <c r="D365" t="inlineStr">
        <is>
          <t>UPPSALA LÄN</t>
        </is>
      </c>
      <c r="E365" t="inlineStr">
        <is>
          <t>ÖSTHAMMAR</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52898-2021</t>
        </is>
      </c>
      <c r="B366" s="1" t="n">
        <v>44467</v>
      </c>
      <c r="C366" s="1" t="n">
        <v>45792</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55646-2021</t>
        </is>
      </c>
      <c r="B367" s="1" t="n">
        <v>44476</v>
      </c>
      <c r="C367" s="1" t="n">
        <v>45792</v>
      </c>
      <c r="D367" t="inlineStr">
        <is>
          <t>UPPSALA LÄN</t>
        </is>
      </c>
      <c r="E367" t="inlineStr">
        <is>
          <t>ÖSTHAMMAR</t>
        </is>
      </c>
      <c r="F367" t="inlineStr">
        <is>
          <t>Bergvik skog öst AB</t>
        </is>
      </c>
      <c r="G367" t="n">
        <v>0.2</v>
      </c>
      <c r="H367" t="n">
        <v>0</v>
      </c>
      <c r="I367" t="n">
        <v>0</v>
      </c>
      <c r="J367" t="n">
        <v>0</v>
      </c>
      <c r="K367" t="n">
        <v>0</v>
      </c>
      <c r="L367" t="n">
        <v>0</v>
      </c>
      <c r="M367" t="n">
        <v>0</v>
      </c>
      <c r="N367" t="n">
        <v>0</v>
      </c>
      <c r="O367" t="n">
        <v>0</v>
      </c>
      <c r="P367" t="n">
        <v>0</v>
      </c>
      <c r="Q367" t="n">
        <v>0</v>
      </c>
      <c r="R367" s="2" t="inlineStr"/>
    </row>
    <row r="368" ht="15" customHeight="1">
      <c r="A368" t="inlineStr">
        <is>
          <t>A 55872-2021</t>
        </is>
      </c>
      <c r="B368" s="1" t="n">
        <v>44476</v>
      </c>
      <c r="C368" s="1" t="n">
        <v>45792</v>
      </c>
      <c r="D368" t="inlineStr">
        <is>
          <t>UPPSALA LÄN</t>
        </is>
      </c>
      <c r="E368" t="inlineStr">
        <is>
          <t>ÖSTHAMMAR</t>
        </is>
      </c>
      <c r="F368" t="inlineStr">
        <is>
          <t>Bergvik skog öst AB</t>
        </is>
      </c>
      <c r="G368" t="n">
        <v>13.7</v>
      </c>
      <c r="H368" t="n">
        <v>0</v>
      </c>
      <c r="I368" t="n">
        <v>0</v>
      </c>
      <c r="J368" t="n">
        <v>0</v>
      </c>
      <c r="K368" t="n">
        <v>0</v>
      </c>
      <c r="L368" t="n">
        <v>0</v>
      </c>
      <c r="M368" t="n">
        <v>0</v>
      </c>
      <c r="N368" t="n">
        <v>0</v>
      </c>
      <c r="O368" t="n">
        <v>0</v>
      </c>
      <c r="P368" t="n">
        <v>0</v>
      </c>
      <c r="Q368" t="n">
        <v>0</v>
      </c>
      <c r="R368" s="2" t="inlineStr"/>
    </row>
    <row r="369" ht="15" customHeight="1">
      <c r="A369" t="inlineStr">
        <is>
          <t>A 57003-2021</t>
        </is>
      </c>
      <c r="B369" s="1" t="n">
        <v>44482</v>
      </c>
      <c r="C369" s="1" t="n">
        <v>45792</v>
      </c>
      <c r="D369" t="inlineStr">
        <is>
          <t>UPPSALA LÄN</t>
        </is>
      </c>
      <c r="E369" t="inlineStr">
        <is>
          <t>ÖSTHAMMAR</t>
        </is>
      </c>
      <c r="G369" t="n">
        <v>1.9</v>
      </c>
      <c r="H369" t="n">
        <v>0</v>
      </c>
      <c r="I369" t="n">
        <v>0</v>
      </c>
      <c r="J369" t="n">
        <v>0</v>
      </c>
      <c r="K369" t="n">
        <v>0</v>
      </c>
      <c r="L369" t="n">
        <v>0</v>
      </c>
      <c r="M369" t="n">
        <v>0</v>
      </c>
      <c r="N369" t="n">
        <v>0</v>
      </c>
      <c r="O369" t="n">
        <v>0</v>
      </c>
      <c r="P369" t="n">
        <v>0</v>
      </c>
      <c r="Q369" t="n">
        <v>0</v>
      </c>
      <c r="R369" s="2" t="inlineStr"/>
    </row>
    <row r="370" ht="15" customHeight="1">
      <c r="A370" t="inlineStr">
        <is>
          <t>A 57080-2021</t>
        </is>
      </c>
      <c r="B370" s="1" t="n">
        <v>44482</v>
      </c>
      <c r="C370" s="1" t="n">
        <v>45792</v>
      </c>
      <c r="D370" t="inlineStr">
        <is>
          <t>UPPSALA LÄN</t>
        </is>
      </c>
      <c r="E370" t="inlineStr">
        <is>
          <t>ÖSTHAMMAR</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58334-2021</t>
        </is>
      </c>
      <c r="B371" s="1" t="n">
        <v>44488</v>
      </c>
      <c r="C371" s="1" t="n">
        <v>45792</v>
      </c>
      <c r="D371" t="inlineStr">
        <is>
          <t>UPPSALA LÄN</t>
        </is>
      </c>
      <c r="E371" t="inlineStr">
        <is>
          <t>ÖSTHAMMAR</t>
        </is>
      </c>
      <c r="G371" t="n">
        <v>5.7</v>
      </c>
      <c r="H371" t="n">
        <v>0</v>
      </c>
      <c r="I371" t="n">
        <v>0</v>
      </c>
      <c r="J371" t="n">
        <v>0</v>
      </c>
      <c r="K371" t="n">
        <v>0</v>
      </c>
      <c r="L371" t="n">
        <v>0</v>
      </c>
      <c r="M371" t="n">
        <v>0</v>
      </c>
      <c r="N371" t="n">
        <v>0</v>
      </c>
      <c r="O371" t="n">
        <v>0</v>
      </c>
      <c r="P371" t="n">
        <v>0</v>
      </c>
      <c r="Q371" t="n">
        <v>0</v>
      </c>
      <c r="R371" s="2" t="inlineStr"/>
    </row>
    <row r="372" ht="15" customHeight="1">
      <c r="A372" t="inlineStr">
        <is>
          <t>A 59360-2021</t>
        </is>
      </c>
      <c r="B372" s="1" t="n">
        <v>44491</v>
      </c>
      <c r="C372" s="1" t="n">
        <v>45792</v>
      </c>
      <c r="D372" t="inlineStr">
        <is>
          <t>UPPSALA LÄN</t>
        </is>
      </c>
      <c r="E372" t="inlineStr">
        <is>
          <t>ÖSTHAMMAR</t>
        </is>
      </c>
      <c r="F372" t="inlineStr">
        <is>
          <t>Bergvik skog öst AB</t>
        </is>
      </c>
      <c r="G372" t="n">
        <v>8</v>
      </c>
      <c r="H372" t="n">
        <v>0</v>
      </c>
      <c r="I372" t="n">
        <v>0</v>
      </c>
      <c r="J372" t="n">
        <v>0</v>
      </c>
      <c r="K372" t="n">
        <v>0</v>
      </c>
      <c r="L372" t="n">
        <v>0</v>
      </c>
      <c r="M372" t="n">
        <v>0</v>
      </c>
      <c r="N372" t="n">
        <v>0</v>
      </c>
      <c r="O372" t="n">
        <v>0</v>
      </c>
      <c r="P372" t="n">
        <v>0</v>
      </c>
      <c r="Q372" t="n">
        <v>0</v>
      </c>
      <c r="R372" s="2" t="inlineStr"/>
    </row>
    <row r="373" ht="15" customHeight="1">
      <c r="A373" t="inlineStr">
        <is>
          <t>A 59498-2021</t>
        </is>
      </c>
      <c r="B373" s="1" t="n">
        <v>44491</v>
      </c>
      <c r="C373" s="1" t="n">
        <v>45792</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60047-2021</t>
        </is>
      </c>
      <c r="B374" s="1" t="n">
        <v>44495</v>
      </c>
      <c r="C374" s="1" t="n">
        <v>45792</v>
      </c>
      <c r="D374" t="inlineStr">
        <is>
          <t>UPPSALA LÄN</t>
        </is>
      </c>
      <c r="E374" t="inlineStr">
        <is>
          <t>ÖSTHAMMAR</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60577-2021</t>
        </is>
      </c>
      <c r="B375" s="1" t="n">
        <v>44496</v>
      </c>
      <c r="C375" s="1" t="n">
        <v>45792</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60584-2021</t>
        </is>
      </c>
      <c r="B376" s="1" t="n">
        <v>44496</v>
      </c>
      <c r="C376" s="1" t="n">
        <v>45792</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61746-2021</t>
        </is>
      </c>
      <c r="B377" s="1" t="n">
        <v>44498</v>
      </c>
      <c r="C377" s="1" t="n">
        <v>45792</v>
      </c>
      <c r="D377" t="inlineStr">
        <is>
          <t>UPPSALA LÄN</t>
        </is>
      </c>
      <c r="E377" t="inlineStr">
        <is>
          <t>ÖSTHAMMAR</t>
        </is>
      </c>
      <c r="G377" t="n">
        <v>5.6</v>
      </c>
      <c r="H377" t="n">
        <v>0</v>
      </c>
      <c r="I377" t="n">
        <v>0</v>
      </c>
      <c r="J377" t="n">
        <v>0</v>
      </c>
      <c r="K377" t="n">
        <v>0</v>
      </c>
      <c r="L377" t="n">
        <v>0</v>
      </c>
      <c r="M377" t="n">
        <v>0</v>
      </c>
      <c r="N377" t="n">
        <v>0</v>
      </c>
      <c r="O377" t="n">
        <v>0</v>
      </c>
      <c r="P377" t="n">
        <v>0</v>
      </c>
      <c r="Q377" t="n">
        <v>0</v>
      </c>
      <c r="R377" s="2" t="inlineStr"/>
    </row>
    <row r="378" ht="15" customHeight="1">
      <c r="A378" t="inlineStr">
        <is>
          <t>A 61555-2021</t>
        </is>
      </c>
      <c r="B378" s="1" t="n">
        <v>44501</v>
      </c>
      <c r="C378" s="1" t="n">
        <v>45792</v>
      </c>
      <c r="D378" t="inlineStr">
        <is>
          <t>UPPSALA LÄN</t>
        </is>
      </c>
      <c r="E378" t="inlineStr">
        <is>
          <t>ÖSTHAMMAR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61560-2021</t>
        </is>
      </c>
      <c r="B379" s="1" t="n">
        <v>44501</v>
      </c>
      <c r="C379" s="1" t="n">
        <v>45792</v>
      </c>
      <c r="D379" t="inlineStr">
        <is>
          <t>UPPSALA LÄN</t>
        </is>
      </c>
      <c r="E379" t="inlineStr">
        <is>
          <t>ÖSTHAMMAR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61817-2021</t>
        </is>
      </c>
      <c r="B380" s="1" t="n">
        <v>44501</v>
      </c>
      <c r="C380" s="1" t="n">
        <v>45792</v>
      </c>
      <c r="D380" t="inlineStr">
        <is>
          <t>UPPSALA LÄN</t>
        </is>
      </c>
      <c r="E380" t="inlineStr">
        <is>
          <t>ÖSTHAMMAR</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62854-2021</t>
        </is>
      </c>
      <c r="B381" s="1" t="n">
        <v>44504</v>
      </c>
      <c r="C381" s="1" t="n">
        <v>45792</v>
      </c>
      <c r="D381" t="inlineStr">
        <is>
          <t>UPPSALA LÄN</t>
        </is>
      </c>
      <c r="E381" t="inlineStr">
        <is>
          <t>ÖSTHAMMAR</t>
        </is>
      </c>
      <c r="F381" t="inlineStr">
        <is>
          <t>Bergvik skog öst AB</t>
        </is>
      </c>
      <c r="G381" t="n">
        <v>10.3</v>
      </c>
      <c r="H381" t="n">
        <v>0</v>
      </c>
      <c r="I381" t="n">
        <v>0</v>
      </c>
      <c r="J381" t="n">
        <v>0</v>
      </c>
      <c r="K381" t="n">
        <v>0</v>
      </c>
      <c r="L381" t="n">
        <v>0</v>
      </c>
      <c r="M381" t="n">
        <v>0</v>
      </c>
      <c r="N381" t="n">
        <v>0</v>
      </c>
      <c r="O381" t="n">
        <v>0</v>
      </c>
      <c r="P381" t="n">
        <v>0</v>
      </c>
      <c r="Q381" t="n">
        <v>0</v>
      </c>
      <c r="R381" s="2" t="inlineStr"/>
    </row>
    <row r="382" ht="15" customHeight="1">
      <c r="A382" t="inlineStr">
        <is>
          <t>A 62782-2021</t>
        </is>
      </c>
      <c r="B382" s="1" t="n">
        <v>44504</v>
      </c>
      <c r="C382" s="1" t="n">
        <v>45792</v>
      </c>
      <c r="D382" t="inlineStr">
        <is>
          <t>UPPSALA LÄN</t>
        </is>
      </c>
      <c r="E382" t="inlineStr">
        <is>
          <t>ÖSTHAMMAR</t>
        </is>
      </c>
      <c r="G382" t="n">
        <v>2.6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45792</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64811-2021</t>
        </is>
      </c>
      <c r="B384" s="1" t="n">
        <v>44512</v>
      </c>
      <c r="C384" s="1" t="n">
        <v>45792</v>
      </c>
      <c r="D384" t="inlineStr">
        <is>
          <t>UPPSALA LÄN</t>
        </is>
      </c>
      <c r="E384" t="inlineStr">
        <is>
          <t>ÖSTHAMMAR</t>
        </is>
      </c>
      <c r="G384" t="n">
        <v>4.2</v>
      </c>
      <c r="H384" t="n">
        <v>0</v>
      </c>
      <c r="I384" t="n">
        <v>0</v>
      </c>
      <c r="J384" t="n">
        <v>0</v>
      </c>
      <c r="K384" t="n">
        <v>0</v>
      </c>
      <c r="L384" t="n">
        <v>0</v>
      </c>
      <c r="M384" t="n">
        <v>0</v>
      </c>
      <c r="N384" t="n">
        <v>0</v>
      </c>
      <c r="O384" t="n">
        <v>0</v>
      </c>
      <c r="P384" t="n">
        <v>0</v>
      </c>
      <c r="Q384" t="n">
        <v>0</v>
      </c>
      <c r="R384" s="2" t="inlineStr"/>
    </row>
    <row r="385" ht="15" customHeight="1">
      <c r="A385" t="inlineStr">
        <is>
          <t>A 64872-2021</t>
        </is>
      </c>
      <c r="B385" s="1" t="n">
        <v>44512</v>
      </c>
      <c r="C385" s="1" t="n">
        <v>45792</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64885-2021</t>
        </is>
      </c>
      <c r="B386" s="1" t="n">
        <v>44512</v>
      </c>
      <c r="C386" s="1" t="n">
        <v>45792</v>
      </c>
      <c r="D386" t="inlineStr">
        <is>
          <t>UPPSALA LÄN</t>
        </is>
      </c>
      <c r="E386" t="inlineStr">
        <is>
          <t>ÖSTHAMMAR</t>
        </is>
      </c>
      <c r="G386" t="n">
        <v>2.1</v>
      </c>
      <c r="H386" t="n">
        <v>0</v>
      </c>
      <c r="I386" t="n">
        <v>0</v>
      </c>
      <c r="J386" t="n">
        <v>0</v>
      </c>
      <c r="K386" t="n">
        <v>0</v>
      </c>
      <c r="L386" t="n">
        <v>0</v>
      </c>
      <c r="M386" t="n">
        <v>0</v>
      </c>
      <c r="N386" t="n">
        <v>0</v>
      </c>
      <c r="O386" t="n">
        <v>0</v>
      </c>
      <c r="P386" t="n">
        <v>0</v>
      </c>
      <c r="Q386" t="n">
        <v>0</v>
      </c>
      <c r="R386" s="2" t="inlineStr"/>
    </row>
    <row r="387" ht="15" customHeight="1">
      <c r="A387" t="inlineStr">
        <is>
          <t>A 65020-2021</t>
        </is>
      </c>
      <c r="B387" s="1" t="n">
        <v>44515</v>
      </c>
      <c r="C387" s="1" t="n">
        <v>45792</v>
      </c>
      <c r="D387" t="inlineStr">
        <is>
          <t>UPPSALA LÄN</t>
        </is>
      </c>
      <c r="E387" t="inlineStr">
        <is>
          <t>ÖSTHAMMAR</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65104-2021</t>
        </is>
      </c>
      <c r="B388" s="1" t="n">
        <v>44515</v>
      </c>
      <c r="C388" s="1" t="n">
        <v>45792</v>
      </c>
      <c r="D388" t="inlineStr">
        <is>
          <t>UPPSALA LÄN</t>
        </is>
      </c>
      <c r="E388" t="inlineStr">
        <is>
          <t>ÖSTHAMMAR</t>
        </is>
      </c>
      <c r="F388" t="inlineStr">
        <is>
          <t>Sveaskog</t>
        </is>
      </c>
      <c r="G388" t="n">
        <v>4.2</v>
      </c>
      <c r="H388" t="n">
        <v>0</v>
      </c>
      <c r="I388" t="n">
        <v>0</v>
      </c>
      <c r="J388" t="n">
        <v>0</v>
      </c>
      <c r="K388" t="n">
        <v>0</v>
      </c>
      <c r="L388" t="n">
        <v>0</v>
      </c>
      <c r="M388" t="n">
        <v>0</v>
      </c>
      <c r="N388" t="n">
        <v>0</v>
      </c>
      <c r="O388" t="n">
        <v>0</v>
      </c>
      <c r="P388" t="n">
        <v>0</v>
      </c>
      <c r="Q388" t="n">
        <v>0</v>
      </c>
      <c r="R388" s="2" t="inlineStr"/>
    </row>
    <row r="389" ht="15" customHeight="1">
      <c r="A389" t="inlineStr">
        <is>
          <t>A 65028-2021</t>
        </is>
      </c>
      <c r="B389" s="1" t="n">
        <v>44515</v>
      </c>
      <c r="C389" s="1" t="n">
        <v>45792</v>
      </c>
      <c r="D389" t="inlineStr">
        <is>
          <t>UPPSALA LÄN</t>
        </is>
      </c>
      <c r="E389" t="inlineStr">
        <is>
          <t>ÖSTHAMMAR</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66549-2021</t>
        </is>
      </c>
      <c r="B390" s="1" t="n">
        <v>44519</v>
      </c>
      <c r="C390" s="1" t="n">
        <v>45792</v>
      </c>
      <c r="D390" t="inlineStr">
        <is>
          <t>UPPSALA LÄN</t>
        </is>
      </c>
      <c r="E390" t="inlineStr">
        <is>
          <t>ÖSTHAMMAR</t>
        </is>
      </c>
      <c r="F390" t="inlineStr">
        <is>
          <t>Bergvik skog öst AB</t>
        </is>
      </c>
      <c r="G390" t="n">
        <v>2.8</v>
      </c>
      <c r="H390" t="n">
        <v>0</v>
      </c>
      <c r="I390" t="n">
        <v>0</v>
      </c>
      <c r="J390" t="n">
        <v>0</v>
      </c>
      <c r="K390" t="n">
        <v>0</v>
      </c>
      <c r="L390" t="n">
        <v>0</v>
      </c>
      <c r="M390" t="n">
        <v>0</v>
      </c>
      <c r="N390" t="n">
        <v>0</v>
      </c>
      <c r="O390" t="n">
        <v>0</v>
      </c>
      <c r="P390" t="n">
        <v>0</v>
      </c>
      <c r="Q390" t="n">
        <v>0</v>
      </c>
      <c r="R390" s="2" t="inlineStr"/>
    </row>
    <row r="391" ht="15" customHeight="1">
      <c r="A391" t="inlineStr">
        <is>
          <t>A 66779-2021</t>
        </is>
      </c>
      <c r="B391" s="1" t="n">
        <v>44522</v>
      </c>
      <c r="C391" s="1" t="n">
        <v>45792</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67033-2021</t>
        </is>
      </c>
      <c r="B392" s="1" t="n">
        <v>44522</v>
      </c>
      <c r="C392" s="1" t="n">
        <v>45792</v>
      </c>
      <c r="D392" t="inlineStr">
        <is>
          <t>UPPSALA LÄN</t>
        </is>
      </c>
      <c r="E392" t="inlineStr">
        <is>
          <t>ÖSTHAMMAR</t>
        </is>
      </c>
      <c r="G392" t="n">
        <v>1.5</v>
      </c>
      <c r="H392" t="n">
        <v>0</v>
      </c>
      <c r="I392" t="n">
        <v>0</v>
      </c>
      <c r="J392" t="n">
        <v>0</v>
      </c>
      <c r="K392" t="n">
        <v>0</v>
      </c>
      <c r="L392" t="n">
        <v>0</v>
      </c>
      <c r="M392" t="n">
        <v>0</v>
      </c>
      <c r="N392" t="n">
        <v>0</v>
      </c>
      <c r="O392" t="n">
        <v>0</v>
      </c>
      <c r="P392" t="n">
        <v>0</v>
      </c>
      <c r="Q392" t="n">
        <v>0</v>
      </c>
      <c r="R392" s="2" t="inlineStr"/>
    </row>
    <row r="393" ht="15" customHeight="1">
      <c r="A393" t="inlineStr">
        <is>
          <t>A 67030-2021</t>
        </is>
      </c>
      <c r="B393" s="1" t="n">
        <v>44522</v>
      </c>
      <c r="C393" s="1" t="n">
        <v>45792</v>
      </c>
      <c r="D393" t="inlineStr">
        <is>
          <t>UPPSALA LÄN</t>
        </is>
      </c>
      <c r="E393" t="inlineStr">
        <is>
          <t>ÖSTHAMMAR</t>
        </is>
      </c>
      <c r="G393" t="n">
        <v>8.6</v>
      </c>
      <c r="H393" t="n">
        <v>0</v>
      </c>
      <c r="I393" t="n">
        <v>0</v>
      </c>
      <c r="J393" t="n">
        <v>0</v>
      </c>
      <c r="K393" t="n">
        <v>0</v>
      </c>
      <c r="L393" t="n">
        <v>0</v>
      </c>
      <c r="M393" t="n">
        <v>0</v>
      </c>
      <c r="N393" t="n">
        <v>0</v>
      </c>
      <c r="O393" t="n">
        <v>0</v>
      </c>
      <c r="P393" t="n">
        <v>0</v>
      </c>
      <c r="Q393" t="n">
        <v>0</v>
      </c>
      <c r="R393" s="2" t="inlineStr"/>
    </row>
    <row r="394" ht="15" customHeight="1">
      <c r="A394" t="inlineStr">
        <is>
          <t>A 67151-2021</t>
        </is>
      </c>
      <c r="B394" s="1" t="n">
        <v>44523</v>
      </c>
      <c r="C394" s="1" t="n">
        <v>45792</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v>
      </c>
      <c r="C395" s="1" t="n">
        <v>45792</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67217-2021</t>
        </is>
      </c>
      <c r="B396" s="1" t="n">
        <v>44523</v>
      </c>
      <c r="C396" s="1" t="n">
        <v>45792</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67859-2021</t>
        </is>
      </c>
      <c r="B397" s="1" t="n">
        <v>44525</v>
      </c>
      <c r="C397" s="1" t="n">
        <v>45792</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67848-2021</t>
        </is>
      </c>
      <c r="B398" s="1" t="n">
        <v>44525</v>
      </c>
      <c r="C398" s="1" t="n">
        <v>45792</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69505-2021</t>
        </is>
      </c>
      <c r="B399" s="1" t="n">
        <v>44531</v>
      </c>
      <c r="C399" s="1" t="n">
        <v>45792</v>
      </c>
      <c r="D399" t="inlineStr">
        <is>
          <t>UPPSALA LÄN</t>
        </is>
      </c>
      <c r="E399" t="inlineStr">
        <is>
          <t>ÖSTHAMMAR</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69411-2021</t>
        </is>
      </c>
      <c r="B400" s="1" t="n">
        <v>44531</v>
      </c>
      <c r="C400" s="1" t="n">
        <v>45792</v>
      </c>
      <c r="D400" t="inlineStr">
        <is>
          <t>UPPSALA LÄN</t>
        </is>
      </c>
      <c r="E400" t="inlineStr">
        <is>
          <t>ÖSTHAMMAR</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69518-2021</t>
        </is>
      </c>
      <c r="B401" s="1" t="n">
        <v>44531</v>
      </c>
      <c r="C401" s="1" t="n">
        <v>45792</v>
      </c>
      <c r="D401" t="inlineStr">
        <is>
          <t>UPPSALA LÄN</t>
        </is>
      </c>
      <c r="E401" t="inlineStr">
        <is>
          <t>ÖSTHAMMAR</t>
        </is>
      </c>
      <c r="G401" t="n">
        <v>4.5</v>
      </c>
      <c r="H401" t="n">
        <v>0</v>
      </c>
      <c r="I401" t="n">
        <v>0</v>
      </c>
      <c r="J401" t="n">
        <v>0</v>
      </c>
      <c r="K401" t="n">
        <v>0</v>
      </c>
      <c r="L401" t="n">
        <v>0</v>
      </c>
      <c r="M401" t="n">
        <v>0</v>
      </c>
      <c r="N401" t="n">
        <v>0</v>
      </c>
      <c r="O401" t="n">
        <v>0</v>
      </c>
      <c r="P401" t="n">
        <v>0</v>
      </c>
      <c r="Q401" t="n">
        <v>0</v>
      </c>
      <c r="R401" s="2" t="inlineStr"/>
    </row>
    <row r="402" ht="15" customHeight="1">
      <c r="A402" t="inlineStr">
        <is>
          <t>A 70008-2021</t>
        </is>
      </c>
      <c r="B402" s="1" t="n">
        <v>44533</v>
      </c>
      <c r="C402" s="1" t="n">
        <v>45792</v>
      </c>
      <c r="D402" t="inlineStr">
        <is>
          <t>UPPSALA LÄN</t>
        </is>
      </c>
      <c r="E402" t="inlineStr">
        <is>
          <t>ÖSTHAMMAR</t>
        </is>
      </c>
      <c r="F402" t="inlineStr">
        <is>
          <t>Sveaskog</t>
        </is>
      </c>
      <c r="G402" t="n">
        <v>1.5</v>
      </c>
      <c r="H402" t="n">
        <v>0</v>
      </c>
      <c r="I402" t="n">
        <v>0</v>
      </c>
      <c r="J402" t="n">
        <v>0</v>
      </c>
      <c r="K402" t="n">
        <v>0</v>
      </c>
      <c r="L402" t="n">
        <v>0</v>
      </c>
      <c r="M402" t="n">
        <v>0</v>
      </c>
      <c r="N402" t="n">
        <v>0</v>
      </c>
      <c r="O402" t="n">
        <v>0</v>
      </c>
      <c r="P402" t="n">
        <v>0</v>
      </c>
      <c r="Q402" t="n">
        <v>0</v>
      </c>
      <c r="R402" s="2" t="inlineStr"/>
    </row>
    <row r="403" ht="15" customHeight="1">
      <c r="A403" t="inlineStr">
        <is>
          <t>A 70408-2021</t>
        </is>
      </c>
      <c r="B403" s="1" t="n">
        <v>44536</v>
      </c>
      <c r="C403" s="1" t="n">
        <v>45792</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72627-2021</t>
        </is>
      </c>
      <c r="B404" s="1" t="n">
        <v>44546</v>
      </c>
      <c r="C404" s="1" t="n">
        <v>45792</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72637-2021</t>
        </is>
      </c>
      <c r="B405" s="1" t="n">
        <v>44546</v>
      </c>
      <c r="C405" s="1" t="n">
        <v>45792</v>
      </c>
      <c r="D405" t="inlineStr">
        <is>
          <t>UPPSALA LÄN</t>
        </is>
      </c>
      <c r="E405" t="inlineStr">
        <is>
          <t>ÖSTHAMMAR</t>
        </is>
      </c>
      <c r="G405" t="n">
        <v>2.5</v>
      </c>
      <c r="H405" t="n">
        <v>0</v>
      </c>
      <c r="I405" t="n">
        <v>0</v>
      </c>
      <c r="J405" t="n">
        <v>0</v>
      </c>
      <c r="K405" t="n">
        <v>0</v>
      </c>
      <c r="L405" t="n">
        <v>0</v>
      </c>
      <c r="M405" t="n">
        <v>0</v>
      </c>
      <c r="N405" t="n">
        <v>0</v>
      </c>
      <c r="O405" t="n">
        <v>0</v>
      </c>
      <c r="P405" t="n">
        <v>0</v>
      </c>
      <c r="Q405" t="n">
        <v>0</v>
      </c>
      <c r="R405" s="2" t="inlineStr"/>
    </row>
    <row r="406" ht="15" customHeight="1">
      <c r="A406" t="inlineStr">
        <is>
          <t>A 72969-2021</t>
        </is>
      </c>
      <c r="B406" s="1" t="n">
        <v>44548</v>
      </c>
      <c r="C406" s="1" t="n">
        <v>45792</v>
      </c>
      <c r="D406" t="inlineStr">
        <is>
          <t>UPPSALA LÄN</t>
        </is>
      </c>
      <c r="E406" t="inlineStr">
        <is>
          <t>ÖSTHAMMAR</t>
        </is>
      </c>
      <c r="F406" t="inlineStr">
        <is>
          <t>Bergvik skog öst AB</t>
        </is>
      </c>
      <c r="G406" t="n">
        <v>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45792</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73592-2021</t>
        </is>
      </c>
      <c r="B408" s="1" t="n">
        <v>44552</v>
      </c>
      <c r="C408" s="1" t="n">
        <v>45792</v>
      </c>
      <c r="D408" t="inlineStr">
        <is>
          <t>UPPSALA LÄN</t>
        </is>
      </c>
      <c r="E408" t="inlineStr">
        <is>
          <t>ÖSTHAMMAR</t>
        </is>
      </c>
      <c r="G408" t="n">
        <v>1.7</v>
      </c>
      <c r="H408" t="n">
        <v>0</v>
      </c>
      <c r="I408" t="n">
        <v>0</v>
      </c>
      <c r="J408" t="n">
        <v>0</v>
      </c>
      <c r="K408" t="n">
        <v>0</v>
      </c>
      <c r="L408" t="n">
        <v>0</v>
      </c>
      <c r="M408" t="n">
        <v>0</v>
      </c>
      <c r="N408" t="n">
        <v>0</v>
      </c>
      <c r="O408" t="n">
        <v>0</v>
      </c>
      <c r="P408" t="n">
        <v>0</v>
      </c>
      <c r="Q408" t="n">
        <v>0</v>
      </c>
      <c r="R408" s="2" t="inlineStr"/>
    </row>
    <row r="409" ht="15" customHeight="1">
      <c r="A409" t="inlineStr">
        <is>
          <t>A 73965-2021</t>
        </is>
      </c>
      <c r="B409" s="1" t="n">
        <v>44553</v>
      </c>
      <c r="C409" s="1" t="n">
        <v>45792</v>
      </c>
      <c r="D409" t="inlineStr">
        <is>
          <t>UPPSALA LÄN</t>
        </is>
      </c>
      <c r="E409" t="inlineStr">
        <is>
          <t>ÖSTHAMMAR</t>
        </is>
      </c>
      <c r="F409" t="inlineStr">
        <is>
          <t>Bergvik skog öst AB</t>
        </is>
      </c>
      <c r="G409" t="n">
        <v>1.3</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v>
      </c>
      <c r="C410" s="1" t="n">
        <v>45792</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v>
      </c>
      <c r="C411" s="1" t="n">
        <v>45792</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74429-2021</t>
        </is>
      </c>
      <c r="B412" s="1" t="n">
        <v>44560</v>
      </c>
      <c r="C412" s="1" t="n">
        <v>45792</v>
      </c>
      <c r="D412" t="inlineStr">
        <is>
          <t>UPPSALA LÄN</t>
        </is>
      </c>
      <c r="E412" t="inlineStr">
        <is>
          <t>ÖSTHAMMAR</t>
        </is>
      </c>
      <c r="F412" t="inlineStr">
        <is>
          <t>Bergvik skog öst AB</t>
        </is>
      </c>
      <c r="G412" t="n">
        <v>0.8</v>
      </c>
      <c r="H412" t="n">
        <v>0</v>
      </c>
      <c r="I412" t="n">
        <v>0</v>
      </c>
      <c r="J412" t="n">
        <v>0</v>
      </c>
      <c r="K412" t="n">
        <v>0</v>
      </c>
      <c r="L412" t="n">
        <v>0</v>
      </c>
      <c r="M412" t="n">
        <v>0</v>
      </c>
      <c r="N412" t="n">
        <v>0</v>
      </c>
      <c r="O412" t="n">
        <v>0</v>
      </c>
      <c r="P412" t="n">
        <v>0</v>
      </c>
      <c r="Q412" t="n">
        <v>0</v>
      </c>
      <c r="R412" s="2" t="inlineStr"/>
    </row>
    <row r="413" ht="15" customHeight="1">
      <c r="A413" t="inlineStr">
        <is>
          <t>A 74467-2021</t>
        </is>
      </c>
      <c r="B413" s="1" t="n">
        <v>44560</v>
      </c>
      <c r="C413" s="1" t="n">
        <v>45792</v>
      </c>
      <c r="D413" t="inlineStr">
        <is>
          <t>UPPSALA LÄN</t>
        </is>
      </c>
      <c r="E413" t="inlineStr">
        <is>
          <t>ÖSTHAMMAR</t>
        </is>
      </c>
      <c r="F413" t="inlineStr">
        <is>
          <t>Bergvik skog öst AB</t>
        </is>
      </c>
      <c r="G413" t="n">
        <v>2.6</v>
      </c>
      <c r="H413" t="n">
        <v>0</v>
      </c>
      <c r="I413" t="n">
        <v>0</v>
      </c>
      <c r="J413" t="n">
        <v>0</v>
      </c>
      <c r="K413" t="n">
        <v>0</v>
      </c>
      <c r="L413" t="n">
        <v>0</v>
      </c>
      <c r="M413" t="n">
        <v>0</v>
      </c>
      <c r="N413" t="n">
        <v>0</v>
      </c>
      <c r="O413" t="n">
        <v>0</v>
      </c>
      <c r="P413" t="n">
        <v>0</v>
      </c>
      <c r="Q413" t="n">
        <v>0</v>
      </c>
      <c r="R413" s="2" t="inlineStr"/>
    </row>
    <row r="414" ht="15" customHeight="1">
      <c r="A414" t="inlineStr">
        <is>
          <t>A 74428-2021</t>
        </is>
      </c>
      <c r="B414" s="1" t="n">
        <v>44560</v>
      </c>
      <c r="C414" s="1" t="n">
        <v>45792</v>
      </c>
      <c r="D414" t="inlineStr">
        <is>
          <t>UPPSALA LÄN</t>
        </is>
      </c>
      <c r="E414" t="inlineStr">
        <is>
          <t>ÖSTHAMMAR</t>
        </is>
      </c>
      <c r="F414" t="inlineStr">
        <is>
          <t>Bergvik skog öst AB</t>
        </is>
      </c>
      <c r="G414" t="n">
        <v>1.2</v>
      </c>
      <c r="H414" t="n">
        <v>0</v>
      </c>
      <c r="I414" t="n">
        <v>0</v>
      </c>
      <c r="J414" t="n">
        <v>0</v>
      </c>
      <c r="K414" t="n">
        <v>0</v>
      </c>
      <c r="L414" t="n">
        <v>0</v>
      </c>
      <c r="M414" t="n">
        <v>0</v>
      </c>
      <c r="N414" t="n">
        <v>0</v>
      </c>
      <c r="O414" t="n">
        <v>0</v>
      </c>
      <c r="P414" t="n">
        <v>0</v>
      </c>
      <c r="Q414" t="n">
        <v>0</v>
      </c>
      <c r="R414" s="2" t="inlineStr"/>
    </row>
    <row r="415" ht="15" customHeight="1">
      <c r="A415" t="inlineStr">
        <is>
          <t>A 74436-2021</t>
        </is>
      </c>
      <c r="B415" s="1" t="n">
        <v>44560</v>
      </c>
      <c r="C415" s="1" t="n">
        <v>45792</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1238-2022</t>
        </is>
      </c>
      <c r="B416" s="1" t="n">
        <v>44572</v>
      </c>
      <c r="C416" s="1" t="n">
        <v>45792</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1609-2022</t>
        </is>
      </c>
      <c r="B417" s="1" t="n">
        <v>44573</v>
      </c>
      <c r="C417" s="1" t="n">
        <v>45792</v>
      </c>
      <c r="D417" t="inlineStr">
        <is>
          <t>UPPSALA LÄN</t>
        </is>
      </c>
      <c r="E417" t="inlineStr">
        <is>
          <t>ÖSTHAMMAR</t>
        </is>
      </c>
      <c r="G417" t="n">
        <v>5.3</v>
      </c>
      <c r="H417" t="n">
        <v>0</v>
      </c>
      <c r="I417" t="n">
        <v>0</v>
      </c>
      <c r="J417" t="n">
        <v>0</v>
      </c>
      <c r="K417" t="n">
        <v>0</v>
      </c>
      <c r="L417" t="n">
        <v>0</v>
      </c>
      <c r="M417" t="n">
        <v>0</v>
      </c>
      <c r="N417" t="n">
        <v>0</v>
      </c>
      <c r="O417" t="n">
        <v>0</v>
      </c>
      <c r="P417" t="n">
        <v>0</v>
      </c>
      <c r="Q417" t="n">
        <v>0</v>
      </c>
      <c r="R417" s="2" t="inlineStr"/>
    </row>
    <row r="418" ht="15" customHeight="1">
      <c r="A418" t="inlineStr">
        <is>
          <t>A 2085-2022</t>
        </is>
      </c>
      <c r="B418" s="1" t="n">
        <v>44576</v>
      </c>
      <c r="C418" s="1" t="n">
        <v>45792</v>
      </c>
      <c r="D418" t="inlineStr">
        <is>
          <t>UPPSALA LÄN</t>
        </is>
      </c>
      <c r="E418" t="inlineStr">
        <is>
          <t>ÖSTHAMMAR</t>
        </is>
      </c>
      <c r="F418" t="inlineStr">
        <is>
          <t>Bergvik skog öst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2108-2022</t>
        </is>
      </c>
      <c r="B419" s="1" t="n">
        <v>44577</v>
      </c>
      <c r="C419" s="1" t="n">
        <v>45792</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2168-2022</t>
        </is>
      </c>
      <c r="B420" s="1" t="n">
        <v>44578</v>
      </c>
      <c r="C420" s="1" t="n">
        <v>45792</v>
      </c>
      <c r="D420" t="inlineStr">
        <is>
          <t>UPPSALA LÄN</t>
        </is>
      </c>
      <c r="E420" t="inlineStr">
        <is>
          <t>ÖSTHAMMAR</t>
        </is>
      </c>
      <c r="G420" t="n">
        <v>2.9</v>
      </c>
      <c r="H420" t="n">
        <v>0</v>
      </c>
      <c r="I420" t="n">
        <v>0</v>
      </c>
      <c r="J420" t="n">
        <v>0</v>
      </c>
      <c r="K420" t="n">
        <v>0</v>
      </c>
      <c r="L420" t="n">
        <v>0</v>
      </c>
      <c r="M420" t="n">
        <v>0</v>
      </c>
      <c r="N420" t="n">
        <v>0</v>
      </c>
      <c r="O420" t="n">
        <v>0</v>
      </c>
      <c r="P420" t="n">
        <v>0</v>
      </c>
      <c r="Q420" t="n">
        <v>0</v>
      </c>
      <c r="R420" s="2" t="inlineStr"/>
    </row>
    <row r="421" ht="15" customHeight="1">
      <c r="A421" t="inlineStr">
        <is>
          <t>A 3638-2022</t>
        </is>
      </c>
      <c r="B421" s="1" t="n">
        <v>44578</v>
      </c>
      <c r="C421" s="1" t="n">
        <v>45792</v>
      </c>
      <c r="D421" t="inlineStr">
        <is>
          <t>UPPSALA LÄN</t>
        </is>
      </c>
      <c r="E421" t="inlineStr">
        <is>
          <t>ÖSTHAMMAR</t>
        </is>
      </c>
      <c r="G421" t="n">
        <v>1.7</v>
      </c>
      <c r="H421" t="n">
        <v>0</v>
      </c>
      <c r="I421" t="n">
        <v>0</v>
      </c>
      <c r="J421" t="n">
        <v>0</v>
      </c>
      <c r="K421" t="n">
        <v>0</v>
      </c>
      <c r="L421" t="n">
        <v>0</v>
      </c>
      <c r="M421" t="n">
        <v>0</v>
      </c>
      <c r="N421" t="n">
        <v>0</v>
      </c>
      <c r="O421" t="n">
        <v>0</v>
      </c>
      <c r="P421" t="n">
        <v>0</v>
      </c>
      <c r="Q421" t="n">
        <v>0</v>
      </c>
      <c r="R421" s="2" t="inlineStr"/>
    </row>
    <row r="422" ht="15" customHeight="1">
      <c r="A422" t="inlineStr">
        <is>
          <t>A 3725-2022</t>
        </is>
      </c>
      <c r="B422" s="1" t="n">
        <v>44586</v>
      </c>
      <c r="C422" s="1" t="n">
        <v>45792</v>
      </c>
      <c r="D422" t="inlineStr">
        <is>
          <t>UPPSALA LÄN</t>
        </is>
      </c>
      <c r="E422" t="inlineStr">
        <is>
          <t>ÖSTHAMMAR</t>
        </is>
      </c>
      <c r="G422" t="n">
        <v>2</v>
      </c>
      <c r="H422" t="n">
        <v>0</v>
      </c>
      <c r="I422" t="n">
        <v>0</v>
      </c>
      <c r="J422" t="n">
        <v>0</v>
      </c>
      <c r="K422" t="n">
        <v>0</v>
      </c>
      <c r="L422" t="n">
        <v>0</v>
      </c>
      <c r="M422" t="n">
        <v>0</v>
      </c>
      <c r="N422" t="n">
        <v>0</v>
      </c>
      <c r="O422" t="n">
        <v>0</v>
      </c>
      <c r="P422" t="n">
        <v>0</v>
      </c>
      <c r="Q422" t="n">
        <v>0</v>
      </c>
      <c r="R422" s="2" t="inlineStr"/>
    </row>
    <row r="423" ht="15" customHeight="1">
      <c r="A423" t="inlineStr">
        <is>
          <t>A 3732-2022</t>
        </is>
      </c>
      <c r="B423" s="1" t="n">
        <v>44586</v>
      </c>
      <c r="C423" s="1" t="n">
        <v>45792</v>
      </c>
      <c r="D423" t="inlineStr">
        <is>
          <t>UPPSALA LÄN</t>
        </is>
      </c>
      <c r="E423" t="inlineStr">
        <is>
          <t>ÖSTHAMMAR</t>
        </is>
      </c>
      <c r="F423" t="inlineStr">
        <is>
          <t>Bergvik skog öst AB</t>
        </is>
      </c>
      <c r="G423" t="n">
        <v>3.6</v>
      </c>
      <c r="H423" t="n">
        <v>0</v>
      </c>
      <c r="I423" t="n">
        <v>0</v>
      </c>
      <c r="J423" t="n">
        <v>0</v>
      </c>
      <c r="K423" t="n">
        <v>0</v>
      </c>
      <c r="L423" t="n">
        <v>0</v>
      </c>
      <c r="M423" t="n">
        <v>0</v>
      </c>
      <c r="N423" t="n">
        <v>0</v>
      </c>
      <c r="O423" t="n">
        <v>0</v>
      </c>
      <c r="P423" t="n">
        <v>0</v>
      </c>
      <c r="Q423" t="n">
        <v>0</v>
      </c>
      <c r="R423" s="2" t="inlineStr"/>
    </row>
    <row r="424" ht="15" customHeight="1">
      <c r="A424" t="inlineStr">
        <is>
          <t>A 3740-2022</t>
        </is>
      </c>
      <c r="B424" s="1" t="n">
        <v>44586</v>
      </c>
      <c r="C424" s="1" t="n">
        <v>45792</v>
      </c>
      <c r="D424" t="inlineStr">
        <is>
          <t>UPPSALA LÄN</t>
        </is>
      </c>
      <c r="E424" t="inlineStr">
        <is>
          <t>ÖSTHAMMAR</t>
        </is>
      </c>
      <c r="F424" t="inlineStr">
        <is>
          <t>Bergvik skog öst AB</t>
        </is>
      </c>
      <c r="G424" t="n">
        <v>7.7</v>
      </c>
      <c r="H424" t="n">
        <v>0</v>
      </c>
      <c r="I424" t="n">
        <v>0</v>
      </c>
      <c r="J424" t="n">
        <v>0</v>
      </c>
      <c r="K424" t="n">
        <v>0</v>
      </c>
      <c r="L424" t="n">
        <v>0</v>
      </c>
      <c r="M424" t="n">
        <v>0</v>
      </c>
      <c r="N424" t="n">
        <v>0</v>
      </c>
      <c r="O424" t="n">
        <v>0</v>
      </c>
      <c r="P424" t="n">
        <v>0</v>
      </c>
      <c r="Q424" t="n">
        <v>0</v>
      </c>
      <c r="R424" s="2" t="inlineStr"/>
    </row>
    <row r="425" ht="15" customHeight="1">
      <c r="A425" t="inlineStr">
        <is>
          <t>A 3991-2022</t>
        </is>
      </c>
      <c r="B425" s="1" t="n">
        <v>44587</v>
      </c>
      <c r="C425" s="1" t="n">
        <v>45792</v>
      </c>
      <c r="D425" t="inlineStr">
        <is>
          <t>UPPSALA LÄN</t>
        </is>
      </c>
      <c r="E425" t="inlineStr">
        <is>
          <t>ÖSTHAMMAR</t>
        </is>
      </c>
      <c r="F425" t="inlineStr">
        <is>
          <t>Bergvik skog öst AB</t>
        </is>
      </c>
      <c r="G425" t="n">
        <v>3.7</v>
      </c>
      <c r="H425" t="n">
        <v>0</v>
      </c>
      <c r="I425" t="n">
        <v>0</v>
      </c>
      <c r="J425" t="n">
        <v>0</v>
      </c>
      <c r="K425" t="n">
        <v>0</v>
      </c>
      <c r="L425" t="n">
        <v>0</v>
      </c>
      <c r="M425" t="n">
        <v>0</v>
      </c>
      <c r="N425" t="n">
        <v>0</v>
      </c>
      <c r="O425" t="n">
        <v>0</v>
      </c>
      <c r="P425" t="n">
        <v>0</v>
      </c>
      <c r="Q425" t="n">
        <v>0</v>
      </c>
      <c r="R425" s="2" t="inlineStr"/>
    </row>
    <row r="426" ht="15" customHeight="1">
      <c r="A426" t="inlineStr">
        <is>
          <t>A 4101-2022</t>
        </is>
      </c>
      <c r="B426" s="1" t="n">
        <v>44588</v>
      </c>
      <c r="C426" s="1" t="n">
        <v>45792</v>
      </c>
      <c r="D426" t="inlineStr">
        <is>
          <t>UPPSALA LÄN</t>
        </is>
      </c>
      <c r="E426" t="inlineStr">
        <is>
          <t>ÖSTHAMMAR</t>
        </is>
      </c>
      <c r="G426" t="n">
        <v>4.4</v>
      </c>
      <c r="H426" t="n">
        <v>0</v>
      </c>
      <c r="I426" t="n">
        <v>0</v>
      </c>
      <c r="J426" t="n">
        <v>0</v>
      </c>
      <c r="K426" t="n">
        <v>0</v>
      </c>
      <c r="L426" t="n">
        <v>0</v>
      </c>
      <c r="M426" t="n">
        <v>0</v>
      </c>
      <c r="N426" t="n">
        <v>0</v>
      </c>
      <c r="O426" t="n">
        <v>0</v>
      </c>
      <c r="P426" t="n">
        <v>0</v>
      </c>
      <c r="Q426" t="n">
        <v>0</v>
      </c>
      <c r="R426" s="2" t="inlineStr"/>
    </row>
    <row r="427" ht="15" customHeight="1">
      <c r="A427" t="inlineStr">
        <is>
          <t>A 4318-2022</t>
        </is>
      </c>
      <c r="B427" s="1" t="n">
        <v>44588</v>
      </c>
      <c r="C427" s="1" t="n">
        <v>45792</v>
      </c>
      <c r="D427" t="inlineStr">
        <is>
          <t>UPPSALA LÄN</t>
        </is>
      </c>
      <c r="E427" t="inlineStr">
        <is>
          <t>ÖSTHAMMAR</t>
        </is>
      </c>
      <c r="F427" t="inlineStr">
        <is>
          <t>Bergvik skog öst AB</t>
        </is>
      </c>
      <c r="G427" t="n">
        <v>9.6</v>
      </c>
      <c r="H427" t="n">
        <v>0</v>
      </c>
      <c r="I427" t="n">
        <v>0</v>
      </c>
      <c r="J427" t="n">
        <v>0</v>
      </c>
      <c r="K427" t="n">
        <v>0</v>
      </c>
      <c r="L427" t="n">
        <v>0</v>
      </c>
      <c r="M427" t="n">
        <v>0</v>
      </c>
      <c r="N427" t="n">
        <v>0</v>
      </c>
      <c r="O427" t="n">
        <v>0</v>
      </c>
      <c r="P427" t="n">
        <v>0</v>
      </c>
      <c r="Q427" t="n">
        <v>0</v>
      </c>
      <c r="R427" s="2" t="inlineStr"/>
    </row>
    <row r="428" ht="15" customHeight="1">
      <c r="A428" t="inlineStr">
        <is>
          <t>A 4315-2022</t>
        </is>
      </c>
      <c r="B428" s="1" t="n">
        <v>44588</v>
      </c>
      <c r="C428" s="1" t="n">
        <v>45792</v>
      </c>
      <c r="D428" t="inlineStr">
        <is>
          <t>UPPSALA LÄN</t>
        </is>
      </c>
      <c r="E428" t="inlineStr">
        <is>
          <t>ÖSTHAMMAR</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4491-2022</t>
        </is>
      </c>
      <c r="B429" s="1" t="n">
        <v>44589</v>
      </c>
      <c r="C429" s="1" t="n">
        <v>45792</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4357-2022</t>
        </is>
      </c>
      <c r="B430" s="1" t="n">
        <v>44589</v>
      </c>
      <c r="C430" s="1" t="n">
        <v>45792</v>
      </c>
      <c r="D430" t="inlineStr">
        <is>
          <t>UPPSALA LÄN</t>
        </is>
      </c>
      <c r="E430" t="inlineStr">
        <is>
          <t>ÖSTHAMMAR</t>
        </is>
      </c>
      <c r="G430" t="n">
        <v>0.7</v>
      </c>
      <c r="H430" t="n">
        <v>0</v>
      </c>
      <c r="I430" t="n">
        <v>0</v>
      </c>
      <c r="J430" t="n">
        <v>0</v>
      </c>
      <c r="K430" t="n">
        <v>0</v>
      </c>
      <c r="L430" t="n">
        <v>0</v>
      </c>
      <c r="M430" t="n">
        <v>0</v>
      </c>
      <c r="N430" t="n">
        <v>0</v>
      </c>
      <c r="O430" t="n">
        <v>0</v>
      </c>
      <c r="P430" t="n">
        <v>0</v>
      </c>
      <c r="Q430" t="n">
        <v>0</v>
      </c>
      <c r="R430" s="2" t="inlineStr"/>
    </row>
    <row r="431" ht="15" customHeight="1">
      <c r="A431" t="inlineStr">
        <is>
          <t>A 4563-2022</t>
        </is>
      </c>
      <c r="B431" s="1" t="n">
        <v>44591</v>
      </c>
      <c r="C431" s="1" t="n">
        <v>45792</v>
      </c>
      <c r="D431" t="inlineStr">
        <is>
          <t>UPPSALA LÄN</t>
        </is>
      </c>
      <c r="E431" t="inlineStr">
        <is>
          <t>ÖSTHAMMAR</t>
        </is>
      </c>
      <c r="F431" t="inlineStr">
        <is>
          <t>Bergvik skog öst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4562-2022</t>
        </is>
      </c>
      <c r="B432" s="1" t="n">
        <v>44591</v>
      </c>
      <c r="C432" s="1" t="n">
        <v>45792</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4561-2022</t>
        </is>
      </c>
      <c r="B433" s="1" t="n">
        <v>44591</v>
      </c>
      <c r="C433" s="1" t="n">
        <v>45792</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4559-2022</t>
        </is>
      </c>
      <c r="B434" s="1" t="n">
        <v>44591</v>
      </c>
      <c r="C434" s="1" t="n">
        <v>45792</v>
      </c>
      <c r="D434" t="inlineStr">
        <is>
          <t>UPPSALA LÄN</t>
        </is>
      </c>
      <c r="E434" t="inlineStr">
        <is>
          <t>ÖSTHAMMAR</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4565-2022</t>
        </is>
      </c>
      <c r="B435" s="1" t="n">
        <v>44591</v>
      </c>
      <c r="C435" s="1" t="n">
        <v>45792</v>
      </c>
      <c r="D435" t="inlineStr">
        <is>
          <t>UPPSALA LÄN</t>
        </is>
      </c>
      <c r="E435" t="inlineStr">
        <is>
          <t>ÖSTHAMMAR</t>
        </is>
      </c>
      <c r="F435" t="inlineStr">
        <is>
          <t>Bergvik skog öst AB</t>
        </is>
      </c>
      <c r="G435" t="n">
        <v>5.3</v>
      </c>
      <c r="H435" t="n">
        <v>0</v>
      </c>
      <c r="I435" t="n">
        <v>0</v>
      </c>
      <c r="J435" t="n">
        <v>0</v>
      </c>
      <c r="K435" t="n">
        <v>0</v>
      </c>
      <c r="L435" t="n">
        <v>0</v>
      </c>
      <c r="M435" t="n">
        <v>0</v>
      </c>
      <c r="N435" t="n">
        <v>0</v>
      </c>
      <c r="O435" t="n">
        <v>0</v>
      </c>
      <c r="P435" t="n">
        <v>0</v>
      </c>
      <c r="Q435" t="n">
        <v>0</v>
      </c>
      <c r="R435" s="2" t="inlineStr"/>
    </row>
    <row r="436" ht="15" customHeight="1">
      <c r="A436" t="inlineStr">
        <is>
          <t>A 5855-2022</t>
        </is>
      </c>
      <c r="B436" s="1" t="n">
        <v>44596</v>
      </c>
      <c r="C436" s="1" t="n">
        <v>45792</v>
      </c>
      <c r="D436" t="inlineStr">
        <is>
          <t>UPPSALA LÄN</t>
        </is>
      </c>
      <c r="E436" t="inlineStr">
        <is>
          <t>ÖSTHAMMAR</t>
        </is>
      </c>
      <c r="G436" t="n">
        <v>0.9</v>
      </c>
      <c r="H436" t="n">
        <v>0</v>
      </c>
      <c r="I436" t="n">
        <v>0</v>
      </c>
      <c r="J436" t="n">
        <v>0</v>
      </c>
      <c r="K436" t="n">
        <v>0</v>
      </c>
      <c r="L436" t="n">
        <v>0</v>
      </c>
      <c r="M436" t="n">
        <v>0</v>
      </c>
      <c r="N436" t="n">
        <v>0</v>
      </c>
      <c r="O436" t="n">
        <v>0</v>
      </c>
      <c r="P436" t="n">
        <v>0</v>
      </c>
      <c r="Q436" t="n">
        <v>0</v>
      </c>
      <c r="R436" s="2" t="inlineStr"/>
    </row>
    <row r="437" ht="15" customHeight="1">
      <c r="A437" t="inlineStr">
        <is>
          <t>A 5974-2022</t>
        </is>
      </c>
      <c r="B437" s="1" t="n">
        <v>44597</v>
      </c>
      <c r="C437" s="1" t="n">
        <v>45792</v>
      </c>
      <c r="D437" t="inlineStr">
        <is>
          <t>UPPSALA LÄN</t>
        </is>
      </c>
      <c r="E437" t="inlineStr">
        <is>
          <t>ÖSTHAMMAR</t>
        </is>
      </c>
      <c r="G437" t="n">
        <v>1.8</v>
      </c>
      <c r="H437" t="n">
        <v>0</v>
      </c>
      <c r="I437" t="n">
        <v>0</v>
      </c>
      <c r="J437" t="n">
        <v>0</v>
      </c>
      <c r="K437" t="n">
        <v>0</v>
      </c>
      <c r="L437" t="n">
        <v>0</v>
      </c>
      <c r="M437" t="n">
        <v>0</v>
      </c>
      <c r="N437" t="n">
        <v>0</v>
      </c>
      <c r="O437" t="n">
        <v>0</v>
      </c>
      <c r="P437" t="n">
        <v>0</v>
      </c>
      <c r="Q437" t="n">
        <v>0</v>
      </c>
      <c r="R437" s="2" t="inlineStr"/>
    </row>
    <row r="438" ht="15" customHeight="1">
      <c r="A438" t="inlineStr">
        <is>
          <t>A 5933-2022</t>
        </is>
      </c>
      <c r="B438" s="1" t="n">
        <v>44598</v>
      </c>
      <c r="C438" s="1" t="n">
        <v>45792</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5934-2022</t>
        </is>
      </c>
      <c r="B439" s="1" t="n">
        <v>44598</v>
      </c>
      <c r="C439" s="1" t="n">
        <v>45792</v>
      </c>
      <c r="D439" t="inlineStr">
        <is>
          <t>UPPSALA LÄN</t>
        </is>
      </c>
      <c r="E439" t="inlineStr">
        <is>
          <t>ÖSTHAMMAR</t>
        </is>
      </c>
      <c r="F439" t="inlineStr">
        <is>
          <t>Bergvik skog öst AB</t>
        </is>
      </c>
      <c r="G439" t="n">
        <v>2.4</v>
      </c>
      <c r="H439" t="n">
        <v>0</v>
      </c>
      <c r="I439" t="n">
        <v>0</v>
      </c>
      <c r="J439" t="n">
        <v>0</v>
      </c>
      <c r="K439" t="n">
        <v>0</v>
      </c>
      <c r="L439" t="n">
        <v>0</v>
      </c>
      <c r="M439" t="n">
        <v>0</v>
      </c>
      <c r="N439" t="n">
        <v>0</v>
      </c>
      <c r="O439" t="n">
        <v>0</v>
      </c>
      <c r="P439" t="n">
        <v>0</v>
      </c>
      <c r="Q439" t="n">
        <v>0</v>
      </c>
      <c r="R439" s="2" t="inlineStr"/>
    </row>
    <row r="440" ht="15" customHeight="1">
      <c r="A440" t="inlineStr">
        <is>
          <t>A 5932-2022</t>
        </is>
      </c>
      <c r="B440" s="1" t="n">
        <v>44598</v>
      </c>
      <c r="C440" s="1" t="n">
        <v>45792</v>
      </c>
      <c r="D440" t="inlineStr">
        <is>
          <t>UPPSALA LÄN</t>
        </is>
      </c>
      <c r="E440" t="inlineStr">
        <is>
          <t>ÖSTHAMMAR</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5931-2022</t>
        </is>
      </c>
      <c r="B441" s="1" t="n">
        <v>44598</v>
      </c>
      <c r="C441" s="1" t="n">
        <v>45792</v>
      </c>
      <c r="D441" t="inlineStr">
        <is>
          <t>UPPSALA LÄN</t>
        </is>
      </c>
      <c r="E441" t="inlineStr">
        <is>
          <t>ÖSTHAMMAR</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6143-2022</t>
        </is>
      </c>
      <c r="B442" s="1" t="n">
        <v>44599</v>
      </c>
      <c r="C442" s="1" t="n">
        <v>45792</v>
      </c>
      <c r="D442" t="inlineStr">
        <is>
          <t>UPPSALA LÄN</t>
        </is>
      </c>
      <c r="E442" t="inlineStr">
        <is>
          <t>ÖSTHAMMAR</t>
        </is>
      </c>
      <c r="G442" t="n">
        <v>3.4</v>
      </c>
      <c r="H442" t="n">
        <v>0</v>
      </c>
      <c r="I442" t="n">
        <v>0</v>
      </c>
      <c r="J442" t="n">
        <v>0</v>
      </c>
      <c r="K442" t="n">
        <v>0</v>
      </c>
      <c r="L442" t="n">
        <v>0</v>
      </c>
      <c r="M442" t="n">
        <v>0</v>
      </c>
      <c r="N442" t="n">
        <v>0</v>
      </c>
      <c r="O442" t="n">
        <v>0</v>
      </c>
      <c r="P442" t="n">
        <v>0</v>
      </c>
      <c r="Q442" t="n">
        <v>0</v>
      </c>
      <c r="R442" s="2" t="inlineStr"/>
    </row>
    <row r="443" ht="15" customHeight="1">
      <c r="A443" t="inlineStr">
        <is>
          <t>A 6153-2022</t>
        </is>
      </c>
      <c r="B443" s="1" t="n">
        <v>44599</v>
      </c>
      <c r="C443" s="1" t="n">
        <v>45792</v>
      </c>
      <c r="D443" t="inlineStr">
        <is>
          <t>UPPSALA LÄN</t>
        </is>
      </c>
      <c r="E443" t="inlineStr">
        <is>
          <t>ÖSTHAMMAR</t>
        </is>
      </c>
      <c r="G443" t="n">
        <v>1.2</v>
      </c>
      <c r="H443" t="n">
        <v>0</v>
      </c>
      <c r="I443" t="n">
        <v>0</v>
      </c>
      <c r="J443" t="n">
        <v>0</v>
      </c>
      <c r="K443" t="n">
        <v>0</v>
      </c>
      <c r="L443" t="n">
        <v>0</v>
      </c>
      <c r="M443" t="n">
        <v>0</v>
      </c>
      <c r="N443" t="n">
        <v>0</v>
      </c>
      <c r="O443" t="n">
        <v>0</v>
      </c>
      <c r="P443" t="n">
        <v>0</v>
      </c>
      <c r="Q443" t="n">
        <v>0</v>
      </c>
      <c r="R443" s="2" t="inlineStr"/>
    </row>
    <row r="444" ht="15" customHeight="1">
      <c r="A444" t="inlineStr">
        <is>
          <t>A 6206-2022</t>
        </is>
      </c>
      <c r="B444" s="1" t="n">
        <v>44600</v>
      </c>
      <c r="C444" s="1" t="n">
        <v>45792</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6313-2022</t>
        </is>
      </c>
      <c r="B445" s="1" t="n">
        <v>44600</v>
      </c>
      <c r="C445" s="1" t="n">
        <v>45792</v>
      </c>
      <c r="D445" t="inlineStr">
        <is>
          <t>UPPSALA LÄN</t>
        </is>
      </c>
      <c r="E445" t="inlineStr">
        <is>
          <t>ÖSTHAMMAR</t>
        </is>
      </c>
      <c r="G445" t="n">
        <v>4</v>
      </c>
      <c r="H445" t="n">
        <v>0</v>
      </c>
      <c r="I445" t="n">
        <v>0</v>
      </c>
      <c r="J445" t="n">
        <v>0</v>
      </c>
      <c r="K445" t="n">
        <v>0</v>
      </c>
      <c r="L445" t="n">
        <v>0</v>
      </c>
      <c r="M445" t="n">
        <v>0</v>
      </c>
      <c r="N445" t="n">
        <v>0</v>
      </c>
      <c r="O445" t="n">
        <v>0</v>
      </c>
      <c r="P445" t="n">
        <v>0</v>
      </c>
      <c r="Q445" t="n">
        <v>0</v>
      </c>
      <c r="R445" s="2" t="inlineStr"/>
    </row>
    <row r="446" ht="15" customHeight="1">
      <c r="A446" t="inlineStr">
        <is>
          <t>A 6892-2022</t>
        </is>
      </c>
      <c r="B446" s="1" t="n">
        <v>44602</v>
      </c>
      <c r="C446" s="1" t="n">
        <v>45792</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7181-2022</t>
        </is>
      </c>
      <c r="B447" s="1" t="n">
        <v>44605</v>
      </c>
      <c r="C447" s="1" t="n">
        <v>45792</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7302-2022</t>
        </is>
      </c>
      <c r="B448" s="1" t="n">
        <v>44606</v>
      </c>
      <c r="C448" s="1" t="n">
        <v>45792</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7475-2022</t>
        </is>
      </c>
      <c r="B449" s="1" t="n">
        <v>44607</v>
      </c>
      <c r="C449" s="1" t="n">
        <v>45792</v>
      </c>
      <c r="D449" t="inlineStr">
        <is>
          <t>UPPSALA LÄN</t>
        </is>
      </c>
      <c r="E449" t="inlineStr">
        <is>
          <t>ÖSTHAMMAR</t>
        </is>
      </c>
      <c r="G449" t="n">
        <v>2.2</v>
      </c>
      <c r="H449" t="n">
        <v>0</v>
      </c>
      <c r="I449" t="n">
        <v>0</v>
      </c>
      <c r="J449" t="n">
        <v>0</v>
      </c>
      <c r="K449" t="n">
        <v>0</v>
      </c>
      <c r="L449" t="n">
        <v>0</v>
      </c>
      <c r="M449" t="n">
        <v>0</v>
      </c>
      <c r="N449" t="n">
        <v>0</v>
      </c>
      <c r="O449" t="n">
        <v>0</v>
      </c>
      <c r="P449" t="n">
        <v>0</v>
      </c>
      <c r="Q449" t="n">
        <v>0</v>
      </c>
      <c r="R449" s="2" t="inlineStr"/>
    </row>
    <row r="450" ht="15" customHeight="1">
      <c r="A450" t="inlineStr">
        <is>
          <t>A 7488-2022</t>
        </is>
      </c>
      <c r="B450" s="1" t="n">
        <v>44607</v>
      </c>
      <c r="C450" s="1" t="n">
        <v>45792</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7858-2022</t>
        </is>
      </c>
      <c r="B451" s="1" t="n">
        <v>44608</v>
      </c>
      <c r="C451" s="1" t="n">
        <v>45792</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7871-2022</t>
        </is>
      </c>
      <c r="B452" s="1" t="n">
        <v>44608</v>
      </c>
      <c r="C452" s="1" t="n">
        <v>45792</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7997-2022</t>
        </is>
      </c>
      <c r="B453" s="1" t="n">
        <v>44609</v>
      </c>
      <c r="C453" s="1" t="n">
        <v>45792</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8283-2022</t>
        </is>
      </c>
      <c r="B454" s="1" t="n">
        <v>44610</v>
      </c>
      <c r="C454" s="1" t="n">
        <v>45792</v>
      </c>
      <c r="D454" t="inlineStr">
        <is>
          <t>UPPSALA LÄN</t>
        </is>
      </c>
      <c r="E454" t="inlineStr">
        <is>
          <t>ÖSTHAMMAR</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8592-2022</t>
        </is>
      </c>
      <c r="B455" s="1" t="n">
        <v>44613</v>
      </c>
      <c r="C455" s="1" t="n">
        <v>45792</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8708-2022</t>
        </is>
      </c>
      <c r="B456" s="1" t="n">
        <v>44613</v>
      </c>
      <c r="C456" s="1" t="n">
        <v>45792</v>
      </c>
      <c r="D456" t="inlineStr">
        <is>
          <t>UPPSALA LÄN</t>
        </is>
      </c>
      <c r="E456" t="inlineStr">
        <is>
          <t>ÖSTHAMMAR</t>
        </is>
      </c>
      <c r="G456" t="n">
        <v>4.3</v>
      </c>
      <c r="H456" t="n">
        <v>0</v>
      </c>
      <c r="I456" t="n">
        <v>0</v>
      </c>
      <c r="J456" t="n">
        <v>0</v>
      </c>
      <c r="K456" t="n">
        <v>0</v>
      </c>
      <c r="L456" t="n">
        <v>0</v>
      </c>
      <c r="M456" t="n">
        <v>0</v>
      </c>
      <c r="N456" t="n">
        <v>0</v>
      </c>
      <c r="O456" t="n">
        <v>0</v>
      </c>
      <c r="P456" t="n">
        <v>0</v>
      </c>
      <c r="Q456" t="n">
        <v>0</v>
      </c>
      <c r="R456" s="2" t="inlineStr"/>
    </row>
    <row r="457" ht="15" customHeight="1">
      <c r="A457" t="inlineStr">
        <is>
          <t>A 8710-2022</t>
        </is>
      </c>
      <c r="B457" s="1" t="n">
        <v>44613</v>
      </c>
      <c r="C457" s="1" t="n">
        <v>45792</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8537-2022</t>
        </is>
      </c>
      <c r="B458" s="1" t="n">
        <v>44613</v>
      </c>
      <c r="C458" s="1" t="n">
        <v>45792</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8554-2022</t>
        </is>
      </c>
      <c r="B459" s="1" t="n">
        <v>44613</v>
      </c>
      <c r="C459" s="1" t="n">
        <v>45792</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8556-2022</t>
        </is>
      </c>
      <c r="B460" s="1" t="n">
        <v>44613</v>
      </c>
      <c r="C460" s="1" t="n">
        <v>45792</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8775-2022</t>
        </is>
      </c>
      <c r="B461" s="1" t="n">
        <v>44614</v>
      </c>
      <c r="C461" s="1" t="n">
        <v>45792</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8750-2022</t>
        </is>
      </c>
      <c r="B462" s="1" t="n">
        <v>44614</v>
      </c>
      <c r="C462" s="1" t="n">
        <v>45792</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9755-2022</t>
        </is>
      </c>
      <c r="B463" s="1" t="n">
        <v>44618</v>
      </c>
      <c r="C463" s="1" t="n">
        <v>45792</v>
      </c>
      <c r="D463" t="inlineStr">
        <is>
          <t>UPPSALA LÄN</t>
        </is>
      </c>
      <c r="E463" t="inlineStr">
        <is>
          <t>ÖSTHAMMAR</t>
        </is>
      </c>
      <c r="F463" t="inlineStr">
        <is>
          <t>Bergvik skog öst AB</t>
        </is>
      </c>
      <c r="G463" t="n">
        <v>13.9</v>
      </c>
      <c r="H463" t="n">
        <v>0</v>
      </c>
      <c r="I463" t="n">
        <v>0</v>
      </c>
      <c r="J463" t="n">
        <v>0</v>
      </c>
      <c r="K463" t="n">
        <v>0</v>
      </c>
      <c r="L463" t="n">
        <v>0</v>
      </c>
      <c r="M463" t="n">
        <v>0</v>
      </c>
      <c r="N463" t="n">
        <v>0</v>
      </c>
      <c r="O463" t="n">
        <v>0</v>
      </c>
      <c r="P463" t="n">
        <v>0</v>
      </c>
      <c r="Q463" t="n">
        <v>0</v>
      </c>
      <c r="R463" s="2" t="inlineStr"/>
    </row>
    <row r="464" ht="15" customHeight="1">
      <c r="A464" t="inlineStr">
        <is>
          <t>A 9789-2022</t>
        </is>
      </c>
      <c r="B464" s="1" t="n">
        <v>44620</v>
      </c>
      <c r="C464" s="1" t="n">
        <v>45792</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9795-2022</t>
        </is>
      </c>
      <c r="B465" s="1" t="n">
        <v>44620</v>
      </c>
      <c r="C465" s="1" t="n">
        <v>45792</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45792</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10294-2022</t>
        </is>
      </c>
      <c r="B467" s="1" t="n">
        <v>44622</v>
      </c>
      <c r="C467" s="1" t="n">
        <v>45792</v>
      </c>
      <c r="D467" t="inlineStr">
        <is>
          <t>UPPSALA LÄN</t>
        </is>
      </c>
      <c r="E467" t="inlineStr">
        <is>
          <t>ÖSTHAMMAR</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10288-2022</t>
        </is>
      </c>
      <c r="B468" s="1" t="n">
        <v>44622</v>
      </c>
      <c r="C468" s="1" t="n">
        <v>45792</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10298-2022</t>
        </is>
      </c>
      <c r="B469" s="1" t="n">
        <v>44622</v>
      </c>
      <c r="C469" s="1" t="n">
        <v>45792</v>
      </c>
      <c r="D469" t="inlineStr">
        <is>
          <t>UPPSALA LÄN</t>
        </is>
      </c>
      <c r="E469" t="inlineStr">
        <is>
          <t>ÖSTHAMMAR</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10980-2022</t>
        </is>
      </c>
      <c r="B470" s="1" t="n">
        <v>44628</v>
      </c>
      <c r="C470" s="1" t="n">
        <v>45792</v>
      </c>
      <c r="D470" t="inlineStr">
        <is>
          <t>UPPSALA LÄN</t>
        </is>
      </c>
      <c r="E470" t="inlineStr">
        <is>
          <t>ÖSTHAMMAR</t>
        </is>
      </c>
      <c r="G470" t="n">
        <v>7.4</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v>
      </c>
      <c r="C471" s="1" t="n">
        <v>45792</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11643-2022</t>
        </is>
      </c>
      <c r="B472" s="1" t="n">
        <v>44631</v>
      </c>
      <c r="C472" s="1" t="n">
        <v>45792</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11884-2022</t>
        </is>
      </c>
      <c r="B473" s="1" t="n">
        <v>44635</v>
      </c>
      <c r="C473" s="1" t="n">
        <v>45792</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11987-2022</t>
        </is>
      </c>
      <c r="B474" s="1" t="n">
        <v>44635</v>
      </c>
      <c r="C474" s="1" t="n">
        <v>45792</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11986-2022</t>
        </is>
      </c>
      <c r="B475" s="1" t="n">
        <v>44635</v>
      </c>
      <c r="C475" s="1" t="n">
        <v>45792</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12176-2022</t>
        </is>
      </c>
      <c r="B476" s="1" t="n">
        <v>44636</v>
      </c>
      <c r="C476" s="1" t="n">
        <v>45792</v>
      </c>
      <c r="D476" t="inlineStr">
        <is>
          <t>UPPSALA LÄN</t>
        </is>
      </c>
      <c r="E476" t="inlineStr">
        <is>
          <t>ÖSTHAMMAR</t>
        </is>
      </c>
      <c r="G476" t="n">
        <v>3.5</v>
      </c>
      <c r="H476" t="n">
        <v>0</v>
      </c>
      <c r="I476" t="n">
        <v>0</v>
      </c>
      <c r="J476" t="n">
        <v>0</v>
      </c>
      <c r="K476" t="n">
        <v>0</v>
      </c>
      <c r="L476" t="n">
        <v>0</v>
      </c>
      <c r="M476" t="n">
        <v>0</v>
      </c>
      <c r="N476" t="n">
        <v>0</v>
      </c>
      <c r="O476" t="n">
        <v>0</v>
      </c>
      <c r="P476" t="n">
        <v>0</v>
      </c>
      <c r="Q476" t="n">
        <v>0</v>
      </c>
      <c r="R476" s="2" t="inlineStr"/>
    </row>
    <row r="477" ht="15" customHeight="1">
      <c r="A477" t="inlineStr">
        <is>
          <t>A 12999-2022</t>
        </is>
      </c>
      <c r="B477" s="1" t="n">
        <v>44643</v>
      </c>
      <c r="C477" s="1" t="n">
        <v>45792</v>
      </c>
      <c r="D477" t="inlineStr">
        <is>
          <t>UPPSALA LÄN</t>
        </is>
      </c>
      <c r="E477" t="inlineStr">
        <is>
          <t>ÖSTHAMMAR</t>
        </is>
      </c>
      <c r="G477" t="n">
        <v>0.5</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45792</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13093-2022</t>
        </is>
      </c>
      <c r="B479" s="1" t="n">
        <v>44643</v>
      </c>
      <c r="C479" s="1" t="n">
        <v>45792</v>
      </c>
      <c r="D479" t="inlineStr">
        <is>
          <t>UPPSALA LÄN</t>
        </is>
      </c>
      <c r="E479" t="inlineStr">
        <is>
          <t>ÖSTHAMMAR</t>
        </is>
      </c>
      <c r="F479" t="inlineStr">
        <is>
          <t>Bergvik skog öst AB</t>
        </is>
      </c>
      <c r="G479" t="n">
        <v>3.2</v>
      </c>
      <c r="H479" t="n">
        <v>0</v>
      </c>
      <c r="I479" t="n">
        <v>0</v>
      </c>
      <c r="J479" t="n">
        <v>0</v>
      </c>
      <c r="K479" t="n">
        <v>0</v>
      </c>
      <c r="L479" t="n">
        <v>0</v>
      </c>
      <c r="M479" t="n">
        <v>0</v>
      </c>
      <c r="N479" t="n">
        <v>0</v>
      </c>
      <c r="O479" t="n">
        <v>0</v>
      </c>
      <c r="P479" t="n">
        <v>0</v>
      </c>
      <c r="Q479" t="n">
        <v>0</v>
      </c>
      <c r="R479" s="2" t="inlineStr"/>
    </row>
    <row r="480" ht="15" customHeight="1">
      <c r="A480" t="inlineStr">
        <is>
          <t>A 13238-2022</t>
        </is>
      </c>
      <c r="B480" s="1" t="n">
        <v>44644</v>
      </c>
      <c r="C480" s="1" t="n">
        <v>45792</v>
      </c>
      <c r="D480" t="inlineStr">
        <is>
          <t>UPPSALA LÄN</t>
        </is>
      </c>
      <c r="E480" t="inlineStr">
        <is>
          <t>ÖSTHAMMAR</t>
        </is>
      </c>
      <c r="G480" t="n">
        <v>6.5</v>
      </c>
      <c r="H480" t="n">
        <v>0</v>
      </c>
      <c r="I480" t="n">
        <v>0</v>
      </c>
      <c r="J480" t="n">
        <v>0</v>
      </c>
      <c r="K480" t="n">
        <v>0</v>
      </c>
      <c r="L480" t="n">
        <v>0</v>
      </c>
      <c r="M480" t="n">
        <v>0</v>
      </c>
      <c r="N480" t="n">
        <v>0</v>
      </c>
      <c r="O480" t="n">
        <v>0</v>
      </c>
      <c r="P480" t="n">
        <v>0</v>
      </c>
      <c r="Q480" t="n">
        <v>0</v>
      </c>
      <c r="R480" s="2" t="inlineStr"/>
    </row>
    <row r="481" ht="15" customHeight="1">
      <c r="A481" t="inlineStr">
        <is>
          <t>A 13279-2022</t>
        </is>
      </c>
      <c r="B481" s="1" t="n">
        <v>44644</v>
      </c>
      <c r="C481" s="1" t="n">
        <v>45792</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13867-2022</t>
        </is>
      </c>
      <c r="B482" s="1" t="n">
        <v>44649</v>
      </c>
      <c r="C482" s="1" t="n">
        <v>45792</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14272-2022</t>
        </is>
      </c>
      <c r="B483" s="1" t="n">
        <v>44651</v>
      </c>
      <c r="C483" s="1" t="n">
        <v>45792</v>
      </c>
      <c r="D483" t="inlineStr">
        <is>
          <t>UPPSALA LÄN</t>
        </is>
      </c>
      <c r="E483" t="inlineStr">
        <is>
          <t>ÖSTHAMMAR</t>
        </is>
      </c>
      <c r="F483" t="inlineStr">
        <is>
          <t>Bergvik skog öst AB</t>
        </is>
      </c>
      <c r="G483" t="n">
        <v>3.1</v>
      </c>
      <c r="H483" t="n">
        <v>0</v>
      </c>
      <c r="I483" t="n">
        <v>0</v>
      </c>
      <c r="J483" t="n">
        <v>0</v>
      </c>
      <c r="K483" t="n">
        <v>0</v>
      </c>
      <c r="L483" t="n">
        <v>0</v>
      </c>
      <c r="M483" t="n">
        <v>0</v>
      </c>
      <c r="N483" t="n">
        <v>0</v>
      </c>
      <c r="O483" t="n">
        <v>0</v>
      </c>
      <c r="P483" t="n">
        <v>0</v>
      </c>
      <c r="Q483" t="n">
        <v>0</v>
      </c>
      <c r="R483" s="2" t="inlineStr"/>
    </row>
    <row r="484" ht="15" customHeight="1">
      <c r="A484" t="inlineStr">
        <is>
          <t>A 14124-2022</t>
        </is>
      </c>
      <c r="B484" s="1" t="n">
        <v>44651</v>
      </c>
      <c r="C484" s="1" t="n">
        <v>45792</v>
      </c>
      <c r="D484" t="inlineStr">
        <is>
          <t>UPPSALA LÄN</t>
        </is>
      </c>
      <c r="E484" t="inlineStr">
        <is>
          <t>ÖSTHAMMAR</t>
        </is>
      </c>
      <c r="F484" t="inlineStr">
        <is>
          <t>Bergvik skog öst AB</t>
        </is>
      </c>
      <c r="G484" t="n">
        <v>0.9</v>
      </c>
      <c r="H484" t="n">
        <v>0</v>
      </c>
      <c r="I484" t="n">
        <v>0</v>
      </c>
      <c r="J484" t="n">
        <v>0</v>
      </c>
      <c r="K484" t="n">
        <v>0</v>
      </c>
      <c r="L484" t="n">
        <v>0</v>
      </c>
      <c r="M484" t="n">
        <v>0</v>
      </c>
      <c r="N484" t="n">
        <v>0</v>
      </c>
      <c r="O484" t="n">
        <v>0</v>
      </c>
      <c r="P484" t="n">
        <v>0</v>
      </c>
      <c r="Q484" t="n">
        <v>0</v>
      </c>
      <c r="R484" s="2" t="inlineStr"/>
    </row>
    <row r="485" ht="15" customHeight="1">
      <c r="A485" t="inlineStr">
        <is>
          <t>A 14187-2022</t>
        </is>
      </c>
      <c r="B485" s="1" t="n">
        <v>44651</v>
      </c>
      <c r="C485" s="1" t="n">
        <v>45792</v>
      </c>
      <c r="D485" t="inlineStr">
        <is>
          <t>UPPSALA LÄN</t>
        </is>
      </c>
      <c r="E485" t="inlineStr">
        <is>
          <t>ÖSTHAMMAR</t>
        </is>
      </c>
      <c r="F485" t="inlineStr">
        <is>
          <t>Övriga Aktiebolag</t>
        </is>
      </c>
      <c r="G485" t="n">
        <v>14.1</v>
      </c>
      <c r="H485" t="n">
        <v>0</v>
      </c>
      <c r="I485" t="n">
        <v>0</v>
      </c>
      <c r="J485" t="n">
        <v>0</v>
      </c>
      <c r="K485" t="n">
        <v>0</v>
      </c>
      <c r="L485" t="n">
        <v>0</v>
      </c>
      <c r="M485" t="n">
        <v>0</v>
      </c>
      <c r="N485" t="n">
        <v>0</v>
      </c>
      <c r="O485" t="n">
        <v>0</v>
      </c>
      <c r="P485" t="n">
        <v>0</v>
      </c>
      <c r="Q485" t="n">
        <v>0</v>
      </c>
      <c r="R485" s="2" t="inlineStr"/>
    </row>
    <row r="486" ht="15" customHeight="1">
      <c r="A486" t="inlineStr">
        <is>
          <t>A 14271-2022</t>
        </is>
      </c>
      <c r="B486" s="1" t="n">
        <v>44651</v>
      </c>
      <c r="C486" s="1" t="n">
        <v>45792</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14671-2022</t>
        </is>
      </c>
      <c r="B487" s="1" t="n">
        <v>44655</v>
      </c>
      <c r="C487" s="1" t="n">
        <v>45792</v>
      </c>
      <c r="D487" t="inlineStr">
        <is>
          <t>UPPSALA LÄN</t>
        </is>
      </c>
      <c r="E487" t="inlineStr">
        <is>
          <t>ÖSTHAMMAR</t>
        </is>
      </c>
      <c r="G487" t="n">
        <v>1.9</v>
      </c>
      <c r="H487" t="n">
        <v>0</v>
      </c>
      <c r="I487" t="n">
        <v>0</v>
      </c>
      <c r="J487" t="n">
        <v>0</v>
      </c>
      <c r="K487" t="n">
        <v>0</v>
      </c>
      <c r="L487" t="n">
        <v>0</v>
      </c>
      <c r="M487" t="n">
        <v>0</v>
      </c>
      <c r="N487" t="n">
        <v>0</v>
      </c>
      <c r="O487" t="n">
        <v>0</v>
      </c>
      <c r="P487" t="n">
        <v>0</v>
      </c>
      <c r="Q487" t="n">
        <v>0</v>
      </c>
      <c r="R487" s="2" t="inlineStr"/>
    </row>
    <row r="488" ht="15" customHeight="1">
      <c r="A488" t="inlineStr">
        <is>
          <t>A 15064-2022</t>
        </is>
      </c>
      <c r="B488" s="1" t="n">
        <v>44657</v>
      </c>
      <c r="C488" s="1" t="n">
        <v>45792</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15311-2022</t>
        </is>
      </c>
      <c r="B489" s="1" t="n">
        <v>44659</v>
      </c>
      <c r="C489" s="1" t="n">
        <v>45792</v>
      </c>
      <c r="D489" t="inlineStr">
        <is>
          <t>UPPSALA LÄN</t>
        </is>
      </c>
      <c r="E489" t="inlineStr">
        <is>
          <t>ÖSTHAMMAR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15334-2022</t>
        </is>
      </c>
      <c r="B490" s="1" t="n">
        <v>44659</v>
      </c>
      <c r="C490" s="1" t="n">
        <v>45792</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15447-2022</t>
        </is>
      </c>
      <c r="B491" s="1" t="n">
        <v>44660</v>
      </c>
      <c r="C491" s="1" t="n">
        <v>45792</v>
      </c>
      <c r="D491" t="inlineStr">
        <is>
          <t>UPPSALA LÄN</t>
        </is>
      </c>
      <c r="E491" t="inlineStr">
        <is>
          <t>ÖSTHAMMAR</t>
        </is>
      </c>
      <c r="F491" t="inlineStr">
        <is>
          <t>Bergvik skog öst AB</t>
        </is>
      </c>
      <c r="G491" t="n">
        <v>2.2</v>
      </c>
      <c r="H491" t="n">
        <v>0</v>
      </c>
      <c r="I491" t="n">
        <v>0</v>
      </c>
      <c r="J491" t="n">
        <v>0</v>
      </c>
      <c r="K491" t="n">
        <v>0</v>
      </c>
      <c r="L491" t="n">
        <v>0</v>
      </c>
      <c r="M491" t="n">
        <v>0</v>
      </c>
      <c r="N491" t="n">
        <v>0</v>
      </c>
      <c r="O491" t="n">
        <v>0</v>
      </c>
      <c r="P491" t="n">
        <v>0</v>
      </c>
      <c r="Q491" t="n">
        <v>0</v>
      </c>
      <c r="R491" s="2" t="inlineStr"/>
    </row>
    <row r="492" ht="15" customHeight="1">
      <c r="A492" t="inlineStr">
        <is>
          <t>A 15445-2022</t>
        </is>
      </c>
      <c r="B492" s="1" t="n">
        <v>44660</v>
      </c>
      <c r="C492" s="1" t="n">
        <v>45792</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15449-2022</t>
        </is>
      </c>
      <c r="B493" s="1" t="n">
        <v>44660</v>
      </c>
      <c r="C493" s="1" t="n">
        <v>45792</v>
      </c>
      <c r="D493" t="inlineStr">
        <is>
          <t>UPPSALA LÄN</t>
        </is>
      </c>
      <c r="E493" t="inlineStr">
        <is>
          <t>ÖSTHAMMAR</t>
        </is>
      </c>
      <c r="F493" t="inlineStr">
        <is>
          <t>Bergvik skog öst AB</t>
        </is>
      </c>
      <c r="G493" t="n">
        <v>2</v>
      </c>
      <c r="H493" t="n">
        <v>0</v>
      </c>
      <c r="I493" t="n">
        <v>0</v>
      </c>
      <c r="J493" t="n">
        <v>0</v>
      </c>
      <c r="K493" t="n">
        <v>0</v>
      </c>
      <c r="L493" t="n">
        <v>0</v>
      </c>
      <c r="M493" t="n">
        <v>0</v>
      </c>
      <c r="N493" t="n">
        <v>0</v>
      </c>
      <c r="O493" t="n">
        <v>0</v>
      </c>
      <c r="P493" t="n">
        <v>0</v>
      </c>
      <c r="Q493" t="n">
        <v>0</v>
      </c>
      <c r="R493" s="2" t="inlineStr"/>
    </row>
    <row r="494" ht="15" customHeight="1">
      <c r="A494" t="inlineStr">
        <is>
          <t>A 15456-2022</t>
        </is>
      </c>
      <c r="B494" s="1" t="n">
        <v>44661</v>
      </c>
      <c r="C494" s="1" t="n">
        <v>45792</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15457-2022</t>
        </is>
      </c>
      <c r="B495" s="1" t="n">
        <v>44661</v>
      </c>
      <c r="C495" s="1" t="n">
        <v>45792</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15847-2022</t>
        </is>
      </c>
      <c r="B496" s="1" t="n">
        <v>44664</v>
      </c>
      <c r="C496" s="1" t="n">
        <v>45792</v>
      </c>
      <c r="D496" t="inlineStr">
        <is>
          <t>UPPSALA LÄN</t>
        </is>
      </c>
      <c r="E496" t="inlineStr">
        <is>
          <t>ÖSTHAMMAR</t>
        </is>
      </c>
      <c r="G496" t="n">
        <v>0.3</v>
      </c>
      <c r="H496" t="n">
        <v>0</v>
      </c>
      <c r="I496" t="n">
        <v>0</v>
      </c>
      <c r="J496" t="n">
        <v>0</v>
      </c>
      <c r="K496" t="n">
        <v>0</v>
      </c>
      <c r="L496" t="n">
        <v>0</v>
      </c>
      <c r="M496" t="n">
        <v>0</v>
      </c>
      <c r="N496" t="n">
        <v>0</v>
      </c>
      <c r="O496" t="n">
        <v>0</v>
      </c>
      <c r="P496" t="n">
        <v>0</v>
      </c>
      <c r="Q496" t="n">
        <v>0</v>
      </c>
      <c r="R496" s="2" t="inlineStr"/>
    </row>
    <row r="497" ht="15" customHeight="1">
      <c r="A497" t="inlineStr">
        <is>
          <t>A 15845-2022</t>
        </is>
      </c>
      <c r="B497" s="1" t="n">
        <v>44664</v>
      </c>
      <c r="C497" s="1" t="n">
        <v>45792</v>
      </c>
      <c r="D497" t="inlineStr">
        <is>
          <t>UPPSALA LÄN</t>
        </is>
      </c>
      <c r="E497" t="inlineStr">
        <is>
          <t>ÖSTHAMMAR</t>
        </is>
      </c>
      <c r="G497" t="n">
        <v>4.5</v>
      </c>
      <c r="H497" t="n">
        <v>0</v>
      </c>
      <c r="I497" t="n">
        <v>0</v>
      </c>
      <c r="J497" t="n">
        <v>0</v>
      </c>
      <c r="K497" t="n">
        <v>0</v>
      </c>
      <c r="L497" t="n">
        <v>0</v>
      </c>
      <c r="M497" t="n">
        <v>0</v>
      </c>
      <c r="N497" t="n">
        <v>0</v>
      </c>
      <c r="O497" t="n">
        <v>0</v>
      </c>
      <c r="P497" t="n">
        <v>0</v>
      </c>
      <c r="Q497" t="n">
        <v>0</v>
      </c>
      <c r="R497" s="2" t="inlineStr"/>
    </row>
    <row r="498" ht="15" customHeight="1">
      <c r="A498" t="inlineStr">
        <is>
          <t>A 15928-2022</t>
        </is>
      </c>
      <c r="B498" s="1" t="n">
        <v>44664</v>
      </c>
      <c r="C498" s="1" t="n">
        <v>45792</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16141-2022</t>
        </is>
      </c>
      <c r="B499" s="1" t="n">
        <v>44665</v>
      </c>
      <c r="C499" s="1" t="n">
        <v>45792</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16142-2022</t>
        </is>
      </c>
      <c r="B500" s="1" t="n">
        <v>44665</v>
      </c>
      <c r="C500" s="1" t="n">
        <v>45792</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16167-2022</t>
        </is>
      </c>
      <c r="B501" s="1" t="n">
        <v>44667</v>
      </c>
      <c r="C501" s="1" t="n">
        <v>45792</v>
      </c>
      <c r="D501" t="inlineStr">
        <is>
          <t>UPPSALA LÄN</t>
        </is>
      </c>
      <c r="E501" t="inlineStr">
        <is>
          <t>ÖSTHAMMAR</t>
        </is>
      </c>
      <c r="F501" t="inlineStr">
        <is>
          <t>Bergvik skog öst AB</t>
        </is>
      </c>
      <c r="G501" t="n">
        <v>18.7</v>
      </c>
      <c r="H501" t="n">
        <v>0</v>
      </c>
      <c r="I501" t="n">
        <v>0</v>
      </c>
      <c r="J501" t="n">
        <v>0</v>
      </c>
      <c r="K501" t="n">
        <v>0</v>
      </c>
      <c r="L501" t="n">
        <v>0</v>
      </c>
      <c r="M501" t="n">
        <v>0</v>
      </c>
      <c r="N501" t="n">
        <v>0</v>
      </c>
      <c r="O501" t="n">
        <v>0</v>
      </c>
      <c r="P501" t="n">
        <v>0</v>
      </c>
      <c r="Q501" t="n">
        <v>0</v>
      </c>
      <c r="R501" s="2" t="inlineStr"/>
    </row>
    <row r="502" ht="15" customHeight="1">
      <c r="A502" t="inlineStr">
        <is>
          <t>A 16185-2022</t>
        </is>
      </c>
      <c r="B502" s="1" t="n">
        <v>44669</v>
      </c>
      <c r="C502" s="1" t="n">
        <v>45792</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16184-2022</t>
        </is>
      </c>
      <c r="B503" s="1" t="n">
        <v>44669</v>
      </c>
      <c r="C503" s="1" t="n">
        <v>45792</v>
      </c>
      <c r="D503" t="inlineStr">
        <is>
          <t>UPPSALA LÄN</t>
        </is>
      </c>
      <c r="E503" t="inlineStr">
        <is>
          <t>ÖSTHAMMAR</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16254-2022</t>
        </is>
      </c>
      <c r="B504" s="1" t="n">
        <v>44670</v>
      </c>
      <c r="C504" s="1" t="n">
        <v>45792</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16933-2022</t>
        </is>
      </c>
      <c r="B505" s="1" t="n">
        <v>44676</v>
      </c>
      <c r="C505" s="1" t="n">
        <v>45792</v>
      </c>
      <c r="D505" t="inlineStr">
        <is>
          <t>UPPSALA LÄN</t>
        </is>
      </c>
      <c r="E505" t="inlineStr">
        <is>
          <t>ÖSTHAMMAR</t>
        </is>
      </c>
      <c r="G505" t="n">
        <v>1.3</v>
      </c>
      <c r="H505" t="n">
        <v>0</v>
      </c>
      <c r="I505" t="n">
        <v>0</v>
      </c>
      <c r="J505" t="n">
        <v>0</v>
      </c>
      <c r="K505" t="n">
        <v>0</v>
      </c>
      <c r="L505" t="n">
        <v>0</v>
      </c>
      <c r="M505" t="n">
        <v>0</v>
      </c>
      <c r="N505" t="n">
        <v>0</v>
      </c>
      <c r="O505" t="n">
        <v>0</v>
      </c>
      <c r="P505" t="n">
        <v>0</v>
      </c>
      <c r="Q505" t="n">
        <v>0</v>
      </c>
      <c r="R505" s="2" t="inlineStr"/>
    </row>
    <row r="506" ht="15" customHeight="1">
      <c r="A506" t="inlineStr">
        <is>
          <t>A 17013-2022</t>
        </is>
      </c>
      <c r="B506" s="1" t="n">
        <v>44676</v>
      </c>
      <c r="C506" s="1" t="n">
        <v>45792</v>
      </c>
      <c r="D506" t="inlineStr">
        <is>
          <t>UPPSALA LÄN</t>
        </is>
      </c>
      <c r="E506" t="inlineStr">
        <is>
          <t>ÖSTHAMMAR</t>
        </is>
      </c>
      <c r="F506" t="inlineStr">
        <is>
          <t>Bergvik skog öst AB</t>
        </is>
      </c>
      <c r="G506" t="n">
        <v>0.2</v>
      </c>
      <c r="H506" t="n">
        <v>0</v>
      </c>
      <c r="I506" t="n">
        <v>0</v>
      </c>
      <c r="J506" t="n">
        <v>0</v>
      </c>
      <c r="K506" t="n">
        <v>0</v>
      </c>
      <c r="L506" t="n">
        <v>0</v>
      </c>
      <c r="M506" t="n">
        <v>0</v>
      </c>
      <c r="N506" t="n">
        <v>0</v>
      </c>
      <c r="O506" t="n">
        <v>0</v>
      </c>
      <c r="P506" t="n">
        <v>0</v>
      </c>
      <c r="Q506" t="n">
        <v>0</v>
      </c>
      <c r="R506" s="2" t="inlineStr"/>
    </row>
    <row r="507" ht="15" customHeight="1">
      <c r="A507" t="inlineStr">
        <is>
          <t>A 17947-2022</t>
        </is>
      </c>
      <c r="B507" s="1" t="n">
        <v>44683</v>
      </c>
      <c r="C507" s="1" t="n">
        <v>45792</v>
      </c>
      <c r="D507" t="inlineStr">
        <is>
          <t>UPPSALA LÄN</t>
        </is>
      </c>
      <c r="E507" t="inlineStr">
        <is>
          <t>ÖSTHAMMAR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18183-2022</t>
        </is>
      </c>
      <c r="B508" s="1" t="n">
        <v>44684</v>
      </c>
      <c r="C508" s="1" t="n">
        <v>45792</v>
      </c>
      <c r="D508" t="inlineStr">
        <is>
          <t>UPPSALA LÄN</t>
        </is>
      </c>
      <c r="E508" t="inlineStr">
        <is>
          <t>ÖSTHAMMAR</t>
        </is>
      </c>
      <c r="G508" t="n">
        <v>0.2</v>
      </c>
      <c r="H508" t="n">
        <v>0</v>
      </c>
      <c r="I508" t="n">
        <v>0</v>
      </c>
      <c r="J508" t="n">
        <v>0</v>
      </c>
      <c r="K508" t="n">
        <v>0</v>
      </c>
      <c r="L508" t="n">
        <v>0</v>
      </c>
      <c r="M508" t="n">
        <v>0</v>
      </c>
      <c r="N508" t="n">
        <v>0</v>
      </c>
      <c r="O508" t="n">
        <v>0</v>
      </c>
      <c r="P508" t="n">
        <v>0</v>
      </c>
      <c r="Q508" t="n">
        <v>0</v>
      </c>
      <c r="R508" s="2" t="inlineStr"/>
    </row>
    <row r="509" ht="15" customHeight="1">
      <c r="A509" t="inlineStr">
        <is>
          <t>A 18732-2022</t>
        </is>
      </c>
      <c r="B509" s="1" t="n">
        <v>44687</v>
      </c>
      <c r="C509" s="1" t="n">
        <v>45792</v>
      </c>
      <c r="D509" t="inlineStr">
        <is>
          <t>UPPSALA LÄN</t>
        </is>
      </c>
      <c r="E509" t="inlineStr">
        <is>
          <t>ÖSTHAMMAR</t>
        </is>
      </c>
      <c r="G509" t="n">
        <v>10.5</v>
      </c>
      <c r="H509" t="n">
        <v>0</v>
      </c>
      <c r="I509" t="n">
        <v>0</v>
      </c>
      <c r="J509" t="n">
        <v>0</v>
      </c>
      <c r="K509" t="n">
        <v>0</v>
      </c>
      <c r="L509" t="n">
        <v>0</v>
      </c>
      <c r="M509" t="n">
        <v>0</v>
      </c>
      <c r="N509" t="n">
        <v>0</v>
      </c>
      <c r="O509" t="n">
        <v>0</v>
      </c>
      <c r="P509" t="n">
        <v>0</v>
      </c>
      <c r="Q509" t="n">
        <v>0</v>
      </c>
      <c r="R509" s="2" t="inlineStr"/>
    </row>
    <row r="510" ht="15" customHeight="1">
      <c r="A510" t="inlineStr">
        <is>
          <t>A 18727-2022</t>
        </is>
      </c>
      <c r="B510" s="1" t="n">
        <v>44687</v>
      </c>
      <c r="C510" s="1" t="n">
        <v>45792</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18728-2022</t>
        </is>
      </c>
      <c r="B511" s="1" t="n">
        <v>44687</v>
      </c>
      <c r="C511" s="1" t="n">
        <v>45792</v>
      </c>
      <c r="D511" t="inlineStr">
        <is>
          <t>UPPSALA LÄN</t>
        </is>
      </c>
      <c r="E511" t="inlineStr">
        <is>
          <t>ÖSTHAMMAR</t>
        </is>
      </c>
      <c r="G511" t="n">
        <v>8.1</v>
      </c>
      <c r="H511" t="n">
        <v>0</v>
      </c>
      <c r="I511" t="n">
        <v>0</v>
      </c>
      <c r="J511" t="n">
        <v>0</v>
      </c>
      <c r="K511" t="n">
        <v>0</v>
      </c>
      <c r="L511" t="n">
        <v>0</v>
      </c>
      <c r="M511" t="n">
        <v>0</v>
      </c>
      <c r="N511" t="n">
        <v>0</v>
      </c>
      <c r="O511" t="n">
        <v>0</v>
      </c>
      <c r="P511" t="n">
        <v>0</v>
      </c>
      <c r="Q511" t="n">
        <v>0</v>
      </c>
      <c r="R511" s="2" t="inlineStr"/>
    </row>
    <row r="512" ht="15" customHeight="1">
      <c r="A512" t="inlineStr">
        <is>
          <t>A 18734-2022</t>
        </is>
      </c>
      <c r="B512" s="1" t="n">
        <v>44687</v>
      </c>
      <c r="C512" s="1" t="n">
        <v>45792</v>
      </c>
      <c r="D512" t="inlineStr">
        <is>
          <t>UPPSALA LÄN</t>
        </is>
      </c>
      <c r="E512" t="inlineStr">
        <is>
          <t>ÖSTHAMMAR</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18731-2022</t>
        </is>
      </c>
      <c r="B513" s="1" t="n">
        <v>44687</v>
      </c>
      <c r="C513" s="1" t="n">
        <v>45792</v>
      </c>
      <c r="D513" t="inlineStr">
        <is>
          <t>UPPSALA LÄN</t>
        </is>
      </c>
      <c r="E513" t="inlineStr">
        <is>
          <t>ÖSTHAMMAR</t>
        </is>
      </c>
      <c r="G513" t="n">
        <v>4.9</v>
      </c>
      <c r="H513" t="n">
        <v>0</v>
      </c>
      <c r="I513" t="n">
        <v>0</v>
      </c>
      <c r="J513" t="n">
        <v>0</v>
      </c>
      <c r="K513" t="n">
        <v>0</v>
      </c>
      <c r="L513" t="n">
        <v>0</v>
      </c>
      <c r="M513" t="n">
        <v>0</v>
      </c>
      <c r="N513" t="n">
        <v>0</v>
      </c>
      <c r="O513" t="n">
        <v>0</v>
      </c>
      <c r="P513" t="n">
        <v>0</v>
      </c>
      <c r="Q513" t="n">
        <v>0</v>
      </c>
      <c r="R513" s="2" t="inlineStr"/>
    </row>
    <row r="514" ht="15" customHeight="1">
      <c r="A514" t="inlineStr">
        <is>
          <t>A 18736-2022</t>
        </is>
      </c>
      <c r="B514" s="1" t="n">
        <v>44687</v>
      </c>
      <c r="C514" s="1" t="n">
        <v>45792</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19174-2022</t>
        </is>
      </c>
      <c r="B515" s="1" t="n">
        <v>44691</v>
      </c>
      <c r="C515" s="1" t="n">
        <v>45792</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19181-2022</t>
        </is>
      </c>
      <c r="B516" s="1" t="n">
        <v>44691</v>
      </c>
      <c r="C516" s="1" t="n">
        <v>45792</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19287-2022</t>
        </is>
      </c>
      <c r="B517" s="1" t="n">
        <v>44692</v>
      </c>
      <c r="C517" s="1" t="n">
        <v>45792</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19707-2022</t>
        </is>
      </c>
      <c r="B518" s="1" t="n">
        <v>44694</v>
      </c>
      <c r="C518" s="1" t="n">
        <v>45792</v>
      </c>
      <c r="D518" t="inlineStr">
        <is>
          <t>UPPSALA LÄN</t>
        </is>
      </c>
      <c r="E518" t="inlineStr">
        <is>
          <t>ÖSTHAMMAR</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20468-2022</t>
        </is>
      </c>
      <c r="B519" s="1" t="n">
        <v>44699</v>
      </c>
      <c r="C519" s="1" t="n">
        <v>45792</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21522-2022</t>
        </is>
      </c>
      <c r="B520" s="1" t="n">
        <v>44706</v>
      </c>
      <c r="C520" s="1" t="n">
        <v>45792</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21830-2022</t>
        </is>
      </c>
      <c r="B521" s="1" t="n">
        <v>44710</v>
      </c>
      <c r="C521" s="1" t="n">
        <v>45792</v>
      </c>
      <c r="D521" t="inlineStr">
        <is>
          <t>UPPSALA LÄN</t>
        </is>
      </c>
      <c r="E521" t="inlineStr">
        <is>
          <t>ÖSTHAMMAR</t>
        </is>
      </c>
      <c r="F521" t="inlineStr">
        <is>
          <t>Bergvik skog öst AB</t>
        </is>
      </c>
      <c r="G521" t="n">
        <v>3.6</v>
      </c>
      <c r="H521" t="n">
        <v>0</v>
      </c>
      <c r="I521" t="n">
        <v>0</v>
      </c>
      <c r="J521" t="n">
        <v>0</v>
      </c>
      <c r="K521" t="n">
        <v>0</v>
      </c>
      <c r="L521" t="n">
        <v>0</v>
      </c>
      <c r="M521" t="n">
        <v>0</v>
      </c>
      <c r="N521" t="n">
        <v>0</v>
      </c>
      <c r="O521" t="n">
        <v>0</v>
      </c>
      <c r="P521" t="n">
        <v>0</v>
      </c>
      <c r="Q521" t="n">
        <v>0</v>
      </c>
      <c r="R521" s="2" t="inlineStr"/>
    </row>
    <row r="522" ht="15" customHeight="1">
      <c r="A522" t="inlineStr">
        <is>
          <t>A 21829-2022</t>
        </is>
      </c>
      <c r="B522" s="1" t="n">
        <v>44710</v>
      </c>
      <c r="C522" s="1" t="n">
        <v>45792</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22207-2022</t>
        </is>
      </c>
      <c r="B523" s="1" t="n">
        <v>44712</v>
      </c>
      <c r="C523" s="1" t="n">
        <v>45792</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22619-2022</t>
        </is>
      </c>
      <c r="B524" s="1" t="n">
        <v>44714</v>
      </c>
      <c r="C524" s="1" t="n">
        <v>45792</v>
      </c>
      <c r="D524" t="inlineStr">
        <is>
          <t>UPPSALA LÄN</t>
        </is>
      </c>
      <c r="E524" t="inlineStr">
        <is>
          <t>ÖSTHAMMAR</t>
        </is>
      </c>
      <c r="G524" t="n">
        <v>0.7</v>
      </c>
      <c r="H524" t="n">
        <v>0</v>
      </c>
      <c r="I524" t="n">
        <v>0</v>
      </c>
      <c r="J524" t="n">
        <v>0</v>
      </c>
      <c r="K524" t="n">
        <v>0</v>
      </c>
      <c r="L524" t="n">
        <v>0</v>
      </c>
      <c r="M524" t="n">
        <v>0</v>
      </c>
      <c r="N524" t="n">
        <v>0</v>
      </c>
      <c r="O524" t="n">
        <v>0</v>
      </c>
      <c r="P524" t="n">
        <v>0</v>
      </c>
      <c r="Q524" t="n">
        <v>0</v>
      </c>
      <c r="R524" s="2" t="inlineStr"/>
    </row>
    <row r="525" ht="15" customHeight="1">
      <c r="A525" t="inlineStr">
        <is>
          <t>A 22804-2022</t>
        </is>
      </c>
      <c r="B525" s="1" t="n">
        <v>44715</v>
      </c>
      <c r="C525" s="1" t="n">
        <v>45792</v>
      </c>
      <c r="D525" t="inlineStr">
        <is>
          <t>UPPSALA LÄN</t>
        </is>
      </c>
      <c r="E525" t="inlineStr">
        <is>
          <t>ÖSTHAMMAR</t>
        </is>
      </c>
      <c r="G525" t="n">
        <v>2.7</v>
      </c>
      <c r="H525" t="n">
        <v>0</v>
      </c>
      <c r="I525" t="n">
        <v>0</v>
      </c>
      <c r="J525" t="n">
        <v>0</v>
      </c>
      <c r="K525" t="n">
        <v>0</v>
      </c>
      <c r="L525" t="n">
        <v>0</v>
      </c>
      <c r="M525" t="n">
        <v>0</v>
      </c>
      <c r="N525" t="n">
        <v>0</v>
      </c>
      <c r="O525" t="n">
        <v>0</v>
      </c>
      <c r="P525" t="n">
        <v>0</v>
      </c>
      <c r="Q525" t="n">
        <v>0</v>
      </c>
      <c r="R525" s="2" t="inlineStr"/>
    </row>
    <row r="526" ht="15" customHeight="1">
      <c r="A526" t="inlineStr">
        <is>
          <t>A 22887-2022</t>
        </is>
      </c>
      <c r="B526" s="1" t="n">
        <v>44715</v>
      </c>
      <c r="C526" s="1" t="n">
        <v>45792</v>
      </c>
      <c r="D526" t="inlineStr">
        <is>
          <t>UPPSALA LÄN</t>
        </is>
      </c>
      <c r="E526" t="inlineStr">
        <is>
          <t>ÖSTHAMMAR</t>
        </is>
      </c>
      <c r="G526" t="n">
        <v>0.2</v>
      </c>
      <c r="H526" t="n">
        <v>0</v>
      </c>
      <c r="I526" t="n">
        <v>0</v>
      </c>
      <c r="J526" t="n">
        <v>0</v>
      </c>
      <c r="K526" t="n">
        <v>0</v>
      </c>
      <c r="L526" t="n">
        <v>0</v>
      </c>
      <c r="M526" t="n">
        <v>0</v>
      </c>
      <c r="N526" t="n">
        <v>0</v>
      </c>
      <c r="O526" t="n">
        <v>0</v>
      </c>
      <c r="P526" t="n">
        <v>0</v>
      </c>
      <c r="Q526" t="n">
        <v>0</v>
      </c>
      <c r="R526" s="2" t="inlineStr"/>
    </row>
    <row r="527" ht="15" customHeight="1">
      <c r="A527" t="inlineStr">
        <is>
          <t>A 22945-2022</t>
        </is>
      </c>
      <c r="B527" s="1" t="n">
        <v>44715</v>
      </c>
      <c r="C527" s="1" t="n">
        <v>45792</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22993-2022</t>
        </is>
      </c>
      <c r="B528" s="1" t="n">
        <v>44718</v>
      </c>
      <c r="C528" s="1" t="n">
        <v>45792</v>
      </c>
      <c r="D528" t="inlineStr">
        <is>
          <t>UPPSALA LÄN</t>
        </is>
      </c>
      <c r="E528" t="inlineStr">
        <is>
          <t>ÖSTHAMMAR</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22994-2022</t>
        </is>
      </c>
      <c r="B529" s="1" t="n">
        <v>44718</v>
      </c>
      <c r="C529" s="1" t="n">
        <v>45792</v>
      </c>
      <c r="D529" t="inlineStr">
        <is>
          <t>UPPSALA LÄN</t>
        </is>
      </c>
      <c r="E529" t="inlineStr">
        <is>
          <t>ÖSTHAMMAR</t>
        </is>
      </c>
      <c r="F529" t="inlineStr">
        <is>
          <t>Bergvik skog öst AB</t>
        </is>
      </c>
      <c r="G529" t="n">
        <v>29.9</v>
      </c>
      <c r="H529" t="n">
        <v>0</v>
      </c>
      <c r="I529" t="n">
        <v>0</v>
      </c>
      <c r="J529" t="n">
        <v>0</v>
      </c>
      <c r="K529" t="n">
        <v>0</v>
      </c>
      <c r="L529" t="n">
        <v>0</v>
      </c>
      <c r="M529" t="n">
        <v>0</v>
      </c>
      <c r="N529" t="n">
        <v>0</v>
      </c>
      <c r="O529" t="n">
        <v>0</v>
      </c>
      <c r="P529" t="n">
        <v>0</v>
      </c>
      <c r="Q529" t="n">
        <v>0</v>
      </c>
      <c r="R529" s="2" t="inlineStr"/>
    </row>
    <row r="530" ht="15" customHeight="1">
      <c r="A530" t="inlineStr">
        <is>
          <t>A 23603-2022</t>
        </is>
      </c>
      <c r="B530" s="1" t="n">
        <v>44721</v>
      </c>
      <c r="C530" s="1" t="n">
        <v>45792</v>
      </c>
      <c r="D530" t="inlineStr">
        <is>
          <t>UPPSALA LÄN</t>
        </is>
      </c>
      <c r="E530" t="inlineStr">
        <is>
          <t>ÖSTHAMMAR</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24138-2022</t>
        </is>
      </c>
      <c r="B531" s="1" t="n">
        <v>44725</v>
      </c>
      <c r="C531" s="1" t="n">
        <v>45792</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24149-2022</t>
        </is>
      </c>
      <c r="B532" s="1" t="n">
        <v>44725</v>
      </c>
      <c r="C532" s="1" t="n">
        <v>45792</v>
      </c>
      <c r="D532" t="inlineStr">
        <is>
          <t>UPPSALA LÄN</t>
        </is>
      </c>
      <c r="E532" t="inlineStr">
        <is>
          <t>ÖSTHAMMAR</t>
        </is>
      </c>
      <c r="G532" t="n">
        <v>1.1</v>
      </c>
      <c r="H532" t="n">
        <v>0</v>
      </c>
      <c r="I532" t="n">
        <v>0</v>
      </c>
      <c r="J532" t="n">
        <v>0</v>
      </c>
      <c r="K532" t="n">
        <v>0</v>
      </c>
      <c r="L532" t="n">
        <v>0</v>
      </c>
      <c r="M532" t="n">
        <v>0</v>
      </c>
      <c r="N532" t="n">
        <v>0</v>
      </c>
      <c r="O532" t="n">
        <v>0</v>
      </c>
      <c r="P532" t="n">
        <v>0</v>
      </c>
      <c r="Q532" t="n">
        <v>0</v>
      </c>
      <c r="R532" s="2" t="inlineStr"/>
    </row>
    <row r="533" ht="15" customHeight="1">
      <c r="A533" t="inlineStr">
        <is>
          <t>A 24181-2022</t>
        </is>
      </c>
      <c r="B533" s="1" t="n">
        <v>44725</v>
      </c>
      <c r="C533" s="1" t="n">
        <v>45792</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24259-2022</t>
        </is>
      </c>
      <c r="B534" s="1" t="n">
        <v>44725</v>
      </c>
      <c r="C534" s="1" t="n">
        <v>45792</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24447-2022</t>
        </is>
      </c>
      <c r="B535" s="1" t="n">
        <v>44726</v>
      </c>
      <c r="C535" s="1" t="n">
        <v>45792</v>
      </c>
      <c r="D535" t="inlineStr">
        <is>
          <t>UPPSALA LÄN</t>
        </is>
      </c>
      <c r="E535" t="inlineStr">
        <is>
          <t>ÖSTHAMMAR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24367-2022</t>
        </is>
      </c>
      <c r="B536" s="1" t="n">
        <v>44726</v>
      </c>
      <c r="C536" s="1" t="n">
        <v>45792</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24817-2022</t>
        </is>
      </c>
      <c r="B537" s="1" t="n">
        <v>44728</v>
      </c>
      <c r="C537" s="1" t="n">
        <v>45792</v>
      </c>
      <c r="D537" t="inlineStr">
        <is>
          <t>UPPSALA LÄN</t>
        </is>
      </c>
      <c r="E537" t="inlineStr">
        <is>
          <t>ÖSTHAMMAR</t>
        </is>
      </c>
      <c r="F537" t="inlineStr">
        <is>
          <t>Sveaskog</t>
        </is>
      </c>
      <c r="G537" t="n">
        <v>0.2</v>
      </c>
      <c r="H537" t="n">
        <v>0</v>
      </c>
      <c r="I537" t="n">
        <v>0</v>
      </c>
      <c r="J537" t="n">
        <v>0</v>
      </c>
      <c r="K537" t="n">
        <v>0</v>
      </c>
      <c r="L537" t="n">
        <v>0</v>
      </c>
      <c r="M537" t="n">
        <v>0</v>
      </c>
      <c r="N537" t="n">
        <v>0</v>
      </c>
      <c r="O537" t="n">
        <v>0</v>
      </c>
      <c r="P537" t="n">
        <v>0</v>
      </c>
      <c r="Q537" t="n">
        <v>0</v>
      </c>
      <c r="R537" s="2" t="inlineStr"/>
    </row>
    <row r="538" ht="15" customHeight="1">
      <c r="A538" t="inlineStr">
        <is>
          <t>A 25076-2022</t>
        </is>
      </c>
      <c r="B538" s="1" t="n">
        <v>44729</v>
      </c>
      <c r="C538" s="1" t="n">
        <v>45792</v>
      </c>
      <c r="D538" t="inlineStr">
        <is>
          <t>UPPSALA LÄN</t>
        </is>
      </c>
      <c r="E538" t="inlineStr">
        <is>
          <t>ÖSTHAMMAR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25418-2022</t>
        </is>
      </c>
      <c r="B539" s="1" t="n">
        <v>44732</v>
      </c>
      <c r="C539" s="1" t="n">
        <v>45792</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v>
      </c>
      <c r="C540" s="1" t="n">
        <v>45792</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26008-2022</t>
        </is>
      </c>
      <c r="B541" s="1" t="n">
        <v>44734</v>
      </c>
      <c r="C541" s="1" t="n">
        <v>45792</v>
      </c>
      <c r="D541" t="inlineStr">
        <is>
          <t>UPPSALA LÄN</t>
        </is>
      </c>
      <c r="E541" t="inlineStr">
        <is>
          <t>ÖSTHAMMAR</t>
        </is>
      </c>
      <c r="F541" t="inlineStr">
        <is>
          <t>Bergvik skog öst AB</t>
        </is>
      </c>
      <c r="G541" t="n">
        <v>8.4</v>
      </c>
      <c r="H541" t="n">
        <v>0</v>
      </c>
      <c r="I541" t="n">
        <v>0</v>
      </c>
      <c r="J541" t="n">
        <v>0</v>
      </c>
      <c r="K541" t="n">
        <v>0</v>
      </c>
      <c r="L541" t="n">
        <v>0</v>
      </c>
      <c r="M541" t="n">
        <v>0</v>
      </c>
      <c r="N541" t="n">
        <v>0</v>
      </c>
      <c r="O541" t="n">
        <v>0</v>
      </c>
      <c r="P541" t="n">
        <v>0</v>
      </c>
      <c r="Q541" t="n">
        <v>0</v>
      </c>
      <c r="R541" s="2" t="inlineStr"/>
    </row>
    <row r="542" ht="15" customHeight="1">
      <c r="A542" t="inlineStr">
        <is>
          <t>A 25987-2022</t>
        </is>
      </c>
      <c r="B542" s="1" t="n">
        <v>44734</v>
      </c>
      <c r="C542" s="1" t="n">
        <v>45792</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25983-2022</t>
        </is>
      </c>
      <c r="B543" s="1" t="n">
        <v>44734</v>
      </c>
      <c r="C543" s="1" t="n">
        <v>45792</v>
      </c>
      <c r="D543" t="inlineStr">
        <is>
          <t>UPPSALA LÄN</t>
        </is>
      </c>
      <c r="E543" t="inlineStr">
        <is>
          <t>ÖSTHAMMAR</t>
        </is>
      </c>
      <c r="G543" t="n">
        <v>4.7</v>
      </c>
      <c r="H543" t="n">
        <v>0</v>
      </c>
      <c r="I543" t="n">
        <v>0</v>
      </c>
      <c r="J543" t="n">
        <v>0</v>
      </c>
      <c r="K543" t="n">
        <v>0</v>
      </c>
      <c r="L543" t="n">
        <v>0</v>
      </c>
      <c r="M543" t="n">
        <v>0</v>
      </c>
      <c r="N543" t="n">
        <v>0</v>
      </c>
      <c r="O543" t="n">
        <v>0</v>
      </c>
      <c r="P543" t="n">
        <v>0</v>
      </c>
      <c r="Q543" t="n">
        <v>0</v>
      </c>
      <c r="R543" s="2" t="inlineStr"/>
    </row>
    <row r="544" ht="15" customHeight="1">
      <c r="A544" t="inlineStr">
        <is>
          <t>A 26004-2022</t>
        </is>
      </c>
      <c r="B544" s="1" t="n">
        <v>44734</v>
      </c>
      <c r="C544" s="1" t="n">
        <v>45792</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26534-2022</t>
        </is>
      </c>
      <c r="B545" s="1" t="n">
        <v>44739</v>
      </c>
      <c r="C545" s="1" t="n">
        <v>45792</v>
      </c>
      <c r="D545" t="inlineStr">
        <is>
          <t>UPPSALA LÄN</t>
        </is>
      </c>
      <c r="E545" t="inlineStr">
        <is>
          <t>ÖSTHAMMAR</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26552-2022</t>
        </is>
      </c>
      <c r="B546" s="1" t="n">
        <v>44739</v>
      </c>
      <c r="C546" s="1" t="n">
        <v>45792</v>
      </c>
      <c r="D546" t="inlineStr">
        <is>
          <t>UPPSALA LÄN</t>
        </is>
      </c>
      <c r="E546" t="inlineStr">
        <is>
          <t>ÖSTHAMMAR</t>
        </is>
      </c>
      <c r="G546" t="n">
        <v>2.2</v>
      </c>
      <c r="H546" t="n">
        <v>0</v>
      </c>
      <c r="I546" t="n">
        <v>0</v>
      </c>
      <c r="J546" t="n">
        <v>0</v>
      </c>
      <c r="K546" t="n">
        <v>0</v>
      </c>
      <c r="L546" t="n">
        <v>0</v>
      </c>
      <c r="M546" t="n">
        <v>0</v>
      </c>
      <c r="N546" t="n">
        <v>0</v>
      </c>
      <c r="O546" t="n">
        <v>0</v>
      </c>
      <c r="P546" t="n">
        <v>0</v>
      </c>
      <c r="Q546" t="n">
        <v>0</v>
      </c>
      <c r="R546" s="2" t="inlineStr"/>
    </row>
    <row r="547" ht="15" customHeight="1">
      <c r="A547" t="inlineStr">
        <is>
          <t>A 26561-2022</t>
        </is>
      </c>
      <c r="B547" s="1" t="n">
        <v>44739</v>
      </c>
      <c r="C547" s="1" t="n">
        <v>45792</v>
      </c>
      <c r="D547" t="inlineStr">
        <is>
          <t>UPPSALA LÄN</t>
        </is>
      </c>
      <c r="E547" t="inlineStr">
        <is>
          <t>ÖSTHAMMAR</t>
        </is>
      </c>
      <c r="G547" t="n">
        <v>3.7</v>
      </c>
      <c r="H547" t="n">
        <v>0</v>
      </c>
      <c r="I547" t="n">
        <v>0</v>
      </c>
      <c r="J547" t="n">
        <v>0</v>
      </c>
      <c r="K547" t="n">
        <v>0</v>
      </c>
      <c r="L547" t="n">
        <v>0</v>
      </c>
      <c r="M547" t="n">
        <v>0</v>
      </c>
      <c r="N547" t="n">
        <v>0</v>
      </c>
      <c r="O547" t="n">
        <v>0</v>
      </c>
      <c r="P547" t="n">
        <v>0</v>
      </c>
      <c r="Q547" t="n">
        <v>0</v>
      </c>
      <c r="R547" s="2" t="inlineStr"/>
    </row>
    <row r="548" ht="15" customHeight="1">
      <c r="A548" t="inlineStr">
        <is>
          <t>A 28228-2022</t>
        </is>
      </c>
      <c r="B548" s="1" t="n">
        <v>44746</v>
      </c>
      <c r="C548" s="1" t="n">
        <v>45792</v>
      </c>
      <c r="D548" t="inlineStr">
        <is>
          <t>UPPSALA LÄN</t>
        </is>
      </c>
      <c r="E548" t="inlineStr">
        <is>
          <t>ÖSTHAMMAR</t>
        </is>
      </c>
      <c r="G548" t="n">
        <v>2.7</v>
      </c>
      <c r="H548" t="n">
        <v>0</v>
      </c>
      <c r="I548" t="n">
        <v>0</v>
      </c>
      <c r="J548" t="n">
        <v>0</v>
      </c>
      <c r="K548" t="n">
        <v>0</v>
      </c>
      <c r="L548" t="n">
        <v>0</v>
      </c>
      <c r="M548" t="n">
        <v>0</v>
      </c>
      <c r="N548" t="n">
        <v>0</v>
      </c>
      <c r="O548" t="n">
        <v>0</v>
      </c>
      <c r="P548" t="n">
        <v>0</v>
      </c>
      <c r="Q548" t="n">
        <v>0</v>
      </c>
      <c r="R548" s="2" t="inlineStr"/>
    </row>
    <row r="549" ht="15" customHeight="1">
      <c r="A549" t="inlineStr">
        <is>
          <t>A 29753-2022</t>
        </is>
      </c>
      <c r="B549" s="1" t="n">
        <v>44755</v>
      </c>
      <c r="C549" s="1" t="n">
        <v>45792</v>
      </c>
      <c r="D549" t="inlineStr">
        <is>
          <t>UPPSALA LÄN</t>
        </is>
      </c>
      <c r="E549" t="inlineStr">
        <is>
          <t>ÖSTHAMMAR</t>
        </is>
      </c>
      <c r="G549" t="n">
        <v>9.4</v>
      </c>
      <c r="H549" t="n">
        <v>0</v>
      </c>
      <c r="I549" t="n">
        <v>0</v>
      </c>
      <c r="J549" t="n">
        <v>0</v>
      </c>
      <c r="K549" t="n">
        <v>0</v>
      </c>
      <c r="L549" t="n">
        <v>0</v>
      </c>
      <c r="M549" t="n">
        <v>0</v>
      </c>
      <c r="N549" t="n">
        <v>0</v>
      </c>
      <c r="O549" t="n">
        <v>0</v>
      </c>
      <c r="P549" t="n">
        <v>0</v>
      </c>
      <c r="Q549" t="n">
        <v>0</v>
      </c>
      <c r="R549" s="2" t="inlineStr"/>
    </row>
    <row r="550" ht="15" customHeight="1">
      <c r="A550" t="inlineStr">
        <is>
          <t>A 30212-2022</t>
        </is>
      </c>
      <c r="B550" s="1" t="n">
        <v>44757</v>
      </c>
      <c r="C550" s="1" t="n">
        <v>45792</v>
      </c>
      <c r="D550" t="inlineStr">
        <is>
          <t>UPPSALA LÄN</t>
        </is>
      </c>
      <c r="E550" t="inlineStr">
        <is>
          <t>ÖSTHAMMAR</t>
        </is>
      </c>
      <c r="F550" t="inlineStr">
        <is>
          <t>Bergvik skog öst AB</t>
        </is>
      </c>
      <c r="G550" t="n">
        <v>13.6</v>
      </c>
      <c r="H550" t="n">
        <v>0</v>
      </c>
      <c r="I550" t="n">
        <v>0</v>
      </c>
      <c r="J550" t="n">
        <v>0</v>
      </c>
      <c r="K550" t="n">
        <v>0</v>
      </c>
      <c r="L550" t="n">
        <v>0</v>
      </c>
      <c r="M550" t="n">
        <v>0</v>
      </c>
      <c r="N550" t="n">
        <v>0</v>
      </c>
      <c r="O550" t="n">
        <v>0</v>
      </c>
      <c r="P550" t="n">
        <v>0</v>
      </c>
      <c r="Q550" t="n">
        <v>0</v>
      </c>
      <c r="R550" s="2" t="inlineStr"/>
    </row>
    <row r="551" ht="15" customHeight="1">
      <c r="A551" t="inlineStr">
        <is>
          <t>A 30209-2022</t>
        </is>
      </c>
      <c r="B551" s="1" t="n">
        <v>44757</v>
      </c>
      <c r="C551" s="1" t="n">
        <v>45792</v>
      </c>
      <c r="D551" t="inlineStr">
        <is>
          <t>UPPSALA LÄN</t>
        </is>
      </c>
      <c r="E551" t="inlineStr">
        <is>
          <t>ÖSTHAMMAR</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30549-2022</t>
        </is>
      </c>
      <c r="B552" s="1" t="n">
        <v>44762</v>
      </c>
      <c r="C552" s="1" t="n">
        <v>45792</v>
      </c>
      <c r="D552" t="inlineStr">
        <is>
          <t>UPPSALA LÄN</t>
        </is>
      </c>
      <c r="E552" t="inlineStr">
        <is>
          <t>ÖSTHAMMAR</t>
        </is>
      </c>
      <c r="F552" t="inlineStr">
        <is>
          <t>Bergvik skog öst AB</t>
        </is>
      </c>
      <c r="G552" t="n">
        <v>6.2</v>
      </c>
      <c r="H552" t="n">
        <v>0</v>
      </c>
      <c r="I552" t="n">
        <v>0</v>
      </c>
      <c r="J552" t="n">
        <v>0</v>
      </c>
      <c r="K552" t="n">
        <v>0</v>
      </c>
      <c r="L552" t="n">
        <v>0</v>
      </c>
      <c r="M552" t="n">
        <v>0</v>
      </c>
      <c r="N552" t="n">
        <v>0</v>
      </c>
      <c r="O552" t="n">
        <v>0</v>
      </c>
      <c r="P552" t="n">
        <v>0</v>
      </c>
      <c r="Q552" t="n">
        <v>0</v>
      </c>
      <c r="R552" s="2" t="inlineStr"/>
    </row>
    <row r="553" ht="15" customHeight="1">
      <c r="A553" t="inlineStr">
        <is>
          <t>A 31027-2022</t>
        </is>
      </c>
      <c r="B553" s="1" t="n">
        <v>44768</v>
      </c>
      <c r="C553" s="1" t="n">
        <v>45792</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31035-2022</t>
        </is>
      </c>
      <c r="B554" s="1" t="n">
        <v>44768</v>
      </c>
      <c r="C554" s="1" t="n">
        <v>45792</v>
      </c>
      <c r="D554" t="inlineStr">
        <is>
          <t>UPPSALA LÄN</t>
        </is>
      </c>
      <c r="E554" t="inlineStr">
        <is>
          <t>ÖSTHAMMAR</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31026-2022</t>
        </is>
      </c>
      <c r="B555" s="1" t="n">
        <v>44768</v>
      </c>
      <c r="C555" s="1" t="n">
        <v>45792</v>
      </c>
      <c r="D555" t="inlineStr">
        <is>
          <t>UPPSALA LÄN</t>
        </is>
      </c>
      <c r="E555" t="inlineStr">
        <is>
          <t>ÖSTHAMMAR</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31182-2022</t>
        </is>
      </c>
      <c r="B556" s="1" t="n">
        <v>44770</v>
      </c>
      <c r="C556" s="1" t="n">
        <v>45792</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31140-2022</t>
        </is>
      </c>
      <c r="B557" s="1" t="n">
        <v>44770</v>
      </c>
      <c r="C557" s="1" t="n">
        <v>45792</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31137-2022</t>
        </is>
      </c>
      <c r="B558" s="1" t="n">
        <v>44770</v>
      </c>
      <c r="C558" s="1" t="n">
        <v>45792</v>
      </c>
      <c r="D558" t="inlineStr">
        <is>
          <t>UPPSALA LÄN</t>
        </is>
      </c>
      <c r="E558" t="inlineStr">
        <is>
          <t>ÖSTHAMMAR</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31282-2022</t>
        </is>
      </c>
      <c r="B559" s="1" t="n">
        <v>44771</v>
      </c>
      <c r="C559" s="1" t="n">
        <v>45792</v>
      </c>
      <c r="D559" t="inlineStr">
        <is>
          <t>UPPSALA LÄN</t>
        </is>
      </c>
      <c r="E559" t="inlineStr">
        <is>
          <t>ÖSTHAMMAR</t>
        </is>
      </c>
      <c r="F559" t="inlineStr">
        <is>
          <t>Bergvik skog öst AB</t>
        </is>
      </c>
      <c r="G559" t="n">
        <v>3.8</v>
      </c>
      <c r="H559" t="n">
        <v>0</v>
      </c>
      <c r="I559" t="n">
        <v>0</v>
      </c>
      <c r="J559" t="n">
        <v>0</v>
      </c>
      <c r="K559" t="n">
        <v>0</v>
      </c>
      <c r="L559" t="n">
        <v>0</v>
      </c>
      <c r="M559" t="n">
        <v>0</v>
      </c>
      <c r="N559" t="n">
        <v>0</v>
      </c>
      <c r="O559" t="n">
        <v>0</v>
      </c>
      <c r="P559" t="n">
        <v>0</v>
      </c>
      <c r="Q559" t="n">
        <v>0</v>
      </c>
      <c r="R559" s="2" t="inlineStr"/>
    </row>
    <row r="560" ht="15" customHeight="1">
      <c r="A560" t="inlineStr">
        <is>
          <t>A 31574-2022</t>
        </is>
      </c>
      <c r="B560" s="1" t="n">
        <v>44775</v>
      </c>
      <c r="C560" s="1" t="n">
        <v>45792</v>
      </c>
      <c r="D560" t="inlineStr">
        <is>
          <t>UPPSALA LÄN</t>
        </is>
      </c>
      <c r="E560" t="inlineStr">
        <is>
          <t>ÖSTHAMMAR</t>
        </is>
      </c>
      <c r="G560" t="n">
        <v>29.7</v>
      </c>
      <c r="H560" t="n">
        <v>0</v>
      </c>
      <c r="I560" t="n">
        <v>0</v>
      </c>
      <c r="J560" t="n">
        <v>0</v>
      </c>
      <c r="K560" t="n">
        <v>0</v>
      </c>
      <c r="L560" t="n">
        <v>0</v>
      </c>
      <c r="M560" t="n">
        <v>0</v>
      </c>
      <c r="N560" t="n">
        <v>0</v>
      </c>
      <c r="O560" t="n">
        <v>0</v>
      </c>
      <c r="P560" t="n">
        <v>0</v>
      </c>
      <c r="Q560" t="n">
        <v>0</v>
      </c>
      <c r="R560" s="2" t="inlineStr"/>
    </row>
    <row r="561" ht="15" customHeight="1">
      <c r="A561" t="inlineStr">
        <is>
          <t>A 31549-2022</t>
        </is>
      </c>
      <c r="B561" s="1" t="n">
        <v>44775</v>
      </c>
      <c r="C561" s="1" t="n">
        <v>45792</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31669-2022</t>
        </is>
      </c>
      <c r="B562" s="1" t="n">
        <v>44775</v>
      </c>
      <c r="C562" s="1" t="n">
        <v>45792</v>
      </c>
      <c r="D562" t="inlineStr">
        <is>
          <t>UPPSALA LÄN</t>
        </is>
      </c>
      <c r="E562" t="inlineStr">
        <is>
          <t>ÖSTHAMMAR</t>
        </is>
      </c>
      <c r="G562" t="n">
        <v>6</v>
      </c>
      <c r="H562" t="n">
        <v>0</v>
      </c>
      <c r="I562" t="n">
        <v>0</v>
      </c>
      <c r="J562" t="n">
        <v>0</v>
      </c>
      <c r="K562" t="n">
        <v>0</v>
      </c>
      <c r="L562" t="n">
        <v>0</v>
      </c>
      <c r="M562" t="n">
        <v>0</v>
      </c>
      <c r="N562" t="n">
        <v>0</v>
      </c>
      <c r="O562" t="n">
        <v>0</v>
      </c>
      <c r="P562" t="n">
        <v>0</v>
      </c>
      <c r="Q562" t="n">
        <v>0</v>
      </c>
      <c r="R562" s="2" t="inlineStr"/>
    </row>
    <row r="563" ht="15" customHeight="1">
      <c r="A563" t="inlineStr">
        <is>
          <t>A 32678-2022</t>
        </is>
      </c>
      <c r="B563" s="1" t="n">
        <v>44783</v>
      </c>
      <c r="C563" s="1" t="n">
        <v>45792</v>
      </c>
      <c r="D563" t="inlineStr">
        <is>
          <t>UPPSALA LÄN</t>
        </is>
      </c>
      <c r="E563" t="inlineStr">
        <is>
          <t>ÖSTHAMMAR</t>
        </is>
      </c>
      <c r="G563" t="n">
        <v>1.3</v>
      </c>
      <c r="H563" t="n">
        <v>0</v>
      </c>
      <c r="I563" t="n">
        <v>0</v>
      </c>
      <c r="J563" t="n">
        <v>0</v>
      </c>
      <c r="K563" t="n">
        <v>0</v>
      </c>
      <c r="L563" t="n">
        <v>0</v>
      </c>
      <c r="M563" t="n">
        <v>0</v>
      </c>
      <c r="N563" t="n">
        <v>0</v>
      </c>
      <c r="O563" t="n">
        <v>0</v>
      </c>
      <c r="P563" t="n">
        <v>0</v>
      </c>
      <c r="Q563" t="n">
        <v>0</v>
      </c>
      <c r="R563" s="2" t="inlineStr"/>
    </row>
    <row r="564" ht="15" customHeight="1">
      <c r="A564" t="inlineStr">
        <is>
          <t>A 32742-2022</t>
        </is>
      </c>
      <c r="B564" s="1" t="n">
        <v>44783</v>
      </c>
      <c r="C564" s="1" t="n">
        <v>45792</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32744-2022</t>
        </is>
      </c>
      <c r="B565" s="1" t="n">
        <v>44783</v>
      </c>
      <c r="C565" s="1" t="n">
        <v>45792</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34418-2022</t>
        </is>
      </c>
      <c r="B566" s="1" t="n">
        <v>44792</v>
      </c>
      <c r="C566" s="1" t="n">
        <v>45792</v>
      </c>
      <c r="D566" t="inlineStr">
        <is>
          <t>UPPSALA LÄN</t>
        </is>
      </c>
      <c r="E566" t="inlineStr">
        <is>
          <t>ÖSTHAMMAR</t>
        </is>
      </c>
      <c r="G566" t="n">
        <v>0.3</v>
      </c>
      <c r="H566" t="n">
        <v>0</v>
      </c>
      <c r="I566" t="n">
        <v>0</v>
      </c>
      <c r="J566" t="n">
        <v>0</v>
      </c>
      <c r="K566" t="n">
        <v>0</v>
      </c>
      <c r="L566" t="n">
        <v>0</v>
      </c>
      <c r="M566" t="n">
        <v>0</v>
      </c>
      <c r="N566" t="n">
        <v>0</v>
      </c>
      <c r="O566" t="n">
        <v>0</v>
      </c>
      <c r="P566" t="n">
        <v>0</v>
      </c>
      <c r="Q566" t="n">
        <v>0</v>
      </c>
      <c r="R566" s="2" t="inlineStr"/>
    </row>
    <row r="567" ht="15" customHeight="1">
      <c r="A567" t="inlineStr">
        <is>
          <t>A 34742-2022</t>
        </is>
      </c>
      <c r="B567" s="1" t="n">
        <v>44795</v>
      </c>
      <c r="C567" s="1" t="n">
        <v>45792</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34971-2022</t>
        </is>
      </c>
      <c r="B568" s="1" t="n">
        <v>44796</v>
      </c>
      <c r="C568" s="1" t="n">
        <v>45792</v>
      </c>
      <c r="D568" t="inlineStr">
        <is>
          <t>UPPSALA LÄN</t>
        </is>
      </c>
      <c r="E568" t="inlineStr">
        <is>
          <t>ÖSTHAMMAR</t>
        </is>
      </c>
      <c r="F568" t="inlineStr">
        <is>
          <t>Bergvik skog öst AB</t>
        </is>
      </c>
      <c r="G568" t="n">
        <v>2.3</v>
      </c>
      <c r="H568" t="n">
        <v>0</v>
      </c>
      <c r="I568" t="n">
        <v>0</v>
      </c>
      <c r="J568" t="n">
        <v>0</v>
      </c>
      <c r="K568" t="n">
        <v>0</v>
      </c>
      <c r="L568" t="n">
        <v>0</v>
      </c>
      <c r="M568" t="n">
        <v>0</v>
      </c>
      <c r="N568" t="n">
        <v>0</v>
      </c>
      <c r="O568" t="n">
        <v>0</v>
      </c>
      <c r="P568" t="n">
        <v>0</v>
      </c>
      <c r="Q568" t="n">
        <v>0</v>
      </c>
      <c r="R568" s="2" t="inlineStr"/>
    </row>
    <row r="569" ht="15" customHeight="1">
      <c r="A569" t="inlineStr">
        <is>
          <t>A 34994-2022</t>
        </is>
      </c>
      <c r="B569" s="1" t="n">
        <v>44796</v>
      </c>
      <c r="C569" s="1" t="n">
        <v>45792</v>
      </c>
      <c r="D569" t="inlineStr">
        <is>
          <t>UPPSALA LÄN</t>
        </is>
      </c>
      <c r="E569" t="inlineStr">
        <is>
          <t>ÖSTHAMMAR</t>
        </is>
      </c>
      <c r="F569" t="inlineStr">
        <is>
          <t>Bergvik skog öst AB</t>
        </is>
      </c>
      <c r="G569" t="n">
        <v>3.7</v>
      </c>
      <c r="H569" t="n">
        <v>0</v>
      </c>
      <c r="I569" t="n">
        <v>0</v>
      </c>
      <c r="J569" t="n">
        <v>0</v>
      </c>
      <c r="K569" t="n">
        <v>0</v>
      </c>
      <c r="L569" t="n">
        <v>0</v>
      </c>
      <c r="M569" t="n">
        <v>0</v>
      </c>
      <c r="N569" t="n">
        <v>0</v>
      </c>
      <c r="O569" t="n">
        <v>0</v>
      </c>
      <c r="P569" t="n">
        <v>0</v>
      </c>
      <c r="Q569" t="n">
        <v>0</v>
      </c>
      <c r="R569" s="2" t="inlineStr"/>
    </row>
    <row r="570" ht="15" customHeight="1">
      <c r="A570" t="inlineStr">
        <is>
          <t>A 36343-2022</t>
        </is>
      </c>
      <c r="B570" s="1" t="n">
        <v>44803</v>
      </c>
      <c r="C570" s="1" t="n">
        <v>45792</v>
      </c>
      <c r="D570" t="inlineStr">
        <is>
          <t>UPPSALA LÄN</t>
        </is>
      </c>
      <c r="E570" t="inlineStr">
        <is>
          <t>ÖSTHAMMAR</t>
        </is>
      </c>
      <c r="F570" t="inlineStr">
        <is>
          <t>Bergvik skog öst AB</t>
        </is>
      </c>
      <c r="G570" t="n">
        <v>1.3</v>
      </c>
      <c r="H570" t="n">
        <v>0</v>
      </c>
      <c r="I570" t="n">
        <v>0</v>
      </c>
      <c r="J570" t="n">
        <v>0</v>
      </c>
      <c r="K570" t="n">
        <v>0</v>
      </c>
      <c r="L570" t="n">
        <v>0</v>
      </c>
      <c r="M570" t="n">
        <v>0</v>
      </c>
      <c r="N570" t="n">
        <v>0</v>
      </c>
      <c r="O570" t="n">
        <v>0</v>
      </c>
      <c r="P570" t="n">
        <v>0</v>
      </c>
      <c r="Q570" t="n">
        <v>0</v>
      </c>
      <c r="R570" s="2" t="inlineStr"/>
    </row>
    <row r="571" ht="15" customHeight="1">
      <c r="A571" t="inlineStr">
        <is>
          <t>A 36873-2022</t>
        </is>
      </c>
      <c r="B571" s="1" t="n">
        <v>44805</v>
      </c>
      <c r="C571" s="1" t="n">
        <v>45792</v>
      </c>
      <c r="D571" t="inlineStr">
        <is>
          <t>UPPSALA LÄN</t>
        </is>
      </c>
      <c r="E571" t="inlineStr">
        <is>
          <t>ÖSTHAMMAR</t>
        </is>
      </c>
      <c r="G571" t="n">
        <v>2.5</v>
      </c>
      <c r="H571" t="n">
        <v>0</v>
      </c>
      <c r="I571" t="n">
        <v>0</v>
      </c>
      <c r="J571" t="n">
        <v>0</v>
      </c>
      <c r="K571" t="n">
        <v>0</v>
      </c>
      <c r="L571" t="n">
        <v>0</v>
      </c>
      <c r="M571" t="n">
        <v>0</v>
      </c>
      <c r="N571" t="n">
        <v>0</v>
      </c>
      <c r="O571" t="n">
        <v>0</v>
      </c>
      <c r="P571" t="n">
        <v>0</v>
      </c>
      <c r="Q571" t="n">
        <v>0</v>
      </c>
      <c r="R571" s="2" t="inlineStr"/>
    </row>
    <row r="572" ht="15" customHeight="1">
      <c r="A572" t="inlineStr">
        <is>
          <t>A 37545-2022</t>
        </is>
      </c>
      <c r="B572" s="1" t="n">
        <v>44809</v>
      </c>
      <c r="C572" s="1" t="n">
        <v>45792</v>
      </c>
      <c r="D572" t="inlineStr">
        <is>
          <t>UPPSALA LÄN</t>
        </is>
      </c>
      <c r="E572" t="inlineStr">
        <is>
          <t>ÖSTHAMMAR</t>
        </is>
      </c>
      <c r="G572" t="n">
        <v>3.1</v>
      </c>
      <c r="H572" t="n">
        <v>0</v>
      </c>
      <c r="I572" t="n">
        <v>0</v>
      </c>
      <c r="J572" t="n">
        <v>0</v>
      </c>
      <c r="K572" t="n">
        <v>0</v>
      </c>
      <c r="L572" t="n">
        <v>0</v>
      </c>
      <c r="M572" t="n">
        <v>0</v>
      </c>
      <c r="N572" t="n">
        <v>0</v>
      </c>
      <c r="O572" t="n">
        <v>0</v>
      </c>
      <c r="P572" t="n">
        <v>0</v>
      </c>
      <c r="Q572" t="n">
        <v>0</v>
      </c>
      <c r="R572" s="2" t="inlineStr"/>
    </row>
    <row r="573" ht="15" customHeight="1">
      <c r="A573" t="inlineStr">
        <is>
          <t>A 37570-2022</t>
        </is>
      </c>
      <c r="B573" s="1" t="n">
        <v>44809</v>
      </c>
      <c r="C573" s="1" t="n">
        <v>45792</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37813-2022</t>
        </is>
      </c>
      <c r="B574" s="1" t="n">
        <v>44810</v>
      </c>
      <c r="C574" s="1" t="n">
        <v>45792</v>
      </c>
      <c r="D574" t="inlineStr">
        <is>
          <t>UPPSALA LÄN</t>
        </is>
      </c>
      <c r="E574" t="inlineStr">
        <is>
          <t>ÖSTHAMMAR</t>
        </is>
      </c>
      <c r="G574" t="n">
        <v>0.5</v>
      </c>
      <c r="H574" t="n">
        <v>0</v>
      </c>
      <c r="I574" t="n">
        <v>0</v>
      </c>
      <c r="J574" t="n">
        <v>0</v>
      </c>
      <c r="K574" t="n">
        <v>0</v>
      </c>
      <c r="L574" t="n">
        <v>0</v>
      </c>
      <c r="M574" t="n">
        <v>0</v>
      </c>
      <c r="N574" t="n">
        <v>0</v>
      </c>
      <c r="O574" t="n">
        <v>0</v>
      </c>
      <c r="P574" t="n">
        <v>0</v>
      </c>
      <c r="Q574" t="n">
        <v>0</v>
      </c>
      <c r="R574" s="2" t="inlineStr"/>
    </row>
    <row r="575" ht="15" customHeight="1">
      <c r="A575" t="inlineStr">
        <is>
          <t>A 37812-2022</t>
        </is>
      </c>
      <c r="B575" s="1" t="n">
        <v>44810</v>
      </c>
      <c r="C575" s="1" t="n">
        <v>45792</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38501-2022</t>
        </is>
      </c>
      <c r="B576" s="1" t="n">
        <v>44813</v>
      </c>
      <c r="C576" s="1" t="n">
        <v>45792</v>
      </c>
      <c r="D576" t="inlineStr">
        <is>
          <t>UPPSALA LÄN</t>
        </is>
      </c>
      <c r="E576" t="inlineStr">
        <is>
          <t>ÖSTHAMMAR</t>
        </is>
      </c>
      <c r="F576" t="inlineStr">
        <is>
          <t>Bergvik skog öst AB</t>
        </is>
      </c>
      <c r="G576" t="n">
        <v>2.2</v>
      </c>
      <c r="H576" t="n">
        <v>0</v>
      </c>
      <c r="I576" t="n">
        <v>0</v>
      </c>
      <c r="J576" t="n">
        <v>0</v>
      </c>
      <c r="K576" t="n">
        <v>0</v>
      </c>
      <c r="L576" t="n">
        <v>0</v>
      </c>
      <c r="M576" t="n">
        <v>0</v>
      </c>
      <c r="N576" t="n">
        <v>0</v>
      </c>
      <c r="O576" t="n">
        <v>0</v>
      </c>
      <c r="P576" t="n">
        <v>0</v>
      </c>
      <c r="Q576" t="n">
        <v>0</v>
      </c>
      <c r="R576" s="2" t="inlineStr"/>
    </row>
    <row r="577" ht="15" customHeight="1">
      <c r="A577" t="inlineStr">
        <is>
          <t>A 38702-2022</t>
        </is>
      </c>
      <c r="B577" s="1" t="n">
        <v>44814</v>
      </c>
      <c r="C577" s="1" t="n">
        <v>45792</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39480-2022</t>
        </is>
      </c>
      <c r="B578" s="1" t="n">
        <v>44818</v>
      </c>
      <c r="C578" s="1" t="n">
        <v>45792</v>
      </c>
      <c r="D578" t="inlineStr">
        <is>
          <t>UPPSALA LÄN</t>
        </is>
      </c>
      <c r="E578" t="inlineStr">
        <is>
          <t>ÖSTHAMMAR</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40336-2022</t>
        </is>
      </c>
      <c r="B579" s="1" t="n">
        <v>44823</v>
      </c>
      <c r="C579" s="1" t="n">
        <v>45792</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40637-2022</t>
        </is>
      </c>
      <c r="B580" s="1" t="n">
        <v>44824</v>
      </c>
      <c r="C580" s="1" t="n">
        <v>45792</v>
      </c>
      <c r="D580" t="inlineStr">
        <is>
          <t>UPPSALA LÄN</t>
        </is>
      </c>
      <c r="E580" t="inlineStr">
        <is>
          <t>ÖSTHAMMAR</t>
        </is>
      </c>
      <c r="F580" t="inlineStr">
        <is>
          <t>Övriga Aktiebolag</t>
        </is>
      </c>
      <c r="G580" t="n">
        <v>3.7</v>
      </c>
      <c r="H580" t="n">
        <v>0</v>
      </c>
      <c r="I580" t="n">
        <v>0</v>
      </c>
      <c r="J580" t="n">
        <v>0</v>
      </c>
      <c r="K580" t="n">
        <v>0</v>
      </c>
      <c r="L580" t="n">
        <v>0</v>
      </c>
      <c r="M580" t="n">
        <v>0</v>
      </c>
      <c r="N580" t="n">
        <v>0</v>
      </c>
      <c r="O580" t="n">
        <v>0</v>
      </c>
      <c r="P580" t="n">
        <v>0</v>
      </c>
      <c r="Q580" t="n">
        <v>0</v>
      </c>
      <c r="R580" s="2" t="inlineStr"/>
    </row>
    <row r="581" ht="15" customHeight="1">
      <c r="A581" t="inlineStr">
        <is>
          <t>A 40681-2022</t>
        </is>
      </c>
      <c r="B581" s="1" t="n">
        <v>44824</v>
      </c>
      <c r="C581" s="1" t="n">
        <v>45792</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41033-2022</t>
        </is>
      </c>
      <c r="B582" s="1" t="n">
        <v>44825</v>
      </c>
      <c r="C582" s="1" t="n">
        <v>45792</v>
      </c>
      <c r="D582" t="inlineStr">
        <is>
          <t>UPPSALA LÄN</t>
        </is>
      </c>
      <c r="E582" t="inlineStr">
        <is>
          <t>ÖSTHAMMAR</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41423-2022</t>
        </is>
      </c>
      <c r="B583" s="1" t="n">
        <v>44826</v>
      </c>
      <c r="C583" s="1" t="n">
        <v>45792</v>
      </c>
      <c r="D583" t="inlineStr">
        <is>
          <t>UPPSALA LÄN</t>
        </is>
      </c>
      <c r="E583" t="inlineStr">
        <is>
          <t>ÖSTHAMMAR</t>
        </is>
      </c>
      <c r="F583" t="inlineStr">
        <is>
          <t>Övriga Aktiebolag</t>
        </is>
      </c>
      <c r="G583" t="n">
        <v>1.6</v>
      </c>
      <c r="H583" t="n">
        <v>0</v>
      </c>
      <c r="I583" t="n">
        <v>0</v>
      </c>
      <c r="J583" t="n">
        <v>0</v>
      </c>
      <c r="K583" t="n">
        <v>0</v>
      </c>
      <c r="L583" t="n">
        <v>0</v>
      </c>
      <c r="M583" t="n">
        <v>0</v>
      </c>
      <c r="N583" t="n">
        <v>0</v>
      </c>
      <c r="O583" t="n">
        <v>0</v>
      </c>
      <c r="P583" t="n">
        <v>0</v>
      </c>
      <c r="Q583" t="n">
        <v>0</v>
      </c>
      <c r="R583" s="2" t="inlineStr"/>
    </row>
    <row r="584" ht="15" customHeight="1">
      <c r="A584" t="inlineStr">
        <is>
          <t>A 44020-2022</t>
        </is>
      </c>
      <c r="B584" s="1" t="n">
        <v>44838</v>
      </c>
      <c r="C584" s="1" t="n">
        <v>45792</v>
      </c>
      <c r="D584" t="inlineStr">
        <is>
          <t>UPPSALA LÄN</t>
        </is>
      </c>
      <c r="E584" t="inlineStr">
        <is>
          <t>ÖSTHAMMAR</t>
        </is>
      </c>
      <c r="F584" t="inlineStr">
        <is>
          <t>Bergvik skog öst AB</t>
        </is>
      </c>
      <c r="G584" t="n">
        <v>12.1</v>
      </c>
      <c r="H584" t="n">
        <v>0</v>
      </c>
      <c r="I584" t="n">
        <v>0</v>
      </c>
      <c r="J584" t="n">
        <v>0</v>
      </c>
      <c r="K584" t="n">
        <v>0</v>
      </c>
      <c r="L584" t="n">
        <v>0</v>
      </c>
      <c r="M584" t="n">
        <v>0</v>
      </c>
      <c r="N584" t="n">
        <v>0</v>
      </c>
      <c r="O584" t="n">
        <v>0</v>
      </c>
      <c r="P584" t="n">
        <v>0</v>
      </c>
      <c r="Q584" t="n">
        <v>0</v>
      </c>
      <c r="R584" s="2" t="inlineStr"/>
    </row>
    <row r="585" ht="15" customHeight="1">
      <c r="A585" t="inlineStr">
        <is>
          <t>A 44019-2022</t>
        </is>
      </c>
      <c r="B585" s="1" t="n">
        <v>44838</v>
      </c>
      <c r="C585" s="1" t="n">
        <v>45792</v>
      </c>
      <c r="D585" t="inlineStr">
        <is>
          <t>UPPSALA LÄN</t>
        </is>
      </c>
      <c r="E585" t="inlineStr">
        <is>
          <t>ÖSTHAMMAR</t>
        </is>
      </c>
      <c r="F585" t="inlineStr">
        <is>
          <t>Bergvik skog öst AB</t>
        </is>
      </c>
      <c r="G585" t="n">
        <v>0.4</v>
      </c>
      <c r="H585" t="n">
        <v>0</v>
      </c>
      <c r="I585" t="n">
        <v>0</v>
      </c>
      <c r="J585" t="n">
        <v>0</v>
      </c>
      <c r="K585" t="n">
        <v>0</v>
      </c>
      <c r="L585" t="n">
        <v>0</v>
      </c>
      <c r="M585" t="n">
        <v>0</v>
      </c>
      <c r="N585" t="n">
        <v>0</v>
      </c>
      <c r="O585" t="n">
        <v>0</v>
      </c>
      <c r="P585" t="n">
        <v>0</v>
      </c>
      <c r="Q585" t="n">
        <v>0</v>
      </c>
      <c r="R585" s="2" t="inlineStr"/>
    </row>
    <row r="586" ht="15" customHeight="1">
      <c r="A586" t="inlineStr">
        <is>
          <t>A 44354-2022</t>
        </is>
      </c>
      <c r="B586" s="1" t="n">
        <v>44839</v>
      </c>
      <c r="C586" s="1" t="n">
        <v>45792</v>
      </c>
      <c r="D586" t="inlineStr">
        <is>
          <t>UPPSALA LÄN</t>
        </is>
      </c>
      <c r="E586" t="inlineStr">
        <is>
          <t>ÖSTHAMMAR</t>
        </is>
      </c>
      <c r="G586" t="n">
        <v>5.4</v>
      </c>
      <c r="H586" t="n">
        <v>0</v>
      </c>
      <c r="I586" t="n">
        <v>0</v>
      </c>
      <c r="J586" t="n">
        <v>0</v>
      </c>
      <c r="K586" t="n">
        <v>0</v>
      </c>
      <c r="L586" t="n">
        <v>0</v>
      </c>
      <c r="M586" t="n">
        <v>0</v>
      </c>
      <c r="N586" t="n">
        <v>0</v>
      </c>
      <c r="O586" t="n">
        <v>0</v>
      </c>
      <c r="P586" t="n">
        <v>0</v>
      </c>
      <c r="Q586" t="n">
        <v>0</v>
      </c>
      <c r="R586" s="2" t="inlineStr"/>
    </row>
    <row r="587" ht="15" customHeight="1">
      <c r="A587" t="inlineStr">
        <is>
          <t>A 44366-2022</t>
        </is>
      </c>
      <c r="B587" s="1" t="n">
        <v>44839</v>
      </c>
      <c r="C587" s="1" t="n">
        <v>45792</v>
      </c>
      <c r="D587" t="inlineStr">
        <is>
          <t>UPPSALA LÄN</t>
        </is>
      </c>
      <c r="E587" t="inlineStr">
        <is>
          <t>ÖSTHAMMAR</t>
        </is>
      </c>
      <c r="G587" t="n">
        <v>8.1</v>
      </c>
      <c r="H587" t="n">
        <v>0</v>
      </c>
      <c r="I587" t="n">
        <v>0</v>
      </c>
      <c r="J587" t="n">
        <v>0</v>
      </c>
      <c r="K587" t="n">
        <v>0</v>
      </c>
      <c r="L587" t="n">
        <v>0</v>
      </c>
      <c r="M587" t="n">
        <v>0</v>
      </c>
      <c r="N587" t="n">
        <v>0</v>
      </c>
      <c r="O587" t="n">
        <v>0</v>
      </c>
      <c r="P587" t="n">
        <v>0</v>
      </c>
      <c r="Q587" t="n">
        <v>0</v>
      </c>
      <c r="R587" s="2" t="inlineStr"/>
    </row>
    <row r="588" ht="15" customHeight="1">
      <c r="A588" t="inlineStr">
        <is>
          <t>A 44184-2022</t>
        </is>
      </c>
      <c r="B588" s="1" t="n">
        <v>44839</v>
      </c>
      <c r="C588" s="1" t="n">
        <v>45792</v>
      </c>
      <c r="D588" t="inlineStr">
        <is>
          <t>UPPSALA LÄN</t>
        </is>
      </c>
      <c r="E588" t="inlineStr">
        <is>
          <t>ÖSTHAMMAR</t>
        </is>
      </c>
      <c r="G588" t="n">
        <v>4.2</v>
      </c>
      <c r="H588" t="n">
        <v>0</v>
      </c>
      <c r="I588" t="n">
        <v>0</v>
      </c>
      <c r="J588" t="n">
        <v>0</v>
      </c>
      <c r="K588" t="n">
        <v>0</v>
      </c>
      <c r="L588" t="n">
        <v>0</v>
      </c>
      <c r="M588" t="n">
        <v>0</v>
      </c>
      <c r="N588" t="n">
        <v>0</v>
      </c>
      <c r="O588" t="n">
        <v>0</v>
      </c>
      <c r="P588" t="n">
        <v>0</v>
      </c>
      <c r="Q588" t="n">
        <v>0</v>
      </c>
      <c r="R588" s="2" t="inlineStr"/>
    </row>
    <row r="589" ht="15" customHeight="1">
      <c r="A589" t="inlineStr">
        <is>
          <t>A 44617-2022</t>
        </is>
      </c>
      <c r="B589" s="1" t="n">
        <v>44840</v>
      </c>
      <c r="C589" s="1" t="n">
        <v>45792</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44945-2022</t>
        </is>
      </c>
      <c r="B590" s="1" t="n">
        <v>44841</v>
      </c>
      <c r="C590" s="1" t="n">
        <v>45792</v>
      </c>
      <c r="D590" t="inlineStr">
        <is>
          <t>UPPSALA LÄN</t>
        </is>
      </c>
      <c r="E590" t="inlineStr">
        <is>
          <t>ÖSTHAMMAR</t>
        </is>
      </c>
      <c r="G590" t="n">
        <v>1.5</v>
      </c>
      <c r="H590" t="n">
        <v>0</v>
      </c>
      <c r="I590" t="n">
        <v>0</v>
      </c>
      <c r="J590" t="n">
        <v>0</v>
      </c>
      <c r="K590" t="n">
        <v>0</v>
      </c>
      <c r="L590" t="n">
        <v>0</v>
      </c>
      <c r="M590" t="n">
        <v>0</v>
      </c>
      <c r="N590" t="n">
        <v>0</v>
      </c>
      <c r="O590" t="n">
        <v>0</v>
      </c>
      <c r="P590" t="n">
        <v>0</v>
      </c>
      <c r="Q590" t="n">
        <v>0</v>
      </c>
      <c r="R590" s="2" t="inlineStr"/>
    </row>
    <row r="591" ht="15" customHeight="1">
      <c r="A591" t="inlineStr">
        <is>
          <t>A 44815-2022</t>
        </is>
      </c>
      <c r="B591" s="1" t="n">
        <v>44841</v>
      </c>
      <c r="C591" s="1" t="n">
        <v>45792</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45788-2022</t>
        </is>
      </c>
      <c r="B592" s="1" t="n">
        <v>44846</v>
      </c>
      <c r="C592" s="1" t="n">
        <v>45792</v>
      </c>
      <c r="D592" t="inlineStr">
        <is>
          <t>UPPSALA LÄN</t>
        </is>
      </c>
      <c r="E592" t="inlineStr">
        <is>
          <t>ÖSTHAMMAR</t>
        </is>
      </c>
      <c r="F592" t="inlineStr">
        <is>
          <t>Övriga Aktiebolag</t>
        </is>
      </c>
      <c r="G592" t="n">
        <v>3.3</v>
      </c>
      <c r="H592" t="n">
        <v>0</v>
      </c>
      <c r="I592" t="n">
        <v>0</v>
      </c>
      <c r="J592" t="n">
        <v>0</v>
      </c>
      <c r="K592" t="n">
        <v>0</v>
      </c>
      <c r="L592" t="n">
        <v>0</v>
      </c>
      <c r="M592" t="n">
        <v>0</v>
      </c>
      <c r="N592" t="n">
        <v>0</v>
      </c>
      <c r="O592" t="n">
        <v>0</v>
      </c>
      <c r="P592" t="n">
        <v>0</v>
      </c>
      <c r="Q592" t="n">
        <v>0</v>
      </c>
      <c r="R592" s="2" t="inlineStr"/>
    </row>
    <row r="593" ht="15" customHeight="1">
      <c r="A593" t="inlineStr">
        <is>
          <t>A 46448-2022</t>
        </is>
      </c>
      <c r="B593" s="1" t="n">
        <v>44848</v>
      </c>
      <c r="C593" s="1" t="n">
        <v>45792</v>
      </c>
      <c r="D593" t="inlineStr">
        <is>
          <t>UPPSALA LÄN</t>
        </is>
      </c>
      <c r="E593" t="inlineStr">
        <is>
          <t>ÖSTHAMMAR</t>
        </is>
      </c>
      <c r="G593" t="n">
        <v>2.6</v>
      </c>
      <c r="H593" t="n">
        <v>0</v>
      </c>
      <c r="I593" t="n">
        <v>0</v>
      </c>
      <c r="J593" t="n">
        <v>0</v>
      </c>
      <c r="K593" t="n">
        <v>0</v>
      </c>
      <c r="L593" t="n">
        <v>0</v>
      </c>
      <c r="M593" t="n">
        <v>0</v>
      </c>
      <c r="N593" t="n">
        <v>0</v>
      </c>
      <c r="O593" t="n">
        <v>0</v>
      </c>
      <c r="P593" t="n">
        <v>0</v>
      </c>
      <c r="Q593" t="n">
        <v>0</v>
      </c>
      <c r="R593" s="2" t="inlineStr"/>
    </row>
    <row r="594" ht="15" customHeight="1">
      <c r="A594" t="inlineStr">
        <is>
          <t>A 46915-2022</t>
        </is>
      </c>
      <c r="B594" s="1" t="n">
        <v>44851</v>
      </c>
      <c r="C594" s="1" t="n">
        <v>45792</v>
      </c>
      <c r="D594" t="inlineStr">
        <is>
          <t>UPPSALA LÄN</t>
        </is>
      </c>
      <c r="E594" t="inlineStr">
        <is>
          <t>ÖSTHAMMAR</t>
        </is>
      </c>
      <c r="F594" t="inlineStr">
        <is>
          <t>Bergvik skog öst AB</t>
        </is>
      </c>
      <c r="G594" t="n">
        <v>7.9</v>
      </c>
      <c r="H594" t="n">
        <v>0</v>
      </c>
      <c r="I594" t="n">
        <v>0</v>
      </c>
      <c r="J594" t="n">
        <v>0</v>
      </c>
      <c r="K594" t="n">
        <v>0</v>
      </c>
      <c r="L594" t="n">
        <v>0</v>
      </c>
      <c r="M594" t="n">
        <v>0</v>
      </c>
      <c r="N594" t="n">
        <v>0</v>
      </c>
      <c r="O594" t="n">
        <v>0</v>
      </c>
      <c r="P594" t="n">
        <v>0</v>
      </c>
      <c r="Q594" t="n">
        <v>0</v>
      </c>
      <c r="R594" s="2" t="inlineStr"/>
    </row>
    <row r="595" ht="15" customHeight="1">
      <c r="A595" t="inlineStr">
        <is>
          <t>A 47163-2022</t>
        </is>
      </c>
      <c r="B595" s="1" t="n">
        <v>44852</v>
      </c>
      <c r="C595" s="1" t="n">
        <v>45792</v>
      </c>
      <c r="D595" t="inlineStr">
        <is>
          <t>UPPSALA LÄN</t>
        </is>
      </c>
      <c r="E595" t="inlineStr">
        <is>
          <t>ÖSTHAMMAR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48191-2022</t>
        </is>
      </c>
      <c r="B596" s="1" t="n">
        <v>44858</v>
      </c>
      <c r="C596" s="1" t="n">
        <v>45792</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48231-2022</t>
        </is>
      </c>
      <c r="B597" s="1" t="n">
        <v>44858</v>
      </c>
      <c r="C597" s="1" t="n">
        <v>45792</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49097-2022</t>
        </is>
      </c>
      <c r="B598" s="1" t="n">
        <v>44860</v>
      </c>
      <c r="C598" s="1" t="n">
        <v>45792</v>
      </c>
      <c r="D598" t="inlineStr">
        <is>
          <t>UPPSALA LÄN</t>
        </is>
      </c>
      <c r="E598" t="inlineStr">
        <is>
          <t>ÖSTHAMMAR</t>
        </is>
      </c>
      <c r="G598" t="n">
        <v>6.9</v>
      </c>
      <c r="H598" t="n">
        <v>0</v>
      </c>
      <c r="I598" t="n">
        <v>0</v>
      </c>
      <c r="J598" t="n">
        <v>0</v>
      </c>
      <c r="K598" t="n">
        <v>0</v>
      </c>
      <c r="L598" t="n">
        <v>0</v>
      </c>
      <c r="M598" t="n">
        <v>0</v>
      </c>
      <c r="N598" t="n">
        <v>0</v>
      </c>
      <c r="O598" t="n">
        <v>0</v>
      </c>
      <c r="P598" t="n">
        <v>0</v>
      </c>
      <c r="Q598" t="n">
        <v>0</v>
      </c>
      <c r="R598" s="2" t="inlineStr"/>
    </row>
    <row r="599" ht="15" customHeight="1">
      <c r="A599" t="inlineStr">
        <is>
          <t>A 49334-2022</t>
        </is>
      </c>
      <c r="B599" s="1" t="n">
        <v>44861</v>
      </c>
      <c r="C599" s="1" t="n">
        <v>45792</v>
      </c>
      <c r="D599" t="inlineStr">
        <is>
          <t>UPPSALA LÄN</t>
        </is>
      </c>
      <c r="E599" t="inlineStr">
        <is>
          <t>ÖSTHAMMAR</t>
        </is>
      </c>
      <c r="G599" t="n">
        <v>3.5</v>
      </c>
      <c r="H599" t="n">
        <v>0</v>
      </c>
      <c r="I599" t="n">
        <v>0</v>
      </c>
      <c r="J599" t="n">
        <v>0</v>
      </c>
      <c r="K599" t="n">
        <v>0</v>
      </c>
      <c r="L599" t="n">
        <v>0</v>
      </c>
      <c r="M599" t="n">
        <v>0</v>
      </c>
      <c r="N599" t="n">
        <v>0</v>
      </c>
      <c r="O599" t="n">
        <v>0</v>
      </c>
      <c r="P599" t="n">
        <v>0</v>
      </c>
      <c r="Q599" t="n">
        <v>0</v>
      </c>
      <c r="R599" s="2" t="inlineStr"/>
    </row>
    <row r="600" ht="15" customHeight="1">
      <c r="A600" t="inlineStr">
        <is>
          <t>A 49914-2022</t>
        </is>
      </c>
      <c r="B600" s="1" t="n">
        <v>44865</v>
      </c>
      <c r="C600" s="1" t="n">
        <v>45792</v>
      </c>
      <c r="D600" t="inlineStr">
        <is>
          <t>UPPSALA LÄN</t>
        </is>
      </c>
      <c r="E600" t="inlineStr">
        <is>
          <t>ÖSTHAMMAR</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50576-2022</t>
        </is>
      </c>
      <c r="B601" s="1" t="n">
        <v>44866</v>
      </c>
      <c r="C601" s="1" t="n">
        <v>45792</v>
      </c>
      <c r="D601" t="inlineStr">
        <is>
          <t>UPPSALA LÄN</t>
        </is>
      </c>
      <c r="E601" t="inlineStr">
        <is>
          <t>ÖSTHAMMAR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51055-2022</t>
        </is>
      </c>
      <c r="B602" s="1" t="n">
        <v>44868</v>
      </c>
      <c r="C602" s="1" t="n">
        <v>45792</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51696-2022</t>
        </is>
      </c>
      <c r="B603" s="1" t="n">
        <v>44872</v>
      </c>
      <c r="C603" s="1" t="n">
        <v>45792</v>
      </c>
      <c r="D603" t="inlineStr">
        <is>
          <t>UPPSALA LÄN</t>
        </is>
      </c>
      <c r="E603" t="inlineStr">
        <is>
          <t>ÖSTHAMMAR</t>
        </is>
      </c>
      <c r="G603" t="n">
        <v>0.6</v>
      </c>
      <c r="H603" t="n">
        <v>0</v>
      </c>
      <c r="I603" t="n">
        <v>0</v>
      </c>
      <c r="J603" t="n">
        <v>0</v>
      </c>
      <c r="K603" t="n">
        <v>0</v>
      </c>
      <c r="L603" t="n">
        <v>0</v>
      </c>
      <c r="M603" t="n">
        <v>0</v>
      </c>
      <c r="N603" t="n">
        <v>0</v>
      </c>
      <c r="O603" t="n">
        <v>0</v>
      </c>
      <c r="P603" t="n">
        <v>0</v>
      </c>
      <c r="Q603" t="n">
        <v>0</v>
      </c>
      <c r="R603" s="2" t="inlineStr"/>
    </row>
    <row r="604" ht="15" customHeight="1">
      <c r="A604" t="inlineStr">
        <is>
          <t>A 51906-2022</t>
        </is>
      </c>
      <c r="B604" s="1" t="n">
        <v>44872</v>
      </c>
      <c r="C604" s="1" t="n">
        <v>45792</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52265-2022</t>
        </is>
      </c>
      <c r="B605" s="1" t="n">
        <v>44873</v>
      </c>
      <c r="C605" s="1" t="n">
        <v>45792</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52255-2022</t>
        </is>
      </c>
      <c r="B606" s="1" t="n">
        <v>44873</v>
      </c>
      <c r="C606" s="1" t="n">
        <v>45792</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52295-2022</t>
        </is>
      </c>
      <c r="B607" s="1" t="n">
        <v>44873</v>
      </c>
      <c r="C607" s="1" t="n">
        <v>45792</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52652-2022</t>
        </is>
      </c>
      <c r="B608" s="1" t="n">
        <v>44874</v>
      </c>
      <c r="C608" s="1" t="n">
        <v>45792</v>
      </c>
      <c r="D608" t="inlineStr">
        <is>
          <t>UPPSALA LÄN</t>
        </is>
      </c>
      <c r="E608" t="inlineStr">
        <is>
          <t>ÖSTHAMMAR</t>
        </is>
      </c>
      <c r="F608" t="inlineStr">
        <is>
          <t>Bergvik skog öst AB</t>
        </is>
      </c>
      <c r="G608" t="n">
        <v>1.4</v>
      </c>
      <c r="H608" t="n">
        <v>0</v>
      </c>
      <c r="I608" t="n">
        <v>0</v>
      </c>
      <c r="J608" t="n">
        <v>0</v>
      </c>
      <c r="K608" t="n">
        <v>0</v>
      </c>
      <c r="L608" t="n">
        <v>0</v>
      </c>
      <c r="M608" t="n">
        <v>0</v>
      </c>
      <c r="N608" t="n">
        <v>0</v>
      </c>
      <c r="O608" t="n">
        <v>0</v>
      </c>
      <c r="P608" t="n">
        <v>0</v>
      </c>
      <c r="Q608" t="n">
        <v>0</v>
      </c>
      <c r="R608" s="2" t="inlineStr"/>
    </row>
    <row r="609" ht="15" customHeight="1">
      <c r="A609" t="inlineStr">
        <is>
          <t>A 52389-2022</t>
        </is>
      </c>
      <c r="B609" s="1" t="n">
        <v>44874</v>
      </c>
      <c r="C609" s="1" t="n">
        <v>45792</v>
      </c>
      <c r="D609" t="inlineStr">
        <is>
          <t>UPPSALA LÄN</t>
        </is>
      </c>
      <c r="E609" t="inlineStr">
        <is>
          <t>ÖSTHAMMAR</t>
        </is>
      </c>
      <c r="G609" t="n">
        <v>3.1</v>
      </c>
      <c r="H609" t="n">
        <v>0</v>
      </c>
      <c r="I609" t="n">
        <v>0</v>
      </c>
      <c r="J609" t="n">
        <v>0</v>
      </c>
      <c r="K609" t="n">
        <v>0</v>
      </c>
      <c r="L609" t="n">
        <v>0</v>
      </c>
      <c r="M609" t="n">
        <v>0</v>
      </c>
      <c r="N609" t="n">
        <v>0</v>
      </c>
      <c r="O609" t="n">
        <v>0</v>
      </c>
      <c r="P609" t="n">
        <v>0</v>
      </c>
      <c r="Q609" t="n">
        <v>0</v>
      </c>
      <c r="R609" s="2" t="inlineStr"/>
    </row>
    <row r="610" ht="15" customHeight="1">
      <c r="A610" t="inlineStr">
        <is>
          <t>A 52663-2022</t>
        </is>
      </c>
      <c r="B610" s="1" t="n">
        <v>44874</v>
      </c>
      <c r="C610" s="1" t="n">
        <v>45792</v>
      </c>
      <c r="D610" t="inlineStr">
        <is>
          <t>UPPSALA LÄN</t>
        </is>
      </c>
      <c r="E610" t="inlineStr">
        <is>
          <t>ÖSTHAMMAR</t>
        </is>
      </c>
      <c r="F610" t="inlineStr">
        <is>
          <t>Bergvik skog öst AB</t>
        </is>
      </c>
      <c r="G610" t="n">
        <v>2.6</v>
      </c>
      <c r="H610" t="n">
        <v>0</v>
      </c>
      <c r="I610" t="n">
        <v>0</v>
      </c>
      <c r="J610" t="n">
        <v>0</v>
      </c>
      <c r="K610" t="n">
        <v>0</v>
      </c>
      <c r="L610" t="n">
        <v>0</v>
      </c>
      <c r="M610" t="n">
        <v>0</v>
      </c>
      <c r="N610" t="n">
        <v>0</v>
      </c>
      <c r="O610" t="n">
        <v>0</v>
      </c>
      <c r="P610" t="n">
        <v>0</v>
      </c>
      <c r="Q610" t="n">
        <v>0</v>
      </c>
      <c r="R610" s="2" t="inlineStr"/>
    </row>
    <row r="611" ht="15" customHeight="1">
      <c r="A611" t="inlineStr">
        <is>
          <t>A 52650-2022</t>
        </is>
      </c>
      <c r="B611" s="1" t="n">
        <v>44874</v>
      </c>
      <c r="C611" s="1" t="n">
        <v>45792</v>
      </c>
      <c r="D611" t="inlineStr">
        <is>
          <t>UPPSALA LÄN</t>
        </is>
      </c>
      <c r="E611" t="inlineStr">
        <is>
          <t>ÖSTHAMMAR</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52661-2022</t>
        </is>
      </c>
      <c r="B612" s="1" t="n">
        <v>44874</v>
      </c>
      <c r="C612" s="1" t="n">
        <v>45792</v>
      </c>
      <c r="D612" t="inlineStr">
        <is>
          <t>UPPSALA LÄN</t>
        </is>
      </c>
      <c r="E612" t="inlineStr">
        <is>
          <t>ÖSTHAMMAR</t>
        </is>
      </c>
      <c r="F612" t="inlineStr">
        <is>
          <t>Bergvik skog öst AB</t>
        </is>
      </c>
      <c r="G612" t="n">
        <v>0.2</v>
      </c>
      <c r="H612" t="n">
        <v>0</v>
      </c>
      <c r="I612" t="n">
        <v>0</v>
      </c>
      <c r="J612" t="n">
        <v>0</v>
      </c>
      <c r="K612" t="n">
        <v>0</v>
      </c>
      <c r="L612" t="n">
        <v>0</v>
      </c>
      <c r="M612" t="n">
        <v>0</v>
      </c>
      <c r="N612" t="n">
        <v>0</v>
      </c>
      <c r="O612" t="n">
        <v>0</v>
      </c>
      <c r="P612" t="n">
        <v>0</v>
      </c>
      <c r="Q612" t="n">
        <v>0</v>
      </c>
      <c r="R612" s="2" t="inlineStr"/>
    </row>
    <row r="613" ht="15" customHeight="1">
      <c r="A613" t="inlineStr">
        <is>
          <t>A 53180-2022</t>
        </is>
      </c>
      <c r="B613" s="1" t="n">
        <v>44876</v>
      </c>
      <c r="C613" s="1" t="n">
        <v>45792</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54666-2022</t>
        </is>
      </c>
      <c r="B614" s="1" t="n">
        <v>44883</v>
      </c>
      <c r="C614" s="1" t="n">
        <v>45792</v>
      </c>
      <c r="D614" t="inlineStr">
        <is>
          <t>UPPSALA LÄN</t>
        </is>
      </c>
      <c r="E614" t="inlineStr">
        <is>
          <t>ÖSTHAMMAR</t>
        </is>
      </c>
      <c r="G614" t="n">
        <v>14.3</v>
      </c>
      <c r="H614" t="n">
        <v>0</v>
      </c>
      <c r="I614" t="n">
        <v>0</v>
      </c>
      <c r="J614" t="n">
        <v>0</v>
      </c>
      <c r="K614" t="n">
        <v>0</v>
      </c>
      <c r="L614" t="n">
        <v>0</v>
      </c>
      <c r="M614" t="n">
        <v>0</v>
      </c>
      <c r="N614" t="n">
        <v>0</v>
      </c>
      <c r="O614" t="n">
        <v>0</v>
      </c>
      <c r="P614" t="n">
        <v>0</v>
      </c>
      <c r="Q614" t="n">
        <v>0</v>
      </c>
      <c r="R614" s="2" t="inlineStr"/>
    </row>
    <row r="615" ht="15" customHeight="1">
      <c r="A615" t="inlineStr">
        <is>
          <t>A 56260-2022</t>
        </is>
      </c>
      <c r="B615" s="1" t="n">
        <v>44890</v>
      </c>
      <c r="C615" s="1" t="n">
        <v>45792</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56969-2022</t>
        </is>
      </c>
      <c r="B616" s="1" t="n">
        <v>44894</v>
      </c>
      <c r="C616" s="1" t="n">
        <v>45792</v>
      </c>
      <c r="D616" t="inlineStr">
        <is>
          <t>UPPSALA LÄN</t>
        </is>
      </c>
      <c r="E616" t="inlineStr">
        <is>
          <t>ÖSTHAMMAR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57462-2022</t>
        </is>
      </c>
      <c r="B617" s="1" t="n">
        <v>44896</v>
      </c>
      <c r="C617" s="1" t="n">
        <v>45792</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57453-2022</t>
        </is>
      </c>
      <c r="B618" s="1" t="n">
        <v>44896</v>
      </c>
      <c r="C618" s="1" t="n">
        <v>45792</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58127-2022</t>
        </is>
      </c>
      <c r="B619" s="1" t="n">
        <v>44900</v>
      </c>
      <c r="C619" s="1" t="n">
        <v>45792</v>
      </c>
      <c r="D619" t="inlineStr">
        <is>
          <t>UPPSALA LÄN</t>
        </is>
      </c>
      <c r="E619" t="inlineStr">
        <is>
          <t>ÖSTHAMMAR</t>
        </is>
      </c>
      <c r="F619" t="inlineStr">
        <is>
          <t>Bergvik skog öst AB</t>
        </is>
      </c>
      <c r="G619" t="n">
        <v>6.4</v>
      </c>
      <c r="H619" t="n">
        <v>0</v>
      </c>
      <c r="I619" t="n">
        <v>0</v>
      </c>
      <c r="J619" t="n">
        <v>0</v>
      </c>
      <c r="K619" t="n">
        <v>0</v>
      </c>
      <c r="L619" t="n">
        <v>0</v>
      </c>
      <c r="M619" t="n">
        <v>0</v>
      </c>
      <c r="N619" t="n">
        <v>0</v>
      </c>
      <c r="O619" t="n">
        <v>0</v>
      </c>
      <c r="P619" t="n">
        <v>0</v>
      </c>
      <c r="Q619" t="n">
        <v>0</v>
      </c>
      <c r="R619" s="2" t="inlineStr"/>
    </row>
    <row r="620" ht="15" customHeight="1">
      <c r="A620" t="inlineStr">
        <is>
          <t>A 58367-2022</t>
        </is>
      </c>
      <c r="B620" s="1" t="n">
        <v>44901</v>
      </c>
      <c r="C620" s="1" t="n">
        <v>45792</v>
      </c>
      <c r="D620" t="inlineStr">
        <is>
          <t>UPPSALA LÄN</t>
        </is>
      </c>
      <c r="E620" t="inlineStr">
        <is>
          <t>ÖSTHAMMAR</t>
        </is>
      </c>
      <c r="F620" t="inlineStr">
        <is>
          <t>Bergvik skog öst AB</t>
        </is>
      </c>
      <c r="G620" t="n">
        <v>2</v>
      </c>
      <c r="H620" t="n">
        <v>0</v>
      </c>
      <c r="I620" t="n">
        <v>0</v>
      </c>
      <c r="J620" t="n">
        <v>0</v>
      </c>
      <c r="K620" t="n">
        <v>0</v>
      </c>
      <c r="L620" t="n">
        <v>0</v>
      </c>
      <c r="M620" t="n">
        <v>0</v>
      </c>
      <c r="N620" t="n">
        <v>0</v>
      </c>
      <c r="O620" t="n">
        <v>0</v>
      </c>
      <c r="P620" t="n">
        <v>0</v>
      </c>
      <c r="Q620" t="n">
        <v>0</v>
      </c>
      <c r="R620" s="2" t="inlineStr"/>
    </row>
    <row r="621" ht="15" customHeight="1">
      <c r="A621" t="inlineStr">
        <is>
          <t>A 58878-2022</t>
        </is>
      </c>
      <c r="B621" s="1" t="n">
        <v>44903</v>
      </c>
      <c r="C621" s="1" t="n">
        <v>45792</v>
      </c>
      <c r="D621" t="inlineStr">
        <is>
          <t>UPPSALA LÄN</t>
        </is>
      </c>
      <c r="E621" t="inlineStr">
        <is>
          <t>ÖSTHAMMAR</t>
        </is>
      </c>
      <c r="G621" t="n">
        <v>0.8</v>
      </c>
      <c r="H621" t="n">
        <v>0</v>
      </c>
      <c r="I621" t="n">
        <v>0</v>
      </c>
      <c r="J621" t="n">
        <v>0</v>
      </c>
      <c r="K621" t="n">
        <v>0</v>
      </c>
      <c r="L621" t="n">
        <v>0</v>
      </c>
      <c r="M621" t="n">
        <v>0</v>
      </c>
      <c r="N621" t="n">
        <v>0</v>
      </c>
      <c r="O621" t="n">
        <v>0</v>
      </c>
      <c r="P621" t="n">
        <v>0</v>
      </c>
      <c r="Q621" t="n">
        <v>0</v>
      </c>
      <c r="R621" s="2" t="inlineStr"/>
    </row>
    <row r="622" ht="15" customHeight="1">
      <c r="A622" t="inlineStr">
        <is>
          <t>A 60258-2022</t>
        </is>
      </c>
      <c r="B622" s="1" t="n">
        <v>44903</v>
      </c>
      <c r="C622" s="1" t="n">
        <v>45792</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59382-2022</t>
        </is>
      </c>
      <c r="B623" s="1" t="n">
        <v>44905</v>
      </c>
      <c r="C623" s="1" t="n">
        <v>45792</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59563-2022</t>
        </is>
      </c>
      <c r="B624" s="1" t="n">
        <v>44907</v>
      </c>
      <c r="C624" s="1" t="n">
        <v>45792</v>
      </c>
      <c r="D624" t="inlineStr">
        <is>
          <t>UPPSALA LÄN</t>
        </is>
      </c>
      <c r="E624" t="inlineStr">
        <is>
          <t>ÖSTHAMMAR</t>
        </is>
      </c>
      <c r="G624" t="n">
        <v>2.8</v>
      </c>
      <c r="H624" t="n">
        <v>0</v>
      </c>
      <c r="I624" t="n">
        <v>0</v>
      </c>
      <c r="J624" t="n">
        <v>0</v>
      </c>
      <c r="K624" t="n">
        <v>0</v>
      </c>
      <c r="L624" t="n">
        <v>0</v>
      </c>
      <c r="M624" t="n">
        <v>0</v>
      </c>
      <c r="N624" t="n">
        <v>0</v>
      </c>
      <c r="O624" t="n">
        <v>0</v>
      </c>
      <c r="P624" t="n">
        <v>0</v>
      </c>
      <c r="Q624" t="n">
        <v>0</v>
      </c>
      <c r="R624" s="2" t="inlineStr"/>
    </row>
    <row r="625" ht="15" customHeight="1">
      <c r="A625" t="inlineStr">
        <is>
          <t>A 59880-2022</t>
        </is>
      </c>
      <c r="B625" s="1" t="n">
        <v>44908</v>
      </c>
      <c r="C625" s="1" t="n">
        <v>45792</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60079-2022</t>
        </is>
      </c>
      <c r="B626" s="1" t="n">
        <v>44909</v>
      </c>
      <c r="C626" s="1" t="n">
        <v>45792</v>
      </c>
      <c r="D626" t="inlineStr">
        <is>
          <t>UPPSALA LÄN</t>
        </is>
      </c>
      <c r="E626" t="inlineStr">
        <is>
          <t>ÖSTHAMMAR</t>
        </is>
      </c>
      <c r="G626" t="n">
        <v>9.6</v>
      </c>
      <c r="H626" t="n">
        <v>0</v>
      </c>
      <c r="I626" t="n">
        <v>0</v>
      </c>
      <c r="J626" t="n">
        <v>0</v>
      </c>
      <c r="K626" t="n">
        <v>0</v>
      </c>
      <c r="L626" t="n">
        <v>0</v>
      </c>
      <c r="M626" t="n">
        <v>0</v>
      </c>
      <c r="N626" t="n">
        <v>0</v>
      </c>
      <c r="O626" t="n">
        <v>0</v>
      </c>
      <c r="P626" t="n">
        <v>0</v>
      </c>
      <c r="Q626" t="n">
        <v>0</v>
      </c>
      <c r="R626" s="2" t="inlineStr"/>
    </row>
    <row r="627" ht="15" customHeight="1">
      <c r="A627" t="inlineStr">
        <is>
          <t>A 60597-2022</t>
        </is>
      </c>
      <c r="B627" s="1" t="n">
        <v>44911</v>
      </c>
      <c r="C627" s="1" t="n">
        <v>45792</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61261-2022</t>
        </is>
      </c>
      <c r="B628" s="1" t="n">
        <v>44915</v>
      </c>
      <c r="C628" s="1" t="n">
        <v>45792</v>
      </c>
      <c r="D628" t="inlineStr">
        <is>
          <t>UPPSALA LÄN</t>
        </is>
      </c>
      <c r="E628" t="inlineStr">
        <is>
          <t>ÖSTHAMMAR</t>
        </is>
      </c>
      <c r="G628" t="n">
        <v>0.4</v>
      </c>
      <c r="H628" t="n">
        <v>0</v>
      </c>
      <c r="I628" t="n">
        <v>0</v>
      </c>
      <c r="J628" t="n">
        <v>0</v>
      </c>
      <c r="K628" t="n">
        <v>0</v>
      </c>
      <c r="L628" t="n">
        <v>0</v>
      </c>
      <c r="M628" t="n">
        <v>0</v>
      </c>
      <c r="N628" t="n">
        <v>0</v>
      </c>
      <c r="O628" t="n">
        <v>0</v>
      </c>
      <c r="P628" t="n">
        <v>0</v>
      </c>
      <c r="Q628" t="n">
        <v>0</v>
      </c>
      <c r="R628" s="2" t="inlineStr"/>
    </row>
    <row r="629" ht="15" customHeight="1">
      <c r="A629" t="inlineStr">
        <is>
          <t>A 61216-2022</t>
        </is>
      </c>
      <c r="B629" s="1" t="n">
        <v>44915</v>
      </c>
      <c r="C629" s="1" t="n">
        <v>45792</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61257-2022</t>
        </is>
      </c>
      <c r="B630" s="1" t="n">
        <v>44915</v>
      </c>
      <c r="C630" s="1" t="n">
        <v>45792</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62295-2022</t>
        </is>
      </c>
      <c r="B631" s="1" t="n">
        <v>44916</v>
      </c>
      <c r="C631" s="1" t="n">
        <v>45792</v>
      </c>
      <c r="D631" t="inlineStr">
        <is>
          <t>UPPSALA LÄN</t>
        </is>
      </c>
      <c r="E631" t="inlineStr">
        <is>
          <t>ÖSTHAMMAR</t>
        </is>
      </c>
      <c r="G631" t="n">
        <v>3.3</v>
      </c>
      <c r="H631" t="n">
        <v>0</v>
      </c>
      <c r="I631" t="n">
        <v>0</v>
      </c>
      <c r="J631" t="n">
        <v>0</v>
      </c>
      <c r="K631" t="n">
        <v>0</v>
      </c>
      <c r="L631" t="n">
        <v>0</v>
      </c>
      <c r="M631" t="n">
        <v>0</v>
      </c>
      <c r="N631" t="n">
        <v>0</v>
      </c>
      <c r="O631" t="n">
        <v>0</v>
      </c>
      <c r="P631" t="n">
        <v>0</v>
      </c>
      <c r="Q631" t="n">
        <v>0</v>
      </c>
      <c r="R631" s="2" t="inlineStr"/>
    </row>
    <row r="632" ht="15" customHeight="1">
      <c r="A632" t="inlineStr">
        <is>
          <t>A 62394-2022</t>
        </is>
      </c>
      <c r="B632" s="1" t="n">
        <v>44923</v>
      </c>
      <c r="C632" s="1" t="n">
        <v>45792</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62393-2022</t>
        </is>
      </c>
      <c r="B633" s="1" t="n">
        <v>44923</v>
      </c>
      <c r="C633" s="1" t="n">
        <v>45792</v>
      </c>
      <c r="D633" t="inlineStr">
        <is>
          <t>UPPSALA LÄN</t>
        </is>
      </c>
      <c r="E633" t="inlineStr">
        <is>
          <t>ÖSTHAMMAR</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62392-2022</t>
        </is>
      </c>
      <c r="B634" s="1" t="n">
        <v>44923</v>
      </c>
      <c r="C634" s="1" t="n">
        <v>45792</v>
      </c>
      <c r="D634" t="inlineStr">
        <is>
          <t>UPPSALA LÄN</t>
        </is>
      </c>
      <c r="E634" t="inlineStr">
        <is>
          <t>ÖSTHAMMAR</t>
        </is>
      </c>
      <c r="F634" t="inlineStr">
        <is>
          <t>Bergvik skog öst AB</t>
        </is>
      </c>
      <c r="G634" t="n">
        <v>1.7</v>
      </c>
      <c r="H634" t="n">
        <v>0</v>
      </c>
      <c r="I634" t="n">
        <v>0</v>
      </c>
      <c r="J634" t="n">
        <v>0</v>
      </c>
      <c r="K634" t="n">
        <v>0</v>
      </c>
      <c r="L634" t="n">
        <v>0</v>
      </c>
      <c r="M634" t="n">
        <v>0</v>
      </c>
      <c r="N634" t="n">
        <v>0</v>
      </c>
      <c r="O634" t="n">
        <v>0</v>
      </c>
      <c r="P634" t="n">
        <v>0</v>
      </c>
      <c r="Q634" t="n">
        <v>0</v>
      </c>
      <c r="R634" s="2" t="inlineStr"/>
    </row>
    <row r="635" ht="15" customHeight="1">
      <c r="A635" t="inlineStr">
        <is>
          <t>A 62391-2022</t>
        </is>
      </c>
      <c r="B635" s="1" t="n">
        <v>44923</v>
      </c>
      <c r="C635" s="1" t="n">
        <v>45792</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57-2023</t>
        </is>
      </c>
      <c r="B636" s="1" t="n">
        <v>44928</v>
      </c>
      <c r="C636" s="1" t="n">
        <v>45792</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59-2023</t>
        </is>
      </c>
      <c r="B637" s="1" t="n">
        <v>44928</v>
      </c>
      <c r="C637" s="1" t="n">
        <v>45792</v>
      </c>
      <c r="D637" t="inlineStr">
        <is>
          <t>UPPSALA LÄN</t>
        </is>
      </c>
      <c r="E637" t="inlineStr">
        <is>
          <t>ÖSTHAMMAR</t>
        </is>
      </c>
      <c r="G637" t="n">
        <v>1.5</v>
      </c>
      <c r="H637" t="n">
        <v>0</v>
      </c>
      <c r="I637" t="n">
        <v>0</v>
      </c>
      <c r="J637" t="n">
        <v>0</v>
      </c>
      <c r="K637" t="n">
        <v>0</v>
      </c>
      <c r="L637" t="n">
        <v>0</v>
      </c>
      <c r="M637" t="n">
        <v>0</v>
      </c>
      <c r="N637" t="n">
        <v>0</v>
      </c>
      <c r="O637" t="n">
        <v>0</v>
      </c>
      <c r="P637" t="n">
        <v>0</v>
      </c>
      <c r="Q637" t="n">
        <v>0</v>
      </c>
      <c r="R637" s="2" t="inlineStr"/>
    </row>
    <row r="638" ht="15" customHeight="1">
      <c r="A638" t="inlineStr">
        <is>
          <t>A 390-2023</t>
        </is>
      </c>
      <c r="B638" s="1" t="n">
        <v>44929</v>
      </c>
      <c r="C638" s="1" t="n">
        <v>45792</v>
      </c>
      <c r="D638" t="inlineStr">
        <is>
          <t>UPPSALA LÄN</t>
        </is>
      </c>
      <c r="E638" t="inlineStr">
        <is>
          <t>ÖSTHAMMAR</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1791-2023</t>
        </is>
      </c>
      <c r="B639" s="1" t="n">
        <v>44938</v>
      </c>
      <c r="C639" s="1" t="n">
        <v>45792</v>
      </c>
      <c r="D639" t="inlineStr">
        <is>
          <t>UPPSALA LÄN</t>
        </is>
      </c>
      <c r="E639" t="inlineStr">
        <is>
          <t>ÖSTHAMMAR</t>
        </is>
      </c>
      <c r="G639" t="n">
        <v>2</v>
      </c>
      <c r="H639" t="n">
        <v>0</v>
      </c>
      <c r="I639" t="n">
        <v>0</v>
      </c>
      <c r="J639" t="n">
        <v>0</v>
      </c>
      <c r="K639" t="n">
        <v>0</v>
      </c>
      <c r="L639" t="n">
        <v>0</v>
      </c>
      <c r="M639" t="n">
        <v>0</v>
      </c>
      <c r="N639" t="n">
        <v>0</v>
      </c>
      <c r="O639" t="n">
        <v>0</v>
      </c>
      <c r="P639" t="n">
        <v>0</v>
      </c>
      <c r="Q639" t="n">
        <v>0</v>
      </c>
      <c r="R639" s="2" t="inlineStr"/>
    </row>
    <row r="640" ht="15" customHeight="1">
      <c r="A640" t="inlineStr">
        <is>
          <t>A 1800-2023</t>
        </is>
      </c>
      <c r="B640" s="1" t="n">
        <v>44938</v>
      </c>
      <c r="C640" s="1" t="n">
        <v>45792</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1796-2023</t>
        </is>
      </c>
      <c r="B641" s="1" t="n">
        <v>44938</v>
      </c>
      <c r="C641" s="1" t="n">
        <v>45792</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2733-2023</t>
        </is>
      </c>
      <c r="B642" s="1" t="n">
        <v>44943</v>
      </c>
      <c r="C642" s="1" t="n">
        <v>45792</v>
      </c>
      <c r="D642" t="inlineStr">
        <is>
          <t>UPPSALA LÄN</t>
        </is>
      </c>
      <c r="E642" t="inlineStr">
        <is>
          <t>ÖSTHAMMAR</t>
        </is>
      </c>
      <c r="G642" t="n">
        <v>2.6</v>
      </c>
      <c r="H642" t="n">
        <v>0</v>
      </c>
      <c r="I642" t="n">
        <v>0</v>
      </c>
      <c r="J642" t="n">
        <v>0</v>
      </c>
      <c r="K642" t="n">
        <v>0</v>
      </c>
      <c r="L642" t="n">
        <v>0</v>
      </c>
      <c r="M642" t="n">
        <v>0</v>
      </c>
      <c r="N642" t="n">
        <v>0</v>
      </c>
      <c r="O642" t="n">
        <v>0</v>
      </c>
      <c r="P642" t="n">
        <v>0</v>
      </c>
      <c r="Q642" t="n">
        <v>0</v>
      </c>
      <c r="R642" s="2" t="inlineStr"/>
    </row>
    <row r="643" ht="15" customHeight="1">
      <c r="A643" t="inlineStr">
        <is>
          <t>A 2967-2023</t>
        </is>
      </c>
      <c r="B643" s="1" t="n">
        <v>44945</v>
      </c>
      <c r="C643" s="1" t="n">
        <v>45792</v>
      </c>
      <c r="D643" t="inlineStr">
        <is>
          <t>UPPSALA LÄN</t>
        </is>
      </c>
      <c r="E643" t="inlineStr">
        <is>
          <t>ÖSTHAMMAR</t>
        </is>
      </c>
      <c r="F643" t="inlineStr">
        <is>
          <t>Övriga Aktiebolag</t>
        </is>
      </c>
      <c r="G643" t="n">
        <v>3.1</v>
      </c>
      <c r="H643" t="n">
        <v>0</v>
      </c>
      <c r="I643" t="n">
        <v>0</v>
      </c>
      <c r="J643" t="n">
        <v>0</v>
      </c>
      <c r="K643" t="n">
        <v>0</v>
      </c>
      <c r="L643" t="n">
        <v>0</v>
      </c>
      <c r="M643" t="n">
        <v>0</v>
      </c>
      <c r="N643" t="n">
        <v>0</v>
      </c>
      <c r="O643" t="n">
        <v>0</v>
      </c>
      <c r="P643" t="n">
        <v>0</v>
      </c>
      <c r="Q643" t="n">
        <v>0</v>
      </c>
      <c r="R643" s="2" t="inlineStr"/>
    </row>
    <row r="644" ht="15" customHeight="1">
      <c r="A644" t="inlineStr">
        <is>
          <t>A 3005-2023</t>
        </is>
      </c>
      <c r="B644" s="1" t="n">
        <v>44945</v>
      </c>
      <c r="C644" s="1" t="n">
        <v>45792</v>
      </c>
      <c r="D644" t="inlineStr">
        <is>
          <t>UPPSALA LÄN</t>
        </is>
      </c>
      <c r="E644" t="inlineStr">
        <is>
          <t>ÖSTHAMMAR</t>
        </is>
      </c>
      <c r="F644" t="inlineStr">
        <is>
          <t>Bergvik skog öst AB</t>
        </is>
      </c>
      <c r="G644" t="n">
        <v>6.5</v>
      </c>
      <c r="H644" t="n">
        <v>0</v>
      </c>
      <c r="I644" t="n">
        <v>0</v>
      </c>
      <c r="J644" t="n">
        <v>0</v>
      </c>
      <c r="K644" t="n">
        <v>0</v>
      </c>
      <c r="L644" t="n">
        <v>0</v>
      </c>
      <c r="M644" t="n">
        <v>0</v>
      </c>
      <c r="N644" t="n">
        <v>0</v>
      </c>
      <c r="O644" t="n">
        <v>0</v>
      </c>
      <c r="P644" t="n">
        <v>0</v>
      </c>
      <c r="Q644" t="n">
        <v>0</v>
      </c>
      <c r="R644" s="2" t="inlineStr"/>
    </row>
    <row r="645" ht="15" customHeight="1">
      <c r="A645" t="inlineStr">
        <is>
          <t>A 3743-2023</t>
        </is>
      </c>
      <c r="B645" s="1" t="n">
        <v>44948</v>
      </c>
      <c r="C645" s="1" t="n">
        <v>45792</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3327-2023</t>
        </is>
      </c>
      <c r="B646" s="1" t="n">
        <v>44949</v>
      </c>
      <c r="C646" s="1" t="n">
        <v>45792</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3514-2023</t>
        </is>
      </c>
      <c r="B647" s="1" t="n">
        <v>44950</v>
      </c>
      <c r="C647" s="1" t="n">
        <v>45792</v>
      </c>
      <c r="D647" t="inlineStr">
        <is>
          <t>UPPSALA LÄN</t>
        </is>
      </c>
      <c r="E647" t="inlineStr">
        <is>
          <t>ÖSTHAMMAR</t>
        </is>
      </c>
      <c r="F647" t="inlineStr">
        <is>
          <t>Övriga Aktiebolag</t>
        </is>
      </c>
      <c r="G647" t="n">
        <v>1.9</v>
      </c>
      <c r="H647" t="n">
        <v>0</v>
      </c>
      <c r="I647" t="n">
        <v>0</v>
      </c>
      <c r="J647" t="n">
        <v>0</v>
      </c>
      <c r="K647" t="n">
        <v>0</v>
      </c>
      <c r="L647" t="n">
        <v>0</v>
      </c>
      <c r="M647" t="n">
        <v>0</v>
      </c>
      <c r="N647" t="n">
        <v>0</v>
      </c>
      <c r="O647" t="n">
        <v>0</v>
      </c>
      <c r="P647" t="n">
        <v>0</v>
      </c>
      <c r="Q647" t="n">
        <v>0</v>
      </c>
      <c r="R647" s="2" t="inlineStr"/>
    </row>
    <row r="648" ht="15" customHeight="1">
      <c r="A648" t="inlineStr">
        <is>
          <t>A 4004-2023</t>
        </is>
      </c>
      <c r="B648" s="1" t="n">
        <v>44952</v>
      </c>
      <c r="C648" s="1" t="n">
        <v>45792</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4054-2023</t>
        </is>
      </c>
      <c r="B649" s="1" t="n">
        <v>44952</v>
      </c>
      <c r="C649" s="1" t="n">
        <v>45792</v>
      </c>
      <c r="D649" t="inlineStr">
        <is>
          <t>UPPSALA LÄN</t>
        </is>
      </c>
      <c r="E649" t="inlineStr">
        <is>
          <t>ÖSTHAMMAR</t>
        </is>
      </c>
      <c r="F649" t="inlineStr">
        <is>
          <t>Övriga Aktiebolag</t>
        </is>
      </c>
      <c r="G649" t="n">
        <v>1.1</v>
      </c>
      <c r="H649" t="n">
        <v>0</v>
      </c>
      <c r="I649" t="n">
        <v>0</v>
      </c>
      <c r="J649" t="n">
        <v>0</v>
      </c>
      <c r="K649" t="n">
        <v>0</v>
      </c>
      <c r="L649" t="n">
        <v>0</v>
      </c>
      <c r="M649" t="n">
        <v>0</v>
      </c>
      <c r="N649" t="n">
        <v>0</v>
      </c>
      <c r="O649" t="n">
        <v>0</v>
      </c>
      <c r="P649" t="n">
        <v>0</v>
      </c>
      <c r="Q649" t="n">
        <v>0</v>
      </c>
      <c r="R649" s="2" t="inlineStr"/>
    </row>
    <row r="650" ht="15" customHeight="1">
      <c r="A650" t="inlineStr">
        <is>
          <t>A 4233-2023</t>
        </is>
      </c>
      <c r="B650" s="1" t="n">
        <v>44953</v>
      </c>
      <c r="C650" s="1" t="n">
        <v>45792</v>
      </c>
      <c r="D650" t="inlineStr">
        <is>
          <t>UPPSALA LÄN</t>
        </is>
      </c>
      <c r="E650" t="inlineStr">
        <is>
          <t>ÖSTHAMMAR</t>
        </is>
      </c>
      <c r="G650" t="n">
        <v>0.9</v>
      </c>
      <c r="H650" t="n">
        <v>0</v>
      </c>
      <c r="I650" t="n">
        <v>0</v>
      </c>
      <c r="J650" t="n">
        <v>0</v>
      </c>
      <c r="K650" t="n">
        <v>0</v>
      </c>
      <c r="L650" t="n">
        <v>0</v>
      </c>
      <c r="M650" t="n">
        <v>0</v>
      </c>
      <c r="N650" t="n">
        <v>0</v>
      </c>
      <c r="O650" t="n">
        <v>0</v>
      </c>
      <c r="P650" t="n">
        <v>0</v>
      </c>
      <c r="Q650" t="n">
        <v>0</v>
      </c>
      <c r="R650" s="2" t="inlineStr"/>
    </row>
    <row r="651" ht="15" customHeight="1">
      <c r="A651" t="inlineStr">
        <is>
          <t>A 4228-2023</t>
        </is>
      </c>
      <c r="B651" s="1" t="n">
        <v>44953</v>
      </c>
      <c r="C651" s="1" t="n">
        <v>45792</v>
      </c>
      <c r="D651" t="inlineStr">
        <is>
          <t>UPPSALA LÄN</t>
        </is>
      </c>
      <c r="E651" t="inlineStr">
        <is>
          <t>ÖSTHAMMAR</t>
        </is>
      </c>
      <c r="G651" t="n">
        <v>1</v>
      </c>
      <c r="H651" t="n">
        <v>0</v>
      </c>
      <c r="I651" t="n">
        <v>0</v>
      </c>
      <c r="J651" t="n">
        <v>0</v>
      </c>
      <c r="K651" t="n">
        <v>0</v>
      </c>
      <c r="L651" t="n">
        <v>0</v>
      </c>
      <c r="M651" t="n">
        <v>0</v>
      </c>
      <c r="N651" t="n">
        <v>0</v>
      </c>
      <c r="O651" t="n">
        <v>0</v>
      </c>
      <c r="P651" t="n">
        <v>0</v>
      </c>
      <c r="Q651" t="n">
        <v>0</v>
      </c>
      <c r="R651" s="2" t="inlineStr"/>
    </row>
    <row r="652" ht="15" customHeight="1">
      <c r="A652" t="inlineStr">
        <is>
          <t>A 4361-2023</t>
        </is>
      </c>
      <c r="B652" s="1" t="n">
        <v>44954</v>
      </c>
      <c r="C652" s="1" t="n">
        <v>45792</v>
      </c>
      <c r="D652" t="inlineStr">
        <is>
          <t>UPPSALA LÄN</t>
        </is>
      </c>
      <c r="E652" t="inlineStr">
        <is>
          <t>ÖSTHAMMAR</t>
        </is>
      </c>
      <c r="F652" t="inlineStr">
        <is>
          <t>Bergvik skog öst AB</t>
        </is>
      </c>
      <c r="G652" t="n">
        <v>18.3</v>
      </c>
      <c r="H652" t="n">
        <v>0</v>
      </c>
      <c r="I652" t="n">
        <v>0</v>
      </c>
      <c r="J652" t="n">
        <v>0</v>
      </c>
      <c r="K652" t="n">
        <v>0</v>
      </c>
      <c r="L652" t="n">
        <v>0</v>
      </c>
      <c r="M652" t="n">
        <v>0</v>
      </c>
      <c r="N652" t="n">
        <v>0</v>
      </c>
      <c r="O652" t="n">
        <v>0</v>
      </c>
      <c r="P652" t="n">
        <v>0</v>
      </c>
      <c r="Q652" t="n">
        <v>0</v>
      </c>
      <c r="R652" s="2" t="inlineStr"/>
    </row>
    <row r="653" ht="15" customHeight="1">
      <c r="A653" t="inlineStr">
        <is>
          <t>A 5404-2023</t>
        </is>
      </c>
      <c r="B653" s="1" t="n">
        <v>44957</v>
      </c>
      <c r="C653" s="1" t="n">
        <v>45792</v>
      </c>
      <c r="D653" t="inlineStr">
        <is>
          <t>UPPSALA LÄN</t>
        </is>
      </c>
      <c r="E653" t="inlineStr">
        <is>
          <t>ÖSTHAMMAR</t>
        </is>
      </c>
      <c r="G653" t="n">
        <v>2.5</v>
      </c>
      <c r="H653" t="n">
        <v>0</v>
      </c>
      <c r="I653" t="n">
        <v>0</v>
      </c>
      <c r="J653" t="n">
        <v>0</v>
      </c>
      <c r="K653" t="n">
        <v>0</v>
      </c>
      <c r="L653" t="n">
        <v>0</v>
      </c>
      <c r="M653" t="n">
        <v>0</v>
      </c>
      <c r="N653" t="n">
        <v>0</v>
      </c>
      <c r="O653" t="n">
        <v>0</v>
      </c>
      <c r="P653" t="n">
        <v>0</v>
      </c>
      <c r="Q653" t="n">
        <v>0</v>
      </c>
      <c r="R653" s="2" t="inlineStr"/>
    </row>
    <row r="654" ht="15" customHeight="1">
      <c r="A654" t="inlineStr">
        <is>
          <t>A 5429-2023</t>
        </is>
      </c>
      <c r="B654" s="1" t="n">
        <v>44959</v>
      </c>
      <c r="C654" s="1" t="n">
        <v>45792</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5430-2023</t>
        </is>
      </c>
      <c r="B655" s="1" t="n">
        <v>44959</v>
      </c>
      <c r="C655" s="1" t="n">
        <v>45792</v>
      </c>
      <c r="D655" t="inlineStr">
        <is>
          <t>UPPSALA LÄN</t>
        </is>
      </c>
      <c r="E655" t="inlineStr">
        <is>
          <t>ÖSTHAMMAR</t>
        </is>
      </c>
      <c r="F655" t="inlineStr">
        <is>
          <t>Bergvik skog öst AB</t>
        </is>
      </c>
      <c r="G655" t="n">
        <v>18.4</v>
      </c>
      <c r="H655" t="n">
        <v>0</v>
      </c>
      <c r="I655" t="n">
        <v>0</v>
      </c>
      <c r="J655" t="n">
        <v>0</v>
      </c>
      <c r="K655" t="n">
        <v>0</v>
      </c>
      <c r="L655" t="n">
        <v>0</v>
      </c>
      <c r="M655" t="n">
        <v>0</v>
      </c>
      <c r="N655" t="n">
        <v>0</v>
      </c>
      <c r="O655" t="n">
        <v>0</v>
      </c>
      <c r="P655" t="n">
        <v>0</v>
      </c>
      <c r="Q655" t="n">
        <v>0</v>
      </c>
      <c r="R655" s="2" t="inlineStr"/>
    </row>
    <row r="656" ht="15" customHeight="1">
      <c r="A656" t="inlineStr">
        <is>
          <t>A 5643-2023</t>
        </is>
      </c>
      <c r="B656" s="1" t="n">
        <v>44960</v>
      </c>
      <c r="C656" s="1" t="n">
        <v>45792</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6629-2023</t>
        </is>
      </c>
      <c r="B657" s="1" t="n">
        <v>44960</v>
      </c>
      <c r="C657" s="1" t="n">
        <v>45792</v>
      </c>
      <c r="D657" t="inlineStr">
        <is>
          <t>UPPSALA LÄN</t>
        </is>
      </c>
      <c r="E657" t="inlineStr">
        <is>
          <t>ÖSTHAMMAR</t>
        </is>
      </c>
      <c r="G657" t="n">
        <v>4.6</v>
      </c>
      <c r="H657" t="n">
        <v>0</v>
      </c>
      <c r="I657" t="n">
        <v>0</v>
      </c>
      <c r="J657" t="n">
        <v>0</v>
      </c>
      <c r="K657" t="n">
        <v>0</v>
      </c>
      <c r="L657" t="n">
        <v>0</v>
      </c>
      <c r="M657" t="n">
        <v>0</v>
      </c>
      <c r="N657" t="n">
        <v>0</v>
      </c>
      <c r="O657" t="n">
        <v>0</v>
      </c>
      <c r="P657" t="n">
        <v>0</v>
      </c>
      <c r="Q657" t="n">
        <v>0</v>
      </c>
      <c r="R657" s="2" t="inlineStr"/>
    </row>
    <row r="658" ht="15" customHeight="1">
      <c r="A658" t="inlineStr">
        <is>
          <t>A 6635-2023</t>
        </is>
      </c>
      <c r="B658" s="1" t="n">
        <v>44960</v>
      </c>
      <c r="C658" s="1" t="n">
        <v>45792</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5832-2023</t>
        </is>
      </c>
      <c r="B659" s="1" t="n">
        <v>44963</v>
      </c>
      <c r="C659" s="1" t="n">
        <v>45792</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5836-2023</t>
        </is>
      </c>
      <c r="B660" s="1" t="n">
        <v>44963</v>
      </c>
      <c r="C660" s="1" t="n">
        <v>45792</v>
      </c>
      <c r="D660" t="inlineStr">
        <is>
          <t>UPPSALA LÄN</t>
        </is>
      </c>
      <c r="E660" t="inlineStr">
        <is>
          <t>ÖSTHAMMAR</t>
        </is>
      </c>
      <c r="G660" t="n">
        <v>1.7</v>
      </c>
      <c r="H660" t="n">
        <v>0</v>
      </c>
      <c r="I660" t="n">
        <v>0</v>
      </c>
      <c r="J660" t="n">
        <v>0</v>
      </c>
      <c r="K660" t="n">
        <v>0</v>
      </c>
      <c r="L660" t="n">
        <v>0</v>
      </c>
      <c r="M660" t="n">
        <v>0</v>
      </c>
      <c r="N660" t="n">
        <v>0</v>
      </c>
      <c r="O660" t="n">
        <v>0</v>
      </c>
      <c r="P660" t="n">
        <v>0</v>
      </c>
      <c r="Q660" t="n">
        <v>0</v>
      </c>
      <c r="R660" s="2" t="inlineStr"/>
    </row>
    <row r="661" ht="15" customHeight="1">
      <c r="A661" t="inlineStr">
        <is>
          <t>A 5831-2023</t>
        </is>
      </c>
      <c r="B661" s="1" t="n">
        <v>44963</v>
      </c>
      <c r="C661" s="1" t="n">
        <v>45792</v>
      </c>
      <c r="D661" t="inlineStr">
        <is>
          <t>UPPSALA LÄN</t>
        </is>
      </c>
      <c r="E661" t="inlineStr">
        <is>
          <t>ÖSTHAMMAR</t>
        </is>
      </c>
      <c r="G661" t="n">
        <v>8.1</v>
      </c>
      <c r="H661" t="n">
        <v>0</v>
      </c>
      <c r="I661" t="n">
        <v>0</v>
      </c>
      <c r="J661" t="n">
        <v>0</v>
      </c>
      <c r="K661" t="n">
        <v>0</v>
      </c>
      <c r="L661" t="n">
        <v>0</v>
      </c>
      <c r="M661" t="n">
        <v>0</v>
      </c>
      <c r="N661" t="n">
        <v>0</v>
      </c>
      <c r="O661" t="n">
        <v>0</v>
      </c>
      <c r="P661" t="n">
        <v>0</v>
      </c>
      <c r="Q661" t="n">
        <v>0</v>
      </c>
      <c r="R661" s="2" t="inlineStr"/>
    </row>
    <row r="662" ht="15" customHeight="1">
      <c r="A662" t="inlineStr">
        <is>
          <t>A 5857-2023</t>
        </is>
      </c>
      <c r="B662" s="1" t="n">
        <v>44963</v>
      </c>
      <c r="C662" s="1" t="n">
        <v>45792</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5884-2023</t>
        </is>
      </c>
      <c r="B663" s="1" t="n">
        <v>44963</v>
      </c>
      <c r="C663" s="1" t="n">
        <v>45792</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5877-2023</t>
        </is>
      </c>
      <c r="B664" s="1" t="n">
        <v>44963</v>
      </c>
      <c r="C664" s="1" t="n">
        <v>45792</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7195-2023</t>
        </is>
      </c>
      <c r="B665" s="1" t="n">
        <v>44970</v>
      </c>
      <c r="C665" s="1" t="n">
        <v>45792</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7206-2023</t>
        </is>
      </c>
      <c r="B666" s="1" t="n">
        <v>44970</v>
      </c>
      <c r="C666" s="1" t="n">
        <v>45792</v>
      </c>
      <c r="D666" t="inlineStr">
        <is>
          <t>UPPSALA LÄN</t>
        </is>
      </c>
      <c r="E666" t="inlineStr">
        <is>
          <t>ÖSTHAMMAR</t>
        </is>
      </c>
      <c r="G666" t="n">
        <v>1</v>
      </c>
      <c r="H666" t="n">
        <v>0</v>
      </c>
      <c r="I666" t="n">
        <v>0</v>
      </c>
      <c r="J666" t="n">
        <v>0</v>
      </c>
      <c r="K666" t="n">
        <v>0</v>
      </c>
      <c r="L666" t="n">
        <v>0</v>
      </c>
      <c r="M666" t="n">
        <v>0</v>
      </c>
      <c r="N666" t="n">
        <v>0</v>
      </c>
      <c r="O666" t="n">
        <v>0</v>
      </c>
      <c r="P666" t="n">
        <v>0</v>
      </c>
      <c r="Q666" t="n">
        <v>0</v>
      </c>
      <c r="R666" s="2" t="inlineStr"/>
    </row>
    <row r="667" ht="15" customHeight="1">
      <c r="A667" t="inlineStr">
        <is>
          <t>A 7118-2023</t>
        </is>
      </c>
      <c r="B667" s="1" t="n">
        <v>44970</v>
      </c>
      <c r="C667" s="1" t="n">
        <v>45792</v>
      </c>
      <c r="D667" t="inlineStr">
        <is>
          <t>UPPSALA LÄN</t>
        </is>
      </c>
      <c r="E667" t="inlineStr">
        <is>
          <t>ÖSTHAMMAR</t>
        </is>
      </c>
      <c r="G667" t="n">
        <v>2.1</v>
      </c>
      <c r="H667" t="n">
        <v>0</v>
      </c>
      <c r="I667" t="n">
        <v>0</v>
      </c>
      <c r="J667" t="n">
        <v>0</v>
      </c>
      <c r="K667" t="n">
        <v>0</v>
      </c>
      <c r="L667" t="n">
        <v>0</v>
      </c>
      <c r="M667" t="n">
        <v>0</v>
      </c>
      <c r="N667" t="n">
        <v>0</v>
      </c>
      <c r="O667" t="n">
        <v>0</v>
      </c>
      <c r="P667" t="n">
        <v>0</v>
      </c>
      <c r="Q667" t="n">
        <v>0</v>
      </c>
      <c r="R667" s="2" t="inlineStr"/>
    </row>
    <row r="668" ht="15" customHeight="1">
      <c r="A668" t="inlineStr">
        <is>
          <t>A 7546-2023</t>
        </is>
      </c>
      <c r="B668" s="1" t="n">
        <v>44972</v>
      </c>
      <c r="C668" s="1" t="n">
        <v>45792</v>
      </c>
      <c r="D668" t="inlineStr">
        <is>
          <t>UPPSALA LÄN</t>
        </is>
      </c>
      <c r="E668" t="inlineStr">
        <is>
          <t>ÖSTHAMMAR</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7543-2023</t>
        </is>
      </c>
      <c r="B669" s="1" t="n">
        <v>44972</v>
      </c>
      <c r="C669" s="1" t="n">
        <v>45792</v>
      </c>
      <c r="D669" t="inlineStr">
        <is>
          <t>UPPSALA LÄN</t>
        </is>
      </c>
      <c r="E669" t="inlineStr">
        <is>
          <t>ÖSTHAMMAR</t>
        </is>
      </c>
      <c r="F669" t="inlineStr">
        <is>
          <t>Bergvik skog öst AB</t>
        </is>
      </c>
      <c r="G669" t="n">
        <v>13.3</v>
      </c>
      <c r="H669" t="n">
        <v>0</v>
      </c>
      <c r="I669" t="n">
        <v>0</v>
      </c>
      <c r="J669" t="n">
        <v>0</v>
      </c>
      <c r="K669" t="n">
        <v>0</v>
      </c>
      <c r="L669" t="n">
        <v>0</v>
      </c>
      <c r="M669" t="n">
        <v>0</v>
      </c>
      <c r="N669" t="n">
        <v>0</v>
      </c>
      <c r="O669" t="n">
        <v>0</v>
      </c>
      <c r="P669" t="n">
        <v>0</v>
      </c>
      <c r="Q669" t="n">
        <v>0</v>
      </c>
      <c r="R669" s="2" t="inlineStr"/>
    </row>
    <row r="670" ht="15" customHeight="1">
      <c r="A670" t="inlineStr">
        <is>
          <t>A 7560-2023</t>
        </is>
      </c>
      <c r="B670" s="1" t="n">
        <v>44972</v>
      </c>
      <c r="C670" s="1" t="n">
        <v>45792</v>
      </c>
      <c r="D670" t="inlineStr">
        <is>
          <t>UPPSALA LÄN</t>
        </is>
      </c>
      <c r="E670" t="inlineStr">
        <is>
          <t>ÖSTHAMMAR</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7876-2023</t>
        </is>
      </c>
      <c r="B671" s="1" t="n">
        <v>44973</v>
      </c>
      <c r="C671" s="1" t="n">
        <v>45792</v>
      </c>
      <c r="D671" t="inlineStr">
        <is>
          <t>UPPSALA LÄN</t>
        </is>
      </c>
      <c r="E671" t="inlineStr">
        <is>
          <t>ÖSTHAMMAR</t>
        </is>
      </c>
      <c r="G671" t="n">
        <v>0.9</v>
      </c>
      <c r="H671" t="n">
        <v>0</v>
      </c>
      <c r="I671" t="n">
        <v>0</v>
      </c>
      <c r="J671" t="n">
        <v>0</v>
      </c>
      <c r="K671" t="n">
        <v>0</v>
      </c>
      <c r="L671" t="n">
        <v>0</v>
      </c>
      <c r="M671" t="n">
        <v>0</v>
      </c>
      <c r="N671" t="n">
        <v>0</v>
      </c>
      <c r="O671" t="n">
        <v>0</v>
      </c>
      <c r="P671" t="n">
        <v>0</v>
      </c>
      <c r="Q671" t="n">
        <v>0</v>
      </c>
      <c r="R671" s="2" t="inlineStr"/>
    </row>
    <row r="672" ht="15" customHeight="1">
      <c r="A672" t="inlineStr">
        <is>
          <t>A 7944-2023</t>
        </is>
      </c>
      <c r="B672" s="1" t="n">
        <v>44973</v>
      </c>
      <c r="C672" s="1" t="n">
        <v>45792</v>
      </c>
      <c r="D672" t="inlineStr">
        <is>
          <t>UPPSALA LÄN</t>
        </is>
      </c>
      <c r="E672" t="inlineStr">
        <is>
          <t>ÖSTHAMMAR</t>
        </is>
      </c>
      <c r="G672" t="n">
        <v>4.6</v>
      </c>
      <c r="H672" t="n">
        <v>0</v>
      </c>
      <c r="I672" t="n">
        <v>0</v>
      </c>
      <c r="J672" t="n">
        <v>0</v>
      </c>
      <c r="K672" t="n">
        <v>0</v>
      </c>
      <c r="L672" t="n">
        <v>0</v>
      </c>
      <c r="M672" t="n">
        <v>0</v>
      </c>
      <c r="N672" t="n">
        <v>0</v>
      </c>
      <c r="O672" t="n">
        <v>0</v>
      </c>
      <c r="P672" t="n">
        <v>0</v>
      </c>
      <c r="Q672" t="n">
        <v>0</v>
      </c>
      <c r="R672" s="2" t="inlineStr"/>
    </row>
    <row r="673" ht="15" customHeight="1">
      <c r="A673" t="inlineStr">
        <is>
          <t>A 7975-2023</t>
        </is>
      </c>
      <c r="B673" s="1" t="n">
        <v>44973</v>
      </c>
      <c r="C673" s="1" t="n">
        <v>45792</v>
      </c>
      <c r="D673" t="inlineStr">
        <is>
          <t>UPPSALA LÄN</t>
        </is>
      </c>
      <c r="E673" t="inlineStr">
        <is>
          <t>ÖSTHAMMAR</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8006-2023</t>
        </is>
      </c>
      <c r="B674" s="1" t="n">
        <v>44973</v>
      </c>
      <c r="C674" s="1" t="n">
        <v>45792</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8616-2023</t>
        </is>
      </c>
      <c r="B675" s="1" t="n">
        <v>44977</v>
      </c>
      <c r="C675" s="1" t="n">
        <v>45792</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8826-2023</t>
        </is>
      </c>
      <c r="B676" s="1" t="n">
        <v>44978</v>
      </c>
      <c r="C676" s="1" t="n">
        <v>45792</v>
      </c>
      <c r="D676" t="inlineStr">
        <is>
          <t>UPPSALA LÄN</t>
        </is>
      </c>
      <c r="E676" t="inlineStr">
        <is>
          <t>ÖSTHAMMAR</t>
        </is>
      </c>
      <c r="F676" t="inlineStr">
        <is>
          <t>Bergvik skog öst AB</t>
        </is>
      </c>
      <c r="G676" t="n">
        <v>4.3</v>
      </c>
      <c r="H676" t="n">
        <v>0</v>
      </c>
      <c r="I676" t="n">
        <v>0</v>
      </c>
      <c r="J676" t="n">
        <v>0</v>
      </c>
      <c r="K676" t="n">
        <v>0</v>
      </c>
      <c r="L676" t="n">
        <v>0</v>
      </c>
      <c r="M676" t="n">
        <v>0</v>
      </c>
      <c r="N676" t="n">
        <v>0</v>
      </c>
      <c r="O676" t="n">
        <v>0</v>
      </c>
      <c r="P676" t="n">
        <v>0</v>
      </c>
      <c r="Q676" t="n">
        <v>0</v>
      </c>
      <c r="R676" s="2" t="inlineStr"/>
    </row>
    <row r="677" ht="15" customHeight="1">
      <c r="A677" t="inlineStr">
        <is>
          <t>A 8830-2023</t>
        </is>
      </c>
      <c r="B677" s="1" t="n">
        <v>44978</v>
      </c>
      <c r="C677" s="1" t="n">
        <v>45792</v>
      </c>
      <c r="D677" t="inlineStr">
        <is>
          <t>UPPSALA LÄN</t>
        </is>
      </c>
      <c r="E677" t="inlineStr">
        <is>
          <t>ÖSTHAMMAR</t>
        </is>
      </c>
      <c r="F677" t="inlineStr">
        <is>
          <t>Bergvik skog öst AB</t>
        </is>
      </c>
      <c r="G677" t="n">
        <v>1.6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45792</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9543-2023</t>
        </is>
      </c>
      <c r="B679" s="1" t="n">
        <v>44981</v>
      </c>
      <c r="C679" s="1" t="n">
        <v>45792</v>
      </c>
      <c r="D679" t="inlineStr">
        <is>
          <t>UPPSALA LÄN</t>
        </is>
      </c>
      <c r="E679" t="inlineStr">
        <is>
          <t>ÖSTHAMMAR</t>
        </is>
      </c>
      <c r="F679" t="inlineStr">
        <is>
          <t>Bergvik skog öst AB</t>
        </is>
      </c>
      <c r="G679" t="n">
        <v>5.9</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45792</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10449-2023</t>
        </is>
      </c>
      <c r="B681" s="1" t="n">
        <v>44987</v>
      </c>
      <c r="C681" s="1" t="n">
        <v>45792</v>
      </c>
      <c r="D681" t="inlineStr">
        <is>
          <t>UPPSALA LÄN</t>
        </is>
      </c>
      <c r="E681" t="inlineStr">
        <is>
          <t>ÖSTHAMMAR</t>
        </is>
      </c>
      <c r="G681" t="n">
        <v>3.1</v>
      </c>
      <c r="H681" t="n">
        <v>0</v>
      </c>
      <c r="I681" t="n">
        <v>0</v>
      </c>
      <c r="J681" t="n">
        <v>0</v>
      </c>
      <c r="K681" t="n">
        <v>0</v>
      </c>
      <c r="L681" t="n">
        <v>0</v>
      </c>
      <c r="M681" t="n">
        <v>0</v>
      </c>
      <c r="N681" t="n">
        <v>0</v>
      </c>
      <c r="O681" t="n">
        <v>0</v>
      </c>
      <c r="P681" t="n">
        <v>0</v>
      </c>
      <c r="Q681" t="n">
        <v>0</v>
      </c>
      <c r="R681" s="2" t="inlineStr"/>
    </row>
    <row r="682" ht="15" customHeight="1">
      <c r="A682" t="inlineStr">
        <is>
          <t>A 11017-2023</t>
        </is>
      </c>
      <c r="B682" s="1" t="n">
        <v>44991</v>
      </c>
      <c r="C682" s="1" t="n">
        <v>45792</v>
      </c>
      <c r="D682" t="inlineStr">
        <is>
          <t>UPPSALA LÄN</t>
        </is>
      </c>
      <c r="E682" t="inlineStr">
        <is>
          <t>ÖSTHAMMAR</t>
        </is>
      </c>
      <c r="G682" t="n">
        <v>1.9</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45792</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11008-2023</t>
        </is>
      </c>
      <c r="B684" s="1" t="n">
        <v>44991</v>
      </c>
      <c r="C684" s="1" t="n">
        <v>45792</v>
      </c>
      <c r="D684" t="inlineStr">
        <is>
          <t>UPPSALA LÄN</t>
        </is>
      </c>
      <c r="E684" t="inlineStr">
        <is>
          <t>ÖSTHAMMAR</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11015-2023</t>
        </is>
      </c>
      <c r="B685" s="1" t="n">
        <v>44991</v>
      </c>
      <c r="C685" s="1" t="n">
        <v>45792</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11036-2023</t>
        </is>
      </c>
      <c r="B686" s="1" t="n">
        <v>44991</v>
      </c>
      <c r="C686" s="1" t="n">
        <v>45792</v>
      </c>
      <c r="D686" t="inlineStr">
        <is>
          <t>UPPSALA LÄN</t>
        </is>
      </c>
      <c r="E686" t="inlineStr">
        <is>
          <t>ÖSTHAMMAR</t>
        </is>
      </c>
      <c r="F686" t="inlineStr">
        <is>
          <t>Bergvik skog öst AB</t>
        </is>
      </c>
      <c r="G686" t="n">
        <v>3</v>
      </c>
      <c r="H686" t="n">
        <v>0</v>
      </c>
      <c r="I686" t="n">
        <v>0</v>
      </c>
      <c r="J686" t="n">
        <v>0</v>
      </c>
      <c r="K686" t="n">
        <v>0</v>
      </c>
      <c r="L686" t="n">
        <v>0</v>
      </c>
      <c r="M686" t="n">
        <v>0</v>
      </c>
      <c r="N686" t="n">
        <v>0</v>
      </c>
      <c r="O686" t="n">
        <v>0</v>
      </c>
      <c r="P686" t="n">
        <v>0</v>
      </c>
      <c r="Q686" t="n">
        <v>0</v>
      </c>
      <c r="R686" s="2" t="inlineStr"/>
    </row>
    <row r="687" ht="15" customHeight="1">
      <c r="A687" t="inlineStr">
        <is>
          <t>A 11009-2023</t>
        </is>
      </c>
      <c r="B687" s="1" t="n">
        <v>44991</v>
      </c>
      <c r="C687" s="1" t="n">
        <v>45792</v>
      </c>
      <c r="D687" t="inlineStr">
        <is>
          <t>UPPSALA LÄN</t>
        </is>
      </c>
      <c r="E687" t="inlineStr">
        <is>
          <t>ÖSTHAMMAR</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11033-2023</t>
        </is>
      </c>
      <c r="B688" s="1" t="n">
        <v>44991</v>
      </c>
      <c r="C688" s="1" t="n">
        <v>45792</v>
      </c>
      <c r="D688" t="inlineStr">
        <is>
          <t>UPPSALA LÄN</t>
        </is>
      </c>
      <c r="E688" t="inlineStr">
        <is>
          <t>ÖSTHAMMAR</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11282-2023</t>
        </is>
      </c>
      <c r="B689" s="1" t="n">
        <v>44992</v>
      </c>
      <c r="C689" s="1" t="n">
        <v>45792</v>
      </c>
      <c r="D689" t="inlineStr">
        <is>
          <t>UPPSALA LÄN</t>
        </is>
      </c>
      <c r="E689" t="inlineStr">
        <is>
          <t>ÖSTHAMMAR</t>
        </is>
      </c>
      <c r="F689" t="inlineStr">
        <is>
          <t>Bergvik skog öst AB</t>
        </is>
      </c>
      <c r="G689" t="n">
        <v>12.3</v>
      </c>
      <c r="H689" t="n">
        <v>0</v>
      </c>
      <c r="I689" t="n">
        <v>0</v>
      </c>
      <c r="J689" t="n">
        <v>0</v>
      </c>
      <c r="K689" t="n">
        <v>0</v>
      </c>
      <c r="L689" t="n">
        <v>0</v>
      </c>
      <c r="M689" t="n">
        <v>0</v>
      </c>
      <c r="N689" t="n">
        <v>0</v>
      </c>
      <c r="O689" t="n">
        <v>0</v>
      </c>
      <c r="P689" t="n">
        <v>0</v>
      </c>
      <c r="Q689" t="n">
        <v>0</v>
      </c>
      <c r="R689" s="2" t="inlineStr"/>
    </row>
    <row r="690" ht="15" customHeight="1">
      <c r="A690" t="inlineStr">
        <is>
          <t>A 11281-2023</t>
        </is>
      </c>
      <c r="B690" s="1" t="n">
        <v>44992</v>
      </c>
      <c r="C690" s="1" t="n">
        <v>45792</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11469-2023</t>
        </is>
      </c>
      <c r="B691" s="1" t="n">
        <v>44993</v>
      </c>
      <c r="C691" s="1" t="n">
        <v>45792</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12190-2023</t>
        </is>
      </c>
      <c r="B692" s="1" t="n">
        <v>44995</v>
      </c>
      <c r="C692" s="1" t="n">
        <v>45792</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12186-2023</t>
        </is>
      </c>
      <c r="B693" s="1" t="n">
        <v>44995</v>
      </c>
      <c r="C693" s="1" t="n">
        <v>45792</v>
      </c>
      <c r="D693" t="inlineStr">
        <is>
          <t>UPPSALA LÄN</t>
        </is>
      </c>
      <c r="E693" t="inlineStr">
        <is>
          <t>ÖSTHAMMAR</t>
        </is>
      </c>
      <c r="G693" t="n">
        <v>5.7</v>
      </c>
      <c r="H693" t="n">
        <v>0</v>
      </c>
      <c r="I693" t="n">
        <v>0</v>
      </c>
      <c r="J693" t="n">
        <v>0</v>
      </c>
      <c r="K693" t="n">
        <v>0</v>
      </c>
      <c r="L693" t="n">
        <v>0</v>
      </c>
      <c r="M693" t="n">
        <v>0</v>
      </c>
      <c r="N693" t="n">
        <v>0</v>
      </c>
      <c r="O693" t="n">
        <v>0</v>
      </c>
      <c r="P693" t="n">
        <v>0</v>
      </c>
      <c r="Q693" t="n">
        <v>0</v>
      </c>
      <c r="R693" s="2" t="inlineStr"/>
    </row>
    <row r="694" ht="15" customHeight="1">
      <c r="A694" t="inlineStr">
        <is>
          <t>A 12262-2023</t>
        </is>
      </c>
      <c r="B694" s="1" t="n">
        <v>44998</v>
      </c>
      <c r="C694" s="1" t="n">
        <v>45792</v>
      </c>
      <c r="D694" t="inlineStr">
        <is>
          <t>UPPSALA LÄN</t>
        </is>
      </c>
      <c r="E694" t="inlineStr">
        <is>
          <t>ÖSTHAMMAR</t>
        </is>
      </c>
      <c r="G694" t="n">
        <v>4.1</v>
      </c>
      <c r="H694" t="n">
        <v>0</v>
      </c>
      <c r="I694" t="n">
        <v>0</v>
      </c>
      <c r="J694" t="n">
        <v>0</v>
      </c>
      <c r="K694" t="n">
        <v>0</v>
      </c>
      <c r="L694" t="n">
        <v>0</v>
      </c>
      <c r="M694" t="n">
        <v>0</v>
      </c>
      <c r="N694" t="n">
        <v>0</v>
      </c>
      <c r="O694" t="n">
        <v>0</v>
      </c>
      <c r="P694" t="n">
        <v>0</v>
      </c>
      <c r="Q694" t="n">
        <v>0</v>
      </c>
      <c r="R694" s="2" t="inlineStr"/>
    </row>
    <row r="695" ht="15" customHeight="1">
      <c r="A695" t="inlineStr">
        <is>
          <t>A 12215-2023</t>
        </is>
      </c>
      <c r="B695" s="1" t="n">
        <v>44998</v>
      </c>
      <c r="C695" s="1" t="n">
        <v>45792</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12497-2023</t>
        </is>
      </c>
      <c r="B696" s="1" t="n">
        <v>44999</v>
      </c>
      <c r="C696" s="1" t="n">
        <v>45792</v>
      </c>
      <c r="D696" t="inlineStr">
        <is>
          <t>UPPSALA LÄN</t>
        </is>
      </c>
      <c r="E696" t="inlineStr">
        <is>
          <t>ÖSTHAMMAR</t>
        </is>
      </c>
      <c r="F696" t="inlineStr">
        <is>
          <t>Bergvik skog öst AB</t>
        </is>
      </c>
      <c r="G696" t="n">
        <v>3.6</v>
      </c>
      <c r="H696" t="n">
        <v>0</v>
      </c>
      <c r="I696" t="n">
        <v>0</v>
      </c>
      <c r="J696" t="n">
        <v>0</v>
      </c>
      <c r="K696" t="n">
        <v>0</v>
      </c>
      <c r="L696" t="n">
        <v>0</v>
      </c>
      <c r="M696" t="n">
        <v>0</v>
      </c>
      <c r="N696" t="n">
        <v>0</v>
      </c>
      <c r="O696" t="n">
        <v>0</v>
      </c>
      <c r="P696" t="n">
        <v>0</v>
      </c>
      <c r="Q696" t="n">
        <v>0</v>
      </c>
      <c r="R696" s="2" t="inlineStr"/>
    </row>
    <row r="697" ht="15" customHeight="1">
      <c r="A697" t="inlineStr">
        <is>
          <t>A 13336-2023</t>
        </is>
      </c>
      <c r="B697" s="1" t="n">
        <v>45005</v>
      </c>
      <c r="C697" s="1" t="n">
        <v>45792</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13352-2023</t>
        </is>
      </c>
      <c r="B698" s="1" t="n">
        <v>45005</v>
      </c>
      <c r="C698" s="1" t="n">
        <v>45792</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13643-2023</t>
        </is>
      </c>
      <c r="B699" s="1" t="n">
        <v>45006</v>
      </c>
      <c r="C699" s="1" t="n">
        <v>45792</v>
      </c>
      <c r="D699" t="inlineStr">
        <is>
          <t>UPPSALA LÄN</t>
        </is>
      </c>
      <c r="E699" t="inlineStr">
        <is>
          <t>ÖSTHAMMAR</t>
        </is>
      </c>
      <c r="G699" t="n">
        <v>2.8</v>
      </c>
      <c r="H699" t="n">
        <v>0</v>
      </c>
      <c r="I699" t="n">
        <v>0</v>
      </c>
      <c r="J699" t="n">
        <v>0</v>
      </c>
      <c r="K699" t="n">
        <v>0</v>
      </c>
      <c r="L699" t="n">
        <v>0</v>
      </c>
      <c r="M699" t="n">
        <v>0</v>
      </c>
      <c r="N699" t="n">
        <v>0</v>
      </c>
      <c r="O699" t="n">
        <v>0</v>
      </c>
      <c r="P699" t="n">
        <v>0</v>
      </c>
      <c r="Q699" t="n">
        <v>0</v>
      </c>
      <c r="R699" s="2" t="inlineStr"/>
    </row>
    <row r="700" ht="15" customHeight="1">
      <c r="A700" t="inlineStr">
        <is>
          <t>A 13580-2023</t>
        </is>
      </c>
      <c r="B700" s="1" t="n">
        <v>45006</v>
      </c>
      <c r="C700" s="1" t="n">
        <v>45792</v>
      </c>
      <c r="D700" t="inlineStr">
        <is>
          <t>UPPSALA LÄN</t>
        </is>
      </c>
      <c r="E700" t="inlineStr">
        <is>
          <t>ÖSTHAMMAR</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13584-2023</t>
        </is>
      </c>
      <c r="B701" s="1" t="n">
        <v>45006</v>
      </c>
      <c r="C701" s="1" t="n">
        <v>45792</v>
      </c>
      <c r="D701" t="inlineStr">
        <is>
          <t>UPPSALA LÄN</t>
        </is>
      </c>
      <c r="E701" t="inlineStr">
        <is>
          <t>ÖSTHAMMAR</t>
        </is>
      </c>
      <c r="F701" t="inlineStr">
        <is>
          <t>Övriga Aktiebolag</t>
        </is>
      </c>
      <c r="G701" t="n">
        <v>2.7</v>
      </c>
      <c r="H701" t="n">
        <v>0</v>
      </c>
      <c r="I701" t="n">
        <v>0</v>
      </c>
      <c r="J701" t="n">
        <v>0</v>
      </c>
      <c r="K701" t="n">
        <v>0</v>
      </c>
      <c r="L701" t="n">
        <v>0</v>
      </c>
      <c r="M701" t="n">
        <v>0</v>
      </c>
      <c r="N701" t="n">
        <v>0</v>
      </c>
      <c r="O701" t="n">
        <v>0</v>
      </c>
      <c r="P701" t="n">
        <v>0</v>
      </c>
      <c r="Q701" t="n">
        <v>0</v>
      </c>
      <c r="R701" s="2" t="inlineStr"/>
    </row>
    <row r="702" ht="15" customHeight="1">
      <c r="A702" t="inlineStr">
        <is>
          <t>A 13738-2023</t>
        </is>
      </c>
      <c r="B702" s="1" t="n">
        <v>45007</v>
      </c>
      <c r="C702" s="1" t="n">
        <v>45792</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13767-2023</t>
        </is>
      </c>
      <c r="B703" s="1" t="n">
        <v>45007</v>
      </c>
      <c r="C703" s="1" t="n">
        <v>45792</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13755-2023</t>
        </is>
      </c>
      <c r="B704" s="1" t="n">
        <v>45007</v>
      </c>
      <c r="C704" s="1" t="n">
        <v>45792</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13771-2023</t>
        </is>
      </c>
      <c r="B705" s="1" t="n">
        <v>45007</v>
      </c>
      <c r="C705" s="1" t="n">
        <v>45792</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13736-2023</t>
        </is>
      </c>
      <c r="B706" s="1" t="n">
        <v>45007</v>
      </c>
      <c r="C706" s="1" t="n">
        <v>45792</v>
      </c>
      <c r="D706" t="inlineStr">
        <is>
          <t>UPPSALA LÄN</t>
        </is>
      </c>
      <c r="E706" t="inlineStr">
        <is>
          <t>ÖSTHAMMAR</t>
        </is>
      </c>
      <c r="G706" t="n">
        <v>3.7</v>
      </c>
      <c r="H706" t="n">
        <v>0</v>
      </c>
      <c r="I706" t="n">
        <v>0</v>
      </c>
      <c r="J706" t="n">
        <v>0</v>
      </c>
      <c r="K706" t="n">
        <v>0</v>
      </c>
      <c r="L706" t="n">
        <v>0</v>
      </c>
      <c r="M706" t="n">
        <v>0</v>
      </c>
      <c r="N706" t="n">
        <v>0</v>
      </c>
      <c r="O706" t="n">
        <v>0</v>
      </c>
      <c r="P706" t="n">
        <v>0</v>
      </c>
      <c r="Q706" t="n">
        <v>0</v>
      </c>
      <c r="R706" s="2" t="inlineStr"/>
    </row>
    <row r="707" ht="15" customHeight="1">
      <c r="A707" t="inlineStr">
        <is>
          <t>A 14505-2023</t>
        </is>
      </c>
      <c r="B707" s="1" t="n">
        <v>45012</v>
      </c>
      <c r="C707" s="1" t="n">
        <v>45792</v>
      </c>
      <c r="D707" t="inlineStr">
        <is>
          <t>UPPSALA LÄN</t>
        </is>
      </c>
      <c r="E707" t="inlineStr">
        <is>
          <t>ÖSTHAMMAR</t>
        </is>
      </c>
      <c r="F707" t="inlineStr">
        <is>
          <t>Bergvik skog öst AB</t>
        </is>
      </c>
      <c r="G707" t="n">
        <v>1.1</v>
      </c>
      <c r="H707" t="n">
        <v>0</v>
      </c>
      <c r="I707" t="n">
        <v>0</v>
      </c>
      <c r="J707" t="n">
        <v>0</v>
      </c>
      <c r="K707" t="n">
        <v>0</v>
      </c>
      <c r="L707" t="n">
        <v>0</v>
      </c>
      <c r="M707" t="n">
        <v>0</v>
      </c>
      <c r="N707" t="n">
        <v>0</v>
      </c>
      <c r="O707" t="n">
        <v>0</v>
      </c>
      <c r="P707" t="n">
        <v>0</v>
      </c>
      <c r="Q707" t="n">
        <v>0</v>
      </c>
      <c r="R707" s="2" t="inlineStr"/>
    </row>
    <row r="708" ht="15" customHeight="1">
      <c r="A708" t="inlineStr">
        <is>
          <t>A 14510-2023</t>
        </is>
      </c>
      <c r="B708" s="1" t="n">
        <v>45012</v>
      </c>
      <c r="C708" s="1" t="n">
        <v>45792</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14595-2023</t>
        </is>
      </c>
      <c r="B709" s="1" t="n">
        <v>45013</v>
      </c>
      <c r="C709" s="1" t="n">
        <v>45792</v>
      </c>
      <c r="D709" t="inlineStr">
        <is>
          <t>UPPSALA LÄN</t>
        </is>
      </c>
      <c r="E709" t="inlineStr">
        <is>
          <t>ÖSTHAMMAR</t>
        </is>
      </c>
      <c r="G709" t="n">
        <v>5</v>
      </c>
      <c r="H709" t="n">
        <v>0</v>
      </c>
      <c r="I709" t="n">
        <v>0</v>
      </c>
      <c r="J709" t="n">
        <v>0</v>
      </c>
      <c r="K709" t="n">
        <v>0</v>
      </c>
      <c r="L709" t="n">
        <v>0</v>
      </c>
      <c r="M709" t="n">
        <v>0</v>
      </c>
      <c r="N709" t="n">
        <v>0</v>
      </c>
      <c r="O709" t="n">
        <v>0</v>
      </c>
      <c r="P709" t="n">
        <v>0</v>
      </c>
      <c r="Q709" t="n">
        <v>0</v>
      </c>
      <c r="R709" s="2" t="inlineStr"/>
    </row>
    <row r="710" ht="15" customHeight="1">
      <c r="A710" t="inlineStr">
        <is>
          <t>A 14822-2023</t>
        </is>
      </c>
      <c r="B710" s="1" t="n">
        <v>45014</v>
      </c>
      <c r="C710" s="1" t="n">
        <v>45792</v>
      </c>
      <c r="D710" t="inlineStr">
        <is>
          <t>UPPSALA LÄN</t>
        </is>
      </c>
      <c r="E710" t="inlineStr">
        <is>
          <t>ÖSTHAMMAR</t>
        </is>
      </c>
      <c r="G710" t="n">
        <v>6.2</v>
      </c>
      <c r="H710" t="n">
        <v>0</v>
      </c>
      <c r="I710" t="n">
        <v>0</v>
      </c>
      <c r="J710" t="n">
        <v>0</v>
      </c>
      <c r="K710" t="n">
        <v>0</v>
      </c>
      <c r="L710" t="n">
        <v>0</v>
      </c>
      <c r="M710" t="n">
        <v>0</v>
      </c>
      <c r="N710" t="n">
        <v>0</v>
      </c>
      <c r="O710" t="n">
        <v>0</v>
      </c>
      <c r="P710" t="n">
        <v>0</v>
      </c>
      <c r="Q710" t="n">
        <v>0</v>
      </c>
      <c r="R710" s="2" t="inlineStr"/>
    </row>
    <row r="711" ht="15" customHeight="1">
      <c r="A711" t="inlineStr">
        <is>
          <t>A 14835-2023</t>
        </is>
      </c>
      <c r="B711" s="1" t="n">
        <v>45014</v>
      </c>
      <c r="C711" s="1" t="n">
        <v>45792</v>
      </c>
      <c r="D711" t="inlineStr">
        <is>
          <t>UPPSALA LÄN</t>
        </is>
      </c>
      <c r="E711" t="inlineStr">
        <is>
          <t>ÖSTHAMMAR</t>
        </is>
      </c>
      <c r="G711" t="n">
        <v>9.5</v>
      </c>
      <c r="H711" t="n">
        <v>0</v>
      </c>
      <c r="I711" t="n">
        <v>0</v>
      </c>
      <c r="J711" t="n">
        <v>0</v>
      </c>
      <c r="K711" t="n">
        <v>0</v>
      </c>
      <c r="L711" t="n">
        <v>0</v>
      </c>
      <c r="M711" t="n">
        <v>0</v>
      </c>
      <c r="N711" t="n">
        <v>0</v>
      </c>
      <c r="O711" t="n">
        <v>0</v>
      </c>
      <c r="P711" t="n">
        <v>0</v>
      </c>
      <c r="Q711" t="n">
        <v>0</v>
      </c>
      <c r="R711" s="2" t="inlineStr"/>
    </row>
    <row r="712" ht="15" customHeight="1">
      <c r="A712" t="inlineStr">
        <is>
          <t>A 14889-2023</t>
        </is>
      </c>
      <c r="B712" s="1" t="n">
        <v>45015</v>
      </c>
      <c r="C712" s="1" t="n">
        <v>45792</v>
      </c>
      <c r="D712" t="inlineStr">
        <is>
          <t>UPPSALA LÄN</t>
        </is>
      </c>
      <c r="E712" t="inlineStr">
        <is>
          <t>ÖSTHAMMAR</t>
        </is>
      </c>
      <c r="F712" t="inlineStr">
        <is>
          <t>Bergvik skog öst AB</t>
        </is>
      </c>
      <c r="G712" t="n">
        <v>7.6</v>
      </c>
      <c r="H712" t="n">
        <v>0</v>
      </c>
      <c r="I712" t="n">
        <v>0</v>
      </c>
      <c r="J712" t="n">
        <v>0</v>
      </c>
      <c r="K712" t="n">
        <v>0</v>
      </c>
      <c r="L712" t="n">
        <v>0</v>
      </c>
      <c r="M712" t="n">
        <v>0</v>
      </c>
      <c r="N712" t="n">
        <v>0</v>
      </c>
      <c r="O712" t="n">
        <v>0</v>
      </c>
      <c r="P712" t="n">
        <v>0</v>
      </c>
      <c r="Q712" t="n">
        <v>0</v>
      </c>
      <c r="R712" s="2" t="inlineStr"/>
    </row>
    <row r="713" ht="15" customHeight="1">
      <c r="A713" t="inlineStr">
        <is>
          <t>A 14888-2023</t>
        </is>
      </c>
      <c r="B713" s="1" t="n">
        <v>45015</v>
      </c>
      <c r="C713" s="1" t="n">
        <v>45792</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14976-2023</t>
        </is>
      </c>
      <c r="B714" s="1" t="n">
        <v>45015</v>
      </c>
      <c r="C714" s="1" t="n">
        <v>45792</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15554-2023</t>
        </is>
      </c>
      <c r="B715" s="1" t="n">
        <v>45019</v>
      </c>
      <c r="C715" s="1" t="n">
        <v>45792</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16112-2023</t>
        </is>
      </c>
      <c r="B716" s="1" t="n">
        <v>45027</v>
      </c>
      <c r="C716" s="1" t="n">
        <v>45792</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16345-2023</t>
        </is>
      </c>
      <c r="B717" s="1" t="n">
        <v>45028</v>
      </c>
      <c r="C717" s="1" t="n">
        <v>45792</v>
      </c>
      <c r="D717" t="inlineStr">
        <is>
          <t>UPPSALA LÄN</t>
        </is>
      </c>
      <c r="E717" t="inlineStr">
        <is>
          <t>ÖSTHAMMAR</t>
        </is>
      </c>
      <c r="F717" t="inlineStr">
        <is>
          <t>Övriga Aktiebolag</t>
        </is>
      </c>
      <c r="G717" t="n">
        <v>10.1</v>
      </c>
      <c r="H717" t="n">
        <v>0</v>
      </c>
      <c r="I717" t="n">
        <v>0</v>
      </c>
      <c r="J717" t="n">
        <v>0</v>
      </c>
      <c r="K717" t="n">
        <v>0</v>
      </c>
      <c r="L717" t="n">
        <v>0</v>
      </c>
      <c r="M717" t="n">
        <v>0</v>
      </c>
      <c r="N717" t="n">
        <v>0</v>
      </c>
      <c r="O717" t="n">
        <v>0</v>
      </c>
      <c r="P717" t="n">
        <v>0</v>
      </c>
      <c r="Q717" t="n">
        <v>0</v>
      </c>
      <c r="R717" s="2" t="inlineStr"/>
    </row>
    <row r="718" ht="15" customHeight="1">
      <c r="A718" t="inlineStr">
        <is>
          <t>A 16701-2023</t>
        </is>
      </c>
      <c r="B718" s="1" t="n">
        <v>45030</v>
      </c>
      <c r="C718" s="1" t="n">
        <v>45792</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16954-2023</t>
        </is>
      </c>
      <c r="B719" s="1" t="n">
        <v>45033</v>
      </c>
      <c r="C719" s="1" t="n">
        <v>45792</v>
      </c>
      <c r="D719" t="inlineStr">
        <is>
          <t>UPPSALA LÄN</t>
        </is>
      </c>
      <c r="E719" t="inlineStr">
        <is>
          <t>ÖSTHAMMAR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16948-2023</t>
        </is>
      </c>
      <c r="B720" s="1" t="n">
        <v>45033</v>
      </c>
      <c r="C720" s="1" t="n">
        <v>45792</v>
      </c>
      <c r="D720" t="inlineStr">
        <is>
          <t>UPPSALA LÄN</t>
        </is>
      </c>
      <c r="E720" t="inlineStr">
        <is>
          <t>ÖSTHAMMAR</t>
        </is>
      </c>
      <c r="G720" t="n">
        <v>1.8</v>
      </c>
      <c r="H720" t="n">
        <v>0</v>
      </c>
      <c r="I720" t="n">
        <v>0</v>
      </c>
      <c r="J720" t="n">
        <v>0</v>
      </c>
      <c r="K720" t="n">
        <v>0</v>
      </c>
      <c r="L720" t="n">
        <v>0</v>
      </c>
      <c r="M720" t="n">
        <v>0</v>
      </c>
      <c r="N720" t="n">
        <v>0</v>
      </c>
      <c r="O720" t="n">
        <v>0</v>
      </c>
      <c r="P720" t="n">
        <v>0</v>
      </c>
      <c r="Q720" t="n">
        <v>0</v>
      </c>
      <c r="R720" s="2" t="inlineStr"/>
    </row>
    <row r="721" ht="15" customHeight="1">
      <c r="A721" t="inlineStr">
        <is>
          <t>A 16966-2023</t>
        </is>
      </c>
      <c r="B721" s="1" t="n">
        <v>45033</v>
      </c>
      <c r="C721" s="1" t="n">
        <v>45792</v>
      </c>
      <c r="D721" t="inlineStr">
        <is>
          <t>UPPSALA LÄN</t>
        </is>
      </c>
      <c r="E721" t="inlineStr">
        <is>
          <t>ÖSTHAMMAR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17028-2023</t>
        </is>
      </c>
      <c r="B722" s="1" t="n">
        <v>45034</v>
      </c>
      <c r="C722" s="1" t="n">
        <v>45792</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17631-2023</t>
        </is>
      </c>
      <c r="B723" s="1" t="n">
        <v>45036</v>
      </c>
      <c r="C723" s="1" t="n">
        <v>45792</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17850-2023</t>
        </is>
      </c>
      <c r="B724" s="1" t="n">
        <v>45037</v>
      </c>
      <c r="C724" s="1" t="n">
        <v>45792</v>
      </c>
      <c r="D724" t="inlineStr">
        <is>
          <t>UPPSALA LÄN</t>
        </is>
      </c>
      <c r="E724" t="inlineStr">
        <is>
          <t>ÖSTHAMMAR</t>
        </is>
      </c>
      <c r="G724" t="n">
        <v>3.2</v>
      </c>
      <c r="H724" t="n">
        <v>0</v>
      </c>
      <c r="I724" t="n">
        <v>0</v>
      </c>
      <c r="J724" t="n">
        <v>0</v>
      </c>
      <c r="K724" t="n">
        <v>0</v>
      </c>
      <c r="L724" t="n">
        <v>0</v>
      </c>
      <c r="M724" t="n">
        <v>0</v>
      </c>
      <c r="N724" t="n">
        <v>0</v>
      </c>
      <c r="O724" t="n">
        <v>0</v>
      </c>
      <c r="P724" t="n">
        <v>0</v>
      </c>
      <c r="Q724" t="n">
        <v>0</v>
      </c>
      <c r="R724" s="2" t="inlineStr"/>
    </row>
    <row r="725" ht="15" customHeight="1">
      <c r="A725" t="inlineStr">
        <is>
          <t>A 17851-2023</t>
        </is>
      </c>
      <c r="B725" s="1" t="n">
        <v>45037</v>
      </c>
      <c r="C725" s="1" t="n">
        <v>45792</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17854-2023</t>
        </is>
      </c>
      <c r="B726" s="1" t="n">
        <v>45037</v>
      </c>
      <c r="C726" s="1" t="n">
        <v>45792</v>
      </c>
      <c r="D726" t="inlineStr">
        <is>
          <t>UPPSALA LÄN</t>
        </is>
      </c>
      <c r="E726" t="inlineStr">
        <is>
          <t>ÖSTHAMMAR</t>
        </is>
      </c>
      <c r="G726" t="n">
        <v>5.6</v>
      </c>
      <c r="H726" t="n">
        <v>0</v>
      </c>
      <c r="I726" t="n">
        <v>0</v>
      </c>
      <c r="J726" t="n">
        <v>0</v>
      </c>
      <c r="K726" t="n">
        <v>0</v>
      </c>
      <c r="L726" t="n">
        <v>0</v>
      </c>
      <c r="M726" t="n">
        <v>0</v>
      </c>
      <c r="N726" t="n">
        <v>0</v>
      </c>
      <c r="O726" t="n">
        <v>0</v>
      </c>
      <c r="P726" t="n">
        <v>0</v>
      </c>
      <c r="Q726" t="n">
        <v>0</v>
      </c>
      <c r="R726" s="2" t="inlineStr"/>
    </row>
    <row r="727" ht="15" customHeight="1">
      <c r="A727" t="inlineStr">
        <is>
          <t>A 18091-2023</t>
        </is>
      </c>
      <c r="B727" s="1" t="n">
        <v>45040</v>
      </c>
      <c r="C727" s="1" t="n">
        <v>45792</v>
      </c>
      <c r="D727" t="inlineStr">
        <is>
          <t>UPPSALA LÄN</t>
        </is>
      </c>
      <c r="E727" t="inlineStr">
        <is>
          <t>ÖSTHAMMAR</t>
        </is>
      </c>
      <c r="G727" t="n">
        <v>2.4</v>
      </c>
      <c r="H727" t="n">
        <v>0</v>
      </c>
      <c r="I727" t="n">
        <v>0</v>
      </c>
      <c r="J727" t="n">
        <v>0</v>
      </c>
      <c r="K727" t="n">
        <v>0</v>
      </c>
      <c r="L727" t="n">
        <v>0</v>
      </c>
      <c r="M727" t="n">
        <v>0</v>
      </c>
      <c r="N727" t="n">
        <v>0</v>
      </c>
      <c r="O727" t="n">
        <v>0</v>
      </c>
      <c r="P727" t="n">
        <v>0</v>
      </c>
      <c r="Q727" t="n">
        <v>0</v>
      </c>
      <c r="R727" s="2" t="inlineStr"/>
    </row>
    <row r="728" ht="15" customHeight="1">
      <c r="A728" t="inlineStr">
        <is>
          <t>A 17970-2023</t>
        </is>
      </c>
      <c r="B728" s="1" t="n">
        <v>45040</v>
      </c>
      <c r="C728" s="1" t="n">
        <v>45792</v>
      </c>
      <c r="D728" t="inlineStr">
        <is>
          <t>UPPSALA LÄN</t>
        </is>
      </c>
      <c r="E728" t="inlineStr">
        <is>
          <t>ÖSTHAMMAR</t>
        </is>
      </c>
      <c r="G728" t="n">
        <v>3.3</v>
      </c>
      <c r="H728" t="n">
        <v>0</v>
      </c>
      <c r="I728" t="n">
        <v>0</v>
      </c>
      <c r="J728" t="n">
        <v>0</v>
      </c>
      <c r="K728" t="n">
        <v>0</v>
      </c>
      <c r="L728" t="n">
        <v>0</v>
      </c>
      <c r="M728" t="n">
        <v>0</v>
      </c>
      <c r="N728" t="n">
        <v>0</v>
      </c>
      <c r="O728" t="n">
        <v>0</v>
      </c>
      <c r="P728" t="n">
        <v>0</v>
      </c>
      <c r="Q728" t="n">
        <v>0</v>
      </c>
      <c r="R728" s="2" t="inlineStr"/>
    </row>
    <row r="729" ht="15" customHeight="1">
      <c r="A729" t="inlineStr">
        <is>
          <t>A 18074-2023</t>
        </is>
      </c>
      <c r="B729" s="1" t="n">
        <v>45040</v>
      </c>
      <c r="C729" s="1" t="n">
        <v>45792</v>
      </c>
      <c r="D729" t="inlineStr">
        <is>
          <t>UPPSALA LÄN</t>
        </is>
      </c>
      <c r="E729" t="inlineStr">
        <is>
          <t>ÖSTHAMMAR</t>
        </is>
      </c>
      <c r="G729" t="n">
        <v>3.7</v>
      </c>
      <c r="H729" t="n">
        <v>0</v>
      </c>
      <c r="I729" t="n">
        <v>0</v>
      </c>
      <c r="J729" t="n">
        <v>0</v>
      </c>
      <c r="K729" t="n">
        <v>0</v>
      </c>
      <c r="L729" t="n">
        <v>0</v>
      </c>
      <c r="M729" t="n">
        <v>0</v>
      </c>
      <c r="N729" t="n">
        <v>0</v>
      </c>
      <c r="O729" t="n">
        <v>0</v>
      </c>
      <c r="P729" t="n">
        <v>0</v>
      </c>
      <c r="Q729" t="n">
        <v>0</v>
      </c>
      <c r="R729" s="2" t="inlineStr"/>
    </row>
    <row r="730" ht="15" customHeight="1">
      <c r="A730" t="inlineStr">
        <is>
          <t>A 18113-2023</t>
        </is>
      </c>
      <c r="B730" s="1" t="n">
        <v>45040</v>
      </c>
      <c r="C730" s="1" t="n">
        <v>45792</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17969-2023</t>
        </is>
      </c>
      <c r="B731" s="1" t="n">
        <v>45040</v>
      </c>
      <c r="C731" s="1" t="n">
        <v>45792</v>
      </c>
      <c r="D731" t="inlineStr">
        <is>
          <t>UPPSALA LÄN</t>
        </is>
      </c>
      <c r="E731" t="inlineStr">
        <is>
          <t>ÖSTHAMMAR</t>
        </is>
      </c>
      <c r="G731" t="n">
        <v>5.4</v>
      </c>
      <c r="H731" t="n">
        <v>0</v>
      </c>
      <c r="I731" t="n">
        <v>0</v>
      </c>
      <c r="J731" t="n">
        <v>0</v>
      </c>
      <c r="K731" t="n">
        <v>0</v>
      </c>
      <c r="L731" t="n">
        <v>0</v>
      </c>
      <c r="M731" t="n">
        <v>0</v>
      </c>
      <c r="N731" t="n">
        <v>0</v>
      </c>
      <c r="O731" t="n">
        <v>0</v>
      </c>
      <c r="P731" t="n">
        <v>0</v>
      </c>
      <c r="Q731" t="n">
        <v>0</v>
      </c>
      <c r="R731" s="2" t="inlineStr"/>
    </row>
    <row r="732" ht="15" customHeight="1">
      <c r="A732" t="inlineStr">
        <is>
          <t>A 18219-2023</t>
        </is>
      </c>
      <c r="B732" s="1" t="n">
        <v>45041</v>
      </c>
      <c r="C732" s="1" t="n">
        <v>45792</v>
      </c>
      <c r="D732" t="inlineStr">
        <is>
          <t>UPPSALA LÄN</t>
        </is>
      </c>
      <c r="E732" t="inlineStr">
        <is>
          <t>ÖSTHAMMAR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18536-2023</t>
        </is>
      </c>
      <c r="B733" s="1" t="n">
        <v>45042</v>
      </c>
      <c r="C733" s="1" t="n">
        <v>45792</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18386-2023</t>
        </is>
      </c>
      <c r="B734" s="1" t="n">
        <v>45042</v>
      </c>
      <c r="C734" s="1" t="n">
        <v>45792</v>
      </c>
      <c r="D734" t="inlineStr">
        <is>
          <t>UPPSALA LÄN</t>
        </is>
      </c>
      <c r="E734" t="inlineStr">
        <is>
          <t>ÖSTHAMMAR</t>
        </is>
      </c>
      <c r="F734" t="inlineStr">
        <is>
          <t>Bergvik skog öst AB</t>
        </is>
      </c>
      <c r="G734" t="n">
        <v>2.9</v>
      </c>
      <c r="H734" t="n">
        <v>0</v>
      </c>
      <c r="I734" t="n">
        <v>0</v>
      </c>
      <c r="J734" t="n">
        <v>0</v>
      </c>
      <c r="K734" t="n">
        <v>0</v>
      </c>
      <c r="L734" t="n">
        <v>0</v>
      </c>
      <c r="M734" t="n">
        <v>0</v>
      </c>
      <c r="N734" t="n">
        <v>0</v>
      </c>
      <c r="O734" t="n">
        <v>0</v>
      </c>
      <c r="P734" t="n">
        <v>0</v>
      </c>
      <c r="Q734" t="n">
        <v>0</v>
      </c>
      <c r="R734" s="2" t="inlineStr"/>
    </row>
    <row r="735" ht="15" customHeight="1">
      <c r="A735" t="inlineStr">
        <is>
          <t>A 18535-2023</t>
        </is>
      </c>
      <c r="B735" s="1" t="n">
        <v>45042</v>
      </c>
      <c r="C735" s="1" t="n">
        <v>45792</v>
      </c>
      <c r="D735" t="inlineStr">
        <is>
          <t>UPPSALA LÄN</t>
        </is>
      </c>
      <c r="E735" t="inlineStr">
        <is>
          <t>ÖSTHAMMAR</t>
        </is>
      </c>
      <c r="F735" t="inlineStr">
        <is>
          <t>Bergvik skog öst AB</t>
        </is>
      </c>
      <c r="G735" t="n">
        <v>0.9</v>
      </c>
      <c r="H735" t="n">
        <v>0</v>
      </c>
      <c r="I735" t="n">
        <v>0</v>
      </c>
      <c r="J735" t="n">
        <v>0</v>
      </c>
      <c r="K735" t="n">
        <v>0</v>
      </c>
      <c r="L735" t="n">
        <v>0</v>
      </c>
      <c r="M735" t="n">
        <v>0</v>
      </c>
      <c r="N735" t="n">
        <v>0</v>
      </c>
      <c r="O735" t="n">
        <v>0</v>
      </c>
      <c r="P735" t="n">
        <v>0</v>
      </c>
      <c r="Q735" t="n">
        <v>0</v>
      </c>
      <c r="R735" s="2" t="inlineStr"/>
    </row>
    <row r="736" ht="15" customHeight="1">
      <c r="A736" t="inlineStr">
        <is>
          <t>A 18534-2023</t>
        </is>
      </c>
      <c r="B736" s="1" t="n">
        <v>45042</v>
      </c>
      <c r="C736" s="1" t="n">
        <v>45792</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18538-2023</t>
        </is>
      </c>
      <c r="B737" s="1" t="n">
        <v>45042</v>
      </c>
      <c r="C737" s="1" t="n">
        <v>45792</v>
      </c>
      <c r="D737" t="inlineStr">
        <is>
          <t>UPPSALA LÄN</t>
        </is>
      </c>
      <c r="E737" t="inlineStr">
        <is>
          <t>ÖSTHAMMAR</t>
        </is>
      </c>
      <c r="F737" t="inlineStr">
        <is>
          <t>Bergvik skog öst AB</t>
        </is>
      </c>
      <c r="G737" t="n">
        <v>2.4</v>
      </c>
      <c r="H737" t="n">
        <v>0</v>
      </c>
      <c r="I737" t="n">
        <v>0</v>
      </c>
      <c r="J737" t="n">
        <v>0</v>
      </c>
      <c r="K737" t="n">
        <v>0</v>
      </c>
      <c r="L737" t="n">
        <v>0</v>
      </c>
      <c r="M737" t="n">
        <v>0</v>
      </c>
      <c r="N737" t="n">
        <v>0</v>
      </c>
      <c r="O737" t="n">
        <v>0</v>
      </c>
      <c r="P737" t="n">
        <v>0</v>
      </c>
      <c r="Q737" t="n">
        <v>0</v>
      </c>
      <c r="R737" s="2" t="inlineStr"/>
    </row>
    <row r="738" ht="15" customHeight="1">
      <c r="A738" t="inlineStr">
        <is>
          <t>A 18838-2023</t>
        </is>
      </c>
      <c r="B738" s="1" t="n">
        <v>45044</v>
      </c>
      <c r="C738" s="1" t="n">
        <v>45792</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18839-2023</t>
        </is>
      </c>
      <c r="B739" s="1" t="n">
        <v>45044</v>
      </c>
      <c r="C739" s="1" t="n">
        <v>45792</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18841-2023</t>
        </is>
      </c>
      <c r="B740" s="1" t="n">
        <v>45044</v>
      </c>
      <c r="C740" s="1" t="n">
        <v>45792</v>
      </c>
      <c r="D740" t="inlineStr">
        <is>
          <t>UPPSALA LÄN</t>
        </is>
      </c>
      <c r="E740" t="inlineStr">
        <is>
          <t>ÖSTHAMMAR</t>
        </is>
      </c>
      <c r="G740" t="n">
        <v>3.9</v>
      </c>
      <c r="H740" t="n">
        <v>0</v>
      </c>
      <c r="I740" t="n">
        <v>0</v>
      </c>
      <c r="J740" t="n">
        <v>0</v>
      </c>
      <c r="K740" t="n">
        <v>0</v>
      </c>
      <c r="L740" t="n">
        <v>0</v>
      </c>
      <c r="M740" t="n">
        <v>0</v>
      </c>
      <c r="N740" t="n">
        <v>0</v>
      </c>
      <c r="O740" t="n">
        <v>0</v>
      </c>
      <c r="P740" t="n">
        <v>0</v>
      </c>
      <c r="Q740" t="n">
        <v>0</v>
      </c>
      <c r="R740" s="2" t="inlineStr"/>
    </row>
    <row r="741" ht="15" customHeight="1">
      <c r="A741" t="inlineStr">
        <is>
          <t>A 18945-2023</t>
        </is>
      </c>
      <c r="B741" s="1" t="n">
        <v>45044</v>
      </c>
      <c r="C741" s="1" t="n">
        <v>45792</v>
      </c>
      <c r="D741" t="inlineStr">
        <is>
          <t>UPPSALA LÄN</t>
        </is>
      </c>
      <c r="E741" t="inlineStr">
        <is>
          <t>ÖSTHAMMAR</t>
        </is>
      </c>
      <c r="G741" t="n">
        <v>3.7</v>
      </c>
      <c r="H741" t="n">
        <v>0</v>
      </c>
      <c r="I741" t="n">
        <v>0</v>
      </c>
      <c r="J741" t="n">
        <v>0</v>
      </c>
      <c r="K741" t="n">
        <v>0</v>
      </c>
      <c r="L741" t="n">
        <v>0</v>
      </c>
      <c r="M741" t="n">
        <v>0</v>
      </c>
      <c r="N741" t="n">
        <v>0</v>
      </c>
      <c r="O741" t="n">
        <v>0</v>
      </c>
      <c r="P741" t="n">
        <v>0</v>
      </c>
      <c r="Q741" t="n">
        <v>0</v>
      </c>
      <c r="R741" s="2" t="inlineStr"/>
    </row>
    <row r="742" ht="15" customHeight="1">
      <c r="A742" t="inlineStr">
        <is>
          <t>A 18946-2023</t>
        </is>
      </c>
      <c r="B742" s="1" t="n">
        <v>45044</v>
      </c>
      <c r="C742" s="1" t="n">
        <v>45792</v>
      </c>
      <c r="D742" t="inlineStr">
        <is>
          <t>UPPSALA LÄN</t>
        </is>
      </c>
      <c r="E742" t="inlineStr">
        <is>
          <t>ÖSTHAMMAR</t>
        </is>
      </c>
      <c r="G742" t="n">
        <v>4.9</v>
      </c>
      <c r="H742" t="n">
        <v>0</v>
      </c>
      <c r="I742" t="n">
        <v>0</v>
      </c>
      <c r="J742" t="n">
        <v>0</v>
      </c>
      <c r="K742" t="n">
        <v>0</v>
      </c>
      <c r="L742" t="n">
        <v>0</v>
      </c>
      <c r="M742" t="n">
        <v>0</v>
      </c>
      <c r="N742" t="n">
        <v>0</v>
      </c>
      <c r="O742" t="n">
        <v>0</v>
      </c>
      <c r="P742" t="n">
        <v>0</v>
      </c>
      <c r="Q742" t="n">
        <v>0</v>
      </c>
      <c r="R742" s="2" t="inlineStr"/>
    </row>
    <row r="743" ht="15" customHeight="1">
      <c r="A743" t="inlineStr">
        <is>
          <t>A 19012-2023</t>
        </is>
      </c>
      <c r="B743" s="1" t="n">
        <v>45045</v>
      </c>
      <c r="C743" s="1" t="n">
        <v>45792</v>
      </c>
      <c r="D743" t="inlineStr">
        <is>
          <t>UPPSALA LÄN</t>
        </is>
      </c>
      <c r="E743" t="inlineStr">
        <is>
          <t>ÖSTHAMMAR</t>
        </is>
      </c>
      <c r="F743" t="inlineStr">
        <is>
          <t>Bergvik skog öst AB</t>
        </is>
      </c>
      <c r="G743" t="n">
        <v>5.7</v>
      </c>
      <c r="H743" t="n">
        <v>0</v>
      </c>
      <c r="I743" t="n">
        <v>0</v>
      </c>
      <c r="J743" t="n">
        <v>0</v>
      </c>
      <c r="K743" t="n">
        <v>0</v>
      </c>
      <c r="L743" t="n">
        <v>0</v>
      </c>
      <c r="M743" t="n">
        <v>0</v>
      </c>
      <c r="N743" t="n">
        <v>0</v>
      </c>
      <c r="O743" t="n">
        <v>0</v>
      </c>
      <c r="P743" t="n">
        <v>0</v>
      </c>
      <c r="Q743" t="n">
        <v>0</v>
      </c>
      <c r="R743" s="2" t="inlineStr"/>
    </row>
    <row r="744" ht="15" customHeight="1">
      <c r="A744" t="inlineStr">
        <is>
          <t>A 19015-2023</t>
        </is>
      </c>
      <c r="B744" s="1" t="n">
        <v>45045</v>
      </c>
      <c r="C744" s="1" t="n">
        <v>45792</v>
      </c>
      <c r="D744" t="inlineStr">
        <is>
          <t>UPPSALA LÄN</t>
        </is>
      </c>
      <c r="E744" t="inlineStr">
        <is>
          <t>ÖSTHAMMAR</t>
        </is>
      </c>
      <c r="F744" t="inlineStr">
        <is>
          <t>Bergvik skog öst AB</t>
        </is>
      </c>
      <c r="G744" t="n">
        <v>1.8</v>
      </c>
      <c r="H744" t="n">
        <v>0</v>
      </c>
      <c r="I744" t="n">
        <v>0</v>
      </c>
      <c r="J744" t="n">
        <v>0</v>
      </c>
      <c r="K744" t="n">
        <v>0</v>
      </c>
      <c r="L744" t="n">
        <v>0</v>
      </c>
      <c r="M744" t="n">
        <v>0</v>
      </c>
      <c r="N744" t="n">
        <v>0</v>
      </c>
      <c r="O744" t="n">
        <v>0</v>
      </c>
      <c r="P744" t="n">
        <v>0</v>
      </c>
      <c r="Q744" t="n">
        <v>0</v>
      </c>
      <c r="R744" s="2" t="inlineStr"/>
    </row>
    <row r="745" ht="15" customHeight="1">
      <c r="A745" t="inlineStr">
        <is>
          <t>A 19010-2023</t>
        </is>
      </c>
      <c r="B745" s="1" t="n">
        <v>45045</v>
      </c>
      <c r="C745" s="1" t="n">
        <v>45792</v>
      </c>
      <c r="D745" t="inlineStr">
        <is>
          <t>UPPSALA LÄN</t>
        </is>
      </c>
      <c r="E745" t="inlineStr">
        <is>
          <t>ÖSTHAMMAR</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19014-2023</t>
        </is>
      </c>
      <c r="B746" s="1" t="n">
        <v>45045</v>
      </c>
      <c r="C746" s="1" t="n">
        <v>45792</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19009-2023</t>
        </is>
      </c>
      <c r="B747" s="1" t="n">
        <v>45045</v>
      </c>
      <c r="C747" s="1" t="n">
        <v>45792</v>
      </c>
      <c r="D747" t="inlineStr">
        <is>
          <t>UPPSALA LÄN</t>
        </is>
      </c>
      <c r="E747" t="inlineStr">
        <is>
          <t>ÖSTHAMMAR</t>
        </is>
      </c>
      <c r="F747" t="inlineStr">
        <is>
          <t>Bergvik skog öst AB</t>
        </is>
      </c>
      <c r="G747" t="n">
        <v>0.2</v>
      </c>
      <c r="H747" t="n">
        <v>0</v>
      </c>
      <c r="I747" t="n">
        <v>0</v>
      </c>
      <c r="J747" t="n">
        <v>0</v>
      </c>
      <c r="K747" t="n">
        <v>0</v>
      </c>
      <c r="L747" t="n">
        <v>0</v>
      </c>
      <c r="M747" t="n">
        <v>0</v>
      </c>
      <c r="N747" t="n">
        <v>0</v>
      </c>
      <c r="O747" t="n">
        <v>0</v>
      </c>
      <c r="P747" t="n">
        <v>0</v>
      </c>
      <c r="Q747" t="n">
        <v>0</v>
      </c>
      <c r="R747" s="2" t="inlineStr"/>
    </row>
    <row r="748" ht="15" customHeight="1">
      <c r="A748" t="inlineStr">
        <is>
          <t>A 19041-2023</t>
        </is>
      </c>
      <c r="B748" s="1" t="n">
        <v>45047</v>
      </c>
      <c r="C748" s="1" t="n">
        <v>45792</v>
      </c>
      <c r="D748" t="inlineStr">
        <is>
          <t>UPPSALA LÄN</t>
        </is>
      </c>
      <c r="E748" t="inlineStr">
        <is>
          <t>ÖSTHAMMAR</t>
        </is>
      </c>
      <c r="F748" t="inlineStr">
        <is>
          <t>Bergvik skog öst AB</t>
        </is>
      </c>
      <c r="G748" t="n">
        <v>3.9</v>
      </c>
      <c r="H748" t="n">
        <v>0</v>
      </c>
      <c r="I748" t="n">
        <v>0</v>
      </c>
      <c r="J748" t="n">
        <v>0</v>
      </c>
      <c r="K748" t="n">
        <v>0</v>
      </c>
      <c r="L748" t="n">
        <v>0</v>
      </c>
      <c r="M748" t="n">
        <v>0</v>
      </c>
      <c r="N748" t="n">
        <v>0</v>
      </c>
      <c r="O748" t="n">
        <v>0</v>
      </c>
      <c r="P748" t="n">
        <v>0</v>
      </c>
      <c r="Q748" t="n">
        <v>0</v>
      </c>
      <c r="R748" s="2" t="inlineStr"/>
    </row>
    <row r="749" ht="15" customHeight="1">
      <c r="A749" t="inlineStr">
        <is>
          <t>A 19040-2023</t>
        </is>
      </c>
      <c r="B749" s="1" t="n">
        <v>45047</v>
      </c>
      <c r="C749" s="1" t="n">
        <v>45792</v>
      </c>
      <c r="D749" t="inlineStr">
        <is>
          <t>UPPSALA LÄN</t>
        </is>
      </c>
      <c r="E749" t="inlineStr">
        <is>
          <t>ÖSTHAMMAR</t>
        </is>
      </c>
      <c r="F749" t="inlineStr">
        <is>
          <t>Bergvik skog öst AB</t>
        </is>
      </c>
      <c r="G749" t="n">
        <v>1.7</v>
      </c>
      <c r="H749" t="n">
        <v>0</v>
      </c>
      <c r="I749" t="n">
        <v>0</v>
      </c>
      <c r="J749" t="n">
        <v>0</v>
      </c>
      <c r="K749" t="n">
        <v>0</v>
      </c>
      <c r="L749" t="n">
        <v>0</v>
      </c>
      <c r="M749" t="n">
        <v>0</v>
      </c>
      <c r="N749" t="n">
        <v>0</v>
      </c>
      <c r="O749" t="n">
        <v>0</v>
      </c>
      <c r="P749" t="n">
        <v>0</v>
      </c>
      <c r="Q749" t="n">
        <v>0</v>
      </c>
      <c r="R749" s="2" t="inlineStr"/>
    </row>
    <row r="750" ht="15" customHeight="1">
      <c r="A750" t="inlineStr">
        <is>
          <t>A 19102-2023</t>
        </is>
      </c>
      <c r="B750" s="1" t="n">
        <v>45048</v>
      </c>
      <c r="C750" s="1" t="n">
        <v>45792</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19099-2023</t>
        </is>
      </c>
      <c r="B751" s="1" t="n">
        <v>45048</v>
      </c>
      <c r="C751" s="1" t="n">
        <v>45792</v>
      </c>
      <c r="D751" t="inlineStr">
        <is>
          <t>UPPSALA LÄN</t>
        </is>
      </c>
      <c r="E751" t="inlineStr">
        <is>
          <t>ÖSTHAMMAR</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19097-2023</t>
        </is>
      </c>
      <c r="B752" s="1" t="n">
        <v>45048</v>
      </c>
      <c r="C752" s="1" t="n">
        <v>45792</v>
      </c>
      <c r="D752" t="inlineStr">
        <is>
          <t>UPPSALA LÄN</t>
        </is>
      </c>
      <c r="E752" t="inlineStr">
        <is>
          <t>ÖSTHAMMAR</t>
        </is>
      </c>
      <c r="F752" t="inlineStr">
        <is>
          <t>Bergvik skog öst AB</t>
        </is>
      </c>
      <c r="G752" t="n">
        <v>0.4</v>
      </c>
      <c r="H752" t="n">
        <v>0</v>
      </c>
      <c r="I752" t="n">
        <v>0</v>
      </c>
      <c r="J752" t="n">
        <v>0</v>
      </c>
      <c r="K752" t="n">
        <v>0</v>
      </c>
      <c r="L752" t="n">
        <v>0</v>
      </c>
      <c r="M752" t="n">
        <v>0</v>
      </c>
      <c r="N752" t="n">
        <v>0</v>
      </c>
      <c r="O752" t="n">
        <v>0</v>
      </c>
      <c r="P752" t="n">
        <v>0</v>
      </c>
      <c r="Q752" t="n">
        <v>0</v>
      </c>
      <c r="R752" s="2" t="inlineStr"/>
    </row>
    <row r="753" ht="15" customHeight="1">
      <c r="A753" t="inlineStr">
        <is>
          <t>A 19215-2023</t>
        </is>
      </c>
      <c r="B753" s="1" t="n">
        <v>45048</v>
      </c>
      <c r="C753" s="1" t="n">
        <v>45792</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19216-2023</t>
        </is>
      </c>
      <c r="B754" s="1" t="n">
        <v>45048</v>
      </c>
      <c r="C754" s="1" t="n">
        <v>45792</v>
      </c>
      <c r="D754" t="inlineStr">
        <is>
          <t>UPPSALA LÄN</t>
        </is>
      </c>
      <c r="E754" t="inlineStr">
        <is>
          <t>ÖSTHAMMAR</t>
        </is>
      </c>
      <c r="G754" t="n">
        <v>11.3</v>
      </c>
      <c r="H754" t="n">
        <v>0</v>
      </c>
      <c r="I754" t="n">
        <v>0</v>
      </c>
      <c r="J754" t="n">
        <v>0</v>
      </c>
      <c r="K754" t="n">
        <v>0</v>
      </c>
      <c r="L754" t="n">
        <v>0</v>
      </c>
      <c r="M754" t="n">
        <v>0</v>
      </c>
      <c r="N754" t="n">
        <v>0</v>
      </c>
      <c r="O754" t="n">
        <v>0</v>
      </c>
      <c r="P754" t="n">
        <v>0</v>
      </c>
      <c r="Q754" t="n">
        <v>0</v>
      </c>
      <c r="R754" s="2" t="inlineStr"/>
    </row>
    <row r="755" ht="15" customHeight="1">
      <c r="A755" t="inlineStr">
        <is>
          <t>A 19784-2023</t>
        </is>
      </c>
      <c r="B755" s="1" t="n">
        <v>45051</v>
      </c>
      <c r="C755" s="1" t="n">
        <v>45792</v>
      </c>
      <c r="D755" t="inlineStr">
        <is>
          <t>UPPSALA LÄN</t>
        </is>
      </c>
      <c r="E755" t="inlineStr">
        <is>
          <t>ÖSTHAMMAR</t>
        </is>
      </c>
      <c r="G755" t="n">
        <v>4.2</v>
      </c>
      <c r="H755" t="n">
        <v>0</v>
      </c>
      <c r="I755" t="n">
        <v>0</v>
      </c>
      <c r="J755" t="n">
        <v>0</v>
      </c>
      <c r="K755" t="n">
        <v>0</v>
      </c>
      <c r="L755" t="n">
        <v>0</v>
      </c>
      <c r="M755" t="n">
        <v>0</v>
      </c>
      <c r="N755" t="n">
        <v>0</v>
      </c>
      <c r="O755" t="n">
        <v>0</v>
      </c>
      <c r="P755" t="n">
        <v>0</v>
      </c>
      <c r="Q755" t="n">
        <v>0</v>
      </c>
      <c r="R755" s="2" t="inlineStr"/>
    </row>
    <row r="756" ht="15" customHeight="1">
      <c r="A756" t="inlineStr">
        <is>
          <t>A 19801-2023</t>
        </is>
      </c>
      <c r="B756" s="1" t="n">
        <v>45051</v>
      </c>
      <c r="C756" s="1" t="n">
        <v>45792</v>
      </c>
      <c r="D756" t="inlineStr">
        <is>
          <t>UPPSALA LÄN</t>
        </is>
      </c>
      <c r="E756" t="inlineStr">
        <is>
          <t>ÖSTHAMMAR</t>
        </is>
      </c>
      <c r="G756" t="n">
        <v>1.3</v>
      </c>
      <c r="H756" t="n">
        <v>0</v>
      </c>
      <c r="I756" t="n">
        <v>0</v>
      </c>
      <c r="J756" t="n">
        <v>0</v>
      </c>
      <c r="K756" t="n">
        <v>0</v>
      </c>
      <c r="L756" t="n">
        <v>0</v>
      </c>
      <c r="M756" t="n">
        <v>0</v>
      </c>
      <c r="N756" t="n">
        <v>0</v>
      </c>
      <c r="O756" t="n">
        <v>0</v>
      </c>
      <c r="P756" t="n">
        <v>0</v>
      </c>
      <c r="Q756" t="n">
        <v>0</v>
      </c>
      <c r="R756" s="2" t="inlineStr"/>
    </row>
    <row r="757" ht="15" customHeight="1">
      <c r="A757" t="inlineStr">
        <is>
          <t>A 19968-2023</t>
        </is>
      </c>
      <c r="B757" s="1" t="n">
        <v>45054</v>
      </c>
      <c r="C757" s="1" t="n">
        <v>45792</v>
      </c>
      <c r="D757" t="inlineStr">
        <is>
          <t>UPPSALA LÄN</t>
        </is>
      </c>
      <c r="E757" t="inlineStr">
        <is>
          <t>ÖSTHAMMAR</t>
        </is>
      </c>
      <c r="G757" t="n">
        <v>5.8</v>
      </c>
      <c r="H757" t="n">
        <v>0</v>
      </c>
      <c r="I757" t="n">
        <v>0</v>
      </c>
      <c r="J757" t="n">
        <v>0</v>
      </c>
      <c r="K757" t="n">
        <v>0</v>
      </c>
      <c r="L757" t="n">
        <v>0</v>
      </c>
      <c r="M757" t="n">
        <v>0</v>
      </c>
      <c r="N757" t="n">
        <v>0</v>
      </c>
      <c r="O757" t="n">
        <v>0</v>
      </c>
      <c r="P757" t="n">
        <v>0</v>
      </c>
      <c r="Q757" t="n">
        <v>0</v>
      </c>
      <c r="R757" s="2" t="inlineStr"/>
    </row>
    <row r="758" ht="15" customHeight="1">
      <c r="A758" t="inlineStr">
        <is>
          <t>A 20038-2023</t>
        </is>
      </c>
      <c r="B758" s="1" t="n">
        <v>45054</v>
      </c>
      <c r="C758" s="1" t="n">
        <v>45792</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20046-2023</t>
        </is>
      </c>
      <c r="B759" s="1" t="n">
        <v>45054</v>
      </c>
      <c r="C759" s="1" t="n">
        <v>45792</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20029-2023</t>
        </is>
      </c>
      <c r="B760" s="1" t="n">
        <v>45054</v>
      </c>
      <c r="C760" s="1" t="n">
        <v>45792</v>
      </c>
      <c r="D760" t="inlineStr">
        <is>
          <t>UPPSALA LÄN</t>
        </is>
      </c>
      <c r="E760" t="inlineStr">
        <is>
          <t>ÖSTHAMMAR</t>
        </is>
      </c>
      <c r="G760" t="n">
        <v>4.8</v>
      </c>
      <c r="H760" t="n">
        <v>0</v>
      </c>
      <c r="I760" t="n">
        <v>0</v>
      </c>
      <c r="J760" t="n">
        <v>0</v>
      </c>
      <c r="K760" t="n">
        <v>0</v>
      </c>
      <c r="L760" t="n">
        <v>0</v>
      </c>
      <c r="M760" t="n">
        <v>0</v>
      </c>
      <c r="N760" t="n">
        <v>0</v>
      </c>
      <c r="O760" t="n">
        <v>0</v>
      </c>
      <c r="P760" t="n">
        <v>0</v>
      </c>
      <c r="Q760" t="n">
        <v>0</v>
      </c>
      <c r="R760" s="2" t="inlineStr"/>
    </row>
    <row r="761" ht="15" customHeight="1">
      <c r="A761" t="inlineStr">
        <is>
          <t>A 20366-2023</t>
        </is>
      </c>
      <c r="B761" s="1" t="n">
        <v>45056</v>
      </c>
      <c r="C761" s="1" t="n">
        <v>45792</v>
      </c>
      <c r="D761" t="inlineStr">
        <is>
          <t>UPPSALA LÄN</t>
        </is>
      </c>
      <c r="E761" t="inlineStr">
        <is>
          <t>ÖSTHAMMAR</t>
        </is>
      </c>
      <c r="G761" t="n">
        <v>1.6</v>
      </c>
      <c r="H761" t="n">
        <v>0</v>
      </c>
      <c r="I761" t="n">
        <v>0</v>
      </c>
      <c r="J761" t="n">
        <v>0</v>
      </c>
      <c r="K761" t="n">
        <v>0</v>
      </c>
      <c r="L761" t="n">
        <v>0</v>
      </c>
      <c r="M761" t="n">
        <v>0</v>
      </c>
      <c r="N761" t="n">
        <v>0</v>
      </c>
      <c r="O761" t="n">
        <v>0</v>
      </c>
      <c r="P761" t="n">
        <v>0</v>
      </c>
      <c r="Q761" t="n">
        <v>0</v>
      </c>
      <c r="R761" s="2" t="inlineStr"/>
    </row>
    <row r="762" ht="15" customHeight="1">
      <c r="A762" t="inlineStr">
        <is>
          <t>A 20572-2023</t>
        </is>
      </c>
      <c r="B762" s="1" t="n">
        <v>45057</v>
      </c>
      <c r="C762" s="1" t="n">
        <v>45792</v>
      </c>
      <c r="D762" t="inlineStr">
        <is>
          <t>UPPSALA LÄN</t>
        </is>
      </c>
      <c r="E762" t="inlineStr">
        <is>
          <t>ÖSTHAMMAR</t>
        </is>
      </c>
      <c r="G762" t="n">
        <v>0.7</v>
      </c>
      <c r="H762" t="n">
        <v>0</v>
      </c>
      <c r="I762" t="n">
        <v>0</v>
      </c>
      <c r="J762" t="n">
        <v>0</v>
      </c>
      <c r="K762" t="n">
        <v>0</v>
      </c>
      <c r="L762" t="n">
        <v>0</v>
      </c>
      <c r="M762" t="n">
        <v>0</v>
      </c>
      <c r="N762" t="n">
        <v>0</v>
      </c>
      <c r="O762" t="n">
        <v>0</v>
      </c>
      <c r="P762" t="n">
        <v>0</v>
      </c>
      <c r="Q762" t="n">
        <v>0</v>
      </c>
      <c r="R762" s="2" t="inlineStr"/>
    </row>
    <row r="763" ht="15" customHeight="1">
      <c r="A763" t="inlineStr">
        <is>
          <t>A 20657-2023</t>
        </is>
      </c>
      <c r="B763" s="1" t="n">
        <v>45058</v>
      </c>
      <c r="C763" s="1" t="n">
        <v>45792</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20664-2023</t>
        </is>
      </c>
      <c r="B764" s="1" t="n">
        <v>45058</v>
      </c>
      <c r="C764" s="1" t="n">
        <v>45792</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20680-2023</t>
        </is>
      </c>
      <c r="B765" s="1" t="n">
        <v>45058</v>
      </c>
      <c r="C765" s="1" t="n">
        <v>45792</v>
      </c>
      <c r="D765" t="inlineStr">
        <is>
          <t>UPPSALA LÄN</t>
        </is>
      </c>
      <c r="E765" t="inlineStr">
        <is>
          <t>ÖSTHAMMAR</t>
        </is>
      </c>
      <c r="F765" t="inlineStr">
        <is>
          <t>Bergvik skog öst AB</t>
        </is>
      </c>
      <c r="G765" t="n">
        <v>10.5</v>
      </c>
      <c r="H765" t="n">
        <v>0</v>
      </c>
      <c r="I765" t="n">
        <v>0</v>
      </c>
      <c r="J765" t="n">
        <v>0</v>
      </c>
      <c r="K765" t="n">
        <v>0</v>
      </c>
      <c r="L765" t="n">
        <v>0</v>
      </c>
      <c r="M765" t="n">
        <v>0</v>
      </c>
      <c r="N765" t="n">
        <v>0</v>
      </c>
      <c r="O765" t="n">
        <v>0</v>
      </c>
      <c r="P765" t="n">
        <v>0</v>
      </c>
      <c r="Q765" t="n">
        <v>0</v>
      </c>
      <c r="R765" s="2" t="inlineStr"/>
    </row>
    <row r="766" ht="15" customHeight="1">
      <c r="A766" t="inlineStr">
        <is>
          <t>A 20677-2023</t>
        </is>
      </c>
      <c r="B766" s="1" t="n">
        <v>45058</v>
      </c>
      <c r="C766" s="1" t="n">
        <v>45792</v>
      </c>
      <c r="D766" t="inlineStr">
        <is>
          <t>UPPSALA LÄN</t>
        </is>
      </c>
      <c r="E766" t="inlineStr">
        <is>
          <t>ÖSTHAMMAR</t>
        </is>
      </c>
      <c r="F766" t="inlineStr">
        <is>
          <t>Bergvik skog öst AB</t>
        </is>
      </c>
      <c r="G766" t="n">
        <v>4</v>
      </c>
      <c r="H766" t="n">
        <v>0</v>
      </c>
      <c r="I766" t="n">
        <v>0</v>
      </c>
      <c r="J766" t="n">
        <v>0</v>
      </c>
      <c r="K766" t="n">
        <v>0</v>
      </c>
      <c r="L766" t="n">
        <v>0</v>
      </c>
      <c r="M766" t="n">
        <v>0</v>
      </c>
      <c r="N766" t="n">
        <v>0</v>
      </c>
      <c r="O766" t="n">
        <v>0</v>
      </c>
      <c r="P766" t="n">
        <v>0</v>
      </c>
      <c r="Q766" t="n">
        <v>0</v>
      </c>
      <c r="R766" s="2" t="inlineStr"/>
    </row>
    <row r="767" ht="15" customHeight="1">
      <c r="A767" t="inlineStr">
        <is>
          <t>A 21478-2023</t>
        </is>
      </c>
      <c r="B767" s="1" t="n">
        <v>45063</v>
      </c>
      <c r="C767" s="1" t="n">
        <v>45792</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21615-2023</t>
        </is>
      </c>
      <c r="B768" s="1" t="n">
        <v>45063</v>
      </c>
      <c r="C768" s="1" t="n">
        <v>45792</v>
      </c>
      <c r="D768" t="inlineStr">
        <is>
          <t>UPPSALA LÄN</t>
        </is>
      </c>
      <c r="E768" t="inlineStr">
        <is>
          <t>ÖSTHAMMAR</t>
        </is>
      </c>
      <c r="G768" t="n">
        <v>3.3</v>
      </c>
      <c r="H768" t="n">
        <v>0</v>
      </c>
      <c r="I768" t="n">
        <v>0</v>
      </c>
      <c r="J768" t="n">
        <v>0</v>
      </c>
      <c r="K768" t="n">
        <v>0</v>
      </c>
      <c r="L768" t="n">
        <v>0</v>
      </c>
      <c r="M768" t="n">
        <v>0</v>
      </c>
      <c r="N768" t="n">
        <v>0</v>
      </c>
      <c r="O768" t="n">
        <v>0</v>
      </c>
      <c r="P768" t="n">
        <v>0</v>
      </c>
      <c r="Q768" t="n">
        <v>0</v>
      </c>
      <c r="R768" s="2" t="inlineStr"/>
    </row>
    <row r="769" ht="15" customHeight="1">
      <c r="A769" t="inlineStr">
        <is>
          <t>A 21624-2023</t>
        </is>
      </c>
      <c r="B769" s="1" t="n">
        <v>45063</v>
      </c>
      <c r="C769" s="1" t="n">
        <v>45792</v>
      </c>
      <c r="D769" t="inlineStr">
        <is>
          <t>UPPSALA LÄN</t>
        </is>
      </c>
      <c r="E769" t="inlineStr">
        <is>
          <t>ÖSTHAMMAR</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21862-2023</t>
        </is>
      </c>
      <c r="B770" s="1" t="n">
        <v>45068</v>
      </c>
      <c r="C770" s="1" t="n">
        <v>45792</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22405-2023</t>
        </is>
      </c>
      <c r="B771" s="1" t="n">
        <v>45070</v>
      </c>
      <c r="C771" s="1" t="n">
        <v>45792</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22413-2023</t>
        </is>
      </c>
      <c r="B772" s="1" t="n">
        <v>45070</v>
      </c>
      <c r="C772" s="1" t="n">
        <v>45792</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22322-2023</t>
        </is>
      </c>
      <c r="B773" s="1" t="n">
        <v>45070</v>
      </c>
      <c r="C773" s="1" t="n">
        <v>45792</v>
      </c>
      <c r="D773" t="inlineStr">
        <is>
          <t>UPPSALA LÄN</t>
        </is>
      </c>
      <c r="E773" t="inlineStr">
        <is>
          <t>ÖSTHAMMAR</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22701-2023</t>
        </is>
      </c>
      <c r="B774" s="1" t="n">
        <v>45071</v>
      </c>
      <c r="C774" s="1" t="n">
        <v>45792</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22794-2023</t>
        </is>
      </c>
      <c r="B775" s="1" t="n">
        <v>45072</v>
      </c>
      <c r="C775" s="1" t="n">
        <v>45792</v>
      </c>
      <c r="D775" t="inlineStr">
        <is>
          <t>UPPSALA LÄN</t>
        </is>
      </c>
      <c r="E775" t="inlineStr">
        <is>
          <t>ÖSTHAMMAR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22798-2023</t>
        </is>
      </c>
      <c r="B776" s="1" t="n">
        <v>45072</v>
      </c>
      <c r="C776" s="1" t="n">
        <v>45792</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22796-2023</t>
        </is>
      </c>
      <c r="B777" s="1" t="n">
        <v>45072</v>
      </c>
      <c r="C777" s="1" t="n">
        <v>45792</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23083-2023</t>
        </is>
      </c>
      <c r="B778" s="1" t="n">
        <v>45075</v>
      </c>
      <c r="C778" s="1" t="n">
        <v>45792</v>
      </c>
      <c r="D778" t="inlineStr">
        <is>
          <t>UPPSALA LÄN</t>
        </is>
      </c>
      <c r="E778" t="inlineStr">
        <is>
          <t>ÖSTHAMMAR</t>
        </is>
      </c>
      <c r="F778" t="inlineStr">
        <is>
          <t>Sveaskog</t>
        </is>
      </c>
      <c r="G778" t="n">
        <v>3.8</v>
      </c>
      <c r="H778" t="n">
        <v>0</v>
      </c>
      <c r="I778" t="n">
        <v>0</v>
      </c>
      <c r="J778" t="n">
        <v>0</v>
      </c>
      <c r="K778" t="n">
        <v>0</v>
      </c>
      <c r="L778" t="n">
        <v>0</v>
      </c>
      <c r="M778" t="n">
        <v>0</v>
      </c>
      <c r="N778" t="n">
        <v>0</v>
      </c>
      <c r="O778" t="n">
        <v>0</v>
      </c>
      <c r="P778" t="n">
        <v>0</v>
      </c>
      <c r="Q778" t="n">
        <v>0</v>
      </c>
      <c r="R778" s="2" t="inlineStr"/>
    </row>
    <row r="779" ht="15" customHeight="1">
      <c r="A779" t="inlineStr">
        <is>
          <t>A 23064-2023</t>
        </is>
      </c>
      <c r="B779" s="1" t="n">
        <v>45075</v>
      </c>
      <c r="C779" s="1" t="n">
        <v>45792</v>
      </c>
      <c r="D779" t="inlineStr">
        <is>
          <t>UPPSALA LÄN</t>
        </is>
      </c>
      <c r="E779" t="inlineStr">
        <is>
          <t>ÖSTHAMMAR</t>
        </is>
      </c>
      <c r="F779" t="inlineStr">
        <is>
          <t>Kyrkan</t>
        </is>
      </c>
      <c r="G779" t="n">
        <v>16.6</v>
      </c>
      <c r="H779" t="n">
        <v>0</v>
      </c>
      <c r="I779" t="n">
        <v>0</v>
      </c>
      <c r="J779" t="n">
        <v>0</v>
      </c>
      <c r="K779" t="n">
        <v>0</v>
      </c>
      <c r="L779" t="n">
        <v>0</v>
      </c>
      <c r="M779" t="n">
        <v>0</v>
      </c>
      <c r="N779" t="n">
        <v>0</v>
      </c>
      <c r="O779" t="n">
        <v>0</v>
      </c>
      <c r="P779" t="n">
        <v>0</v>
      </c>
      <c r="Q779" t="n">
        <v>0</v>
      </c>
      <c r="R779" s="2" t="inlineStr"/>
    </row>
    <row r="780" ht="15" customHeight="1">
      <c r="A780" t="inlineStr">
        <is>
          <t>A 23197-2023</t>
        </is>
      </c>
      <c r="B780" s="1" t="n">
        <v>45075</v>
      </c>
      <c r="C780" s="1" t="n">
        <v>45792</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23142-2023</t>
        </is>
      </c>
      <c r="B781" s="1" t="n">
        <v>45075</v>
      </c>
      <c r="C781" s="1" t="n">
        <v>45792</v>
      </c>
      <c r="D781" t="inlineStr">
        <is>
          <t>UPPSALA LÄN</t>
        </is>
      </c>
      <c r="E781" t="inlineStr">
        <is>
          <t>ÖSTHAMMAR</t>
        </is>
      </c>
      <c r="G781" t="n">
        <v>2.3</v>
      </c>
      <c r="H781" t="n">
        <v>0</v>
      </c>
      <c r="I781" t="n">
        <v>0</v>
      </c>
      <c r="J781" t="n">
        <v>0</v>
      </c>
      <c r="K781" t="n">
        <v>0</v>
      </c>
      <c r="L781" t="n">
        <v>0</v>
      </c>
      <c r="M781" t="n">
        <v>0</v>
      </c>
      <c r="N781" t="n">
        <v>0</v>
      </c>
      <c r="O781" t="n">
        <v>0</v>
      </c>
      <c r="P781" t="n">
        <v>0</v>
      </c>
      <c r="Q781" t="n">
        <v>0</v>
      </c>
      <c r="R781" s="2" t="inlineStr"/>
    </row>
    <row r="782" ht="15" customHeight="1">
      <c r="A782" t="inlineStr">
        <is>
          <t>A 23059-2023</t>
        </is>
      </c>
      <c r="B782" s="1" t="n">
        <v>45075</v>
      </c>
      <c r="C782" s="1" t="n">
        <v>45792</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23363-2023</t>
        </is>
      </c>
      <c r="B783" s="1" t="n">
        <v>45076</v>
      </c>
      <c r="C783" s="1" t="n">
        <v>45792</v>
      </c>
      <c r="D783" t="inlineStr">
        <is>
          <t>UPPSALA LÄN</t>
        </is>
      </c>
      <c r="E783" t="inlineStr">
        <is>
          <t>ÖSTHAMMAR</t>
        </is>
      </c>
      <c r="G783" t="n">
        <v>3</v>
      </c>
      <c r="H783" t="n">
        <v>0</v>
      </c>
      <c r="I783" t="n">
        <v>0</v>
      </c>
      <c r="J783" t="n">
        <v>0</v>
      </c>
      <c r="K783" t="n">
        <v>0</v>
      </c>
      <c r="L783" t="n">
        <v>0</v>
      </c>
      <c r="M783" t="n">
        <v>0</v>
      </c>
      <c r="N783" t="n">
        <v>0</v>
      </c>
      <c r="O783" t="n">
        <v>0</v>
      </c>
      <c r="P783" t="n">
        <v>0</v>
      </c>
      <c r="Q783" t="n">
        <v>0</v>
      </c>
      <c r="R783" s="2" t="inlineStr"/>
    </row>
    <row r="784" ht="15" customHeight="1">
      <c r="A784" t="inlineStr">
        <is>
          <t>A 23495-2023</t>
        </is>
      </c>
      <c r="B784" s="1" t="n">
        <v>45076</v>
      </c>
      <c r="C784" s="1" t="n">
        <v>45792</v>
      </c>
      <c r="D784" t="inlineStr">
        <is>
          <t>UPPSALA LÄN</t>
        </is>
      </c>
      <c r="E784" t="inlineStr">
        <is>
          <t>ÖSTHAMMAR</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24033-2023</t>
        </is>
      </c>
      <c r="B785" s="1" t="n">
        <v>45078</v>
      </c>
      <c r="C785" s="1" t="n">
        <v>45792</v>
      </c>
      <c r="D785" t="inlineStr">
        <is>
          <t>UPPSALA LÄN</t>
        </is>
      </c>
      <c r="E785" t="inlineStr">
        <is>
          <t>ÖSTHAMMAR</t>
        </is>
      </c>
      <c r="F785" t="inlineStr">
        <is>
          <t>Bergvik skog öst AB</t>
        </is>
      </c>
      <c r="G785" t="n">
        <v>0.7</v>
      </c>
      <c r="H785" t="n">
        <v>0</v>
      </c>
      <c r="I785" t="n">
        <v>0</v>
      </c>
      <c r="J785" t="n">
        <v>0</v>
      </c>
      <c r="K785" t="n">
        <v>0</v>
      </c>
      <c r="L785" t="n">
        <v>0</v>
      </c>
      <c r="M785" t="n">
        <v>0</v>
      </c>
      <c r="N785" t="n">
        <v>0</v>
      </c>
      <c r="O785" t="n">
        <v>0</v>
      </c>
      <c r="P785" t="n">
        <v>0</v>
      </c>
      <c r="Q785" t="n">
        <v>0</v>
      </c>
      <c r="R785" s="2" t="inlineStr"/>
    </row>
    <row r="786" ht="15" customHeight="1">
      <c r="A786" t="inlineStr">
        <is>
          <t>A 24128-2023</t>
        </is>
      </c>
      <c r="B786" s="1" t="n">
        <v>45079</v>
      </c>
      <c r="C786" s="1" t="n">
        <v>45792</v>
      </c>
      <c r="D786" t="inlineStr">
        <is>
          <t>UPPSALA LÄN</t>
        </is>
      </c>
      <c r="E786" t="inlineStr">
        <is>
          <t>ÖSTHAMMAR</t>
        </is>
      </c>
      <c r="G786" t="n">
        <v>0.6</v>
      </c>
      <c r="H786" t="n">
        <v>0</v>
      </c>
      <c r="I786" t="n">
        <v>0</v>
      </c>
      <c r="J786" t="n">
        <v>0</v>
      </c>
      <c r="K786" t="n">
        <v>0</v>
      </c>
      <c r="L786" t="n">
        <v>0</v>
      </c>
      <c r="M786" t="n">
        <v>0</v>
      </c>
      <c r="N786" t="n">
        <v>0</v>
      </c>
      <c r="O786" t="n">
        <v>0</v>
      </c>
      <c r="P786" t="n">
        <v>0</v>
      </c>
      <c r="Q786" t="n">
        <v>0</v>
      </c>
      <c r="R786" s="2" t="inlineStr"/>
    </row>
    <row r="787" ht="15" customHeight="1">
      <c r="A787" t="inlineStr">
        <is>
          <t>A 24325-2023</t>
        </is>
      </c>
      <c r="B787" s="1" t="n">
        <v>45080</v>
      </c>
      <c r="C787" s="1" t="n">
        <v>45792</v>
      </c>
      <c r="D787" t="inlineStr">
        <is>
          <t>UPPSALA LÄN</t>
        </is>
      </c>
      <c r="E787" t="inlineStr">
        <is>
          <t>ÖSTHAMMAR</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24324-2023</t>
        </is>
      </c>
      <c r="B788" s="1" t="n">
        <v>45080</v>
      </c>
      <c r="C788" s="1" t="n">
        <v>45792</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24428-2023</t>
        </is>
      </c>
      <c r="B789" s="1" t="n">
        <v>45082</v>
      </c>
      <c r="C789" s="1" t="n">
        <v>45792</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24493-2023</t>
        </is>
      </c>
      <c r="B790" s="1" t="n">
        <v>45082</v>
      </c>
      <c r="C790" s="1" t="n">
        <v>45792</v>
      </c>
      <c r="D790" t="inlineStr">
        <is>
          <t>UPPSALA LÄN</t>
        </is>
      </c>
      <c r="E790" t="inlineStr">
        <is>
          <t>ÖSTHAMMAR</t>
        </is>
      </c>
      <c r="G790" t="n">
        <v>1.9</v>
      </c>
      <c r="H790" t="n">
        <v>0</v>
      </c>
      <c r="I790" t="n">
        <v>0</v>
      </c>
      <c r="J790" t="n">
        <v>0</v>
      </c>
      <c r="K790" t="n">
        <v>0</v>
      </c>
      <c r="L790" t="n">
        <v>0</v>
      </c>
      <c r="M790" t="n">
        <v>0</v>
      </c>
      <c r="N790" t="n">
        <v>0</v>
      </c>
      <c r="O790" t="n">
        <v>0</v>
      </c>
      <c r="P790" t="n">
        <v>0</v>
      </c>
      <c r="Q790" t="n">
        <v>0</v>
      </c>
      <c r="R790" s="2" t="inlineStr"/>
    </row>
    <row r="791" ht="15" customHeight="1">
      <c r="A791" t="inlineStr">
        <is>
          <t>A 24491-2023</t>
        </is>
      </c>
      <c r="B791" s="1" t="n">
        <v>45082</v>
      </c>
      <c r="C791" s="1" t="n">
        <v>45792</v>
      </c>
      <c r="D791" t="inlineStr">
        <is>
          <t>UPPSALA LÄN</t>
        </is>
      </c>
      <c r="E791" t="inlineStr">
        <is>
          <t>ÖSTHAMMAR</t>
        </is>
      </c>
      <c r="G791" t="n">
        <v>5.3</v>
      </c>
      <c r="H791" t="n">
        <v>0</v>
      </c>
      <c r="I791" t="n">
        <v>0</v>
      </c>
      <c r="J791" t="n">
        <v>0</v>
      </c>
      <c r="K791" t="n">
        <v>0</v>
      </c>
      <c r="L791" t="n">
        <v>0</v>
      </c>
      <c r="M791" t="n">
        <v>0</v>
      </c>
      <c r="N791" t="n">
        <v>0</v>
      </c>
      <c r="O791" t="n">
        <v>0</v>
      </c>
      <c r="P791" t="n">
        <v>0</v>
      </c>
      <c r="Q791" t="n">
        <v>0</v>
      </c>
      <c r="R791" s="2" t="inlineStr"/>
    </row>
    <row r="792" ht="15" customHeight="1">
      <c r="A792" t="inlineStr">
        <is>
          <t>A 24587-2023</t>
        </is>
      </c>
      <c r="B792" s="1" t="n">
        <v>45083</v>
      </c>
      <c r="C792" s="1" t="n">
        <v>45792</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24642-2023</t>
        </is>
      </c>
      <c r="B793" s="1" t="n">
        <v>45084</v>
      </c>
      <c r="C793" s="1" t="n">
        <v>45792</v>
      </c>
      <c r="D793" t="inlineStr">
        <is>
          <t>UPPSALA LÄN</t>
        </is>
      </c>
      <c r="E793" t="inlineStr">
        <is>
          <t>ÖSTHAMMAR</t>
        </is>
      </c>
      <c r="F793" t="inlineStr">
        <is>
          <t>Bergvik skog öst AB</t>
        </is>
      </c>
      <c r="G793" t="n">
        <v>7.2</v>
      </c>
      <c r="H793" t="n">
        <v>0</v>
      </c>
      <c r="I793" t="n">
        <v>0</v>
      </c>
      <c r="J793" t="n">
        <v>0</v>
      </c>
      <c r="K793" t="n">
        <v>0</v>
      </c>
      <c r="L793" t="n">
        <v>0</v>
      </c>
      <c r="M793" t="n">
        <v>0</v>
      </c>
      <c r="N793" t="n">
        <v>0</v>
      </c>
      <c r="O793" t="n">
        <v>0</v>
      </c>
      <c r="P793" t="n">
        <v>0</v>
      </c>
      <c r="Q793" t="n">
        <v>0</v>
      </c>
      <c r="R793" s="2" t="inlineStr"/>
    </row>
    <row r="794" ht="15" customHeight="1">
      <c r="A794" t="inlineStr">
        <is>
          <t>A 24648-2023</t>
        </is>
      </c>
      <c r="B794" s="1" t="n">
        <v>45084</v>
      </c>
      <c r="C794" s="1" t="n">
        <v>45792</v>
      </c>
      <c r="D794" t="inlineStr">
        <is>
          <t>UPPSALA LÄN</t>
        </is>
      </c>
      <c r="E794" t="inlineStr">
        <is>
          <t>ÖSTHAMMAR</t>
        </is>
      </c>
      <c r="F794" t="inlineStr">
        <is>
          <t>Bergvik skog öst AB</t>
        </is>
      </c>
      <c r="G794" t="n">
        <v>12.5</v>
      </c>
      <c r="H794" t="n">
        <v>0</v>
      </c>
      <c r="I794" t="n">
        <v>0</v>
      </c>
      <c r="J794" t="n">
        <v>0</v>
      </c>
      <c r="K794" t="n">
        <v>0</v>
      </c>
      <c r="L794" t="n">
        <v>0</v>
      </c>
      <c r="M794" t="n">
        <v>0</v>
      </c>
      <c r="N794" t="n">
        <v>0</v>
      </c>
      <c r="O794" t="n">
        <v>0</v>
      </c>
      <c r="P794" t="n">
        <v>0</v>
      </c>
      <c r="Q794" t="n">
        <v>0</v>
      </c>
      <c r="R794" s="2" t="inlineStr"/>
    </row>
    <row r="795" ht="15" customHeight="1">
      <c r="A795" t="inlineStr">
        <is>
          <t>A 24751-2023</t>
        </is>
      </c>
      <c r="B795" s="1" t="n">
        <v>45084</v>
      </c>
      <c r="C795" s="1" t="n">
        <v>45792</v>
      </c>
      <c r="D795" t="inlineStr">
        <is>
          <t>UPPSALA LÄN</t>
        </is>
      </c>
      <c r="E795" t="inlineStr">
        <is>
          <t>ÖSTHAMMAR</t>
        </is>
      </c>
      <c r="F795" t="inlineStr">
        <is>
          <t>Bergvik skog öst AB</t>
        </is>
      </c>
      <c r="G795" t="n">
        <v>6.2</v>
      </c>
      <c r="H795" t="n">
        <v>0</v>
      </c>
      <c r="I795" t="n">
        <v>0</v>
      </c>
      <c r="J795" t="n">
        <v>0</v>
      </c>
      <c r="K795" t="n">
        <v>0</v>
      </c>
      <c r="L795" t="n">
        <v>0</v>
      </c>
      <c r="M795" t="n">
        <v>0</v>
      </c>
      <c r="N795" t="n">
        <v>0</v>
      </c>
      <c r="O795" t="n">
        <v>0</v>
      </c>
      <c r="P795" t="n">
        <v>0</v>
      </c>
      <c r="Q795" t="n">
        <v>0</v>
      </c>
      <c r="R795" s="2" t="inlineStr"/>
    </row>
    <row r="796" ht="15" customHeight="1">
      <c r="A796" t="inlineStr">
        <is>
          <t>A 25194-2023</t>
        </is>
      </c>
      <c r="B796" s="1" t="n">
        <v>45086</v>
      </c>
      <c r="C796" s="1" t="n">
        <v>45792</v>
      </c>
      <c r="D796" t="inlineStr">
        <is>
          <t>UPPSALA LÄN</t>
        </is>
      </c>
      <c r="E796" t="inlineStr">
        <is>
          <t>ÖSTHAMMAR</t>
        </is>
      </c>
      <c r="G796" t="n">
        <v>0.7</v>
      </c>
      <c r="H796" t="n">
        <v>0</v>
      </c>
      <c r="I796" t="n">
        <v>0</v>
      </c>
      <c r="J796" t="n">
        <v>0</v>
      </c>
      <c r="K796" t="n">
        <v>0</v>
      </c>
      <c r="L796" t="n">
        <v>0</v>
      </c>
      <c r="M796" t="n">
        <v>0</v>
      </c>
      <c r="N796" t="n">
        <v>0</v>
      </c>
      <c r="O796" t="n">
        <v>0</v>
      </c>
      <c r="P796" t="n">
        <v>0</v>
      </c>
      <c r="Q796" t="n">
        <v>0</v>
      </c>
      <c r="R796" s="2" t="inlineStr"/>
    </row>
    <row r="797" ht="15" customHeight="1">
      <c r="A797" t="inlineStr">
        <is>
          <t>A 26612-2023</t>
        </is>
      </c>
      <c r="B797" s="1" t="n">
        <v>45089</v>
      </c>
      <c r="C797" s="1" t="n">
        <v>45792</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26610-2023</t>
        </is>
      </c>
      <c r="B798" s="1" t="n">
        <v>45089</v>
      </c>
      <c r="C798" s="1" t="n">
        <v>45792</v>
      </c>
      <c r="D798" t="inlineStr">
        <is>
          <t>UPPSALA LÄN</t>
        </is>
      </c>
      <c r="E798" t="inlineStr">
        <is>
          <t>ÖSTHAMMAR</t>
        </is>
      </c>
      <c r="G798" t="n">
        <v>4.1</v>
      </c>
      <c r="H798" t="n">
        <v>0</v>
      </c>
      <c r="I798" t="n">
        <v>0</v>
      </c>
      <c r="J798" t="n">
        <v>0</v>
      </c>
      <c r="K798" t="n">
        <v>0</v>
      </c>
      <c r="L798" t="n">
        <v>0</v>
      </c>
      <c r="M798" t="n">
        <v>0</v>
      </c>
      <c r="N798" t="n">
        <v>0</v>
      </c>
      <c r="O798" t="n">
        <v>0</v>
      </c>
      <c r="P798" t="n">
        <v>0</v>
      </c>
      <c r="Q798" t="n">
        <v>0</v>
      </c>
      <c r="R798" s="2" t="inlineStr"/>
    </row>
    <row r="799" ht="15" customHeight="1">
      <c r="A799" t="inlineStr">
        <is>
          <t>A 25897-2023</t>
        </is>
      </c>
      <c r="B799" s="1" t="n">
        <v>45090</v>
      </c>
      <c r="C799" s="1" t="n">
        <v>45792</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25903-2023</t>
        </is>
      </c>
      <c r="B800" s="1" t="n">
        <v>45090</v>
      </c>
      <c r="C800" s="1" t="n">
        <v>45792</v>
      </c>
      <c r="D800" t="inlineStr">
        <is>
          <t>UPPSALA LÄN</t>
        </is>
      </c>
      <c r="E800" t="inlineStr">
        <is>
          <t>ÖSTHAMMAR</t>
        </is>
      </c>
      <c r="F800" t="inlineStr">
        <is>
          <t>Bergvik skog öst AB</t>
        </is>
      </c>
      <c r="G800" t="n">
        <v>29.2</v>
      </c>
      <c r="H800" t="n">
        <v>0</v>
      </c>
      <c r="I800" t="n">
        <v>0</v>
      </c>
      <c r="J800" t="n">
        <v>0</v>
      </c>
      <c r="K800" t="n">
        <v>0</v>
      </c>
      <c r="L800" t="n">
        <v>0</v>
      </c>
      <c r="M800" t="n">
        <v>0</v>
      </c>
      <c r="N800" t="n">
        <v>0</v>
      </c>
      <c r="O800" t="n">
        <v>0</v>
      </c>
      <c r="P800" t="n">
        <v>0</v>
      </c>
      <c r="Q800" t="n">
        <v>0</v>
      </c>
      <c r="R800" s="2" t="inlineStr"/>
    </row>
    <row r="801" ht="15" customHeight="1">
      <c r="A801" t="inlineStr">
        <is>
          <t>A 25970-2023</t>
        </is>
      </c>
      <c r="B801" s="1" t="n">
        <v>45090</v>
      </c>
      <c r="C801" s="1" t="n">
        <v>45792</v>
      </c>
      <c r="D801" t="inlineStr">
        <is>
          <t>UPPSALA LÄN</t>
        </is>
      </c>
      <c r="E801" t="inlineStr">
        <is>
          <t>ÖSTHAMMAR</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25968-2023</t>
        </is>
      </c>
      <c r="B802" s="1" t="n">
        <v>45090</v>
      </c>
      <c r="C802" s="1" t="n">
        <v>45792</v>
      </c>
      <c r="D802" t="inlineStr">
        <is>
          <t>UPPSALA LÄN</t>
        </is>
      </c>
      <c r="E802" t="inlineStr">
        <is>
          <t>ÖSTHAMMAR</t>
        </is>
      </c>
      <c r="F802" t="inlineStr">
        <is>
          <t>Sveaskog</t>
        </is>
      </c>
      <c r="G802" t="n">
        <v>3.8</v>
      </c>
      <c r="H802" t="n">
        <v>0</v>
      </c>
      <c r="I802" t="n">
        <v>0</v>
      </c>
      <c r="J802" t="n">
        <v>0</v>
      </c>
      <c r="K802" t="n">
        <v>0</v>
      </c>
      <c r="L802" t="n">
        <v>0</v>
      </c>
      <c r="M802" t="n">
        <v>0</v>
      </c>
      <c r="N802" t="n">
        <v>0</v>
      </c>
      <c r="O802" t="n">
        <v>0</v>
      </c>
      <c r="P802" t="n">
        <v>0</v>
      </c>
      <c r="Q802" t="n">
        <v>0</v>
      </c>
      <c r="R802" s="2" t="inlineStr"/>
    </row>
    <row r="803" ht="15" customHeight="1">
      <c r="A803" t="inlineStr">
        <is>
          <t>A 25969-2023</t>
        </is>
      </c>
      <c r="B803" s="1" t="n">
        <v>45090</v>
      </c>
      <c r="C803" s="1" t="n">
        <v>45792</v>
      </c>
      <c r="D803" t="inlineStr">
        <is>
          <t>UPPSALA LÄN</t>
        </is>
      </c>
      <c r="E803" t="inlineStr">
        <is>
          <t>ÖSTHAMMAR</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26774-2023</t>
        </is>
      </c>
      <c r="B804" s="1" t="n">
        <v>45093</v>
      </c>
      <c r="C804" s="1" t="n">
        <v>45792</v>
      </c>
      <c r="D804" t="inlineStr">
        <is>
          <t>UPPSALA LÄN</t>
        </is>
      </c>
      <c r="E804" t="inlineStr">
        <is>
          <t>ÖSTHAMMAR</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26734-2023</t>
        </is>
      </c>
      <c r="B805" s="1" t="n">
        <v>45093</v>
      </c>
      <c r="C805" s="1" t="n">
        <v>45792</v>
      </c>
      <c r="D805" t="inlineStr">
        <is>
          <t>UPPSALA LÄN</t>
        </is>
      </c>
      <c r="E805" t="inlineStr">
        <is>
          <t>ÖSTHAMMAR</t>
        </is>
      </c>
      <c r="F805" t="inlineStr">
        <is>
          <t>Bergvik skog öst AB</t>
        </is>
      </c>
      <c r="G805" t="n">
        <v>25.5</v>
      </c>
      <c r="H805" t="n">
        <v>0</v>
      </c>
      <c r="I805" t="n">
        <v>0</v>
      </c>
      <c r="J805" t="n">
        <v>0</v>
      </c>
      <c r="K805" t="n">
        <v>0</v>
      </c>
      <c r="L805" t="n">
        <v>0</v>
      </c>
      <c r="M805" t="n">
        <v>0</v>
      </c>
      <c r="N805" t="n">
        <v>0</v>
      </c>
      <c r="O805" t="n">
        <v>0</v>
      </c>
      <c r="P805" t="n">
        <v>0</v>
      </c>
      <c r="Q805" t="n">
        <v>0</v>
      </c>
      <c r="R805" s="2" t="inlineStr"/>
    </row>
    <row r="806" ht="15" customHeight="1">
      <c r="A806" t="inlineStr">
        <is>
          <t>A 28170-2023</t>
        </is>
      </c>
      <c r="B806" s="1" t="n">
        <v>45093</v>
      </c>
      <c r="C806" s="1" t="n">
        <v>45792</v>
      </c>
      <c r="D806" t="inlineStr">
        <is>
          <t>UPPSALA LÄN</t>
        </is>
      </c>
      <c r="E806" t="inlineStr">
        <is>
          <t>ÖSTHAMMAR</t>
        </is>
      </c>
      <c r="G806" t="n">
        <v>7.2</v>
      </c>
      <c r="H806" t="n">
        <v>0</v>
      </c>
      <c r="I806" t="n">
        <v>0</v>
      </c>
      <c r="J806" t="n">
        <v>0</v>
      </c>
      <c r="K806" t="n">
        <v>0</v>
      </c>
      <c r="L806" t="n">
        <v>0</v>
      </c>
      <c r="M806" t="n">
        <v>0</v>
      </c>
      <c r="N806" t="n">
        <v>0</v>
      </c>
      <c r="O806" t="n">
        <v>0</v>
      </c>
      <c r="P806" t="n">
        <v>0</v>
      </c>
      <c r="Q806" t="n">
        <v>0</v>
      </c>
      <c r="R806" s="2" t="inlineStr"/>
    </row>
    <row r="807" ht="15" customHeight="1">
      <c r="A807" t="inlineStr">
        <is>
          <t>A 27150-2023</t>
        </is>
      </c>
      <c r="B807" s="1" t="n">
        <v>45096</v>
      </c>
      <c r="C807" s="1" t="n">
        <v>45792</v>
      </c>
      <c r="D807" t="inlineStr">
        <is>
          <t>UPPSALA LÄN</t>
        </is>
      </c>
      <c r="E807" t="inlineStr">
        <is>
          <t>ÖSTHAMMAR</t>
        </is>
      </c>
      <c r="F807" t="inlineStr">
        <is>
          <t>Bergvik skog öst AB</t>
        </is>
      </c>
      <c r="G807" t="n">
        <v>5</v>
      </c>
      <c r="H807" t="n">
        <v>0</v>
      </c>
      <c r="I807" t="n">
        <v>0</v>
      </c>
      <c r="J807" t="n">
        <v>0</v>
      </c>
      <c r="K807" t="n">
        <v>0</v>
      </c>
      <c r="L807" t="n">
        <v>0</v>
      </c>
      <c r="M807" t="n">
        <v>0</v>
      </c>
      <c r="N807" t="n">
        <v>0</v>
      </c>
      <c r="O807" t="n">
        <v>0</v>
      </c>
      <c r="P807" t="n">
        <v>0</v>
      </c>
      <c r="Q807" t="n">
        <v>0</v>
      </c>
      <c r="R807" s="2" t="inlineStr"/>
    </row>
    <row r="808" ht="15" customHeight="1">
      <c r="A808" t="inlineStr">
        <is>
          <t>A 27154-2023</t>
        </is>
      </c>
      <c r="B808" s="1" t="n">
        <v>45096</v>
      </c>
      <c r="C808" s="1" t="n">
        <v>45792</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27308-2023</t>
        </is>
      </c>
      <c r="B809" s="1" t="n">
        <v>45096</v>
      </c>
      <c r="C809" s="1" t="n">
        <v>45792</v>
      </c>
      <c r="D809" t="inlineStr">
        <is>
          <t>UPPSALA LÄN</t>
        </is>
      </c>
      <c r="E809" t="inlineStr">
        <is>
          <t>ÖSTHAMMAR</t>
        </is>
      </c>
      <c r="F809" t="inlineStr">
        <is>
          <t>Bergvik skog öst AB</t>
        </is>
      </c>
      <c r="G809" t="n">
        <v>2.4</v>
      </c>
      <c r="H809" t="n">
        <v>0</v>
      </c>
      <c r="I809" t="n">
        <v>0</v>
      </c>
      <c r="J809" t="n">
        <v>0</v>
      </c>
      <c r="K809" t="n">
        <v>0</v>
      </c>
      <c r="L809" t="n">
        <v>0</v>
      </c>
      <c r="M809" t="n">
        <v>0</v>
      </c>
      <c r="N809" t="n">
        <v>0</v>
      </c>
      <c r="O809" t="n">
        <v>0</v>
      </c>
      <c r="P809" t="n">
        <v>0</v>
      </c>
      <c r="Q809" t="n">
        <v>0</v>
      </c>
      <c r="R809" s="2" t="inlineStr"/>
    </row>
    <row r="810" ht="15" customHeight="1">
      <c r="A810" t="inlineStr">
        <is>
          <t>A 27660-2023</t>
        </is>
      </c>
      <c r="B810" s="1" t="n">
        <v>45097</v>
      </c>
      <c r="C810" s="1" t="n">
        <v>45792</v>
      </c>
      <c r="D810" t="inlineStr">
        <is>
          <t>UPPSALA LÄN</t>
        </is>
      </c>
      <c r="E810" t="inlineStr">
        <is>
          <t>ÖSTHAMMAR</t>
        </is>
      </c>
      <c r="G810" t="n">
        <v>2.8</v>
      </c>
      <c r="H810" t="n">
        <v>0</v>
      </c>
      <c r="I810" t="n">
        <v>0</v>
      </c>
      <c r="J810" t="n">
        <v>0</v>
      </c>
      <c r="K810" t="n">
        <v>0</v>
      </c>
      <c r="L810" t="n">
        <v>0</v>
      </c>
      <c r="M810" t="n">
        <v>0</v>
      </c>
      <c r="N810" t="n">
        <v>0</v>
      </c>
      <c r="O810" t="n">
        <v>0</v>
      </c>
      <c r="P810" t="n">
        <v>0</v>
      </c>
      <c r="Q810" t="n">
        <v>0</v>
      </c>
      <c r="R810" s="2" t="inlineStr"/>
    </row>
    <row r="811" ht="15" customHeight="1">
      <c r="A811" t="inlineStr">
        <is>
          <t>A 27659-2023</t>
        </is>
      </c>
      <c r="B811" s="1" t="n">
        <v>45097</v>
      </c>
      <c r="C811" s="1" t="n">
        <v>45792</v>
      </c>
      <c r="D811" t="inlineStr">
        <is>
          <t>UPPSALA LÄN</t>
        </is>
      </c>
      <c r="E811" t="inlineStr">
        <is>
          <t>ÖSTHAMMAR</t>
        </is>
      </c>
      <c r="G811" t="n">
        <v>2.6</v>
      </c>
      <c r="H811" t="n">
        <v>0</v>
      </c>
      <c r="I811" t="n">
        <v>0</v>
      </c>
      <c r="J811" t="n">
        <v>0</v>
      </c>
      <c r="K811" t="n">
        <v>0</v>
      </c>
      <c r="L811" t="n">
        <v>0</v>
      </c>
      <c r="M811" t="n">
        <v>0</v>
      </c>
      <c r="N811" t="n">
        <v>0</v>
      </c>
      <c r="O811" t="n">
        <v>0</v>
      </c>
      <c r="P811" t="n">
        <v>0</v>
      </c>
      <c r="Q811" t="n">
        <v>0</v>
      </c>
      <c r="R811" s="2" t="inlineStr"/>
    </row>
    <row r="812" ht="15" customHeight="1">
      <c r="A812" t="inlineStr">
        <is>
          <t>A 27801-2023</t>
        </is>
      </c>
      <c r="B812" s="1" t="n">
        <v>45098</v>
      </c>
      <c r="C812" s="1" t="n">
        <v>45792</v>
      </c>
      <c r="D812" t="inlineStr">
        <is>
          <t>UPPSALA LÄN</t>
        </is>
      </c>
      <c r="E812" t="inlineStr">
        <is>
          <t>ÖSTHAMMAR</t>
        </is>
      </c>
      <c r="F812" t="inlineStr">
        <is>
          <t>Kyrkan</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28422-2023</t>
        </is>
      </c>
      <c r="B813" s="1" t="n">
        <v>45102</v>
      </c>
      <c r="C813" s="1" t="n">
        <v>45792</v>
      </c>
      <c r="D813" t="inlineStr">
        <is>
          <t>UPPSALA LÄN</t>
        </is>
      </c>
      <c r="E813" t="inlineStr">
        <is>
          <t>ÖSTHAMMAR</t>
        </is>
      </c>
      <c r="F813" t="inlineStr">
        <is>
          <t>Bergvik skog öst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28430-2023</t>
        </is>
      </c>
      <c r="B814" s="1" t="n">
        <v>45102</v>
      </c>
      <c r="C814" s="1" t="n">
        <v>45792</v>
      </c>
      <c r="D814" t="inlineStr">
        <is>
          <t>UPPSALA LÄN</t>
        </is>
      </c>
      <c r="E814" t="inlineStr">
        <is>
          <t>ÖSTHAMMAR</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28434-2023</t>
        </is>
      </c>
      <c r="B815" s="1" t="n">
        <v>45102</v>
      </c>
      <c r="C815" s="1" t="n">
        <v>45792</v>
      </c>
      <c r="D815" t="inlineStr">
        <is>
          <t>UPPSALA LÄN</t>
        </is>
      </c>
      <c r="E815" t="inlineStr">
        <is>
          <t>ÖSTHAMMAR</t>
        </is>
      </c>
      <c r="F815" t="inlineStr">
        <is>
          <t>Bergvik skog öst AB</t>
        </is>
      </c>
      <c r="G815" t="n">
        <v>8.9</v>
      </c>
      <c r="H815" t="n">
        <v>0</v>
      </c>
      <c r="I815" t="n">
        <v>0</v>
      </c>
      <c r="J815" t="n">
        <v>0</v>
      </c>
      <c r="K815" t="n">
        <v>0</v>
      </c>
      <c r="L815" t="n">
        <v>0</v>
      </c>
      <c r="M815" t="n">
        <v>0</v>
      </c>
      <c r="N815" t="n">
        <v>0</v>
      </c>
      <c r="O815" t="n">
        <v>0</v>
      </c>
      <c r="P815" t="n">
        <v>0</v>
      </c>
      <c r="Q815" t="n">
        <v>0</v>
      </c>
      <c r="R815" s="2" t="inlineStr"/>
    </row>
    <row r="816" ht="15" customHeight="1">
      <c r="A816" t="inlineStr">
        <is>
          <t>A 28420-2023</t>
        </is>
      </c>
      <c r="B816" s="1" t="n">
        <v>45102</v>
      </c>
      <c r="C816" s="1" t="n">
        <v>45792</v>
      </c>
      <c r="D816" t="inlineStr">
        <is>
          <t>UPPSALA LÄN</t>
        </is>
      </c>
      <c r="E816" t="inlineStr">
        <is>
          <t>ÖSTHAMMAR</t>
        </is>
      </c>
      <c r="F816" t="inlineStr">
        <is>
          <t>Bergvik skog öst AB</t>
        </is>
      </c>
      <c r="G816" t="n">
        <v>3.2</v>
      </c>
      <c r="H816" t="n">
        <v>0</v>
      </c>
      <c r="I816" t="n">
        <v>0</v>
      </c>
      <c r="J816" t="n">
        <v>0</v>
      </c>
      <c r="K816" t="n">
        <v>0</v>
      </c>
      <c r="L816" t="n">
        <v>0</v>
      </c>
      <c r="M816" t="n">
        <v>0</v>
      </c>
      <c r="N816" t="n">
        <v>0</v>
      </c>
      <c r="O816" t="n">
        <v>0</v>
      </c>
      <c r="P816" t="n">
        <v>0</v>
      </c>
      <c r="Q816" t="n">
        <v>0</v>
      </c>
      <c r="R816" s="2" t="inlineStr"/>
    </row>
    <row r="817" ht="15" customHeight="1">
      <c r="A817" t="inlineStr">
        <is>
          <t>A 28432-2023</t>
        </is>
      </c>
      <c r="B817" s="1" t="n">
        <v>45102</v>
      </c>
      <c r="C817" s="1" t="n">
        <v>45792</v>
      </c>
      <c r="D817" t="inlineStr">
        <is>
          <t>UPPSALA LÄN</t>
        </is>
      </c>
      <c r="E817" t="inlineStr">
        <is>
          <t>ÖSTHAMMAR</t>
        </is>
      </c>
      <c r="F817" t="inlineStr">
        <is>
          <t>Bergvik skog öst AB</t>
        </is>
      </c>
      <c r="G817" t="n">
        <v>3.9</v>
      </c>
      <c r="H817" t="n">
        <v>0</v>
      </c>
      <c r="I817" t="n">
        <v>0</v>
      </c>
      <c r="J817" t="n">
        <v>0</v>
      </c>
      <c r="K817" t="n">
        <v>0</v>
      </c>
      <c r="L817" t="n">
        <v>0</v>
      </c>
      <c r="M817" t="n">
        <v>0</v>
      </c>
      <c r="N817" t="n">
        <v>0</v>
      </c>
      <c r="O817" t="n">
        <v>0</v>
      </c>
      <c r="P817" t="n">
        <v>0</v>
      </c>
      <c r="Q817" t="n">
        <v>0</v>
      </c>
      <c r="R817" s="2" t="inlineStr"/>
    </row>
    <row r="818" ht="15" customHeight="1">
      <c r="A818" t="inlineStr">
        <is>
          <t>A 28421-2023</t>
        </is>
      </c>
      <c r="B818" s="1" t="n">
        <v>45102</v>
      </c>
      <c r="C818" s="1" t="n">
        <v>45792</v>
      </c>
      <c r="D818" t="inlineStr">
        <is>
          <t>UPPSALA LÄN</t>
        </is>
      </c>
      <c r="E818" t="inlineStr">
        <is>
          <t>ÖSTHAMMAR</t>
        </is>
      </c>
      <c r="F818" t="inlineStr">
        <is>
          <t>Bergvik skog öst AB</t>
        </is>
      </c>
      <c r="G818" t="n">
        <v>0.4</v>
      </c>
      <c r="H818" t="n">
        <v>0</v>
      </c>
      <c r="I818" t="n">
        <v>0</v>
      </c>
      <c r="J818" t="n">
        <v>0</v>
      </c>
      <c r="K818" t="n">
        <v>0</v>
      </c>
      <c r="L818" t="n">
        <v>0</v>
      </c>
      <c r="M818" t="n">
        <v>0</v>
      </c>
      <c r="N818" t="n">
        <v>0</v>
      </c>
      <c r="O818" t="n">
        <v>0</v>
      </c>
      <c r="P818" t="n">
        <v>0</v>
      </c>
      <c r="Q818" t="n">
        <v>0</v>
      </c>
      <c r="R818" s="2" t="inlineStr"/>
    </row>
    <row r="819" ht="15" customHeight="1">
      <c r="A819" t="inlineStr">
        <is>
          <t>A 28429-2023</t>
        </is>
      </c>
      <c r="B819" s="1" t="n">
        <v>45102</v>
      </c>
      <c r="C819" s="1" t="n">
        <v>45792</v>
      </c>
      <c r="D819" t="inlineStr">
        <is>
          <t>UPPSALA LÄN</t>
        </is>
      </c>
      <c r="E819" t="inlineStr">
        <is>
          <t>ÖSTHAMMAR</t>
        </is>
      </c>
      <c r="F819" t="inlineStr">
        <is>
          <t>Bergvik skog öst AB</t>
        </is>
      </c>
      <c r="G819" t="n">
        <v>0.9</v>
      </c>
      <c r="H819" t="n">
        <v>0</v>
      </c>
      <c r="I819" t="n">
        <v>0</v>
      </c>
      <c r="J819" t="n">
        <v>0</v>
      </c>
      <c r="K819" t="n">
        <v>0</v>
      </c>
      <c r="L819" t="n">
        <v>0</v>
      </c>
      <c r="M819" t="n">
        <v>0</v>
      </c>
      <c r="N819" t="n">
        <v>0</v>
      </c>
      <c r="O819" t="n">
        <v>0</v>
      </c>
      <c r="P819" t="n">
        <v>0</v>
      </c>
      <c r="Q819" t="n">
        <v>0</v>
      </c>
      <c r="R819" s="2" t="inlineStr"/>
    </row>
    <row r="820" ht="15" customHeight="1">
      <c r="A820" t="inlineStr">
        <is>
          <t>A 28482-2023</t>
        </is>
      </c>
      <c r="B820" s="1" t="n">
        <v>45103</v>
      </c>
      <c r="C820" s="1" t="n">
        <v>45792</v>
      </c>
      <c r="D820" t="inlineStr">
        <is>
          <t>UPPSALA LÄN</t>
        </is>
      </c>
      <c r="E820" t="inlineStr">
        <is>
          <t>ÖSTHAMMAR</t>
        </is>
      </c>
      <c r="F820" t="inlineStr">
        <is>
          <t>Naturvårdsverket</t>
        </is>
      </c>
      <c r="G820" t="n">
        <v>8.9</v>
      </c>
      <c r="H820" t="n">
        <v>0</v>
      </c>
      <c r="I820" t="n">
        <v>0</v>
      </c>
      <c r="J820" t="n">
        <v>0</v>
      </c>
      <c r="K820" t="n">
        <v>0</v>
      </c>
      <c r="L820" t="n">
        <v>0</v>
      </c>
      <c r="M820" t="n">
        <v>0</v>
      </c>
      <c r="N820" t="n">
        <v>0</v>
      </c>
      <c r="O820" t="n">
        <v>0</v>
      </c>
      <c r="P820" t="n">
        <v>0</v>
      </c>
      <c r="Q820" t="n">
        <v>0</v>
      </c>
      <c r="R820" s="2" t="inlineStr"/>
    </row>
    <row r="821" ht="15" customHeight="1">
      <c r="A821" t="inlineStr">
        <is>
          <t>A 29873-2023</t>
        </is>
      </c>
      <c r="B821" s="1" t="n">
        <v>45107</v>
      </c>
      <c r="C821" s="1" t="n">
        <v>45792</v>
      </c>
      <c r="D821" t="inlineStr">
        <is>
          <t>UPPSALA LÄN</t>
        </is>
      </c>
      <c r="E821" t="inlineStr">
        <is>
          <t>ÖSTHAMMAR</t>
        </is>
      </c>
      <c r="F821" t="inlineStr">
        <is>
          <t>Naturvårdsverket</t>
        </is>
      </c>
      <c r="G821" t="n">
        <v>7.8</v>
      </c>
      <c r="H821" t="n">
        <v>0</v>
      </c>
      <c r="I821" t="n">
        <v>0</v>
      </c>
      <c r="J821" t="n">
        <v>0</v>
      </c>
      <c r="K821" t="n">
        <v>0</v>
      </c>
      <c r="L821" t="n">
        <v>0</v>
      </c>
      <c r="M821" t="n">
        <v>0</v>
      </c>
      <c r="N821" t="n">
        <v>0</v>
      </c>
      <c r="O821" t="n">
        <v>0</v>
      </c>
      <c r="P821" t="n">
        <v>0</v>
      </c>
      <c r="Q821" t="n">
        <v>0</v>
      </c>
      <c r="R821" s="2" t="inlineStr"/>
    </row>
    <row r="822" ht="15" customHeight="1">
      <c r="A822" t="inlineStr">
        <is>
          <t>A 29824-2023</t>
        </is>
      </c>
      <c r="B822" s="1" t="n">
        <v>45107</v>
      </c>
      <c r="C822" s="1" t="n">
        <v>45792</v>
      </c>
      <c r="D822" t="inlineStr">
        <is>
          <t>UPPSALA LÄN</t>
        </is>
      </c>
      <c r="E822" t="inlineStr">
        <is>
          <t>ÖSTHAMMAR</t>
        </is>
      </c>
      <c r="F822" t="inlineStr">
        <is>
          <t>Naturvårdsverket</t>
        </is>
      </c>
      <c r="G822" t="n">
        <v>1.6</v>
      </c>
      <c r="H822" t="n">
        <v>0</v>
      </c>
      <c r="I822" t="n">
        <v>0</v>
      </c>
      <c r="J822" t="n">
        <v>0</v>
      </c>
      <c r="K822" t="n">
        <v>0</v>
      </c>
      <c r="L822" t="n">
        <v>0</v>
      </c>
      <c r="M822" t="n">
        <v>0</v>
      </c>
      <c r="N822" t="n">
        <v>0</v>
      </c>
      <c r="O822" t="n">
        <v>0</v>
      </c>
      <c r="P822" t="n">
        <v>0</v>
      </c>
      <c r="Q822" t="n">
        <v>0</v>
      </c>
      <c r="R822" s="2" t="inlineStr"/>
    </row>
    <row r="823" ht="15" customHeight="1">
      <c r="A823" t="inlineStr">
        <is>
          <t>A 30086-2023</t>
        </is>
      </c>
      <c r="B823" s="1" t="n">
        <v>45110</v>
      </c>
      <c r="C823" s="1" t="n">
        <v>45792</v>
      </c>
      <c r="D823" t="inlineStr">
        <is>
          <t>UPPSALA LÄN</t>
        </is>
      </c>
      <c r="E823" t="inlineStr">
        <is>
          <t>ÖSTHAMMAR</t>
        </is>
      </c>
      <c r="G823" t="n">
        <v>3.5</v>
      </c>
      <c r="H823" t="n">
        <v>0</v>
      </c>
      <c r="I823" t="n">
        <v>0</v>
      </c>
      <c r="J823" t="n">
        <v>0</v>
      </c>
      <c r="K823" t="n">
        <v>0</v>
      </c>
      <c r="L823" t="n">
        <v>0</v>
      </c>
      <c r="M823" t="n">
        <v>0</v>
      </c>
      <c r="N823" t="n">
        <v>0</v>
      </c>
      <c r="O823" t="n">
        <v>0</v>
      </c>
      <c r="P823" t="n">
        <v>0</v>
      </c>
      <c r="Q823" t="n">
        <v>0</v>
      </c>
      <c r="R823" s="2" t="inlineStr"/>
    </row>
    <row r="824" ht="15" customHeight="1">
      <c r="A824" t="inlineStr">
        <is>
          <t>A 30470-2023</t>
        </is>
      </c>
      <c r="B824" s="1" t="n">
        <v>45111</v>
      </c>
      <c r="C824" s="1" t="n">
        <v>45792</v>
      </c>
      <c r="D824" t="inlineStr">
        <is>
          <t>UPPSALA LÄN</t>
        </is>
      </c>
      <c r="E824" t="inlineStr">
        <is>
          <t>ÖSTHAMMAR</t>
        </is>
      </c>
      <c r="G824" t="n">
        <v>0.8</v>
      </c>
      <c r="H824" t="n">
        <v>0</v>
      </c>
      <c r="I824" t="n">
        <v>0</v>
      </c>
      <c r="J824" t="n">
        <v>0</v>
      </c>
      <c r="K824" t="n">
        <v>0</v>
      </c>
      <c r="L824" t="n">
        <v>0</v>
      </c>
      <c r="M824" t="n">
        <v>0</v>
      </c>
      <c r="N824" t="n">
        <v>0</v>
      </c>
      <c r="O824" t="n">
        <v>0</v>
      </c>
      <c r="P824" t="n">
        <v>0</v>
      </c>
      <c r="Q824" t="n">
        <v>0</v>
      </c>
      <c r="R824" s="2" t="inlineStr"/>
    </row>
    <row r="825" ht="15" customHeight="1">
      <c r="A825" t="inlineStr">
        <is>
          <t>A 30498-2023</t>
        </is>
      </c>
      <c r="B825" s="1" t="n">
        <v>45111</v>
      </c>
      <c r="C825" s="1" t="n">
        <v>45792</v>
      </c>
      <c r="D825" t="inlineStr">
        <is>
          <t>UPPSALA LÄN</t>
        </is>
      </c>
      <c r="E825" t="inlineStr">
        <is>
          <t>ÖSTHAMMAR</t>
        </is>
      </c>
      <c r="G825" t="n">
        <v>0.7</v>
      </c>
      <c r="H825" t="n">
        <v>0</v>
      </c>
      <c r="I825" t="n">
        <v>0</v>
      </c>
      <c r="J825" t="n">
        <v>0</v>
      </c>
      <c r="K825" t="n">
        <v>0</v>
      </c>
      <c r="L825" t="n">
        <v>0</v>
      </c>
      <c r="M825" t="n">
        <v>0</v>
      </c>
      <c r="N825" t="n">
        <v>0</v>
      </c>
      <c r="O825" t="n">
        <v>0</v>
      </c>
      <c r="P825" t="n">
        <v>0</v>
      </c>
      <c r="Q825" t="n">
        <v>0</v>
      </c>
      <c r="R825" s="2" t="inlineStr"/>
    </row>
    <row r="826" ht="15" customHeight="1">
      <c r="A826" t="inlineStr">
        <is>
          <t>A 30809-2023</t>
        </is>
      </c>
      <c r="B826" s="1" t="n">
        <v>45112</v>
      </c>
      <c r="C826" s="1" t="n">
        <v>45792</v>
      </c>
      <c r="D826" t="inlineStr">
        <is>
          <t>UPPSALA LÄN</t>
        </is>
      </c>
      <c r="E826" t="inlineStr">
        <is>
          <t>ÖSTHAMMAR</t>
        </is>
      </c>
      <c r="F826" t="inlineStr">
        <is>
          <t>Bergvik skog öst AB</t>
        </is>
      </c>
      <c r="G826" t="n">
        <v>1.7</v>
      </c>
      <c r="H826" t="n">
        <v>0</v>
      </c>
      <c r="I826" t="n">
        <v>0</v>
      </c>
      <c r="J826" t="n">
        <v>0</v>
      </c>
      <c r="K826" t="n">
        <v>0</v>
      </c>
      <c r="L826" t="n">
        <v>0</v>
      </c>
      <c r="M826" t="n">
        <v>0</v>
      </c>
      <c r="N826" t="n">
        <v>0</v>
      </c>
      <c r="O826" t="n">
        <v>0</v>
      </c>
      <c r="P826" t="n">
        <v>0</v>
      </c>
      <c r="Q826" t="n">
        <v>0</v>
      </c>
      <c r="R826" s="2" t="inlineStr"/>
    </row>
    <row r="827" ht="15" customHeight="1">
      <c r="A827" t="inlineStr">
        <is>
          <t>A 30808-2023</t>
        </is>
      </c>
      <c r="B827" s="1" t="n">
        <v>45112</v>
      </c>
      <c r="C827" s="1" t="n">
        <v>45792</v>
      </c>
      <c r="D827" t="inlineStr">
        <is>
          <t>UPPSALA LÄN</t>
        </is>
      </c>
      <c r="E827" t="inlineStr">
        <is>
          <t>ÖSTHAMMAR</t>
        </is>
      </c>
      <c r="F827" t="inlineStr">
        <is>
          <t>Bergvik skog öst AB</t>
        </is>
      </c>
      <c r="G827" t="n">
        <v>3.3</v>
      </c>
      <c r="H827" t="n">
        <v>0</v>
      </c>
      <c r="I827" t="n">
        <v>0</v>
      </c>
      <c r="J827" t="n">
        <v>0</v>
      </c>
      <c r="K827" t="n">
        <v>0</v>
      </c>
      <c r="L827" t="n">
        <v>0</v>
      </c>
      <c r="M827" t="n">
        <v>0</v>
      </c>
      <c r="N827" t="n">
        <v>0</v>
      </c>
      <c r="O827" t="n">
        <v>0</v>
      </c>
      <c r="P827" t="n">
        <v>0</v>
      </c>
      <c r="Q827" t="n">
        <v>0</v>
      </c>
      <c r="R827" s="2" t="inlineStr"/>
    </row>
    <row r="828" ht="15" customHeight="1">
      <c r="A828" t="inlineStr">
        <is>
          <t>A 30812-2023</t>
        </is>
      </c>
      <c r="B828" s="1" t="n">
        <v>45112</v>
      </c>
      <c r="C828" s="1" t="n">
        <v>45792</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30810-2023</t>
        </is>
      </c>
      <c r="B829" s="1" t="n">
        <v>45112</v>
      </c>
      <c r="C829" s="1" t="n">
        <v>45792</v>
      </c>
      <c r="D829" t="inlineStr">
        <is>
          <t>UPPSALA LÄN</t>
        </is>
      </c>
      <c r="E829" t="inlineStr">
        <is>
          <t>ÖSTHAMMAR</t>
        </is>
      </c>
      <c r="F829" t="inlineStr">
        <is>
          <t>Bergvik skog öst AB</t>
        </is>
      </c>
      <c r="G829" t="n">
        <v>2</v>
      </c>
      <c r="H829" t="n">
        <v>0</v>
      </c>
      <c r="I829" t="n">
        <v>0</v>
      </c>
      <c r="J829" t="n">
        <v>0</v>
      </c>
      <c r="K829" t="n">
        <v>0</v>
      </c>
      <c r="L829" t="n">
        <v>0</v>
      </c>
      <c r="M829" t="n">
        <v>0</v>
      </c>
      <c r="N829" t="n">
        <v>0</v>
      </c>
      <c r="O829" t="n">
        <v>0</v>
      </c>
      <c r="P829" t="n">
        <v>0</v>
      </c>
      <c r="Q829" t="n">
        <v>0</v>
      </c>
      <c r="R829" s="2" t="inlineStr"/>
    </row>
    <row r="830" ht="15" customHeight="1">
      <c r="A830" t="inlineStr">
        <is>
          <t>A 30811-2023</t>
        </is>
      </c>
      <c r="B830" s="1" t="n">
        <v>45112</v>
      </c>
      <c r="C830" s="1" t="n">
        <v>45792</v>
      </c>
      <c r="D830" t="inlineStr">
        <is>
          <t>UPPSALA LÄN</t>
        </is>
      </c>
      <c r="E830" t="inlineStr">
        <is>
          <t>ÖSTHAMMAR</t>
        </is>
      </c>
      <c r="F830" t="inlineStr">
        <is>
          <t>Bergvik skog öst AB</t>
        </is>
      </c>
      <c r="G830" t="n">
        <v>0.7</v>
      </c>
      <c r="H830" t="n">
        <v>0</v>
      </c>
      <c r="I830" t="n">
        <v>0</v>
      </c>
      <c r="J830" t="n">
        <v>0</v>
      </c>
      <c r="K830" t="n">
        <v>0</v>
      </c>
      <c r="L830" t="n">
        <v>0</v>
      </c>
      <c r="M830" t="n">
        <v>0</v>
      </c>
      <c r="N830" t="n">
        <v>0</v>
      </c>
      <c r="O830" t="n">
        <v>0</v>
      </c>
      <c r="P830" t="n">
        <v>0</v>
      </c>
      <c r="Q830" t="n">
        <v>0</v>
      </c>
      <c r="R830" s="2" t="inlineStr"/>
    </row>
    <row r="831" ht="15" customHeight="1">
      <c r="A831" t="inlineStr">
        <is>
          <t>A 31480-2023</t>
        </is>
      </c>
      <c r="B831" s="1" t="n">
        <v>45114</v>
      </c>
      <c r="C831" s="1" t="n">
        <v>45792</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31484-2023</t>
        </is>
      </c>
      <c r="B832" s="1" t="n">
        <v>45114</v>
      </c>
      <c r="C832" s="1" t="n">
        <v>45792</v>
      </c>
      <c r="D832" t="inlineStr">
        <is>
          <t>UPPSALA LÄN</t>
        </is>
      </c>
      <c r="E832" t="inlineStr">
        <is>
          <t>ÖSTHAMMAR</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31479-2023</t>
        </is>
      </c>
      <c r="B833" s="1" t="n">
        <v>45114</v>
      </c>
      <c r="C833" s="1" t="n">
        <v>45792</v>
      </c>
      <c r="D833" t="inlineStr">
        <is>
          <t>UPPSALA LÄN</t>
        </is>
      </c>
      <c r="E833" t="inlineStr">
        <is>
          <t>ÖSTHAMMAR</t>
        </is>
      </c>
      <c r="F833" t="inlineStr">
        <is>
          <t>Bergvik skog öst AB</t>
        </is>
      </c>
      <c r="G833" t="n">
        <v>1.9</v>
      </c>
      <c r="H833" t="n">
        <v>0</v>
      </c>
      <c r="I833" t="n">
        <v>0</v>
      </c>
      <c r="J833" t="n">
        <v>0</v>
      </c>
      <c r="K833" t="n">
        <v>0</v>
      </c>
      <c r="L833" t="n">
        <v>0</v>
      </c>
      <c r="M833" t="n">
        <v>0</v>
      </c>
      <c r="N833" t="n">
        <v>0</v>
      </c>
      <c r="O833" t="n">
        <v>0</v>
      </c>
      <c r="P833" t="n">
        <v>0</v>
      </c>
      <c r="Q833" t="n">
        <v>0</v>
      </c>
      <c r="R833" s="2" t="inlineStr"/>
    </row>
    <row r="834" ht="15" customHeight="1">
      <c r="A834" t="inlineStr">
        <is>
          <t>A 31483-2023</t>
        </is>
      </c>
      <c r="B834" s="1" t="n">
        <v>45114</v>
      </c>
      <c r="C834" s="1" t="n">
        <v>45792</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31482-2023</t>
        </is>
      </c>
      <c r="B835" s="1" t="n">
        <v>45114</v>
      </c>
      <c r="C835" s="1" t="n">
        <v>45792</v>
      </c>
      <c r="D835" t="inlineStr">
        <is>
          <t>UPPSALA LÄN</t>
        </is>
      </c>
      <c r="E835" t="inlineStr">
        <is>
          <t>ÖSTHAMMAR</t>
        </is>
      </c>
      <c r="F835" t="inlineStr">
        <is>
          <t>Bergvik skog öst AB</t>
        </is>
      </c>
      <c r="G835" t="n">
        <v>4.2</v>
      </c>
      <c r="H835" t="n">
        <v>0</v>
      </c>
      <c r="I835" t="n">
        <v>0</v>
      </c>
      <c r="J835" t="n">
        <v>0</v>
      </c>
      <c r="K835" t="n">
        <v>0</v>
      </c>
      <c r="L835" t="n">
        <v>0</v>
      </c>
      <c r="M835" t="n">
        <v>0</v>
      </c>
      <c r="N835" t="n">
        <v>0</v>
      </c>
      <c r="O835" t="n">
        <v>0</v>
      </c>
      <c r="P835" t="n">
        <v>0</v>
      </c>
      <c r="Q835" t="n">
        <v>0</v>
      </c>
      <c r="R835" s="2" t="inlineStr"/>
    </row>
    <row r="836" ht="15" customHeight="1">
      <c r="A836" t="inlineStr">
        <is>
          <t>A 31486-2023</t>
        </is>
      </c>
      <c r="B836" s="1" t="n">
        <v>45114</v>
      </c>
      <c r="C836" s="1" t="n">
        <v>45792</v>
      </c>
      <c r="D836" t="inlineStr">
        <is>
          <t>UPPSALA LÄN</t>
        </is>
      </c>
      <c r="E836" t="inlineStr">
        <is>
          <t>ÖSTHAMMAR</t>
        </is>
      </c>
      <c r="F836" t="inlineStr">
        <is>
          <t>Bergvik skog öst AB</t>
        </is>
      </c>
      <c r="G836" t="n">
        <v>1.3</v>
      </c>
      <c r="H836" t="n">
        <v>0</v>
      </c>
      <c r="I836" t="n">
        <v>0</v>
      </c>
      <c r="J836" t="n">
        <v>0</v>
      </c>
      <c r="K836" t="n">
        <v>0</v>
      </c>
      <c r="L836" t="n">
        <v>0</v>
      </c>
      <c r="M836" t="n">
        <v>0</v>
      </c>
      <c r="N836" t="n">
        <v>0</v>
      </c>
      <c r="O836" t="n">
        <v>0</v>
      </c>
      <c r="P836" t="n">
        <v>0</v>
      </c>
      <c r="Q836" t="n">
        <v>0</v>
      </c>
      <c r="R836" s="2" t="inlineStr"/>
    </row>
    <row r="837" ht="15" customHeight="1">
      <c r="A837" t="inlineStr">
        <is>
          <t>A 31481-2023</t>
        </is>
      </c>
      <c r="B837" s="1" t="n">
        <v>45114</v>
      </c>
      <c r="C837" s="1" t="n">
        <v>45792</v>
      </c>
      <c r="D837" t="inlineStr">
        <is>
          <t>UPPSALA LÄN</t>
        </is>
      </c>
      <c r="E837" t="inlineStr">
        <is>
          <t>ÖSTHAMMAR</t>
        </is>
      </c>
      <c r="F837" t="inlineStr">
        <is>
          <t>Bergvik skog öst AB</t>
        </is>
      </c>
      <c r="G837" t="n">
        <v>2.3</v>
      </c>
      <c r="H837" t="n">
        <v>0</v>
      </c>
      <c r="I837" t="n">
        <v>0</v>
      </c>
      <c r="J837" t="n">
        <v>0</v>
      </c>
      <c r="K837" t="n">
        <v>0</v>
      </c>
      <c r="L837" t="n">
        <v>0</v>
      </c>
      <c r="M837" t="n">
        <v>0</v>
      </c>
      <c r="N837" t="n">
        <v>0</v>
      </c>
      <c r="O837" t="n">
        <v>0</v>
      </c>
      <c r="P837" t="n">
        <v>0</v>
      </c>
      <c r="Q837" t="n">
        <v>0</v>
      </c>
      <c r="R837" s="2" t="inlineStr"/>
    </row>
    <row r="838" ht="15" customHeight="1">
      <c r="A838" t="inlineStr">
        <is>
          <t>A 31485-2023</t>
        </is>
      </c>
      <c r="B838" s="1" t="n">
        <v>45114</v>
      </c>
      <c r="C838" s="1" t="n">
        <v>45792</v>
      </c>
      <c r="D838" t="inlineStr">
        <is>
          <t>UPPSALA LÄN</t>
        </is>
      </c>
      <c r="E838" t="inlineStr">
        <is>
          <t>ÖSTHAMMAR</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31688-2023</t>
        </is>
      </c>
      <c r="B839" s="1" t="n">
        <v>45117</v>
      </c>
      <c r="C839" s="1" t="n">
        <v>45792</v>
      </c>
      <c r="D839" t="inlineStr">
        <is>
          <t>UPPSALA LÄN</t>
        </is>
      </c>
      <c r="E839" t="inlineStr">
        <is>
          <t>ÖSTHAMMAR</t>
        </is>
      </c>
      <c r="F839" t="inlineStr">
        <is>
          <t>Bergvik skog öst AB</t>
        </is>
      </c>
      <c r="G839" t="n">
        <v>4.9</v>
      </c>
      <c r="H839" t="n">
        <v>0</v>
      </c>
      <c r="I839" t="n">
        <v>0</v>
      </c>
      <c r="J839" t="n">
        <v>0</v>
      </c>
      <c r="K839" t="n">
        <v>0</v>
      </c>
      <c r="L839" t="n">
        <v>0</v>
      </c>
      <c r="M839" t="n">
        <v>0</v>
      </c>
      <c r="N839" t="n">
        <v>0</v>
      </c>
      <c r="O839" t="n">
        <v>0</v>
      </c>
      <c r="P839" t="n">
        <v>0</v>
      </c>
      <c r="Q839" t="n">
        <v>0</v>
      </c>
      <c r="R839" s="2" t="inlineStr"/>
    </row>
    <row r="840" ht="15" customHeight="1">
      <c r="A840" t="inlineStr">
        <is>
          <t>A 32194-2023</t>
        </is>
      </c>
      <c r="B840" s="1" t="n">
        <v>45119</v>
      </c>
      <c r="C840" s="1" t="n">
        <v>45792</v>
      </c>
      <c r="D840" t="inlineStr">
        <is>
          <t>UPPSALA LÄN</t>
        </is>
      </c>
      <c r="E840" t="inlineStr">
        <is>
          <t>ÖSTHAMMAR</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32195-2023</t>
        </is>
      </c>
      <c r="B841" s="1" t="n">
        <v>45119</v>
      </c>
      <c r="C841" s="1" t="n">
        <v>45792</v>
      </c>
      <c r="D841" t="inlineStr">
        <is>
          <t>UPPSALA LÄN</t>
        </is>
      </c>
      <c r="E841" t="inlineStr">
        <is>
          <t>ÖSTHAMMAR</t>
        </is>
      </c>
      <c r="F841" t="inlineStr">
        <is>
          <t>Bergvik skog öst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32197-2023</t>
        </is>
      </c>
      <c r="B842" s="1" t="n">
        <v>45119</v>
      </c>
      <c r="C842" s="1" t="n">
        <v>45792</v>
      </c>
      <c r="D842" t="inlineStr">
        <is>
          <t>UPPSALA LÄN</t>
        </is>
      </c>
      <c r="E842" t="inlineStr">
        <is>
          <t>ÖSTHAMMAR</t>
        </is>
      </c>
      <c r="F842" t="inlineStr">
        <is>
          <t>Bergvik skog öst AB</t>
        </is>
      </c>
      <c r="G842" t="n">
        <v>1.1</v>
      </c>
      <c r="H842" t="n">
        <v>0</v>
      </c>
      <c r="I842" t="n">
        <v>0</v>
      </c>
      <c r="J842" t="n">
        <v>0</v>
      </c>
      <c r="K842" t="n">
        <v>0</v>
      </c>
      <c r="L842" t="n">
        <v>0</v>
      </c>
      <c r="M842" t="n">
        <v>0</v>
      </c>
      <c r="N842" t="n">
        <v>0</v>
      </c>
      <c r="O842" t="n">
        <v>0</v>
      </c>
      <c r="P842" t="n">
        <v>0</v>
      </c>
      <c r="Q842" t="n">
        <v>0</v>
      </c>
      <c r="R842" s="2" t="inlineStr"/>
    </row>
    <row r="843" ht="15" customHeight="1">
      <c r="A843" t="inlineStr">
        <is>
          <t>A 32196-2023</t>
        </is>
      </c>
      <c r="B843" s="1" t="n">
        <v>45119</v>
      </c>
      <c r="C843" s="1" t="n">
        <v>45792</v>
      </c>
      <c r="D843" t="inlineStr">
        <is>
          <t>UPPSALA LÄN</t>
        </is>
      </c>
      <c r="E843" t="inlineStr">
        <is>
          <t>ÖSTHAMMAR</t>
        </is>
      </c>
      <c r="F843" t="inlineStr">
        <is>
          <t>Bergvik skog öst AB</t>
        </is>
      </c>
      <c r="G843" t="n">
        <v>1.5</v>
      </c>
      <c r="H843" t="n">
        <v>0</v>
      </c>
      <c r="I843" t="n">
        <v>0</v>
      </c>
      <c r="J843" t="n">
        <v>0</v>
      </c>
      <c r="K843" t="n">
        <v>0</v>
      </c>
      <c r="L843" t="n">
        <v>0</v>
      </c>
      <c r="M843" t="n">
        <v>0</v>
      </c>
      <c r="N843" t="n">
        <v>0</v>
      </c>
      <c r="O843" t="n">
        <v>0</v>
      </c>
      <c r="P843" t="n">
        <v>0</v>
      </c>
      <c r="Q843" t="n">
        <v>0</v>
      </c>
      <c r="R843" s="2" t="inlineStr"/>
    </row>
    <row r="844" ht="15" customHeight="1">
      <c r="A844" t="inlineStr">
        <is>
          <t>A 32390-2023</t>
        </is>
      </c>
      <c r="B844" s="1" t="n">
        <v>45120</v>
      </c>
      <c r="C844" s="1" t="n">
        <v>45792</v>
      </c>
      <c r="D844" t="inlineStr">
        <is>
          <t>UPPSALA LÄN</t>
        </is>
      </c>
      <c r="E844" t="inlineStr">
        <is>
          <t>ÖSTHAMMAR</t>
        </is>
      </c>
      <c r="F844" t="inlineStr">
        <is>
          <t>Övriga Aktiebolag</t>
        </is>
      </c>
      <c r="G844" t="n">
        <v>3.9</v>
      </c>
      <c r="H844" t="n">
        <v>0</v>
      </c>
      <c r="I844" t="n">
        <v>0</v>
      </c>
      <c r="J844" t="n">
        <v>0</v>
      </c>
      <c r="K844" t="n">
        <v>0</v>
      </c>
      <c r="L844" t="n">
        <v>0</v>
      </c>
      <c r="M844" t="n">
        <v>0</v>
      </c>
      <c r="N844" t="n">
        <v>0</v>
      </c>
      <c r="O844" t="n">
        <v>0</v>
      </c>
      <c r="P844" t="n">
        <v>0</v>
      </c>
      <c r="Q844" t="n">
        <v>0</v>
      </c>
      <c r="R844" s="2" t="inlineStr"/>
    </row>
    <row r="845" ht="15" customHeight="1">
      <c r="A845" t="inlineStr">
        <is>
          <t>A 32693-2023</t>
        </is>
      </c>
      <c r="B845" s="1" t="n">
        <v>45121</v>
      </c>
      <c r="C845" s="1" t="n">
        <v>45792</v>
      </c>
      <c r="D845" t="inlineStr">
        <is>
          <t>UPPSALA LÄN</t>
        </is>
      </c>
      <c r="E845" t="inlineStr">
        <is>
          <t>ÖSTHAMMAR</t>
        </is>
      </c>
      <c r="F845" t="inlineStr">
        <is>
          <t>Bergvik skog öst AB</t>
        </is>
      </c>
      <c r="G845" t="n">
        <v>2.8</v>
      </c>
      <c r="H845" t="n">
        <v>0</v>
      </c>
      <c r="I845" t="n">
        <v>0</v>
      </c>
      <c r="J845" t="n">
        <v>0</v>
      </c>
      <c r="K845" t="n">
        <v>0</v>
      </c>
      <c r="L845" t="n">
        <v>0</v>
      </c>
      <c r="M845" t="n">
        <v>0</v>
      </c>
      <c r="N845" t="n">
        <v>0</v>
      </c>
      <c r="O845" t="n">
        <v>0</v>
      </c>
      <c r="P845" t="n">
        <v>0</v>
      </c>
      <c r="Q845" t="n">
        <v>0</v>
      </c>
      <c r="R845" s="2" t="inlineStr"/>
    </row>
    <row r="846" ht="15" customHeight="1">
      <c r="A846" t="inlineStr">
        <is>
          <t>A 32691-2023</t>
        </is>
      </c>
      <c r="B846" s="1" t="n">
        <v>45121</v>
      </c>
      <c r="C846" s="1" t="n">
        <v>45792</v>
      </c>
      <c r="D846" t="inlineStr">
        <is>
          <t>UPPSALA LÄN</t>
        </is>
      </c>
      <c r="E846" t="inlineStr">
        <is>
          <t>ÖSTHAMMAR</t>
        </is>
      </c>
      <c r="F846" t="inlineStr">
        <is>
          <t>Bergvik skog öst AB</t>
        </is>
      </c>
      <c r="G846" t="n">
        <v>20.2</v>
      </c>
      <c r="H846" t="n">
        <v>0</v>
      </c>
      <c r="I846" t="n">
        <v>0</v>
      </c>
      <c r="J846" t="n">
        <v>0</v>
      </c>
      <c r="K846" t="n">
        <v>0</v>
      </c>
      <c r="L846" t="n">
        <v>0</v>
      </c>
      <c r="M846" t="n">
        <v>0</v>
      </c>
      <c r="N846" t="n">
        <v>0</v>
      </c>
      <c r="O846" t="n">
        <v>0</v>
      </c>
      <c r="P846" t="n">
        <v>0</v>
      </c>
      <c r="Q846" t="n">
        <v>0</v>
      </c>
      <c r="R846" s="2" t="inlineStr"/>
    </row>
    <row r="847" ht="15" customHeight="1">
      <c r="A847" t="inlineStr">
        <is>
          <t>A 32752-2023</t>
        </is>
      </c>
      <c r="B847" s="1" t="n">
        <v>45122</v>
      </c>
      <c r="C847" s="1" t="n">
        <v>45792</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32779-2023</t>
        </is>
      </c>
      <c r="B848" s="1" t="n">
        <v>45123</v>
      </c>
      <c r="C848" s="1" t="n">
        <v>45792</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32778-2023</t>
        </is>
      </c>
      <c r="B849" s="1" t="n">
        <v>45123</v>
      </c>
      <c r="C849" s="1" t="n">
        <v>45792</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32895-2023</t>
        </is>
      </c>
      <c r="B850" s="1" t="n">
        <v>45124</v>
      </c>
      <c r="C850" s="1" t="n">
        <v>45792</v>
      </c>
      <c r="D850" t="inlineStr">
        <is>
          <t>UPPSALA LÄN</t>
        </is>
      </c>
      <c r="E850" t="inlineStr">
        <is>
          <t>ÖSTHAMMAR</t>
        </is>
      </c>
      <c r="F850" t="inlineStr">
        <is>
          <t>Bergvik skog öst AB</t>
        </is>
      </c>
      <c r="G850" t="n">
        <v>1.4</v>
      </c>
      <c r="H850" t="n">
        <v>0</v>
      </c>
      <c r="I850" t="n">
        <v>0</v>
      </c>
      <c r="J850" t="n">
        <v>0</v>
      </c>
      <c r="K850" t="n">
        <v>0</v>
      </c>
      <c r="L850" t="n">
        <v>0</v>
      </c>
      <c r="M850" t="n">
        <v>0</v>
      </c>
      <c r="N850" t="n">
        <v>0</v>
      </c>
      <c r="O850" t="n">
        <v>0</v>
      </c>
      <c r="P850" t="n">
        <v>0</v>
      </c>
      <c r="Q850" t="n">
        <v>0</v>
      </c>
      <c r="R850" s="2" t="inlineStr"/>
    </row>
    <row r="851" ht="15" customHeight="1">
      <c r="A851" t="inlineStr">
        <is>
          <t>A 34108-2023</t>
        </is>
      </c>
      <c r="B851" s="1" t="n">
        <v>45135</v>
      </c>
      <c r="C851" s="1" t="n">
        <v>45792</v>
      </c>
      <c r="D851" t="inlineStr">
        <is>
          <t>UPPSALA LÄN</t>
        </is>
      </c>
      <c r="E851" t="inlineStr">
        <is>
          <t>ÖSTHAMMAR</t>
        </is>
      </c>
      <c r="F851" t="inlineStr">
        <is>
          <t>Bergvik skog öst AB</t>
        </is>
      </c>
      <c r="G851" t="n">
        <v>1.3</v>
      </c>
      <c r="H851" t="n">
        <v>0</v>
      </c>
      <c r="I851" t="n">
        <v>0</v>
      </c>
      <c r="J851" t="n">
        <v>0</v>
      </c>
      <c r="K851" t="n">
        <v>0</v>
      </c>
      <c r="L851" t="n">
        <v>0</v>
      </c>
      <c r="M851" t="n">
        <v>0</v>
      </c>
      <c r="N851" t="n">
        <v>0</v>
      </c>
      <c r="O851" t="n">
        <v>0</v>
      </c>
      <c r="P851" t="n">
        <v>0</v>
      </c>
      <c r="Q851" t="n">
        <v>0</v>
      </c>
      <c r="R851" s="2" t="inlineStr"/>
    </row>
    <row r="852" ht="15" customHeight="1">
      <c r="A852" t="inlineStr">
        <is>
          <t>A 34607-2023</t>
        </is>
      </c>
      <c r="B852" s="1" t="n">
        <v>45138</v>
      </c>
      <c r="C852" s="1" t="n">
        <v>45792</v>
      </c>
      <c r="D852" t="inlineStr">
        <is>
          <t>UPPSALA LÄN</t>
        </is>
      </c>
      <c r="E852" t="inlineStr">
        <is>
          <t>ÖSTHAMMAR</t>
        </is>
      </c>
      <c r="G852" t="n">
        <v>4.7</v>
      </c>
      <c r="H852" t="n">
        <v>0</v>
      </c>
      <c r="I852" t="n">
        <v>0</v>
      </c>
      <c r="J852" t="n">
        <v>0</v>
      </c>
      <c r="K852" t="n">
        <v>0</v>
      </c>
      <c r="L852" t="n">
        <v>0</v>
      </c>
      <c r="M852" t="n">
        <v>0</v>
      </c>
      <c r="N852" t="n">
        <v>0</v>
      </c>
      <c r="O852" t="n">
        <v>0</v>
      </c>
      <c r="P852" t="n">
        <v>0</v>
      </c>
      <c r="Q852" t="n">
        <v>0</v>
      </c>
      <c r="R852" s="2" t="inlineStr"/>
    </row>
    <row r="853" ht="15" customHeight="1">
      <c r="A853" t="inlineStr">
        <is>
          <t>A 34412-2023</t>
        </is>
      </c>
      <c r="B853" s="1" t="n">
        <v>45139</v>
      </c>
      <c r="C853" s="1" t="n">
        <v>45792</v>
      </c>
      <c r="D853" t="inlineStr">
        <is>
          <t>UPPSALA LÄN</t>
        </is>
      </c>
      <c r="E853" t="inlineStr">
        <is>
          <t>ÖSTHAMMAR</t>
        </is>
      </c>
      <c r="F853" t="inlineStr">
        <is>
          <t>Bergvik skog öst AB</t>
        </is>
      </c>
      <c r="G853" t="n">
        <v>4</v>
      </c>
      <c r="H853" t="n">
        <v>0</v>
      </c>
      <c r="I853" t="n">
        <v>0</v>
      </c>
      <c r="J853" t="n">
        <v>0</v>
      </c>
      <c r="K853" t="n">
        <v>0</v>
      </c>
      <c r="L853" t="n">
        <v>0</v>
      </c>
      <c r="M853" t="n">
        <v>0</v>
      </c>
      <c r="N853" t="n">
        <v>0</v>
      </c>
      <c r="O853" t="n">
        <v>0</v>
      </c>
      <c r="P853" t="n">
        <v>0</v>
      </c>
      <c r="Q853" t="n">
        <v>0</v>
      </c>
      <c r="R853" s="2" t="inlineStr"/>
    </row>
    <row r="854" ht="15" customHeight="1">
      <c r="A854" t="inlineStr">
        <is>
          <t>A 34471-2023</t>
        </is>
      </c>
      <c r="B854" s="1" t="n">
        <v>45139</v>
      </c>
      <c r="C854" s="1" t="n">
        <v>45792</v>
      </c>
      <c r="D854" t="inlineStr">
        <is>
          <t>UPPSALA LÄN</t>
        </is>
      </c>
      <c r="E854" t="inlineStr">
        <is>
          <t>ÖSTHAMMAR</t>
        </is>
      </c>
      <c r="F854" t="inlineStr">
        <is>
          <t>Bergvik skog öst AB</t>
        </is>
      </c>
      <c r="G854" t="n">
        <v>4.5</v>
      </c>
      <c r="H854" t="n">
        <v>0</v>
      </c>
      <c r="I854" t="n">
        <v>0</v>
      </c>
      <c r="J854" t="n">
        <v>0</v>
      </c>
      <c r="K854" t="n">
        <v>0</v>
      </c>
      <c r="L854" t="n">
        <v>0</v>
      </c>
      <c r="M854" t="n">
        <v>0</v>
      </c>
      <c r="N854" t="n">
        <v>0</v>
      </c>
      <c r="O854" t="n">
        <v>0</v>
      </c>
      <c r="P854" t="n">
        <v>0</v>
      </c>
      <c r="Q854" t="n">
        <v>0</v>
      </c>
      <c r="R854" s="2" t="inlineStr"/>
    </row>
    <row r="855" ht="15" customHeight="1">
      <c r="A855" t="inlineStr">
        <is>
          <t>A 34920-2023</t>
        </is>
      </c>
      <c r="B855" s="1" t="n">
        <v>45142</v>
      </c>
      <c r="C855" s="1" t="n">
        <v>45792</v>
      </c>
      <c r="D855" t="inlineStr">
        <is>
          <t>UPPSALA LÄN</t>
        </is>
      </c>
      <c r="E855" t="inlineStr">
        <is>
          <t>ÖSTHAMMAR</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34923-2023</t>
        </is>
      </c>
      <c r="B856" s="1" t="n">
        <v>45142</v>
      </c>
      <c r="C856" s="1" t="n">
        <v>45792</v>
      </c>
      <c r="D856" t="inlineStr">
        <is>
          <t>UPPSALA LÄN</t>
        </is>
      </c>
      <c r="E856" t="inlineStr">
        <is>
          <t>ÖSTHAMMAR</t>
        </is>
      </c>
      <c r="F856" t="inlineStr">
        <is>
          <t>Bergvik skog öst AB</t>
        </is>
      </c>
      <c r="G856" t="n">
        <v>0.9</v>
      </c>
      <c r="H856" t="n">
        <v>0</v>
      </c>
      <c r="I856" t="n">
        <v>0</v>
      </c>
      <c r="J856" t="n">
        <v>0</v>
      </c>
      <c r="K856" t="n">
        <v>0</v>
      </c>
      <c r="L856" t="n">
        <v>0</v>
      </c>
      <c r="M856" t="n">
        <v>0</v>
      </c>
      <c r="N856" t="n">
        <v>0</v>
      </c>
      <c r="O856" t="n">
        <v>0</v>
      </c>
      <c r="P856" t="n">
        <v>0</v>
      </c>
      <c r="Q856" t="n">
        <v>0</v>
      </c>
      <c r="R856" s="2" t="inlineStr"/>
    </row>
    <row r="857" ht="15" customHeight="1">
      <c r="A857" t="inlineStr">
        <is>
          <t>A 34951-2023</t>
        </is>
      </c>
      <c r="B857" s="1" t="n">
        <v>45142</v>
      </c>
      <c r="C857" s="1" t="n">
        <v>45792</v>
      </c>
      <c r="D857" t="inlineStr">
        <is>
          <t>UPPSALA LÄN</t>
        </is>
      </c>
      <c r="E857" t="inlineStr">
        <is>
          <t>ÖSTHAMMAR</t>
        </is>
      </c>
      <c r="F857" t="inlineStr">
        <is>
          <t>Naturvårdsverket</t>
        </is>
      </c>
      <c r="G857" t="n">
        <v>4.8</v>
      </c>
      <c r="H857" t="n">
        <v>0</v>
      </c>
      <c r="I857" t="n">
        <v>0</v>
      </c>
      <c r="J857" t="n">
        <v>0</v>
      </c>
      <c r="K857" t="n">
        <v>0</v>
      </c>
      <c r="L857" t="n">
        <v>0</v>
      </c>
      <c r="M857" t="n">
        <v>0</v>
      </c>
      <c r="N857" t="n">
        <v>0</v>
      </c>
      <c r="O857" t="n">
        <v>0</v>
      </c>
      <c r="P857" t="n">
        <v>0</v>
      </c>
      <c r="Q857" t="n">
        <v>0</v>
      </c>
      <c r="R857" s="2" t="inlineStr"/>
    </row>
    <row r="858" ht="15" customHeight="1">
      <c r="A858" t="inlineStr">
        <is>
          <t>A 34922-2023</t>
        </is>
      </c>
      <c r="B858" s="1" t="n">
        <v>45142</v>
      </c>
      <c r="C858" s="1" t="n">
        <v>45792</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35403-2023</t>
        </is>
      </c>
      <c r="B859" s="1" t="n">
        <v>45146</v>
      </c>
      <c r="C859" s="1" t="n">
        <v>45792</v>
      </c>
      <c r="D859" t="inlineStr">
        <is>
          <t>UPPSALA LÄN</t>
        </is>
      </c>
      <c r="E859" t="inlineStr">
        <is>
          <t>ÖSTHAMMAR</t>
        </is>
      </c>
      <c r="F859" t="inlineStr">
        <is>
          <t>Bergvik skog öst AB</t>
        </is>
      </c>
      <c r="G859" t="n">
        <v>3.6</v>
      </c>
      <c r="H859" t="n">
        <v>0</v>
      </c>
      <c r="I859" t="n">
        <v>0</v>
      </c>
      <c r="J859" t="n">
        <v>0</v>
      </c>
      <c r="K859" t="n">
        <v>0</v>
      </c>
      <c r="L859" t="n">
        <v>0</v>
      </c>
      <c r="M859" t="n">
        <v>0</v>
      </c>
      <c r="N859" t="n">
        <v>0</v>
      </c>
      <c r="O859" t="n">
        <v>0</v>
      </c>
      <c r="P859" t="n">
        <v>0</v>
      </c>
      <c r="Q859" t="n">
        <v>0</v>
      </c>
      <c r="R859" s="2" t="inlineStr"/>
    </row>
    <row r="860" ht="15" customHeight="1">
      <c r="A860" t="inlineStr">
        <is>
          <t>A 35309-2023</t>
        </is>
      </c>
      <c r="B860" s="1" t="n">
        <v>45146</v>
      </c>
      <c r="C860" s="1" t="n">
        <v>45792</v>
      </c>
      <c r="D860" t="inlineStr">
        <is>
          <t>UPPSALA LÄN</t>
        </is>
      </c>
      <c r="E860" t="inlineStr">
        <is>
          <t>ÖSTHAMMAR</t>
        </is>
      </c>
      <c r="G860" t="n">
        <v>1.3</v>
      </c>
      <c r="H860" t="n">
        <v>0</v>
      </c>
      <c r="I860" t="n">
        <v>0</v>
      </c>
      <c r="J860" t="n">
        <v>0</v>
      </c>
      <c r="K860" t="n">
        <v>0</v>
      </c>
      <c r="L860" t="n">
        <v>0</v>
      </c>
      <c r="M860" t="n">
        <v>0</v>
      </c>
      <c r="N860" t="n">
        <v>0</v>
      </c>
      <c r="O860" t="n">
        <v>0</v>
      </c>
      <c r="P860" t="n">
        <v>0</v>
      </c>
      <c r="Q860" t="n">
        <v>0</v>
      </c>
      <c r="R860" s="2" t="inlineStr"/>
    </row>
    <row r="861" ht="15" customHeight="1">
      <c r="A861" t="inlineStr">
        <is>
          <t>A 35413-2023</t>
        </is>
      </c>
      <c r="B861" s="1" t="n">
        <v>45146</v>
      </c>
      <c r="C861" s="1" t="n">
        <v>45792</v>
      </c>
      <c r="D861" t="inlineStr">
        <is>
          <t>UPPSALA LÄN</t>
        </is>
      </c>
      <c r="E861" t="inlineStr">
        <is>
          <t>ÖSTHAMMAR</t>
        </is>
      </c>
      <c r="F861" t="inlineStr">
        <is>
          <t>Bergvik skog öst AB</t>
        </is>
      </c>
      <c r="G861" t="n">
        <v>26.1</v>
      </c>
      <c r="H861" t="n">
        <v>0</v>
      </c>
      <c r="I861" t="n">
        <v>0</v>
      </c>
      <c r="J861" t="n">
        <v>0</v>
      </c>
      <c r="K861" t="n">
        <v>0</v>
      </c>
      <c r="L861" t="n">
        <v>0</v>
      </c>
      <c r="M861" t="n">
        <v>0</v>
      </c>
      <c r="N861" t="n">
        <v>0</v>
      </c>
      <c r="O861" t="n">
        <v>0</v>
      </c>
      <c r="P861" t="n">
        <v>0</v>
      </c>
      <c r="Q861" t="n">
        <v>0</v>
      </c>
      <c r="R861" s="2" t="inlineStr"/>
    </row>
    <row r="862" ht="15" customHeight="1">
      <c r="A862" t="inlineStr">
        <is>
          <t>A 35406-2023</t>
        </is>
      </c>
      <c r="B862" s="1" t="n">
        <v>45146</v>
      </c>
      <c r="C862" s="1" t="n">
        <v>45792</v>
      </c>
      <c r="D862" t="inlineStr">
        <is>
          <t>UPPSALA LÄN</t>
        </is>
      </c>
      <c r="E862" t="inlineStr">
        <is>
          <t>ÖSTHAMMAR</t>
        </is>
      </c>
      <c r="F862" t="inlineStr">
        <is>
          <t>Bergvik skog öst AB</t>
        </is>
      </c>
      <c r="G862" t="n">
        <v>1.7</v>
      </c>
      <c r="H862" t="n">
        <v>0</v>
      </c>
      <c r="I862" t="n">
        <v>0</v>
      </c>
      <c r="J862" t="n">
        <v>0</v>
      </c>
      <c r="K862" t="n">
        <v>0</v>
      </c>
      <c r="L862" t="n">
        <v>0</v>
      </c>
      <c r="M862" t="n">
        <v>0</v>
      </c>
      <c r="N862" t="n">
        <v>0</v>
      </c>
      <c r="O862" t="n">
        <v>0</v>
      </c>
      <c r="P862" t="n">
        <v>0</v>
      </c>
      <c r="Q862" t="n">
        <v>0</v>
      </c>
      <c r="R862" s="2" t="inlineStr"/>
    </row>
    <row r="863" ht="15" customHeight="1">
      <c r="A863" t="inlineStr">
        <is>
          <t>A 35410-2023</t>
        </is>
      </c>
      <c r="B863" s="1" t="n">
        <v>45146</v>
      </c>
      <c r="C863" s="1" t="n">
        <v>45792</v>
      </c>
      <c r="D863" t="inlineStr">
        <is>
          <t>UPPSALA LÄN</t>
        </is>
      </c>
      <c r="E863" t="inlineStr">
        <is>
          <t>ÖSTHAMMAR</t>
        </is>
      </c>
      <c r="F863" t="inlineStr">
        <is>
          <t>Bergvik skog öst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35474-2023</t>
        </is>
      </c>
      <c r="B864" s="1" t="n">
        <v>45146</v>
      </c>
      <c r="C864" s="1" t="n">
        <v>45792</v>
      </c>
      <c r="D864" t="inlineStr">
        <is>
          <t>UPPSALA LÄN</t>
        </is>
      </c>
      <c r="E864" t="inlineStr">
        <is>
          <t>ÖSTHAMMAR</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35476-2023</t>
        </is>
      </c>
      <c r="B865" s="1" t="n">
        <v>45146</v>
      </c>
      <c r="C865" s="1" t="n">
        <v>45792</v>
      </c>
      <c r="D865" t="inlineStr">
        <is>
          <t>UPPSALA LÄN</t>
        </is>
      </c>
      <c r="E865" t="inlineStr">
        <is>
          <t>ÖSTHAMMAR</t>
        </is>
      </c>
      <c r="G865" t="n">
        <v>2.4</v>
      </c>
      <c r="H865" t="n">
        <v>0</v>
      </c>
      <c r="I865" t="n">
        <v>0</v>
      </c>
      <c r="J865" t="n">
        <v>0</v>
      </c>
      <c r="K865" t="n">
        <v>0</v>
      </c>
      <c r="L865" t="n">
        <v>0</v>
      </c>
      <c r="M865" t="n">
        <v>0</v>
      </c>
      <c r="N865" t="n">
        <v>0</v>
      </c>
      <c r="O865" t="n">
        <v>0</v>
      </c>
      <c r="P865" t="n">
        <v>0</v>
      </c>
      <c r="Q865" t="n">
        <v>0</v>
      </c>
      <c r="R865" s="2" t="inlineStr"/>
    </row>
    <row r="866" ht="15" customHeight="1">
      <c r="A866" t="inlineStr">
        <is>
          <t>A 35539-2023</t>
        </is>
      </c>
      <c r="B866" s="1" t="n">
        <v>45147</v>
      </c>
      <c r="C866" s="1" t="n">
        <v>45792</v>
      </c>
      <c r="D866" t="inlineStr">
        <is>
          <t>UPPSALA LÄN</t>
        </is>
      </c>
      <c r="E866" t="inlineStr">
        <is>
          <t>ÖSTHAMMAR</t>
        </is>
      </c>
      <c r="G866" t="n">
        <v>1.4</v>
      </c>
      <c r="H866" t="n">
        <v>0</v>
      </c>
      <c r="I866" t="n">
        <v>0</v>
      </c>
      <c r="J866" t="n">
        <v>0</v>
      </c>
      <c r="K866" t="n">
        <v>0</v>
      </c>
      <c r="L866" t="n">
        <v>0</v>
      </c>
      <c r="M866" t="n">
        <v>0</v>
      </c>
      <c r="N866" t="n">
        <v>0</v>
      </c>
      <c r="O866" t="n">
        <v>0</v>
      </c>
      <c r="P866" t="n">
        <v>0</v>
      </c>
      <c r="Q866" t="n">
        <v>0</v>
      </c>
      <c r="R866" s="2" t="inlineStr"/>
    </row>
    <row r="867" ht="15" customHeight="1">
      <c r="A867" t="inlineStr">
        <is>
          <t>A 35918-2023</t>
        </is>
      </c>
      <c r="B867" s="1" t="n">
        <v>45148</v>
      </c>
      <c r="C867" s="1" t="n">
        <v>45792</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36020-2023</t>
        </is>
      </c>
      <c r="B868" s="1" t="n">
        <v>45149</v>
      </c>
      <c r="C868" s="1" t="n">
        <v>45792</v>
      </c>
      <c r="D868" t="inlineStr">
        <is>
          <t>UPPSALA LÄN</t>
        </is>
      </c>
      <c r="E868" t="inlineStr">
        <is>
          <t>ÖSTHAMMAR</t>
        </is>
      </c>
      <c r="F868" t="inlineStr">
        <is>
          <t>Bergvik skog öst AB</t>
        </is>
      </c>
      <c r="G868" t="n">
        <v>6.8</v>
      </c>
      <c r="H868" t="n">
        <v>0</v>
      </c>
      <c r="I868" t="n">
        <v>0</v>
      </c>
      <c r="J868" t="n">
        <v>0</v>
      </c>
      <c r="K868" t="n">
        <v>0</v>
      </c>
      <c r="L868" t="n">
        <v>0</v>
      </c>
      <c r="M868" t="n">
        <v>0</v>
      </c>
      <c r="N868" t="n">
        <v>0</v>
      </c>
      <c r="O868" t="n">
        <v>0</v>
      </c>
      <c r="P868" t="n">
        <v>0</v>
      </c>
      <c r="Q868" t="n">
        <v>0</v>
      </c>
      <c r="R868" s="2" t="inlineStr"/>
    </row>
    <row r="869" ht="15" customHeight="1">
      <c r="A869" t="inlineStr">
        <is>
          <t>A 36301-2023</t>
        </is>
      </c>
      <c r="B869" s="1" t="n">
        <v>45152</v>
      </c>
      <c r="C869" s="1" t="n">
        <v>45792</v>
      </c>
      <c r="D869" t="inlineStr">
        <is>
          <t>UPPSALA LÄN</t>
        </is>
      </c>
      <c r="E869" t="inlineStr">
        <is>
          <t>ÖSTHAMMAR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36447-2023</t>
        </is>
      </c>
      <c r="B870" s="1" t="n">
        <v>45152</v>
      </c>
      <c r="C870" s="1" t="n">
        <v>45792</v>
      </c>
      <c r="D870" t="inlineStr">
        <is>
          <t>UPPSALA LÄN</t>
        </is>
      </c>
      <c r="E870" t="inlineStr">
        <is>
          <t>ÖSTHAMMAR</t>
        </is>
      </c>
      <c r="F870" t="inlineStr">
        <is>
          <t>Bergvik skog öst AB</t>
        </is>
      </c>
      <c r="G870" t="n">
        <v>6.5</v>
      </c>
      <c r="H870" t="n">
        <v>0</v>
      </c>
      <c r="I870" t="n">
        <v>0</v>
      </c>
      <c r="J870" t="n">
        <v>0</v>
      </c>
      <c r="K870" t="n">
        <v>0</v>
      </c>
      <c r="L870" t="n">
        <v>0</v>
      </c>
      <c r="M870" t="n">
        <v>0</v>
      </c>
      <c r="N870" t="n">
        <v>0</v>
      </c>
      <c r="O870" t="n">
        <v>0</v>
      </c>
      <c r="P870" t="n">
        <v>0</v>
      </c>
      <c r="Q870" t="n">
        <v>0</v>
      </c>
      <c r="R870" s="2" t="inlineStr"/>
    </row>
    <row r="871" ht="15" customHeight="1">
      <c r="A871" t="inlineStr">
        <is>
          <t>A 36861-2023</t>
        </is>
      </c>
      <c r="B871" s="1" t="n">
        <v>45154</v>
      </c>
      <c r="C871" s="1" t="n">
        <v>45792</v>
      </c>
      <c r="D871" t="inlineStr">
        <is>
          <t>UPPSALA LÄN</t>
        </is>
      </c>
      <c r="E871" t="inlineStr">
        <is>
          <t>ÖSTHAMMAR</t>
        </is>
      </c>
      <c r="G871" t="n">
        <v>1.2</v>
      </c>
      <c r="H871" t="n">
        <v>0</v>
      </c>
      <c r="I871" t="n">
        <v>0</v>
      </c>
      <c r="J871" t="n">
        <v>0</v>
      </c>
      <c r="K871" t="n">
        <v>0</v>
      </c>
      <c r="L871" t="n">
        <v>0</v>
      </c>
      <c r="M871" t="n">
        <v>0</v>
      </c>
      <c r="N871" t="n">
        <v>0</v>
      </c>
      <c r="O871" t="n">
        <v>0</v>
      </c>
      <c r="P871" t="n">
        <v>0</v>
      </c>
      <c r="Q871" t="n">
        <v>0</v>
      </c>
      <c r="R871" s="2" t="inlineStr"/>
    </row>
    <row r="872" ht="15" customHeight="1">
      <c r="A872" t="inlineStr">
        <is>
          <t>A 36857-2023</t>
        </is>
      </c>
      <c r="B872" s="1" t="n">
        <v>45154</v>
      </c>
      <c r="C872" s="1" t="n">
        <v>45792</v>
      </c>
      <c r="D872" t="inlineStr">
        <is>
          <t>UPPSALA LÄN</t>
        </is>
      </c>
      <c r="E872" t="inlineStr">
        <is>
          <t>ÖSTHAMMAR</t>
        </is>
      </c>
      <c r="G872" t="n">
        <v>0.5</v>
      </c>
      <c r="H872" t="n">
        <v>0</v>
      </c>
      <c r="I872" t="n">
        <v>0</v>
      </c>
      <c r="J872" t="n">
        <v>0</v>
      </c>
      <c r="K872" t="n">
        <v>0</v>
      </c>
      <c r="L872" t="n">
        <v>0</v>
      </c>
      <c r="M872" t="n">
        <v>0</v>
      </c>
      <c r="N872" t="n">
        <v>0</v>
      </c>
      <c r="O872" t="n">
        <v>0</v>
      </c>
      <c r="P872" t="n">
        <v>0</v>
      </c>
      <c r="Q872" t="n">
        <v>0</v>
      </c>
      <c r="R872" s="2" t="inlineStr"/>
    </row>
    <row r="873" ht="15" customHeight="1">
      <c r="A873" t="inlineStr">
        <is>
          <t>A 36904-2023</t>
        </is>
      </c>
      <c r="B873" s="1" t="n">
        <v>45154</v>
      </c>
      <c r="C873" s="1" t="n">
        <v>45792</v>
      </c>
      <c r="D873" t="inlineStr">
        <is>
          <t>UPPSALA LÄN</t>
        </is>
      </c>
      <c r="E873" t="inlineStr">
        <is>
          <t>ÖSTHAMMAR</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37021-2023</t>
        </is>
      </c>
      <c r="B874" s="1" t="n">
        <v>45155</v>
      </c>
      <c r="C874" s="1" t="n">
        <v>45792</v>
      </c>
      <c r="D874" t="inlineStr">
        <is>
          <t>UPPSALA LÄN</t>
        </is>
      </c>
      <c r="E874" t="inlineStr">
        <is>
          <t>ÖSTHAMMAR</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37296-2023</t>
        </is>
      </c>
      <c r="B875" s="1" t="n">
        <v>45156</v>
      </c>
      <c r="C875" s="1" t="n">
        <v>45792</v>
      </c>
      <c r="D875" t="inlineStr">
        <is>
          <t>UPPSALA LÄN</t>
        </is>
      </c>
      <c r="E875" t="inlineStr">
        <is>
          <t>ÖSTHAMMAR</t>
        </is>
      </c>
      <c r="G875" t="n">
        <v>4.7</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45792</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45792</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45792</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45792</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45792</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45792</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45792</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45792</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45792</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45792</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45792</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45792</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45792</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45792</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45792</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45792</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45792</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45792</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45792</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45792</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45792</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45792</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45792</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45792</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45792</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45792</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45792</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45792</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45792</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45792</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45792</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45792</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45792</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45792</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45792</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45792</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45792</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45792</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45792</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45792</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45792</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45792</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45792</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45792</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45792</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45792</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45792</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45792</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45792</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45792</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45792</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45792</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45792</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45792</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45792</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45792</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45792</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45792</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45792</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45792</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45792</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45792</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45792</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45792</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45792</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45792</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45792</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45792</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45792</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45792</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45792</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45792</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45792</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45792</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45792</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45792</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45792</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45792</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45792</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45792</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45792</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45792</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45792</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45792</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45792</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45792</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45792</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45792</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45792</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45792</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45792</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45792</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45792</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45792</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45792</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45792</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45792</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45792</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45792</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45792</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45792</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45792</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45792</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45792</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45792</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45792</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45792</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45792</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45792</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45792</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45792</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45792</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45792</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45792</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45792</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45792</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45792</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45792</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45792</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45792</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45792</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45792</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45792</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45792</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45792</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45792</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45792</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45792</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45792</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45792</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45792</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45792</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45792</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45792</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45792</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45792</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45792</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45792</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45792</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45792</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45792</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45792</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45792</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45792</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45792</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45792</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45792</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45792</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45792</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45792</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45792</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45792</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45792</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45792</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45792</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45792</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45792</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45792</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45792</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45792</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45792</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45792</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45792</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45792</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45792</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45792</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45792</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45792</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45792</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45792</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45792</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45792</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45792</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45792</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45792</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45792</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45792</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45792</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45792</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45792</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45792</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45792</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45792</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45792</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45792</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45792</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45792</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45792</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45792</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45792</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45792</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45792</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45792</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45792</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45792</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45792</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45792</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45792</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45792</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45792</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45792</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45792</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45792</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45792</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45792</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45792</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45792</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45792</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45792</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45792</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45792</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45792</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45792</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45792</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45792</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45792</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45792</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45792</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45792</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45792</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45792</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45792</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45792</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45792</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45792</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45792</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45792</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45792</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45792</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45792</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45792</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45792</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45792</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45792</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45792</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45792</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45792</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45792</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45792</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45792</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45792</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45792</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45792</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45792</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45792</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45792</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45792</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45792</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45792</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45792</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45792</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45792</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45792</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45792</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45792</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45792</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45792</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45792</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45792</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45792</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45792</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45792</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45792</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45792</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45792</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45792</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45792</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45792</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45792</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45792</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45792</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45792</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45792</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45792</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45792</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45792</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45792</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45792</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45792</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45792</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45792</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45792</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45792</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45792</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45792</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45792</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45792</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45792</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45792</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45792</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45792</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45792</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45792</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45792</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45792</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45792</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45792</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45792</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45792</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45792</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45792</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45792</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45792</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45792</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45792</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45792</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45792</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45792</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45792</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45792</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45792</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45792</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45792</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45792</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45792</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45792</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45792</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45792</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45792</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45792</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45792</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45792</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45792</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45792</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45792</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45792</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45792</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45792</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45792</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45792</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45792</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45792</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45792</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45792</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45792</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45792</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45792</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45792</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45792</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45792</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45792</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45792</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45792</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45792</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45792</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45792</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45792</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45792</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45792</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45792</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45792</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45792</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45792</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45792</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45792</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45792</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45792</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45792</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45792</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45792</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45792</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45792</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45792</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45792</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45792</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45792</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45792</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45792</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45792</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45792</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45792</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45792</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45792</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45792</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45792</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45792</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45792</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45792</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45792</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45792</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45792</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45792</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45792</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45792</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45792</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45792</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45792</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45792</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45792</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45792</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45792</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45792</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45792</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45792</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45792</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45792</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45792</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45792</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45792</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45792</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45792</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45792</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45792</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45792</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45792</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45792</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45792</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45792</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45792</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45792</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45792</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45792</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45792</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45792</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45792</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45792</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45792</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45792</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45792</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45792</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45792</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45792</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45792</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45792</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45792</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45792</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45792</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45792</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45792</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45792</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45792</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45792</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45792</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45792</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45792</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45792</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45792</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45792</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45792</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45792</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45792</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45792</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45792</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45792</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45792</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45792</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45792</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45792</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45792</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45792</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45792</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45792</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45792</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45792</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45792</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45792</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45792</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45792</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45792</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45792</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45792</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45792</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45792</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45792</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45792</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45792</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45792</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45792</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45792</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45792</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45792</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45792</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45792</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45792</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45792</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45792</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45792</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45792</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45792</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45792</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45792</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45792</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45792</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45792</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45792</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45792</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45792</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45792</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45792</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45792</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45792</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45792</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45792</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45792</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45792</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45792</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45792</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45792</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45792</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45792</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45792</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45792</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45792</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45792</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45792</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45792</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45792</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45792</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45792</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45792</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45792</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45792</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45792</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45792</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45792</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45792</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45792</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45792</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45792</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45792</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45792</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45792</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45792</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45792</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45792</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45792</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45792</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45792</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45792</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45792</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45792</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45792</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45792</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45792</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45792</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45792</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45792</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45792</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45792</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45792</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45792</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45792</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45792</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45792</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45792</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45792</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45792</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45792</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45792</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45792</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45792</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45792</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45792</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45792</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45792</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45792</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45792</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45792</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45792</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45792</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45792</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45792</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45792</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45792</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45792</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45792</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45792</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45792</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45792</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45792</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45792</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45792</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45792</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45792</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45792</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45792</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45792</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45792</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45792</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45792</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45792</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45792</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45792</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45792</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45792</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45792</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45792</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45792</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45792</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19637-2025</t>
        </is>
      </c>
      <c r="B1466" s="1" t="n">
        <v>45770</v>
      </c>
      <c r="C1466" s="1" t="n">
        <v>45792</v>
      </c>
      <c r="D1466" t="inlineStr">
        <is>
          <t>UPPSALA LÄN</t>
        </is>
      </c>
      <c r="E1466" t="inlineStr">
        <is>
          <t>ÖSTHAMMAR</t>
        </is>
      </c>
      <c r="F1466" t="inlineStr">
        <is>
          <t>Övriga Aktiebolag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19650-2025</t>
        </is>
      </c>
      <c r="B1467" s="1" t="n">
        <v>45770</v>
      </c>
      <c r="C1467" s="1" t="n">
        <v>45792</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19640-2025</t>
        </is>
      </c>
      <c r="B1468" s="1" t="n">
        <v>45770</v>
      </c>
      <c r="C1468" s="1" t="n">
        <v>45792</v>
      </c>
      <c r="D1468" t="inlineStr">
        <is>
          <t>UPPSALA LÄN</t>
        </is>
      </c>
      <c r="E1468" t="inlineStr">
        <is>
          <t>ÖSTHAMMAR</t>
        </is>
      </c>
      <c r="F1468" t="inlineStr">
        <is>
          <t>Övriga Aktiebolag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19646-2025</t>
        </is>
      </c>
      <c r="B1469" s="1" t="n">
        <v>45770</v>
      </c>
      <c r="C1469" s="1" t="n">
        <v>45792</v>
      </c>
      <c r="D1469" t="inlineStr">
        <is>
          <t>UPPSALA LÄN</t>
        </is>
      </c>
      <c r="E1469" t="inlineStr">
        <is>
          <t>ÖSTHAMMAR</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19501-2025</t>
        </is>
      </c>
      <c r="B1470" s="1" t="n">
        <v>45770</v>
      </c>
      <c r="C1470" s="1" t="n">
        <v>45792</v>
      </c>
      <c r="D1470" t="inlineStr">
        <is>
          <t>UPPSALA LÄN</t>
        </is>
      </c>
      <c r="E1470" t="inlineStr">
        <is>
          <t>ÖSTHAMMAR</t>
        </is>
      </c>
      <c r="F1470" t="inlineStr">
        <is>
          <t>Övriga Aktiebolag</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45792</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45792</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45792</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45792</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45792</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21132-2025</t>
        </is>
      </c>
      <c r="B1476" s="1" t="n">
        <v>45778</v>
      </c>
      <c r="C1476" s="1" t="n">
        <v>45792</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22483-2025</t>
        </is>
      </c>
      <c r="B1477" s="1" t="n">
        <v>45786</v>
      </c>
      <c r="C1477" s="1" t="n">
        <v>45792</v>
      </c>
      <c r="D1477" t="inlineStr">
        <is>
          <t>UPPSALA LÄN</t>
        </is>
      </c>
      <c r="E1477" t="inlineStr">
        <is>
          <t>ÖSTHAMMAR</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22488-2025</t>
        </is>
      </c>
      <c r="B1478" s="1" t="n">
        <v>45786</v>
      </c>
      <c r="C1478" s="1" t="n">
        <v>45792</v>
      </c>
      <c r="D1478" t="inlineStr">
        <is>
          <t>UPPSALA LÄN</t>
        </is>
      </c>
      <c r="E1478" t="inlineStr">
        <is>
          <t>ÖSTHAMMAR</t>
        </is>
      </c>
      <c r="F1478" t="inlineStr">
        <is>
          <t>Bergvik skog öst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45792</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c r="A1480" t="inlineStr">
        <is>
          <t>A 23305-2025</t>
        </is>
      </c>
      <c r="B1480" s="1" t="n">
        <v>45791</v>
      </c>
      <c r="C1480" s="1" t="n">
        <v>45792</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2025-05-15T16:46:19Z</dcterms:created>
  <dcterms:modified xmlns:dcterms="http://purl.org/dc/terms/" xmlns:xsi="http://www.w3.org/2001/XMLSchema-instance" xsi:type="dcterms:W3CDTF">2025-05-15T16:46:20Z</dcterms:modified>
</cp:coreProperties>
</file>