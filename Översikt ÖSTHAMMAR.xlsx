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45837</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45837</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45837</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45837</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45837</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45837</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45837</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45837</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45837</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45837</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45837</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45837</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45837</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45837</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45837</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45837</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45837</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45837</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45837</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45837</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45837</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45837</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45837</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45837</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45837</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45837</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45837</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45837</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45837</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45837</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45837</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45837</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45837</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45837</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45837</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45837</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45837</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45837</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45837</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45837</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45837</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45837</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45837</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45837</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45837</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45837</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45837</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45837</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45837</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45837</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45837</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45837</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45837</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45837</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45837</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45837</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45837</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45837</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45837</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45837</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45837</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45837</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45837</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45837</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45837</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45837</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45837</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45837</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45837</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45837</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45837</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45837</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45837</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45837</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45837</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45837</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45837</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45837</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45837</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45837</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45837</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45837</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45837</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45837</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45837</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45837</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45837</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45837</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45837</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45837</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45837</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45837</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45837</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45837</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45837</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45837</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45837</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45837</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45837</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45837</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45837</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45837</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45837</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45837</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45837</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45837</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45837</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45837</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45837</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45837</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45837</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45837</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45837</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45837</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45837</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45837</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45837</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45837</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45837</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45837</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45837</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45837</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45837</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45837</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45837</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45837</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45837</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45837</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45837</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45837</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45837</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45837</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45837</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45837</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45837</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45837</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45837</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45837</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45837</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45837</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45837</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45837</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45837</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45837</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45837</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45837</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45837</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45837</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45837</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45837</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45837</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45837</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45837</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45837</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45837</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45837</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45837</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45837</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45837</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45837</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45837</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45837</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45837</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45837</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45837</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45837</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45837</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30605-2025</t>
        </is>
      </c>
      <c r="B195" s="1" t="n">
        <v>45831</v>
      </c>
      <c r="C195" s="1" t="n">
        <v>45837</v>
      </c>
      <c r="D195" t="inlineStr">
        <is>
          <t>UPPSALA LÄN</t>
        </is>
      </c>
      <c r="E195" t="inlineStr">
        <is>
          <t>ÖSTHAMMAR</t>
        </is>
      </c>
      <c r="G195" t="n">
        <v>1.7</v>
      </c>
      <c r="H195" t="n">
        <v>0</v>
      </c>
      <c r="I195" t="n">
        <v>0</v>
      </c>
      <c r="J195" t="n">
        <v>0</v>
      </c>
      <c r="K195" t="n">
        <v>1</v>
      </c>
      <c r="L195" t="n">
        <v>0</v>
      </c>
      <c r="M195" t="n">
        <v>0</v>
      </c>
      <c r="N195" t="n">
        <v>0</v>
      </c>
      <c r="O195" t="n">
        <v>1</v>
      </c>
      <c r="P195" t="n">
        <v>1</v>
      </c>
      <c r="Q195" t="n">
        <v>1</v>
      </c>
      <c r="R195" s="2" t="inlineStr">
        <is>
          <t>Plattsäv</t>
        </is>
      </c>
      <c r="S195">
        <f>HYPERLINK("https://klasma.github.io/Logging_030382/artfynd/A 30605-2025 artfynd.xlsx", "A 30605-2025")</f>
        <v/>
      </c>
      <c r="T195">
        <f>HYPERLINK("https://klasma.github.io/Logging_030382/kartor/A 30605-2025 karta.png", "A 30605-2025")</f>
        <v/>
      </c>
      <c r="V195">
        <f>HYPERLINK("https://klasma.github.io/Logging_030382/klagomål/A 30605-2025 FSC-klagomål.docx", "A 30605-2025")</f>
        <v/>
      </c>
      <c r="W195">
        <f>HYPERLINK("https://klasma.github.io/Logging_030382/klagomålsmail/A 30605-2025 FSC-klagomål mail.docx", "A 30605-2025")</f>
        <v/>
      </c>
      <c r="X195">
        <f>HYPERLINK("https://klasma.github.io/Logging_030382/tillsyn/A 30605-2025 tillsynsbegäran.docx", "A 30605-2025")</f>
        <v/>
      </c>
      <c r="Y195">
        <f>HYPERLINK("https://klasma.github.io/Logging_030382/tillsynsmail/A 30605-2025 tillsynsbegäran mail.docx", "A 30605-2025")</f>
        <v/>
      </c>
    </row>
    <row r="196" ht="15" customHeight="1">
      <c r="A196" t="inlineStr">
        <is>
          <t>A 18596-2019</t>
        </is>
      </c>
      <c r="B196" s="1" t="n">
        <v>43560</v>
      </c>
      <c r="C196" s="1" t="n">
        <v>45837</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18781-2019</t>
        </is>
      </c>
      <c r="B197" s="1" t="n">
        <v>43561</v>
      </c>
      <c r="C197" s="1" t="n">
        <v>45837</v>
      </c>
      <c r="D197" t="inlineStr">
        <is>
          <t>UPPSALA LÄN</t>
        </is>
      </c>
      <c r="E197" t="inlineStr">
        <is>
          <t>ÖSTHAMMAR</t>
        </is>
      </c>
      <c r="F197" t="inlineStr">
        <is>
          <t>Bergvik skog öst AB</t>
        </is>
      </c>
      <c r="G197" t="n">
        <v>0.7</v>
      </c>
      <c r="H197" t="n">
        <v>0</v>
      </c>
      <c r="I197" t="n">
        <v>0</v>
      </c>
      <c r="J197" t="n">
        <v>0</v>
      </c>
      <c r="K197" t="n">
        <v>0</v>
      </c>
      <c r="L197" t="n">
        <v>0</v>
      </c>
      <c r="M197" t="n">
        <v>0</v>
      </c>
      <c r="N197" t="n">
        <v>0</v>
      </c>
      <c r="O197" t="n">
        <v>0</v>
      </c>
      <c r="P197" t="n">
        <v>0</v>
      </c>
      <c r="Q197" t="n">
        <v>0</v>
      </c>
      <c r="R197" s="2" t="inlineStr"/>
    </row>
    <row r="198" ht="15" customHeight="1">
      <c r="A198" t="inlineStr">
        <is>
          <t>A 18792-2019</t>
        </is>
      </c>
      <c r="B198" s="1" t="n">
        <v>43562</v>
      </c>
      <c r="C198" s="1" t="n">
        <v>45837</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18800-2019</t>
        </is>
      </c>
      <c r="B199" s="1" t="n">
        <v>43562</v>
      </c>
      <c r="C199" s="1" t="n">
        <v>45837</v>
      </c>
      <c r="D199" t="inlineStr">
        <is>
          <t>UPPSALA LÄN</t>
        </is>
      </c>
      <c r="E199" t="inlineStr">
        <is>
          <t>ÖSTHAMMAR</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20683-2019</t>
        </is>
      </c>
      <c r="B200" s="1" t="n">
        <v>43573</v>
      </c>
      <c r="C200" s="1" t="n">
        <v>45837</v>
      </c>
      <c r="D200" t="inlineStr">
        <is>
          <t>UPPSALA LÄN</t>
        </is>
      </c>
      <c r="E200" t="inlineStr">
        <is>
          <t>ÖSTHAMMAR</t>
        </is>
      </c>
      <c r="G200" t="n">
        <v>2.6</v>
      </c>
      <c r="H200" t="n">
        <v>0</v>
      </c>
      <c r="I200" t="n">
        <v>0</v>
      </c>
      <c r="J200" t="n">
        <v>0</v>
      </c>
      <c r="K200" t="n">
        <v>0</v>
      </c>
      <c r="L200" t="n">
        <v>0</v>
      </c>
      <c r="M200" t="n">
        <v>0</v>
      </c>
      <c r="N200" t="n">
        <v>0</v>
      </c>
      <c r="O200" t="n">
        <v>0</v>
      </c>
      <c r="P200" t="n">
        <v>0</v>
      </c>
      <c r="Q200" t="n">
        <v>0</v>
      </c>
      <c r="R200" s="2" t="inlineStr"/>
    </row>
    <row r="201" ht="15" customHeight="1">
      <c r="A201" t="inlineStr">
        <is>
          <t>A 21471-2019</t>
        </is>
      </c>
      <c r="B201" s="1" t="n">
        <v>43580</v>
      </c>
      <c r="C201" s="1" t="n">
        <v>45837</v>
      </c>
      <c r="D201" t="inlineStr">
        <is>
          <t>UPPSALA LÄN</t>
        </is>
      </c>
      <c r="E201" t="inlineStr">
        <is>
          <t>ÖSTHAMMAR</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22800-2019</t>
        </is>
      </c>
      <c r="B202" s="1" t="n">
        <v>43590</v>
      </c>
      <c r="C202" s="1" t="n">
        <v>45837</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c r="U202">
        <f>HYPERLINK("https://klasma.github.io/Logging_0382/knärot/A 22800-2019 karta knärot.png", "A 22800-2019")</f>
        <v/>
      </c>
      <c r="V202">
        <f>HYPERLINK("https://klasma.github.io/Logging_0382/klagomål/A 22800-2019 FSC-klagomål.docx", "A 22800-2019")</f>
        <v/>
      </c>
      <c r="W202">
        <f>HYPERLINK("https://klasma.github.io/Logging_0382/klagomålsmail/A 22800-2019 FSC-klagomål mail.docx", "A 22800-2019")</f>
        <v/>
      </c>
      <c r="X202">
        <f>HYPERLINK("https://klasma.github.io/Logging_0382/tillsyn/A 22800-2019 tillsynsbegäran.docx", "A 22800-2019")</f>
        <v/>
      </c>
      <c r="Y202">
        <f>HYPERLINK("https://klasma.github.io/Logging_0382/tillsynsmail/A 22800-2019 tillsynsbegäran mail.docx", "A 22800-2019")</f>
        <v/>
      </c>
    </row>
    <row r="203" ht="15" customHeight="1">
      <c r="A203" t="inlineStr">
        <is>
          <t>A 22801-2019</t>
        </is>
      </c>
      <c r="B203" s="1" t="n">
        <v>43590</v>
      </c>
      <c r="C203" s="1" t="n">
        <v>45837</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23008-2019</t>
        </is>
      </c>
      <c r="B204" s="1" t="n">
        <v>43591</v>
      </c>
      <c r="C204" s="1" t="n">
        <v>45837</v>
      </c>
      <c r="D204" t="inlineStr">
        <is>
          <t>UPPSALA LÄN</t>
        </is>
      </c>
      <c r="E204" t="inlineStr">
        <is>
          <t>ÖSTHAMMAR</t>
        </is>
      </c>
      <c r="G204" t="n">
        <v>4.5</v>
      </c>
      <c r="H204" t="n">
        <v>0</v>
      </c>
      <c r="I204" t="n">
        <v>0</v>
      </c>
      <c r="J204" t="n">
        <v>0</v>
      </c>
      <c r="K204" t="n">
        <v>0</v>
      </c>
      <c r="L204" t="n">
        <v>0</v>
      </c>
      <c r="M204" t="n">
        <v>0</v>
      </c>
      <c r="N204" t="n">
        <v>0</v>
      </c>
      <c r="O204" t="n">
        <v>0</v>
      </c>
      <c r="P204" t="n">
        <v>0</v>
      </c>
      <c r="Q204" t="n">
        <v>0</v>
      </c>
      <c r="R204" s="2" t="inlineStr"/>
    </row>
    <row r="205" ht="15" customHeight="1">
      <c r="A205" t="inlineStr">
        <is>
          <t>A 25874-2019</t>
        </is>
      </c>
      <c r="B205" s="1" t="n">
        <v>43605</v>
      </c>
      <c r="C205" s="1" t="n">
        <v>45837</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25703-2019</t>
        </is>
      </c>
      <c r="B206" s="1" t="n">
        <v>43607</v>
      </c>
      <c r="C206" s="1" t="n">
        <v>45837</v>
      </c>
      <c r="D206" t="inlineStr">
        <is>
          <t>UPPSALA LÄN</t>
        </is>
      </c>
      <c r="E206" t="inlineStr">
        <is>
          <t>ÖSTHAMMAR</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25708-2019</t>
        </is>
      </c>
      <c r="B207" s="1" t="n">
        <v>43607</v>
      </c>
      <c r="C207" s="1" t="n">
        <v>45837</v>
      </c>
      <c r="D207" t="inlineStr">
        <is>
          <t>UPPSALA LÄN</t>
        </is>
      </c>
      <c r="E207" t="inlineStr">
        <is>
          <t>ÖSTHAMMAR</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25706-2019</t>
        </is>
      </c>
      <c r="B208" s="1" t="n">
        <v>43607</v>
      </c>
      <c r="C208" s="1" t="n">
        <v>45837</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26562-2019</t>
        </is>
      </c>
      <c r="B209" s="1" t="n">
        <v>43612</v>
      </c>
      <c r="C209" s="1" t="n">
        <v>45837</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26724-2019</t>
        </is>
      </c>
      <c r="B210" s="1" t="n">
        <v>43613</v>
      </c>
      <c r="C210" s="1" t="n">
        <v>45837</v>
      </c>
      <c r="D210" t="inlineStr">
        <is>
          <t>UPPSALA LÄN</t>
        </is>
      </c>
      <c r="E210" t="inlineStr">
        <is>
          <t>ÖSTHAMMAR</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26796-2019</t>
        </is>
      </c>
      <c r="B211" s="1" t="n">
        <v>43613</v>
      </c>
      <c r="C211" s="1" t="n">
        <v>45837</v>
      </c>
      <c r="D211" t="inlineStr">
        <is>
          <t>UPPSALA LÄN</t>
        </is>
      </c>
      <c r="E211" t="inlineStr">
        <is>
          <t>ÖSTHAMMAR</t>
        </is>
      </c>
      <c r="F211" t="inlineStr">
        <is>
          <t>Bergvik skog öst AB</t>
        </is>
      </c>
      <c r="G211" t="n">
        <v>4.4</v>
      </c>
      <c r="H211" t="n">
        <v>0</v>
      </c>
      <c r="I211" t="n">
        <v>0</v>
      </c>
      <c r="J211" t="n">
        <v>0</v>
      </c>
      <c r="K211" t="n">
        <v>0</v>
      </c>
      <c r="L211" t="n">
        <v>0</v>
      </c>
      <c r="M211" t="n">
        <v>0</v>
      </c>
      <c r="N211" t="n">
        <v>0</v>
      </c>
      <c r="O211" t="n">
        <v>0</v>
      </c>
      <c r="P211" t="n">
        <v>0</v>
      </c>
      <c r="Q211" t="n">
        <v>0</v>
      </c>
      <c r="R211" s="2" t="inlineStr"/>
    </row>
    <row r="212" ht="15" customHeight="1">
      <c r="A212" t="inlineStr">
        <is>
          <t>A 27458-2019</t>
        </is>
      </c>
      <c r="B212" s="1" t="n">
        <v>43618</v>
      </c>
      <c r="C212" s="1" t="n">
        <v>45837</v>
      </c>
      <c r="D212" t="inlineStr">
        <is>
          <t>UPPSALA LÄN</t>
        </is>
      </c>
      <c r="E212" t="inlineStr">
        <is>
          <t>ÖSTHAMMAR</t>
        </is>
      </c>
      <c r="F212" t="inlineStr">
        <is>
          <t>Bergvik skog öst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29204-2019</t>
        </is>
      </c>
      <c r="B213" s="1" t="n">
        <v>43623</v>
      </c>
      <c r="C213" s="1" t="n">
        <v>45837</v>
      </c>
      <c r="D213" t="inlineStr">
        <is>
          <t>UPPSALA LÄN</t>
        </is>
      </c>
      <c r="E213" t="inlineStr">
        <is>
          <t>ÖSTHAMMAR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31106-2019</t>
        </is>
      </c>
      <c r="B214" s="1" t="n">
        <v>43635</v>
      </c>
      <c r="C214" s="1" t="n">
        <v>45837</v>
      </c>
      <c r="D214" t="inlineStr">
        <is>
          <t>UPPSALA LÄN</t>
        </is>
      </c>
      <c r="E214" t="inlineStr">
        <is>
          <t>ÖSTHAMMAR</t>
        </is>
      </c>
      <c r="F214" t="inlineStr">
        <is>
          <t>Övriga statliga verk och myndigheter</t>
        </is>
      </c>
      <c r="G214" t="n">
        <v>1.5</v>
      </c>
      <c r="H214" t="n">
        <v>0</v>
      </c>
      <c r="I214" t="n">
        <v>0</v>
      </c>
      <c r="J214" t="n">
        <v>0</v>
      </c>
      <c r="K214" t="n">
        <v>0</v>
      </c>
      <c r="L214" t="n">
        <v>0</v>
      </c>
      <c r="M214" t="n">
        <v>0</v>
      </c>
      <c r="N214" t="n">
        <v>0</v>
      </c>
      <c r="O214" t="n">
        <v>0</v>
      </c>
      <c r="P214" t="n">
        <v>0</v>
      </c>
      <c r="Q214" t="n">
        <v>0</v>
      </c>
      <c r="R214" s="2" t="inlineStr"/>
    </row>
    <row r="215" ht="15" customHeight="1">
      <c r="A215" t="inlineStr">
        <is>
          <t>A 31716-2019</t>
        </is>
      </c>
      <c r="B215" s="1" t="n">
        <v>43642</v>
      </c>
      <c r="C215" s="1" t="n">
        <v>45837</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31882-2019</t>
        </is>
      </c>
      <c r="B216" s="1" t="n">
        <v>43642</v>
      </c>
      <c r="C216" s="1" t="n">
        <v>45837</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32718-2019</t>
        </is>
      </c>
      <c r="B217" s="1" t="n">
        <v>43647</v>
      </c>
      <c r="C217" s="1" t="n">
        <v>45837</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33532-2019</t>
        </is>
      </c>
      <c r="B218" s="1" t="n">
        <v>43651</v>
      </c>
      <c r="C218" s="1" t="n">
        <v>45837</v>
      </c>
      <c r="D218" t="inlineStr">
        <is>
          <t>UPPSALA LÄN</t>
        </is>
      </c>
      <c r="E218" t="inlineStr">
        <is>
          <t>ÖSTHAMMAR</t>
        </is>
      </c>
      <c r="G218" t="n">
        <v>1.6</v>
      </c>
      <c r="H218" t="n">
        <v>0</v>
      </c>
      <c r="I218" t="n">
        <v>0</v>
      </c>
      <c r="J218" t="n">
        <v>0</v>
      </c>
      <c r="K218" t="n">
        <v>0</v>
      </c>
      <c r="L218" t="n">
        <v>0</v>
      </c>
      <c r="M218" t="n">
        <v>0</v>
      </c>
      <c r="N218" t="n">
        <v>0</v>
      </c>
      <c r="O218" t="n">
        <v>0</v>
      </c>
      <c r="P218" t="n">
        <v>0</v>
      </c>
      <c r="Q218" t="n">
        <v>0</v>
      </c>
      <c r="R218" s="2" t="inlineStr"/>
    </row>
    <row r="219" ht="15" customHeight="1">
      <c r="A219" t="inlineStr">
        <is>
          <t>A 33544-2019</t>
        </is>
      </c>
      <c r="B219" s="1" t="n">
        <v>43651</v>
      </c>
      <c r="C219" s="1" t="n">
        <v>45837</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33539-2019</t>
        </is>
      </c>
      <c r="B220" s="1" t="n">
        <v>43651</v>
      </c>
      <c r="C220" s="1" t="n">
        <v>45837</v>
      </c>
      <c r="D220" t="inlineStr">
        <is>
          <t>UPPSALA LÄN</t>
        </is>
      </c>
      <c r="E220" t="inlineStr">
        <is>
          <t>ÖSTHAMMAR</t>
        </is>
      </c>
      <c r="G220" t="n">
        <v>4.6</v>
      </c>
      <c r="H220" t="n">
        <v>0</v>
      </c>
      <c r="I220" t="n">
        <v>0</v>
      </c>
      <c r="J220" t="n">
        <v>0</v>
      </c>
      <c r="K220" t="n">
        <v>0</v>
      </c>
      <c r="L220" t="n">
        <v>0</v>
      </c>
      <c r="M220" t="n">
        <v>0</v>
      </c>
      <c r="N220" t="n">
        <v>0</v>
      </c>
      <c r="O220" t="n">
        <v>0</v>
      </c>
      <c r="P220" t="n">
        <v>0</v>
      </c>
      <c r="Q220" t="n">
        <v>0</v>
      </c>
      <c r="R220" s="2" t="inlineStr"/>
    </row>
    <row r="221" ht="15" customHeight="1">
      <c r="A221" t="inlineStr">
        <is>
          <t>A 33551-2019</t>
        </is>
      </c>
      <c r="B221" s="1" t="n">
        <v>43651</v>
      </c>
      <c r="C221" s="1" t="n">
        <v>45837</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33784-2019</t>
        </is>
      </c>
      <c r="B222" s="1" t="n">
        <v>43651</v>
      </c>
      <c r="C222" s="1" t="n">
        <v>45837</v>
      </c>
      <c r="D222" t="inlineStr">
        <is>
          <t>UPPSALA LÄN</t>
        </is>
      </c>
      <c r="E222" t="inlineStr">
        <is>
          <t>ÖSTHAMMAR</t>
        </is>
      </c>
      <c r="G222" t="n">
        <v>1.3</v>
      </c>
      <c r="H222" t="n">
        <v>0</v>
      </c>
      <c r="I222" t="n">
        <v>0</v>
      </c>
      <c r="J222" t="n">
        <v>0</v>
      </c>
      <c r="K222" t="n">
        <v>0</v>
      </c>
      <c r="L222" t="n">
        <v>0</v>
      </c>
      <c r="M222" t="n">
        <v>0</v>
      </c>
      <c r="N222" t="n">
        <v>0</v>
      </c>
      <c r="O222" t="n">
        <v>0</v>
      </c>
      <c r="P222" t="n">
        <v>0</v>
      </c>
      <c r="Q222" t="n">
        <v>0</v>
      </c>
      <c r="R222" s="2" t="inlineStr"/>
    </row>
    <row r="223" ht="15" customHeight="1">
      <c r="A223" t="inlineStr">
        <is>
          <t>A 39582-2019</t>
        </is>
      </c>
      <c r="B223" s="1" t="n">
        <v>43686</v>
      </c>
      <c r="C223" s="1" t="n">
        <v>45837</v>
      </c>
      <c r="D223" t="inlineStr">
        <is>
          <t>UPPSALA LÄN</t>
        </is>
      </c>
      <c r="E223" t="inlineStr">
        <is>
          <t>ÖSTHAMMAR</t>
        </is>
      </c>
      <c r="G223" t="n">
        <v>12.2</v>
      </c>
      <c r="H223" t="n">
        <v>0</v>
      </c>
      <c r="I223" t="n">
        <v>0</v>
      </c>
      <c r="J223" t="n">
        <v>0</v>
      </c>
      <c r="K223" t="n">
        <v>0</v>
      </c>
      <c r="L223" t="n">
        <v>0</v>
      </c>
      <c r="M223" t="n">
        <v>0</v>
      </c>
      <c r="N223" t="n">
        <v>0</v>
      </c>
      <c r="O223" t="n">
        <v>0</v>
      </c>
      <c r="P223" t="n">
        <v>0</v>
      </c>
      <c r="Q223" t="n">
        <v>0</v>
      </c>
      <c r="R223" s="2" t="inlineStr"/>
    </row>
    <row r="224" ht="15" customHeight="1">
      <c r="A224" t="inlineStr">
        <is>
          <t>A 39910-2019</t>
        </is>
      </c>
      <c r="B224" s="1" t="n">
        <v>43692</v>
      </c>
      <c r="C224" s="1" t="n">
        <v>45837</v>
      </c>
      <c r="D224" t="inlineStr">
        <is>
          <t>UPPSALA LÄN</t>
        </is>
      </c>
      <c r="E224" t="inlineStr">
        <is>
          <t>ÖSTHAMMAR</t>
        </is>
      </c>
      <c r="G224" t="n">
        <v>3.9</v>
      </c>
      <c r="H224" t="n">
        <v>0</v>
      </c>
      <c r="I224" t="n">
        <v>0</v>
      </c>
      <c r="J224" t="n">
        <v>0</v>
      </c>
      <c r="K224" t="n">
        <v>0</v>
      </c>
      <c r="L224" t="n">
        <v>0</v>
      </c>
      <c r="M224" t="n">
        <v>0</v>
      </c>
      <c r="N224" t="n">
        <v>0</v>
      </c>
      <c r="O224" t="n">
        <v>0</v>
      </c>
      <c r="P224" t="n">
        <v>0</v>
      </c>
      <c r="Q224" t="n">
        <v>0</v>
      </c>
      <c r="R224" s="2" t="inlineStr"/>
    </row>
    <row r="225" ht="15" customHeight="1">
      <c r="A225" t="inlineStr">
        <is>
          <t>A 41697-2019</t>
        </is>
      </c>
      <c r="B225" s="1" t="n">
        <v>43699</v>
      </c>
      <c r="C225" s="1" t="n">
        <v>45837</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41539-2019</t>
        </is>
      </c>
      <c r="B226" s="1" t="n">
        <v>43699</v>
      </c>
      <c r="C226" s="1" t="n">
        <v>45837</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43426-2019</t>
        </is>
      </c>
      <c r="B227" s="1" t="n">
        <v>43706</v>
      </c>
      <c r="C227" s="1" t="n">
        <v>45837</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45140-2019</t>
        </is>
      </c>
      <c r="B228" s="1" t="n">
        <v>43713</v>
      </c>
      <c r="C228" s="1" t="n">
        <v>45837</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45681-2019</t>
        </is>
      </c>
      <c r="B229" s="1" t="n">
        <v>43717</v>
      </c>
      <c r="C229" s="1" t="n">
        <v>45837</v>
      </c>
      <c r="D229" t="inlineStr">
        <is>
          <t>UPPSALA LÄN</t>
        </is>
      </c>
      <c r="E229" t="inlineStr">
        <is>
          <t>ÖSTHAMMAR</t>
        </is>
      </c>
      <c r="F229" t="inlineStr">
        <is>
          <t>Bergvik skog öst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47440-2019</t>
        </is>
      </c>
      <c r="B230" s="1" t="n">
        <v>43723</v>
      </c>
      <c r="C230" s="1" t="n">
        <v>45837</v>
      </c>
      <c r="D230" t="inlineStr">
        <is>
          <t>UPPSALA LÄN</t>
        </is>
      </c>
      <c r="E230" t="inlineStr">
        <is>
          <t>ÖSTHAMMAR</t>
        </is>
      </c>
      <c r="G230" t="n">
        <v>0.1</v>
      </c>
      <c r="H230" t="n">
        <v>0</v>
      </c>
      <c r="I230" t="n">
        <v>0</v>
      </c>
      <c r="J230" t="n">
        <v>0</v>
      </c>
      <c r="K230" t="n">
        <v>0</v>
      </c>
      <c r="L230" t="n">
        <v>0</v>
      </c>
      <c r="M230" t="n">
        <v>0</v>
      </c>
      <c r="N230" t="n">
        <v>0</v>
      </c>
      <c r="O230" t="n">
        <v>0</v>
      </c>
      <c r="P230" t="n">
        <v>0</v>
      </c>
      <c r="Q230" t="n">
        <v>0</v>
      </c>
      <c r="R230" s="2" t="inlineStr"/>
    </row>
    <row r="231" ht="15" customHeight="1">
      <c r="A231" t="inlineStr">
        <is>
          <t>A 47436-2019</t>
        </is>
      </c>
      <c r="B231" s="1" t="n">
        <v>43723</v>
      </c>
      <c r="C231" s="1" t="n">
        <v>45837</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51025-2019</t>
        </is>
      </c>
      <c r="B232" s="1" t="n">
        <v>43739</v>
      </c>
      <c r="C232" s="1" t="n">
        <v>45837</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53442-2019</t>
        </is>
      </c>
      <c r="B233" s="1" t="n">
        <v>43748</v>
      </c>
      <c r="C233" s="1" t="n">
        <v>45837</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55382-2019</t>
        </is>
      </c>
      <c r="B234" s="1" t="n">
        <v>43755</v>
      </c>
      <c r="C234" s="1" t="n">
        <v>45837</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57686-2019</t>
        </is>
      </c>
      <c r="B235" s="1" t="n">
        <v>43761</v>
      </c>
      <c r="C235" s="1" t="n">
        <v>45837</v>
      </c>
      <c r="D235" t="inlineStr">
        <is>
          <t>UPPSALA LÄN</t>
        </is>
      </c>
      <c r="E235" t="inlineStr">
        <is>
          <t>ÖSTHAMMAR</t>
        </is>
      </c>
      <c r="G235" t="n">
        <v>5.7</v>
      </c>
      <c r="H235" t="n">
        <v>0</v>
      </c>
      <c r="I235" t="n">
        <v>0</v>
      </c>
      <c r="J235" t="n">
        <v>0</v>
      </c>
      <c r="K235" t="n">
        <v>0</v>
      </c>
      <c r="L235" t="n">
        <v>0</v>
      </c>
      <c r="M235" t="n">
        <v>0</v>
      </c>
      <c r="N235" t="n">
        <v>0</v>
      </c>
      <c r="O235" t="n">
        <v>0</v>
      </c>
      <c r="P235" t="n">
        <v>0</v>
      </c>
      <c r="Q235" t="n">
        <v>0</v>
      </c>
      <c r="R235" s="2" t="inlineStr"/>
    </row>
    <row r="236" ht="15" customHeight="1">
      <c r="A236" t="inlineStr">
        <is>
          <t>A 57304-2019</t>
        </is>
      </c>
      <c r="B236" s="1" t="n">
        <v>43767</v>
      </c>
      <c r="C236" s="1" t="n">
        <v>45837</v>
      </c>
      <c r="D236" t="inlineStr">
        <is>
          <t>UPPSALA LÄN</t>
        </is>
      </c>
      <c r="E236" t="inlineStr">
        <is>
          <t>ÖSTHAMMAR</t>
        </is>
      </c>
      <c r="F236" t="inlineStr">
        <is>
          <t>Bergvik skog öst AB</t>
        </is>
      </c>
      <c r="G236" t="n">
        <v>1.9</v>
      </c>
      <c r="H236" t="n">
        <v>0</v>
      </c>
      <c r="I236" t="n">
        <v>0</v>
      </c>
      <c r="J236" t="n">
        <v>0</v>
      </c>
      <c r="K236" t="n">
        <v>0</v>
      </c>
      <c r="L236" t="n">
        <v>0</v>
      </c>
      <c r="M236" t="n">
        <v>0</v>
      </c>
      <c r="N236" t="n">
        <v>0</v>
      </c>
      <c r="O236" t="n">
        <v>0</v>
      </c>
      <c r="P236" t="n">
        <v>0</v>
      </c>
      <c r="Q236" t="n">
        <v>0</v>
      </c>
      <c r="R236" s="2" t="inlineStr"/>
    </row>
    <row r="237" ht="15" customHeight="1">
      <c r="A237" t="inlineStr">
        <is>
          <t>A 58665-2019</t>
        </is>
      </c>
      <c r="B237" s="1" t="n">
        <v>43773</v>
      </c>
      <c r="C237" s="1" t="n">
        <v>45837</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60977-2019</t>
        </is>
      </c>
      <c r="B238" s="1" t="n">
        <v>43782</v>
      </c>
      <c r="C238" s="1" t="n">
        <v>45837</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61866-2019</t>
        </is>
      </c>
      <c r="B239" s="1" t="n">
        <v>43787</v>
      </c>
      <c r="C239" s="1" t="n">
        <v>45837</v>
      </c>
      <c r="D239" t="inlineStr">
        <is>
          <t>UPPSALA LÄN</t>
        </is>
      </c>
      <c r="E239" t="inlineStr">
        <is>
          <t>ÖSTHAMMAR</t>
        </is>
      </c>
      <c r="F239" t="inlineStr">
        <is>
          <t>Bergvik skog öst AB</t>
        </is>
      </c>
      <c r="G239" t="n">
        <v>6.6</v>
      </c>
      <c r="H239" t="n">
        <v>0</v>
      </c>
      <c r="I239" t="n">
        <v>0</v>
      </c>
      <c r="J239" t="n">
        <v>0</v>
      </c>
      <c r="K239" t="n">
        <v>0</v>
      </c>
      <c r="L239" t="n">
        <v>0</v>
      </c>
      <c r="M239" t="n">
        <v>0</v>
      </c>
      <c r="N239" t="n">
        <v>0</v>
      </c>
      <c r="O239" t="n">
        <v>0</v>
      </c>
      <c r="P239" t="n">
        <v>0</v>
      </c>
      <c r="Q239" t="n">
        <v>0</v>
      </c>
      <c r="R239" s="2" t="inlineStr"/>
    </row>
    <row r="240" ht="15" customHeight="1">
      <c r="A240" t="inlineStr">
        <is>
          <t>A 62808-2019</t>
        </is>
      </c>
      <c r="B240" s="1" t="n">
        <v>43790</v>
      </c>
      <c r="C240" s="1" t="n">
        <v>45837</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63564-2019</t>
        </is>
      </c>
      <c r="B241" s="1" t="n">
        <v>43795</v>
      </c>
      <c r="C241" s="1" t="n">
        <v>45837</v>
      </c>
      <c r="D241" t="inlineStr">
        <is>
          <t>UPPSALA LÄN</t>
        </is>
      </c>
      <c r="E241" t="inlineStr">
        <is>
          <t>ÖSTHAMMAR</t>
        </is>
      </c>
      <c r="F241" t="inlineStr">
        <is>
          <t>Övriga Aktiebolag</t>
        </is>
      </c>
      <c r="G241" t="n">
        <v>4.7</v>
      </c>
      <c r="H241" t="n">
        <v>0</v>
      </c>
      <c r="I241" t="n">
        <v>0</v>
      </c>
      <c r="J241" t="n">
        <v>0</v>
      </c>
      <c r="K241" t="n">
        <v>0</v>
      </c>
      <c r="L241" t="n">
        <v>0</v>
      </c>
      <c r="M241" t="n">
        <v>0</v>
      </c>
      <c r="N241" t="n">
        <v>0</v>
      </c>
      <c r="O241" t="n">
        <v>0</v>
      </c>
      <c r="P241" t="n">
        <v>0</v>
      </c>
      <c r="Q241" t="n">
        <v>0</v>
      </c>
      <c r="R241" s="2" t="inlineStr"/>
    </row>
    <row r="242" ht="15" customHeight="1">
      <c r="A242" t="inlineStr">
        <is>
          <t>A 64344-2019</t>
        </is>
      </c>
      <c r="B242" s="1" t="n">
        <v>43797</v>
      </c>
      <c r="C242" s="1" t="n">
        <v>45837</v>
      </c>
      <c r="D242" t="inlineStr">
        <is>
          <t>UPPSALA LÄN</t>
        </is>
      </c>
      <c r="E242" t="inlineStr">
        <is>
          <t>ÖSTHAMMAR</t>
        </is>
      </c>
      <c r="G242" t="n">
        <v>3.1</v>
      </c>
      <c r="H242" t="n">
        <v>0</v>
      </c>
      <c r="I242" t="n">
        <v>0</v>
      </c>
      <c r="J242" t="n">
        <v>0</v>
      </c>
      <c r="K242" t="n">
        <v>0</v>
      </c>
      <c r="L242" t="n">
        <v>0</v>
      </c>
      <c r="M242" t="n">
        <v>0</v>
      </c>
      <c r="N242" t="n">
        <v>0</v>
      </c>
      <c r="O242" t="n">
        <v>0</v>
      </c>
      <c r="P242" t="n">
        <v>0</v>
      </c>
      <c r="Q242" t="n">
        <v>0</v>
      </c>
      <c r="R242" s="2" t="inlineStr"/>
    </row>
    <row r="243" ht="15" customHeight="1">
      <c r="A243" t="inlineStr">
        <is>
          <t>A 65107-2019</t>
        </is>
      </c>
      <c r="B243" s="1" t="n">
        <v>43802</v>
      </c>
      <c r="C243" s="1" t="n">
        <v>45837</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67647-2019</t>
        </is>
      </c>
      <c r="B244" s="1" t="n">
        <v>43808</v>
      </c>
      <c r="C244" s="1" t="n">
        <v>45837</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66802-2019</t>
        </is>
      </c>
      <c r="B245" s="1" t="n">
        <v>43810</v>
      </c>
      <c r="C245" s="1" t="n">
        <v>45837</v>
      </c>
      <c r="D245" t="inlineStr">
        <is>
          <t>UPPSALA LÄN</t>
        </is>
      </c>
      <c r="E245" t="inlineStr">
        <is>
          <t>ÖSTHAMMAR</t>
        </is>
      </c>
      <c r="F245" t="inlineStr">
        <is>
          <t>Bergvik skog öst AB</t>
        </is>
      </c>
      <c r="G245" t="n">
        <v>34.8</v>
      </c>
      <c r="H245" t="n">
        <v>0</v>
      </c>
      <c r="I245" t="n">
        <v>0</v>
      </c>
      <c r="J245" t="n">
        <v>0</v>
      </c>
      <c r="K245" t="n">
        <v>0</v>
      </c>
      <c r="L245" t="n">
        <v>0</v>
      </c>
      <c r="M245" t="n">
        <v>0</v>
      </c>
      <c r="N245" t="n">
        <v>0</v>
      </c>
      <c r="O245" t="n">
        <v>0</v>
      </c>
      <c r="P245" t="n">
        <v>0</v>
      </c>
      <c r="Q245" t="n">
        <v>0</v>
      </c>
      <c r="R245" s="2" t="inlineStr"/>
    </row>
    <row r="246" ht="15" customHeight="1">
      <c r="A246" t="inlineStr">
        <is>
          <t>A 67254-2019</t>
        </is>
      </c>
      <c r="B246" s="1" t="n">
        <v>43812</v>
      </c>
      <c r="C246" s="1" t="n">
        <v>45837</v>
      </c>
      <c r="D246" t="inlineStr">
        <is>
          <t>UPPSALA LÄN</t>
        </is>
      </c>
      <c r="E246" t="inlineStr">
        <is>
          <t>ÖSTHAMMAR</t>
        </is>
      </c>
      <c r="F246" t="inlineStr">
        <is>
          <t>Allmännings- och besparingsskogar</t>
        </is>
      </c>
      <c r="G246" t="n">
        <v>0.8</v>
      </c>
      <c r="H246" t="n">
        <v>0</v>
      </c>
      <c r="I246" t="n">
        <v>0</v>
      </c>
      <c r="J246" t="n">
        <v>0</v>
      </c>
      <c r="K246" t="n">
        <v>0</v>
      </c>
      <c r="L246" t="n">
        <v>0</v>
      </c>
      <c r="M246" t="n">
        <v>0</v>
      </c>
      <c r="N246" t="n">
        <v>0</v>
      </c>
      <c r="O246" t="n">
        <v>0</v>
      </c>
      <c r="P246" t="n">
        <v>0</v>
      </c>
      <c r="Q246" t="n">
        <v>0</v>
      </c>
      <c r="R246" s="2" t="inlineStr"/>
    </row>
    <row r="247" ht="15" customHeight="1">
      <c r="A247" t="inlineStr">
        <is>
          <t>A 618-2020</t>
        </is>
      </c>
      <c r="B247" s="1" t="n">
        <v>43817</v>
      </c>
      <c r="C247" s="1" t="n">
        <v>45837</v>
      </c>
      <c r="D247" t="inlineStr">
        <is>
          <t>UPPSALA LÄN</t>
        </is>
      </c>
      <c r="E247" t="inlineStr">
        <is>
          <t>ÖSTHAMMAR</t>
        </is>
      </c>
      <c r="G247" t="n">
        <v>3.2</v>
      </c>
      <c r="H247" t="n">
        <v>0</v>
      </c>
      <c r="I247" t="n">
        <v>0</v>
      </c>
      <c r="J247" t="n">
        <v>0</v>
      </c>
      <c r="K247" t="n">
        <v>0</v>
      </c>
      <c r="L247" t="n">
        <v>0</v>
      </c>
      <c r="M247" t="n">
        <v>0</v>
      </c>
      <c r="N247" t="n">
        <v>0</v>
      </c>
      <c r="O247" t="n">
        <v>0</v>
      </c>
      <c r="P247" t="n">
        <v>0</v>
      </c>
      <c r="Q247" t="n">
        <v>0</v>
      </c>
      <c r="R247" s="2" t="inlineStr"/>
    </row>
    <row r="248" ht="15" customHeight="1">
      <c r="A248" t="inlineStr">
        <is>
          <t>A 68870-2019</t>
        </is>
      </c>
      <c r="B248" s="1" t="n">
        <v>43821</v>
      </c>
      <c r="C248" s="1" t="n">
        <v>45837</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68871-2019</t>
        </is>
      </c>
      <c r="B249" s="1" t="n">
        <v>43821</v>
      </c>
      <c r="C249" s="1" t="n">
        <v>45837</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68868-2019</t>
        </is>
      </c>
      <c r="B250" s="1" t="n">
        <v>43821</v>
      </c>
      <c r="C250" s="1" t="n">
        <v>45837</v>
      </c>
      <c r="D250" t="inlineStr">
        <is>
          <t>UPPSALA LÄN</t>
        </is>
      </c>
      <c r="E250" t="inlineStr">
        <is>
          <t>ÖSTHAMMAR</t>
        </is>
      </c>
      <c r="F250" t="inlineStr">
        <is>
          <t>Bergvik skog öst AB</t>
        </is>
      </c>
      <c r="G250" t="n">
        <v>1.7</v>
      </c>
      <c r="H250" t="n">
        <v>0</v>
      </c>
      <c r="I250" t="n">
        <v>0</v>
      </c>
      <c r="J250" t="n">
        <v>0</v>
      </c>
      <c r="K250" t="n">
        <v>0</v>
      </c>
      <c r="L250" t="n">
        <v>0</v>
      </c>
      <c r="M250" t="n">
        <v>0</v>
      </c>
      <c r="N250" t="n">
        <v>0</v>
      </c>
      <c r="O250" t="n">
        <v>0</v>
      </c>
      <c r="P250" t="n">
        <v>0</v>
      </c>
      <c r="Q250" t="n">
        <v>0</v>
      </c>
      <c r="R250" s="2" t="inlineStr"/>
    </row>
    <row r="251" ht="15" customHeight="1">
      <c r="A251" t="inlineStr">
        <is>
          <t>A 685-2020</t>
        </is>
      </c>
      <c r="B251" s="1" t="n">
        <v>43838</v>
      </c>
      <c r="C251" s="1" t="n">
        <v>45837</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1685-2020</t>
        </is>
      </c>
      <c r="B252" s="1" t="n">
        <v>43844</v>
      </c>
      <c r="C252" s="1" t="n">
        <v>45837</v>
      </c>
      <c r="D252" t="inlineStr">
        <is>
          <t>UPPSALA LÄN</t>
        </is>
      </c>
      <c r="E252" t="inlineStr">
        <is>
          <t>ÖSTHAMMAR</t>
        </is>
      </c>
      <c r="F252" t="inlineStr">
        <is>
          <t>Övriga Aktiebolag</t>
        </is>
      </c>
      <c r="G252" t="n">
        <v>4.3</v>
      </c>
      <c r="H252" t="n">
        <v>0</v>
      </c>
      <c r="I252" t="n">
        <v>0</v>
      </c>
      <c r="J252" t="n">
        <v>0</v>
      </c>
      <c r="K252" t="n">
        <v>0</v>
      </c>
      <c r="L252" t="n">
        <v>0</v>
      </c>
      <c r="M252" t="n">
        <v>0</v>
      </c>
      <c r="N252" t="n">
        <v>0</v>
      </c>
      <c r="O252" t="n">
        <v>0</v>
      </c>
      <c r="P252" t="n">
        <v>0</v>
      </c>
      <c r="Q252" t="n">
        <v>0</v>
      </c>
      <c r="R252" s="2" t="inlineStr"/>
    </row>
    <row r="253" ht="15" customHeight="1">
      <c r="A253" t="inlineStr">
        <is>
          <t>A 1681-2020</t>
        </is>
      </c>
      <c r="B253" s="1" t="n">
        <v>43844</v>
      </c>
      <c r="C253" s="1" t="n">
        <v>45837</v>
      </c>
      <c r="D253" t="inlineStr">
        <is>
          <t>UPPSALA LÄN</t>
        </is>
      </c>
      <c r="E253" t="inlineStr">
        <is>
          <t>ÖSTHAMMAR</t>
        </is>
      </c>
      <c r="F253" t="inlineStr">
        <is>
          <t>Övriga Aktiebolag</t>
        </is>
      </c>
      <c r="G253" t="n">
        <v>1.6</v>
      </c>
      <c r="H253" t="n">
        <v>0</v>
      </c>
      <c r="I253" t="n">
        <v>0</v>
      </c>
      <c r="J253" t="n">
        <v>0</v>
      </c>
      <c r="K253" t="n">
        <v>0</v>
      </c>
      <c r="L253" t="n">
        <v>0</v>
      </c>
      <c r="M253" t="n">
        <v>0</v>
      </c>
      <c r="N253" t="n">
        <v>0</v>
      </c>
      <c r="O253" t="n">
        <v>0</v>
      </c>
      <c r="P253" t="n">
        <v>0</v>
      </c>
      <c r="Q253" t="n">
        <v>0</v>
      </c>
      <c r="R253" s="2" t="inlineStr"/>
    </row>
    <row r="254" ht="15" customHeight="1">
      <c r="A254" t="inlineStr">
        <is>
          <t>A 4473-2020</t>
        </is>
      </c>
      <c r="B254" s="1" t="n">
        <v>43850</v>
      </c>
      <c r="C254" s="1" t="n">
        <v>45837</v>
      </c>
      <c r="D254" t="inlineStr">
        <is>
          <t>UPPSALA LÄN</t>
        </is>
      </c>
      <c r="E254" t="inlineStr">
        <is>
          <t>ÖSTHAMMAR</t>
        </is>
      </c>
      <c r="G254" t="n">
        <v>1.4</v>
      </c>
      <c r="H254" t="n">
        <v>0</v>
      </c>
      <c r="I254" t="n">
        <v>0</v>
      </c>
      <c r="J254" t="n">
        <v>0</v>
      </c>
      <c r="K254" t="n">
        <v>0</v>
      </c>
      <c r="L254" t="n">
        <v>0</v>
      </c>
      <c r="M254" t="n">
        <v>0</v>
      </c>
      <c r="N254" t="n">
        <v>0</v>
      </c>
      <c r="O254" t="n">
        <v>0</v>
      </c>
      <c r="P254" t="n">
        <v>0</v>
      </c>
      <c r="Q254" t="n">
        <v>0</v>
      </c>
      <c r="R254" s="2" t="inlineStr"/>
    </row>
    <row r="255" ht="15" customHeight="1">
      <c r="A255" t="inlineStr">
        <is>
          <t>A 3334-2020</t>
        </is>
      </c>
      <c r="B255" s="1" t="n">
        <v>43852</v>
      </c>
      <c r="C255" s="1" t="n">
        <v>45837</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3984-2020</t>
        </is>
      </c>
      <c r="B256" s="1" t="n">
        <v>43855</v>
      </c>
      <c r="C256" s="1" t="n">
        <v>45837</v>
      </c>
      <c r="D256" t="inlineStr">
        <is>
          <t>UPPSALA LÄN</t>
        </is>
      </c>
      <c r="E256" t="inlineStr">
        <is>
          <t>ÖSTHAMMAR</t>
        </is>
      </c>
      <c r="F256" t="inlineStr">
        <is>
          <t>Bergvik skog öst AB</t>
        </is>
      </c>
      <c r="G256" t="n">
        <v>1.1</v>
      </c>
      <c r="H256" t="n">
        <v>0</v>
      </c>
      <c r="I256" t="n">
        <v>0</v>
      </c>
      <c r="J256" t="n">
        <v>0</v>
      </c>
      <c r="K256" t="n">
        <v>0</v>
      </c>
      <c r="L256" t="n">
        <v>0</v>
      </c>
      <c r="M256" t="n">
        <v>0</v>
      </c>
      <c r="N256" t="n">
        <v>0</v>
      </c>
      <c r="O256" t="n">
        <v>0</v>
      </c>
      <c r="P256" t="n">
        <v>0</v>
      </c>
      <c r="Q256" t="n">
        <v>0</v>
      </c>
      <c r="R256" s="2" t="inlineStr"/>
    </row>
    <row r="257" ht="15" customHeight="1">
      <c r="A257" t="inlineStr">
        <is>
          <t>A 6052-2020</t>
        </is>
      </c>
      <c r="B257" s="1" t="n">
        <v>43864</v>
      </c>
      <c r="C257" s="1" t="n">
        <v>45837</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6026-2020</t>
        </is>
      </c>
      <c r="B258" s="1" t="n">
        <v>43865</v>
      </c>
      <c r="C258" s="1" t="n">
        <v>45837</v>
      </c>
      <c r="D258" t="inlineStr">
        <is>
          <t>UPPSALA LÄN</t>
        </is>
      </c>
      <c r="E258" t="inlineStr">
        <is>
          <t>ÖSTHAMMAR</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6791-2020</t>
        </is>
      </c>
      <c r="B259" s="1" t="n">
        <v>43867</v>
      </c>
      <c r="C259" s="1" t="n">
        <v>45837</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7847-2020</t>
        </is>
      </c>
      <c r="B260" s="1" t="n">
        <v>43873</v>
      </c>
      <c r="C260" s="1" t="n">
        <v>45837</v>
      </c>
      <c r="D260" t="inlineStr">
        <is>
          <t>UPPSALA LÄN</t>
        </is>
      </c>
      <c r="E260" t="inlineStr">
        <is>
          <t>ÖSTHAMMAR</t>
        </is>
      </c>
      <c r="F260" t="inlineStr">
        <is>
          <t>Övriga Aktiebolag</t>
        </is>
      </c>
      <c r="G260" t="n">
        <v>15.3</v>
      </c>
      <c r="H260" t="n">
        <v>0</v>
      </c>
      <c r="I260" t="n">
        <v>0</v>
      </c>
      <c r="J260" t="n">
        <v>0</v>
      </c>
      <c r="K260" t="n">
        <v>0</v>
      </c>
      <c r="L260" t="n">
        <v>0</v>
      </c>
      <c r="M260" t="n">
        <v>0</v>
      </c>
      <c r="N260" t="n">
        <v>0</v>
      </c>
      <c r="O260" t="n">
        <v>0</v>
      </c>
      <c r="P260" t="n">
        <v>0</v>
      </c>
      <c r="Q260" t="n">
        <v>0</v>
      </c>
      <c r="R260" s="2" t="inlineStr"/>
    </row>
    <row r="261" ht="15" customHeight="1">
      <c r="A261" t="inlineStr">
        <is>
          <t>A 10008-2020</t>
        </is>
      </c>
      <c r="B261" s="1" t="n">
        <v>43882</v>
      </c>
      <c r="C261" s="1" t="n">
        <v>45837</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10345-2020</t>
        </is>
      </c>
      <c r="B262" s="1" t="n">
        <v>43885</v>
      </c>
      <c r="C262" s="1" t="n">
        <v>45837</v>
      </c>
      <c r="D262" t="inlineStr">
        <is>
          <t>UPPSALA LÄN</t>
        </is>
      </c>
      <c r="E262" t="inlineStr">
        <is>
          <t>ÖSTHAMMAR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10347-2020</t>
        </is>
      </c>
      <c r="B263" s="1" t="n">
        <v>43885</v>
      </c>
      <c r="C263" s="1" t="n">
        <v>45837</v>
      </c>
      <c r="D263" t="inlineStr">
        <is>
          <t>UPPSALA LÄN</t>
        </is>
      </c>
      <c r="E263" t="inlineStr">
        <is>
          <t>ÖSTHAMMAR</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12080-2020</t>
        </is>
      </c>
      <c r="B264" s="1" t="n">
        <v>43895</v>
      </c>
      <c r="C264" s="1" t="n">
        <v>45837</v>
      </c>
      <c r="D264" t="inlineStr">
        <is>
          <t>UPPSALA LÄN</t>
        </is>
      </c>
      <c r="E264" t="inlineStr">
        <is>
          <t>ÖSTHAMMAR</t>
        </is>
      </c>
      <c r="F264" t="inlineStr">
        <is>
          <t>Övriga Aktiebolag</t>
        </is>
      </c>
      <c r="G264" t="n">
        <v>13.9</v>
      </c>
      <c r="H264" t="n">
        <v>0</v>
      </c>
      <c r="I264" t="n">
        <v>0</v>
      </c>
      <c r="J264" t="n">
        <v>0</v>
      </c>
      <c r="K264" t="n">
        <v>0</v>
      </c>
      <c r="L264" t="n">
        <v>0</v>
      </c>
      <c r="M264" t="n">
        <v>0</v>
      </c>
      <c r="N264" t="n">
        <v>0</v>
      </c>
      <c r="O264" t="n">
        <v>0</v>
      </c>
      <c r="P264" t="n">
        <v>0</v>
      </c>
      <c r="Q264" t="n">
        <v>0</v>
      </c>
      <c r="R264" s="2" t="inlineStr"/>
    </row>
    <row r="265" ht="15" customHeight="1">
      <c r="A265" t="inlineStr">
        <is>
          <t>A 13112-2020</t>
        </is>
      </c>
      <c r="B265" s="1" t="n">
        <v>43901</v>
      </c>
      <c r="C265" s="1" t="n">
        <v>45837</v>
      </c>
      <c r="D265" t="inlineStr">
        <is>
          <t>UPPSALA LÄN</t>
        </is>
      </c>
      <c r="E265" t="inlineStr">
        <is>
          <t>ÖSTHAMMAR</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13310-2020</t>
        </is>
      </c>
      <c r="B266" s="1" t="n">
        <v>43902</v>
      </c>
      <c r="C266" s="1" t="n">
        <v>45837</v>
      </c>
      <c r="D266" t="inlineStr">
        <is>
          <t>UPPSALA LÄN</t>
        </is>
      </c>
      <c r="E266" t="inlineStr">
        <is>
          <t>ÖSTHAMMAR</t>
        </is>
      </c>
      <c r="F266" t="inlineStr">
        <is>
          <t>Bergvik skog öst AB</t>
        </is>
      </c>
      <c r="G266" t="n">
        <v>14.4</v>
      </c>
      <c r="H266" t="n">
        <v>0</v>
      </c>
      <c r="I266" t="n">
        <v>0</v>
      </c>
      <c r="J266" t="n">
        <v>0</v>
      </c>
      <c r="K266" t="n">
        <v>0</v>
      </c>
      <c r="L266" t="n">
        <v>0</v>
      </c>
      <c r="M266" t="n">
        <v>0</v>
      </c>
      <c r="N266" t="n">
        <v>0</v>
      </c>
      <c r="O266" t="n">
        <v>0</v>
      </c>
      <c r="P266" t="n">
        <v>0</v>
      </c>
      <c r="Q266" t="n">
        <v>0</v>
      </c>
      <c r="R266" s="2" t="inlineStr"/>
    </row>
    <row r="267" ht="15" customHeight="1">
      <c r="A267" t="inlineStr">
        <is>
          <t>A 13595-2020</t>
        </is>
      </c>
      <c r="B267" s="1" t="n">
        <v>43903</v>
      </c>
      <c r="C267" s="1" t="n">
        <v>45837</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13945-2020</t>
        </is>
      </c>
      <c r="B268" s="1" t="n">
        <v>43906</v>
      </c>
      <c r="C268" s="1" t="n">
        <v>45837</v>
      </c>
      <c r="D268" t="inlineStr">
        <is>
          <t>UPPSALA LÄN</t>
        </is>
      </c>
      <c r="E268" t="inlineStr">
        <is>
          <t>ÖSTHAMMAR</t>
        </is>
      </c>
      <c r="G268" t="n">
        <v>3.5</v>
      </c>
      <c r="H268" t="n">
        <v>0</v>
      </c>
      <c r="I268" t="n">
        <v>0</v>
      </c>
      <c r="J268" t="n">
        <v>0</v>
      </c>
      <c r="K268" t="n">
        <v>0</v>
      </c>
      <c r="L268" t="n">
        <v>0</v>
      </c>
      <c r="M268" t="n">
        <v>0</v>
      </c>
      <c r="N268" t="n">
        <v>0</v>
      </c>
      <c r="O268" t="n">
        <v>0</v>
      </c>
      <c r="P268" t="n">
        <v>0</v>
      </c>
      <c r="Q268" t="n">
        <v>0</v>
      </c>
      <c r="R268" s="2" t="inlineStr"/>
    </row>
    <row r="269" ht="15" customHeight="1">
      <c r="A269" t="inlineStr">
        <is>
          <t>A 14802-2020</t>
        </is>
      </c>
      <c r="B269" s="1" t="n">
        <v>43909</v>
      </c>
      <c r="C269" s="1" t="n">
        <v>45837</v>
      </c>
      <c r="D269" t="inlineStr">
        <is>
          <t>UPPSALA LÄN</t>
        </is>
      </c>
      <c r="E269" t="inlineStr">
        <is>
          <t>ÖSTHAMMAR</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14817-2020</t>
        </is>
      </c>
      <c r="B270" s="1" t="n">
        <v>43909</v>
      </c>
      <c r="C270" s="1" t="n">
        <v>45837</v>
      </c>
      <c r="D270" t="inlineStr">
        <is>
          <t>UPPSALA LÄN</t>
        </is>
      </c>
      <c r="E270" t="inlineStr">
        <is>
          <t>ÖSTHAMMAR</t>
        </is>
      </c>
      <c r="F270" t="inlineStr">
        <is>
          <t>Bergvik skog öst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15067-2020</t>
        </is>
      </c>
      <c r="B271" s="1" t="n">
        <v>43910</v>
      </c>
      <c r="C271" s="1" t="n">
        <v>45837</v>
      </c>
      <c r="D271" t="inlineStr">
        <is>
          <t>UPPSALA LÄN</t>
        </is>
      </c>
      <c r="E271" t="inlineStr">
        <is>
          <t>ÖSTHAMMAR</t>
        </is>
      </c>
      <c r="F271" t="inlineStr">
        <is>
          <t>Bergvik skog öst AB</t>
        </is>
      </c>
      <c r="G271" t="n">
        <v>20.5</v>
      </c>
      <c r="H271" t="n">
        <v>0</v>
      </c>
      <c r="I271" t="n">
        <v>0</v>
      </c>
      <c r="J271" t="n">
        <v>0</v>
      </c>
      <c r="K271" t="n">
        <v>0</v>
      </c>
      <c r="L271" t="n">
        <v>0</v>
      </c>
      <c r="M271" t="n">
        <v>0</v>
      </c>
      <c r="N271" t="n">
        <v>0</v>
      </c>
      <c r="O271" t="n">
        <v>0</v>
      </c>
      <c r="P271" t="n">
        <v>0</v>
      </c>
      <c r="Q271" t="n">
        <v>0</v>
      </c>
      <c r="R271" s="2" t="inlineStr"/>
    </row>
    <row r="272" ht="15" customHeight="1">
      <c r="A272" t="inlineStr">
        <is>
          <t>A 17549-2020</t>
        </is>
      </c>
      <c r="B272" s="1" t="n">
        <v>43920</v>
      </c>
      <c r="C272" s="1" t="n">
        <v>45837</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19556-2020</t>
        </is>
      </c>
      <c r="B273" s="1" t="n">
        <v>43936</v>
      </c>
      <c r="C273" s="1" t="n">
        <v>45837</v>
      </c>
      <c r="D273" t="inlineStr">
        <is>
          <t>UPPSALA LÄN</t>
        </is>
      </c>
      <c r="E273" t="inlineStr">
        <is>
          <t>ÖSTHAMMAR</t>
        </is>
      </c>
      <c r="G273" t="n">
        <v>6.3</v>
      </c>
      <c r="H273" t="n">
        <v>0</v>
      </c>
      <c r="I273" t="n">
        <v>0</v>
      </c>
      <c r="J273" t="n">
        <v>0</v>
      </c>
      <c r="K273" t="n">
        <v>0</v>
      </c>
      <c r="L273" t="n">
        <v>0</v>
      </c>
      <c r="M273" t="n">
        <v>0</v>
      </c>
      <c r="N273" t="n">
        <v>0</v>
      </c>
      <c r="O273" t="n">
        <v>0</v>
      </c>
      <c r="P273" t="n">
        <v>0</v>
      </c>
      <c r="Q273" t="n">
        <v>0</v>
      </c>
      <c r="R273" s="2" t="inlineStr"/>
    </row>
    <row r="274" ht="15" customHeight="1">
      <c r="A274" t="inlineStr">
        <is>
          <t>A 23621-2020</t>
        </is>
      </c>
      <c r="B274" s="1" t="n">
        <v>43969</v>
      </c>
      <c r="C274" s="1" t="n">
        <v>45837</v>
      </c>
      <c r="D274" t="inlineStr">
        <is>
          <t>UPPSALA LÄN</t>
        </is>
      </c>
      <c r="E274" t="inlineStr">
        <is>
          <t>ÖSTHAMMAR</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26198-2020</t>
        </is>
      </c>
      <c r="B275" s="1" t="n">
        <v>43986</v>
      </c>
      <c r="C275" s="1" t="n">
        <v>45837</v>
      </c>
      <c r="D275" t="inlineStr">
        <is>
          <t>UPPSALA LÄN</t>
        </is>
      </c>
      <c r="E275" t="inlineStr">
        <is>
          <t>ÖSTHAMMAR</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30338-2020</t>
        </is>
      </c>
      <c r="B276" s="1" t="n">
        <v>44007</v>
      </c>
      <c r="C276" s="1" t="n">
        <v>45837</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30419-2020</t>
        </is>
      </c>
      <c r="B277" s="1" t="n">
        <v>44007</v>
      </c>
      <c r="C277" s="1" t="n">
        <v>45837</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32192-2020</t>
        </is>
      </c>
      <c r="B278" s="1" t="n">
        <v>44015</v>
      </c>
      <c r="C278" s="1" t="n">
        <v>45837</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33098-2020</t>
        </is>
      </c>
      <c r="B279" s="1" t="n">
        <v>44021</v>
      </c>
      <c r="C279" s="1" t="n">
        <v>45837</v>
      </c>
      <c r="D279" t="inlineStr">
        <is>
          <t>UPPSALA LÄN</t>
        </is>
      </c>
      <c r="E279" t="inlineStr">
        <is>
          <t>ÖSTHAMMAR</t>
        </is>
      </c>
      <c r="G279" t="n">
        <v>3.8</v>
      </c>
      <c r="H279" t="n">
        <v>0</v>
      </c>
      <c r="I279" t="n">
        <v>0</v>
      </c>
      <c r="J279" t="n">
        <v>0</v>
      </c>
      <c r="K279" t="n">
        <v>0</v>
      </c>
      <c r="L279" t="n">
        <v>0</v>
      </c>
      <c r="M279" t="n">
        <v>0</v>
      </c>
      <c r="N279" t="n">
        <v>0</v>
      </c>
      <c r="O279" t="n">
        <v>0</v>
      </c>
      <c r="P279" t="n">
        <v>0</v>
      </c>
      <c r="Q279" t="n">
        <v>0</v>
      </c>
      <c r="R279" s="2" t="inlineStr"/>
    </row>
    <row r="280" ht="15" customHeight="1">
      <c r="A280" t="inlineStr">
        <is>
          <t>A 34943-2020</t>
        </is>
      </c>
      <c r="B280" s="1" t="n">
        <v>44038</v>
      </c>
      <c r="C280" s="1" t="n">
        <v>45837</v>
      </c>
      <c r="D280" t="inlineStr">
        <is>
          <t>UPPSALA LÄN</t>
        </is>
      </c>
      <c r="E280" t="inlineStr">
        <is>
          <t>ÖSTHAMMAR</t>
        </is>
      </c>
      <c r="F280" t="inlineStr">
        <is>
          <t>Bergvik skog öst AB</t>
        </is>
      </c>
      <c r="G280" t="n">
        <v>4.2</v>
      </c>
      <c r="H280" t="n">
        <v>0</v>
      </c>
      <c r="I280" t="n">
        <v>0</v>
      </c>
      <c r="J280" t="n">
        <v>0</v>
      </c>
      <c r="K280" t="n">
        <v>0</v>
      </c>
      <c r="L280" t="n">
        <v>0</v>
      </c>
      <c r="M280" t="n">
        <v>0</v>
      </c>
      <c r="N280" t="n">
        <v>0</v>
      </c>
      <c r="O280" t="n">
        <v>0</v>
      </c>
      <c r="P280" t="n">
        <v>0</v>
      </c>
      <c r="Q280" t="n">
        <v>0</v>
      </c>
      <c r="R280" s="2" t="inlineStr"/>
    </row>
    <row r="281" ht="15" customHeight="1">
      <c r="A281" t="inlineStr">
        <is>
          <t>A 34941-2020</t>
        </is>
      </c>
      <c r="B281" s="1" t="n">
        <v>44038</v>
      </c>
      <c r="C281" s="1" t="n">
        <v>45837</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34940-2020</t>
        </is>
      </c>
      <c r="B282" s="1" t="n">
        <v>44038</v>
      </c>
      <c r="C282" s="1" t="n">
        <v>45837</v>
      </c>
      <c r="D282" t="inlineStr">
        <is>
          <t>UPPSALA LÄN</t>
        </is>
      </c>
      <c r="E282" t="inlineStr">
        <is>
          <t>ÖSTHAMMAR</t>
        </is>
      </c>
      <c r="F282" t="inlineStr">
        <is>
          <t>Bergvik skog öst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35094-2020</t>
        </is>
      </c>
      <c r="B283" s="1" t="n">
        <v>44040</v>
      </c>
      <c r="C283" s="1" t="n">
        <v>45837</v>
      </c>
      <c r="D283" t="inlineStr">
        <is>
          <t>UPPSALA LÄN</t>
        </is>
      </c>
      <c r="E283" t="inlineStr">
        <is>
          <t>ÖSTHAMMAR</t>
        </is>
      </c>
      <c r="F283" t="inlineStr">
        <is>
          <t>Bergvik skog öst AB</t>
        </is>
      </c>
      <c r="G283" t="n">
        <v>14.5</v>
      </c>
      <c r="H283" t="n">
        <v>0</v>
      </c>
      <c r="I283" t="n">
        <v>0</v>
      </c>
      <c r="J283" t="n">
        <v>0</v>
      </c>
      <c r="K283" t="n">
        <v>0</v>
      </c>
      <c r="L283" t="n">
        <v>0</v>
      </c>
      <c r="M283" t="n">
        <v>0</v>
      </c>
      <c r="N283" t="n">
        <v>0</v>
      </c>
      <c r="O283" t="n">
        <v>0</v>
      </c>
      <c r="P283" t="n">
        <v>0</v>
      </c>
      <c r="Q283" t="n">
        <v>0</v>
      </c>
      <c r="R283" s="2" t="inlineStr"/>
    </row>
    <row r="284" ht="15" customHeight="1">
      <c r="A284" t="inlineStr">
        <is>
          <t>A 35096-2020</t>
        </is>
      </c>
      <c r="B284" s="1" t="n">
        <v>44040</v>
      </c>
      <c r="C284" s="1" t="n">
        <v>45837</v>
      </c>
      <c r="D284" t="inlineStr">
        <is>
          <t>UPPSALA LÄN</t>
        </is>
      </c>
      <c r="E284" t="inlineStr">
        <is>
          <t>ÖSTHAMMAR</t>
        </is>
      </c>
      <c r="F284" t="inlineStr">
        <is>
          <t>Bergvik skog öst AB</t>
        </is>
      </c>
      <c r="G284" t="n">
        <v>7.6</v>
      </c>
      <c r="H284" t="n">
        <v>0</v>
      </c>
      <c r="I284" t="n">
        <v>0</v>
      </c>
      <c r="J284" t="n">
        <v>0</v>
      </c>
      <c r="K284" t="n">
        <v>0</v>
      </c>
      <c r="L284" t="n">
        <v>0</v>
      </c>
      <c r="M284" t="n">
        <v>0</v>
      </c>
      <c r="N284" t="n">
        <v>0</v>
      </c>
      <c r="O284" t="n">
        <v>0</v>
      </c>
      <c r="P284" t="n">
        <v>0</v>
      </c>
      <c r="Q284" t="n">
        <v>0</v>
      </c>
      <c r="R284" s="2" t="inlineStr"/>
    </row>
    <row r="285" ht="15" customHeight="1">
      <c r="A285" t="inlineStr">
        <is>
          <t>A 38285-2020</t>
        </is>
      </c>
      <c r="B285" s="1" t="n">
        <v>44060</v>
      </c>
      <c r="C285" s="1" t="n">
        <v>45837</v>
      </c>
      <c r="D285" t="inlineStr">
        <is>
          <t>UPPSALA LÄN</t>
        </is>
      </c>
      <c r="E285" t="inlineStr">
        <is>
          <t>ÖSTHAMMAR</t>
        </is>
      </c>
      <c r="G285" t="n">
        <v>4.7</v>
      </c>
      <c r="H285" t="n">
        <v>0</v>
      </c>
      <c r="I285" t="n">
        <v>0</v>
      </c>
      <c r="J285" t="n">
        <v>0</v>
      </c>
      <c r="K285" t="n">
        <v>0</v>
      </c>
      <c r="L285" t="n">
        <v>0</v>
      </c>
      <c r="M285" t="n">
        <v>0</v>
      </c>
      <c r="N285" t="n">
        <v>0</v>
      </c>
      <c r="O285" t="n">
        <v>0</v>
      </c>
      <c r="P285" t="n">
        <v>0</v>
      </c>
      <c r="Q285" t="n">
        <v>0</v>
      </c>
      <c r="R285" s="2" t="inlineStr"/>
    </row>
    <row r="286" ht="15" customHeight="1">
      <c r="A286" t="inlineStr">
        <is>
          <t>A 38630-2020</t>
        </is>
      </c>
      <c r="B286" s="1" t="n">
        <v>44061</v>
      </c>
      <c r="C286" s="1" t="n">
        <v>45837</v>
      </c>
      <c r="D286" t="inlineStr">
        <is>
          <t>UPPSALA LÄN</t>
        </is>
      </c>
      <c r="E286" t="inlineStr">
        <is>
          <t>ÖSTHAMMAR</t>
        </is>
      </c>
      <c r="F286" t="inlineStr">
        <is>
          <t>Bergvik skog öst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39640-2020</t>
        </is>
      </c>
      <c r="B287" s="1" t="n">
        <v>44064</v>
      </c>
      <c r="C287" s="1" t="n">
        <v>45837</v>
      </c>
      <c r="D287" t="inlineStr">
        <is>
          <t>UPPSALA LÄN</t>
        </is>
      </c>
      <c r="E287" t="inlineStr">
        <is>
          <t>ÖSTHAMMAR</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41849-2020</t>
        </is>
      </c>
      <c r="B288" s="1" t="n">
        <v>44074</v>
      </c>
      <c r="C288" s="1" t="n">
        <v>45837</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42549-2020</t>
        </is>
      </c>
      <c r="B289" s="1" t="n">
        <v>44077</v>
      </c>
      <c r="C289" s="1" t="n">
        <v>45837</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46311-2020</t>
        </is>
      </c>
      <c r="B290" s="1" t="n">
        <v>44092</v>
      </c>
      <c r="C290" s="1" t="n">
        <v>45837</v>
      </c>
      <c r="D290" t="inlineStr">
        <is>
          <t>UPPSALA LÄN</t>
        </is>
      </c>
      <c r="E290" t="inlineStr">
        <is>
          <t>ÖSTHAMMAR</t>
        </is>
      </c>
      <c r="F290" t="inlineStr">
        <is>
          <t>Bergvik skog öst AB</t>
        </is>
      </c>
      <c r="G290" t="n">
        <v>4</v>
      </c>
      <c r="H290" t="n">
        <v>0</v>
      </c>
      <c r="I290" t="n">
        <v>0</v>
      </c>
      <c r="J290" t="n">
        <v>0</v>
      </c>
      <c r="K290" t="n">
        <v>0</v>
      </c>
      <c r="L290" t="n">
        <v>0</v>
      </c>
      <c r="M290" t="n">
        <v>0</v>
      </c>
      <c r="N290" t="n">
        <v>0</v>
      </c>
      <c r="O290" t="n">
        <v>0</v>
      </c>
      <c r="P290" t="n">
        <v>0</v>
      </c>
      <c r="Q290" t="n">
        <v>0</v>
      </c>
      <c r="R290" s="2" t="inlineStr"/>
    </row>
    <row r="291" ht="15" customHeight="1">
      <c r="A291" t="inlineStr">
        <is>
          <t>A 46423-2020</t>
        </is>
      </c>
      <c r="B291" s="1" t="n">
        <v>44095</v>
      </c>
      <c r="C291" s="1" t="n">
        <v>45837</v>
      </c>
      <c r="D291" t="inlineStr">
        <is>
          <t>UPPSALA LÄN</t>
        </is>
      </c>
      <c r="E291" t="inlineStr">
        <is>
          <t>ÖSTHAMMAR</t>
        </is>
      </c>
      <c r="G291" t="n">
        <v>3</v>
      </c>
      <c r="H291" t="n">
        <v>0</v>
      </c>
      <c r="I291" t="n">
        <v>0</v>
      </c>
      <c r="J291" t="n">
        <v>0</v>
      </c>
      <c r="K291" t="n">
        <v>0</v>
      </c>
      <c r="L291" t="n">
        <v>0</v>
      </c>
      <c r="M291" t="n">
        <v>0</v>
      </c>
      <c r="N291" t="n">
        <v>0</v>
      </c>
      <c r="O291" t="n">
        <v>0</v>
      </c>
      <c r="P291" t="n">
        <v>0</v>
      </c>
      <c r="Q291" t="n">
        <v>0</v>
      </c>
      <c r="R291" s="2" t="inlineStr"/>
    </row>
    <row r="292" ht="15" customHeight="1">
      <c r="A292" t="inlineStr">
        <is>
          <t>A 47481-2020</t>
        </is>
      </c>
      <c r="B292" s="1" t="n">
        <v>44098</v>
      </c>
      <c r="C292" s="1" t="n">
        <v>45837</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49206-2020</t>
        </is>
      </c>
      <c r="B293" s="1" t="n">
        <v>44105</v>
      </c>
      <c r="C293" s="1" t="n">
        <v>45837</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49336-2020</t>
        </is>
      </c>
      <c r="B294" s="1" t="n">
        <v>44105</v>
      </c>
      <c r="C294" s="1" t="n">
        <v>45837</v>
      </c>
      <c r="D294" t="inlineStr">
        <is>
          <t>UPPSALA LÄN</t>
        </is>
      </c>
      <c r="E294" t="inlineStr">
        <is>
          <t>ÖSTHAMMAR</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52432-2020</t>
        </is>
      </c>
      <c r="B295" s="1" t="n">
        <v>44118</v>
      </c>
      <c r="C295" s="1" t="n">
        <v>45837</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52434-2020</t>
        </is>
      </c>
      <c r="B296" s="1" t="n">
        <v>44118</v>
      </c>
      <c r="C296" s="1" t="n">
        <v>45837</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53137-2020</t>
        </is>
      </c>
      <c r="B297" s="1" t="n">
        <v>44120</v>
      </c>
      <c r="C297" s="1" t="n">
        <v>45837</v>
      </c>
      <c r="D297" t="inlineStr">
        <is>
          <t>UPPSALA LÄN</t>
        </is>
      </c>
      <c r="E297" t="inlineStr">
        <is>
          <t>ÖSTHAMMAR</t>
        </is>
      </c>
      <c r="G297" t="n">
        <v>1.9</v>
      </c>
      <c r="H297" t="n">
        <v>0</v>
      </c>
      <c r="I297" t="n">
        <v>0</v>
      </c>
      <c r="J297" t="n">
        <v>0</v>
      </c>
      <c r="K297" t="n">
        <v>0</v>
      </c>
      <c r="L297" t="n">
        <v>0</v>
      </c>
      <c r="M297" t="n">
        <v>0</v>
      </c>
      <c r="N297" t="n">
        <v>0</v>
      </c>
      <c r="O297" t="n">
        <v>0</v>
      </c>
      <c r="P297" t="n">
        <v>0</v>
      </c>
      <c r="Q297" t="n">
        <v>0</v>
      </c>
      <c r="R297" s="2" t="inlineStr"/>
    </row>
    <row r="298" ht="15" customHeight="1">
      <c r="A298" t="inlineStr">
        <is>
          <t>A 55389-2020</t>
        </is>
      </c>
      <c r="B298" s="1" t="n">
        <v>44131</v>
      </c>
      <c r="C298" s="1" t="n">
        <v>45837</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56041-2020</t>
        </is>
      </c>
      <c r="B299" s="1" t="n">
        <v>44133</v>
      </c>
      <c r="C299" s="1" t="n">
        <v>45837</v>
      </c>
      <c r="D299" t="inlineStr">
        <is>
          <t>UPPSALA LÄN</t>
        </is>
      </c>
      <c r="E299" t="inlineStr">
        <is>
          <t>ÖSTHAMMAR</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56079-2020</t>
        </is>
      </c>
      <c r="B300" s="1" t="n">
        <v>44133</v>
      </c>
      <c r="C300" s="1" t="n">
        <v>45837</v>
      </c>
      <c r="D300" t="inlineStr">
        <is>
          <t>UPPSALA LÄN</t>
        </is>
      </c>
      <c r="E300" t="inlineStr">
        <is>
          <t>ÖSTHAMMAR</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56089-2020</t>
        </is>
      </c>
      <c r="B301" s="1" t="n">
        <v>44133</v>
      </c>
      <c r="C301" s="1" t="n">
        <v>45837</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57408-2020</t>
        </is>
      </c>
      <c r="B302" s="1" t="n">
        <v>44140</v>
      </c>
      <c r="C302" s="1" t="n">
        <v>45837</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59432-2020</t>
        </is>
      </c>
      <c r="B303" s="1" t="n">
        <v>44148</v>
      </c>
      <c r="C303" s="1" t="n">
        <v>45837</v>
      </c>
      <c r="D303" t="inlineStr">
        <is>
          <t>UPPSALA LÄN</t>
        </is>
      </c>
      <c r="E303" t="inlineStr">
        <is>
          <t>ÖSTHAMMAR</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59414-2020</t>
        </is>
      </c>
      <c r="B304" s="1" t="n">
        <v>44148</v>
      </c>
      <c r="C304" s="1" t="n">
        <v>45837</v>
      </c>
      <c r="D304" t="inlineStr">
        <is>
          <t>UPPSALA LÄN</t>
        </is>
      </c>
      <c r="E304" t="inlineStr">
        <is>
          <t>ÖSTHAMMAR</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59417-2020</t>
        </is>
      </c>
      <c r="B305" s="1" t="n">
        <v>44148</v>
      </c>
      <c r="C305" s="1" t="n">
        <v>45837</v>
      </c>
      <c r="D305" t="inlineStr">
        <is>
          <t>UPPSALA LÄN</t>
        </is>
      </c>
      <c r="E305" t="inlineStr">
        <is>
          <t>ÖSTHAMMAR</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59714-2020</t>
        </is>
      </c>
      <c r="B306" s="1" t="n">
        <v>44151</v>
      </c>
      <c r="C306" s="1" t="n">
        <v>45837</v>
      </c>
      <c r="D306" t="inlineStr">
        <is>
          <t>UPPSALA LÄN</t>
        </is>
      </c>
      <c r="E306" t="inlineStr">
        <is>
          <t>ÖSTHAMMAR</t>
        </is>
      </c>
      <c r="F306" t="inlineStr">
        <is>
          <t>Bergvik skog öst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59807-2020</t>
        </is>
      </c>
      <c r="B307" s="1" t="n">
        <v>44151</v>
      </c>
      <c r="C307" s="1" t="n">
        <v>45837</v>
      </c>
      <c r="D307" t="inlineStr">
        <is>
          <t>UPPSALA LÄN</t>
        </is>
      </c>
      <c r="E307" t="inlineStr">
        <is>
          <t>ÖSTHAMMAR</t>
        </is>
      </c>
      <c r="G307" t="n">
        <v>3.4</v>
      </c>
      <c r="H307" t="n">
        <v>0</v>
      </c>
      <c r="I307" t="n">
        <v>0</v>
      </c>
      <c r="J307" t="n">
        <v>0</v>
      </c>
      <c r="K307" t="n">
        <v>0</v>
      </c>
      <c r="L307" t="n">
        <v>0</v>
      </c>
      <c r="M307" t="n">
        <v>0</v>
      </c>
      <c r="N307" t="n">
        <v>0</v>
      </c>
      <c r="O307" t="n">
        <v>0</v>
      </c>
      <c r="P307" t="n">
        <v>0</v>
      </c>
      <c r="Q307" t="n">
        <v>0</v>
      </c>
      <c r="R307" s="2" t="inlineStr"/>
    </row>
    <row r="308" ht="15" customHeight="1">
      <c r="A308" t="inlineStr">
        <is>
          <t>A 61193-2020</t>
        </is>
      </c>
      <c r="B308" s="1" t="n">
        <v>44155</v>
      </c>
      <c r="C308" s="1" t="n">
        <v>45837</v>
      </c>
      <c r="D308" t="inlineStr">
        <is>
          <t>UPPSALA LÄN</t>
        </is>
      </c>
      <c r="E308" t="inlineStr">
        <is>
          <t>ÖSTHAMMAR</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62484-2020</t>
        </is>
      </c>
      <c r="B309" s="1" t="n">
        <v>44160</v>
      </c>
      <c r="C309" s="1" t="n">
        <v>45837</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63637-2020</t>
        </is>
      </c>
      <c r="B310" s="1" t="n">
        <v>44162</v>
      </c>
      <c r="C310" s="1" t="n">
        <v>45837</v>
      </c>
      <c r="D310" t="inlineStr">
        <is>
          <t>UPPSALA LÄN</t>
        </is>
      </c>
      <c r="E310" t="inlineStr">
        <is>
          <t>ÖSTHAMMAR</t>
        </is>
      </c>
      <c r="G310" t="n">
        <v>4</v>
      </c>
      <c r="H310" t="n">
        <v>0</v>
      </c>
      <c r="I310" t="n">
        <v>0</v>
      </c>
      <c r="J310" t="n">
        <v>0</v>
      </c>
      <c r="K310" t="n">
        <v>0</v>
      </c>
      <c r="L310" t="n">
        <v>0</v>
      </c>
      <c r="M310" t="n">
        <v>0</v>
      </c>
      <c r="N310" t="n">
        <v>0</v>
      </c>
      <c r="O310" t="n">
        <v>0</v>
      </c>
      <c r="P310" t="n">
        <v>0</v>
      </c>
      <c r="Q310" t="n">
        <v>0</v>
      </c>
      <c r="R310" s="2" t="inlineStr"/>
    </row>
    <row r="311" ht="15" customHeight="1">
      <c r="A311" t="inlineStr">
        <is>
          <t>A 63577-2020</t>
        </is>
      </c>
      <c r="B311" s="1" t="n">
        <v>44165</v>
      </c>
      <c r="C311" s="1" t="n">
        <v>45837</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63987-2020</t>
        </is>
      </c>
      <c r="B312" s="1" t="n">
        <v>44167</v>
      </c>
      <c r="C312" s="1" t="n">
        <v>45837</v>
      </c>
      <c r="D312" t="inlineStr">
        <is>
          <t>UPPSALA LÄN</t>
        </is>
      </c>
      <c r="E312" t="inlineStr">
        <is>
          <t>ÖSTHAMMAR</t>
        </is>
      </c>
      <c r="G312" t="n">
        <v>5.9</v>
      </c>
      <c r="H312" t="n">
        <v>0</v>
      </c>
      <c r="I312" t="n">
        <v>0</v>
      </c>
      <c r="J312" t="n">
        <v>0</v>
      </c>
      <c r="K312" t="n">
        <v>0</v>
      </c>
      <c r="L312" t="n">
        <v>0</v>
      </c>
      <c r="M312" t="n">
        <v>0</v>
      </c>
      <c r="N312" t="n">
        <v>0</v>
      </c>
      <c r="O312" t="n">
        <v>0</v>
      </c>
      <c r="P312" t="n">
        <v>0</v>
      </c>
      <c r="Q312" t="n">
        <v>0</v>
      </c>
      <c r="R312" s="2" t="inlineStr"/>
    </row>
    <row r="313" ht="15" customHeight="1">
      <c r="A313" t="inlineStr">
        <is>
          <t>A 65361-2020</t>
        </is>
      </c>
      <c r="B313" s="1" t="n">
        <v>44173</v>
      </c>
      <c r="C313" s="1" t="n">
        <v>45837</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68243-2020</t>
        </is>
      </c>
      <c r="B314" s="1" t="n">
        <v>44183</v>
      </c>
      <c r="C314" s="1" t="n">
        <v>45837</v>
      </c>
      <c r="D314" t="inlineStr">
        <is>
          <t>UPPSALA LÄN</t>
        </is>
      </c>
      <c r="E314" t="inlineStr">
        <is>
          <t>ÖSTHAMMAR</t>
        </is>
      </c>
      <c r="G314" t="n">
        <v>8.5</v>
      </c>
      <c r="H314" t="n">
        <v>0</v>
      </c>
      <c r="I314" t="n">
        <v>0</v>
      </c>
      <c r="J314" t="n">
        <v>0</v>
      </c>
      <c r="K314" t="n">
        <v>0</v>
      </c>
      <c r="L314" t="n">
        <v>0</v>
      </c>
      <c r="M314" t="n">
        <v>0</v>
      </c>
      <c r="N314" t="n">
        <v>0</v>
      </c>
      <c r="O314" t="n">
        <v>0</v>
      </c>
      <c r="P314" t="n">
        <v>0</v>
      </c>
      <c r="Q314" t="n">
        <v>0</v>
      </c>
      <c r="R314" s="2" t="inlineStr"/>
    </row>
    <row r="315" ht="15" customHeight="1">
      <c r="A315" t="inlineStr">
        <is>
          <t>A 68828-2020</t>
        </is>
      </c>
      <c r="B315" s="1" t="n">
        <v>44186</v>
      </c>
      <c r="C315" s="1" t="n">
        <v>45837</v>
      </c>
      <c r="D315" t="inlineStr">
        <is>
          <t>UPPSALA LÄN</t>
        </is>
      </c>
      <c r="E315" t="inlineStr">
        <is>
          <t>ÖSTHAMMAR</t>
        </is>
      </c>
      <c r="G315" t="n">
        <v>1.5</v>
      </c>
      <c r="H315" t="n">
        <v>0</v>
      </c>
      <c r="I315" t="n">
        <v>0</v>
      </c>
      <c r="J315" t="n">
        <v>0</v>
      </c>
      <c r="K315" t="n">
        <v>0</v>
      </c>
      <c r="L315" t="n">
        <v>0</v>
      </c>
      <c r="M315" t="n">
        <v>0</v>
      </c>
      <c r="N315" t="n">
        <v>0</v>
      </c>
      <c r="O315" t="n">
        <v>0</v>
      </c>
      <c r="P315" t="n">
        <v>0</v>
      </c>
      <c r="Q315" t="n">
        <v>0</v>
      </c>
      <c r="R315" s="2" t="inlineStr"/>
    </row>
    <row r="316" ht="15" customHeight="1">
      <c r="A316" t="inlineStr">
        <is>
          <t>A 69681-2020</t>
        </is>
      </c>
      <c r="B316" s="1" t="n">
        <v>44196</v>
      </c>
      <c r="C316" s="1" t="n">
        <v>45837</v>
      </c>
      <c r="D316" t="inlineStr">
        <is>
          <t>UPPSALA LÄN</t>
        </is>
      </c>
      <c r="E316" t="inlineStr">
        <is>
          <t>ÖSTHAMMAR</t>
        </is>
      </c>
      <c r="F316" t="inlineStr">
        <is>
          <t>Bergvik skog öst AB</t>
        </is>
      </c>
      <c r="G316" t="n">
        <v>21.9</v>
      </c>
      <c r="H316" t="n">
        <v>0</v>
      </c>
      <c r="I316" t="n">
        <v>0</v>
      </c>
      <c r="J316" t="n">
        <v>0</v>
      </c>
      <c r="K316" t="n">
        <v>0</v>
      </c>
      <c r="L316" t="n">
        <v>0</v>
      </c>
      <c r="M316" t="n">
        <v>0</v>
      </c>
      <c r="N316" t="n">
        <v>0</v>
      </c>
      <c r="O316" t="n">
        <v>0</v>
      </c>
      <c r="P316" t="n">
        <v>0</v>
      </c>
      <c r="Q316" t="n">
        <v>0</v>
      </c>
      <c r="R316" s="2" t="inlineStr"/>
    </row>
    <row r="317" ht="15" customHeight="1">
      <c r="A317" t="inlineStr">
        <is>
          <t>A 3693-2021</t>
        </is>
      </c>
      <c r="B317" s="1" t="n">
        <v>44221</v>
      </c>
      <c r="C317" s="1" t="n">
        <v>45837</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4151-2021</t>
        </is>
      </c>
      <c r="B318" s="1" t="n">
        <v>44221</v>
      </c>
      <c r="C318" s="1" t="n">
        <v>45837</v>
      </c>
      <c r="D318" t="inlineStr">
        <is>
          <t>UPPSALA LÄN</t>
        </is>
      </c>
      <c r="E318" t="inlineStr">
        <is>
          <t>ÖSTHAMMAR</t>
        </is>
      </c>
      <c r="G318" t="n">
        <v>2.9</v>
      </c>
      <c r="H318" t="n">
        <v>0</v>
      </c>
      <c r="I318" t="n">
        <v>0</v>
      </c>
      <c r="J318" t="n">
        <v>0</v>
      </c>
      <c r="K318" t="n">
        <v>0</v>
      </c>
      <c r="L318" t="n">
        <v>0</v>
      </c>
      <c r="M318" t="n">
        <v>0</v>
      </c>
      <c r="N318" t="n">
        <v>0</v>
      </c>
      <c r="O318" t="n">
        <v>0</v>
      </c>
      <c r="P318" t="n">
        <v>0</v>
      </c>
      <c r="Q318" t="n">
        <v>0</v>
      </c>
      <c r="R318" s="2" t="inlineStr"/>
    </row>
    <row r="319" ht="15" customHeight="1">
      <c r="A319" t="inlineStr">
        <is>
          <t>A 4590-2021</t>
        </is>
      </c>
      <c r="B319" s="1" t="n">
        <v>44224</v>
      </c>
      <c r="C319" s="1" t="n">
        <v>45837</v>
      </c>
      <c r="D319" t="inlineStr">
        <is>
          <t>UPPSALA LÄN</t>
        </is>
      </c>
      <c r="E319" t="inlineStr">
        <is>
          <t>ÖSTHAMMAR</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6221-2021</t>
        </is>
      </c>
      <c r="B320" s="1" t="n">
        <v>44235</v>
      </c>
      <c r="C320" s="1" t="n">
        <v>45837</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7113-2021</t>
        </is>
      </c>
      <c r="B321" s="1" t="n">
        <v>44238</v>
      </c>
      <c r="C321" s="1" t="n">
        <v>45837</v>
      </c>
      <c r="D321" t="inlineStr">
        <is>
          <t>UPPSALA LÄN</t>
        </is>
      </c>
      <c r="E321" t="inlineStr">
        <is>
          <t>ÖSTHAMMAR</t>
        </is>
      </c>
      <c r="F321" t="inlineStr">
        <is>
          <t>Bergvik skog öst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8009-2021</t>
        </is>
      </c>
      <c r="B322" s="1" t="n">
        <v>44243</v>
      </c>
      <c r="C322" s="1" t="n">
        <v>45837</v>
      </c>
      <c r="D322" t="inlineStr">
        <is>
          <t>UPPSALA LÄN</t>
        </is>
      </c>
      <c r="E322" t="inlineStr">
        <is>
          <t>ÖSTHAMMAR</t>
        </is>
      </c>
      <c r="G322" t="n">
        <v>9.9</v>
      </c>
      <c r="H322" t="n">
        <v>0</v>
      </c>
      <c r="I322" t="n">
        <v>0</v>
      </c>
      <c r="J322" t="n">
        <v>0</v>
      </c>
      <c r="K322" t="n">
        <v>0</v>
      </c>
      <c r="L322" t="n">
        <v>0</v>
      </c>
      <c r="M322" t="n">
        <v>0</v>
      </c>
      <c r="N322" t="n">
        <v>0</v>
      </c>
      <c r="O322" t="n">
        <v>0</v>
      </c>
      <c r="P322" t="n">
        <v>0</v>
      </c>
      <c r="Q322" t="n">
        <v>0</v>
      </c>
      <c r="R322" s="2" t="inlineStr"/>
    </row>
    <row r="323" ht="15" customHeight="1">
      <c r="A323" t="inlineStr">
        <is>
          <t>A 10316-2021</t>
        </is>
      </c>
      <c r="B323" s="1" t="n">
        <v>44257</v>
      </c>
      <c r="C323" s="1" t="n">
        <v>45837</v>
      </c>
      <c r="D323" t="inlineStr">
        <is>
          <t>UPPSALA LÄN</t>
        </is>
      </c>
      <c r="E323" t="inlineStr">
        <is>
          <t>ÖSTHAMMAR</t>
        </is>
      </c>
      <c r="F323" t="inlineStr">
        <is>
          <t>Övriga Aktiebolag</t>
        </is>
      </c>
      <c r="G323" t="n">
        <v>3.3</v>
      </c>
      <c r="H323" t="n">
        <v>0</v>
      </c>
      <c r="I323" t="n">
        <v>0</v>
      </c>
      <c r="J323" t="n">
        <v>0</v>
      </c>
      <c r="K323" t="n">
        <v>0</v>
      </c>
      <c r="L323" t="n">
        <v>0</v>
      </c>
      <c r="M323" t="n">
        <v>0</v>
      </c>
      <c r="N323" t="n">
        <v>0</v>
      </c>
      <c r="O323" t="n">
        <v>0</v>
      </c>
      <c r="P323" t="n">
        <v>0</v>
      </c>
      <c r="Q323" t="n">
        <v>0</v>
      </c>
      <c r="R323" s="2" t="inlineStr"/>
    </row>
    <row r="324" ht="15" customHeight="1">
      <c r="A324" t="inlineStr">
        <is>
          <t>A 10498-2021</t>
        </is>
      </c>
      <c r="B324" s="1" t="n">
        <v>44258</v>
      </c>
      <c r="C324" s="1" t="n">
        <v>45837</v>
      </c>
      <c r="D324" t="inlineStr">
        <is>
          <t>UPPSALA LÄN</t>
        </is>
      </c>
      <c r="E324" t="inlineStr">
        <is>
          <t>ÖSTHAMMAR</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14248-2021</t>
        </is>
      </c>
      <c r="B325" s="1" t="n">
        <v>44278</v>
      </c>
      <c r="C325" s="1" t="n">
        <v>45837</v>
      </c>
      <c r="D325" t="inlineStr">
        <is>
          <t>UPPSALA LÄN</t>
        </is>
      </c>
      <c r="E325" t="inlineStr">
        <is>
          <t>ÖSTHAMMAR</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14525-2021</t>
        </is>
      </c>
      <c r="B326" s="1" t="n">
        <v>44279</v>
      </c>
      <c r="C326" s="1" t="n">
        <v>45837</v>
      </c>
      <c r="D326" t="inlineStr">
        <is>
          <t>UPPSALA LÄN</t>
        </is>
      </c>
      <c r="E326" t="inlineStr">
        <is>
          <t>ÖSTHAMMAR</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16212-2021</t>
        </is>
      </c>
      <c r="B327" s="1" t="n">
        <v>44287</v>
      </c>
      <c r="C327" s="1" t="n">
        <v>45837</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16209-2021</t>
        </is>
      </c>
      <c r="B328" s="1" t="n">
        <v>44287</v>
      </c>
      <c r="C328" s="1" t="n">
        <v>45837</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17009-2021</t>
        </is>
      </c>
      <c r="B329" s="1" t="n">
        <v>44295</v>
      </c>
      <c r="C329" s="1" t="n">
        <v>45837</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17022-2021</t>
        </is>
      </c>
      <c r="B330" s="1" t="n">
        <v>44295</v>
      </c>
      <c r="C330" s="1" t="n">
        <v>45837</v>
      </c>
      <c r="D330" t="inlineStr">
        <is>
          <t>UPPSALA LÄN</t>
        </is>
      </c>
      <c r="E330" t="inlineStr">
        <is>
          <t>ÖSTHAMMAR</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17033-2021</t>
        </is>
      </c>
      <c r="B331" s="1" t="n">
        <v>44295</v>
      </c>
      <c r="C331" s="1" t="n">
        <v>45837</v>
      </c>
      <c r="D331" t="inlineStr">
        <is>
          <t>UPPSALA LÄN</t>
        </is>
      </c>
      <c r="E331" t="inlineStr">
        <is>
          <t>ÖSTHAMMAR</t>
        </is>
      </c>
      <c r="F331" t="inlineStr">
        <is>
          <t>Bergvik skog öst AB</t>
        </is>
      </c>
      <c r="G331" t="n">
        <v>4.7</v>
      </c>
      <c r="H331" t="n">
        <v>0</v>
      </c>
      <c r="I331" t="n">
        <v>0</v>
      </c>
      <c r="J331" t="n">
        <v>0</v>
      </c>
      <c r="K331" t="n">
        <v>0</v>
      </c>
      <c r="L331" t="n">
        <v>0</v>
      </c>
      <c r="M331" t="n">
        <v>0</v>
      </c>
      <c r="N331" t="n">
        <v>0</v>
      </c>
      <c r="O331" t="n">
        <v>0</v>
      </c>
      <c r="P331" t="n">
        <v>0</v>
      </c>
      <c r="Q331" t="n">
        <v>0</v>
      </c>
      <c r="R331" s="2" t="inlineStr"/>
    </row>
    <row r="332" ht="15" customHeight="1">
      <c r="A332" t="inlineStr">
        <is>
          <t>A 17349-2021</t>
        </is>
      </c>
      <c r="B332" s="1" t="n">
        <v>44298</v>
      </c>
      <c r="C332" s="1" t="n">
        <v>45837</v>
      </c>
      <c r="D332" t="inlineStr">
        <is>
          <t>UPPSALA LÄN</t>
        </is>
      </c>
      <c r="E332" t="inlineStr">
        <is>
          <t>ÖSTHAMMAR</t>
        </is>
      </c>
      <c r="F332" t="inlineStr">
        <is>
          <t>Bergvik skog öst AB</t>
        </is>
      </c>
      <c r="G332" t="n">
        <v>4.2</v>
      </c>
      <c r="H332" t="n">
        <v>0</v>
      </c>
      <c r="I332" t="n">
        <v>0</v>
      </c>
      <c r="J332" t="n">
        <v>0</v>
      </c>
      <c r="K332" t="n">
        <v>0</v>
      </c>
      <c r="L332" t="n">
        <v>0</v>
      </c>
      <c r="M332" t="n">
        <v>0</v>
      </c>
      <c r="N332" t="n">
        <v>0</v>
      </c>
      <c r="O332" t="n">
        <v>0</v>
      </c>
      <c r="P332" t="n">
        <v>0</v>
      </c>
      <c r="Q332" t="n">
        <v>0</v>
      </c>
      <c r="R332" s="2" t="inlineStr"/>
    </row>
    <row r="333" ht="15" customHeight="1">
      <c r="A333" t="inlineStr">
        <is>
          <t>A 18944-2021</t>
        </is>
      </c>
      <c r="B333" s="1" t="n">
        <v>44308</v>
      </c>
      <c r="C333" s="1" t="n">
        <v>45837</v>
      </c>
      <c r="D333" t="inlineStr">
        <is>
          <t>UPPSALA LÄN</t>
        </is>
      </c>
      <c r="E333" t="inlineStr">
        <is>
          <t>ÖSTHAMMAR</t>
        </is>
      </c>
      <c r="F333" t="inlineStr">
        <is>
          <t>Bergvik skog öst AB</t>
        </is>
      </c>
      <c r="G333" t="n">
        <v>12.5</v>
      </c>
      <c r="H333" t="n">
        <v>0</v>
      </c>
      <c r="I333" t="n">
        <v>0</v>
      </c>
      <c r="J333" t="n">
        <v>0</v>
      </c>
      <c r="K333" t="n">
        <v>0</v>
      </c>
      <c r="L333" t="n">
        <v>0</v>
      </c>
      <c r="M333" t="n">
        <v>0</v>
      </c>
      <c r="N333" t="n">
        <v>0</v>
      </c>
      <c r="O333" t="n">
        <v>0</v>
      </c>
      <c r="P333" t="n">
        <v>0</v>
      </c>
      <c r="Q333" t="n">
        <v>0</v>
      </c>
      <c r="R333" s="2" t="inlineStr"/>
    </row>
    <row r="334" ht="15" customHeight="1">
      <c r="A334" t="inlineStr">
        <is>
          <t>A 20326-2021</t>
        </is>
      </c>
      <c r="B334" s="1" t="n">
        <v>44308</v>
      </c>
      <c r="C334" s="1" t="n">
        <v>45837</v>
      </c>
      <c r="D334" t="inlineStr">
        <is>
          <t>UPPSALA LÄN</t>
        </is>
      </c>
      <c r="E334" t="inlineStr">
        <is>
          <t>ÖSTHAMMAR</t>
        </is>
      </c>
      <c r="G334" t="n">
        <v>7.8</v>
      </c>
      <c r="H334" t="n">
        <v>0</v>
      </c>
      <c r="I334" t="n">
        <v>0</v>
      </c>
      <c r="J334" t="n">
        <v>0</v>
      </c>
      <c r="K334" t="n">
        <v>0</v>
      </c>
      <c r="L334" t="n">
        <v>0</v>
      </c>
      <c r="M334" t="n">
        <v>0</v>
      </c>
      <c r="N334" t="n">
        <v>0</v>
      </c>
      <c r="O334" t="n">
        <v>0</v>
      </c>
      <c r="P334" t="n">
        <v>0</v>
      </c>
      <c r="Q334" t="n">
        <v>0</v>
      </c>
      <c r="R334" s="2" t="inlineStr"/>
    </row>
    <row r="335" ht="15" customHeight="1">
      <c r="A335" t="inlineStr">
        <is>
          <t>A 20325-2021</t>
        </is>
      </c>
      <c r="B335" s="1" t="n">
        <v>44308</v>
      </c>
      <c r="C335" s="1" t="n">
        <v>45837</v>
      </c>
      <c r="D335" t="inlineStr">
        <is>
          <t>UPPSALA LÄN</t>
        </is>
      </c>
      <c r="E335" t="inlineStr">
        <is>
          <t>ÖSTHAMMAR</t>
        </is>
      </c>
      <c r="G335" t="n">
        <v>5</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45837</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19214-2021</t>
        </is>
      </c>
      <c r="B337" s="1" t="n">
        <v>44309</v>
      </c>
      <c r="C337" s="1" t="n">
        <v>45837</v>
      </c>
      <c r="D337" t="inlineStr">
        <is>
          <t>UPPSALA LÄN</t>
        </is>
      </c>
      <c r="E337" t="inlineStr">
        <is>
          <t>ÖSTHAMMAR</t>
        </is>
      </c>
      <c r="F337" t="inlineStr">
        <is>
          <t>Bergvik skog öst AB</t>
        </is>
      </c>
      <c r="G337" t="n">
        <v>6</v>
      </c>
      <c r="H337" t="n">
        <v>0</v>
      </c>
      <c r="I337" t="n">
        <v>0</v>
      </c>
      <c r="J337" t="n">
        <v>0</v>
      </c>
      <c r="K337" t="n">
        <v>0</v>
      </c>
      <c r="L337" t="n">
        <v>0</v>
      </c>
      <c r="M337" t="n">
        <v>0</v>
      </c>
      <c r="N337" t="n">
        <v>0</v>
      </c>
      <c r="O337" t="n">
        <v>0</v>
      </c>
      <c r="P337" t="n">
        <v>0</v>
      </c>
      <c r="Q337" t="n">
        <v>0</v>
      </c>
      <c r="R337" s="2" t="inlineStr"/>
    </row>
    <row r="338" ht="15" customHeight="1">
      <c r="A338" t="inlineStr">
        <is>
          <t>A 19552-2021</t>
        </is>
      </c>
      <c r="B338" s="1" t="n">
        <v>44312</v>
      </c>
      <c r="C338" s="1" t="n">
        <v>45837</v>
      </c>
      <c r="D338" t="inlineStr">
        <is>
          <t>UPPSALA LÄN</t>
        </is>
      </c>
      <c r="E338" t="inlineStr">
        <is>
          <t>ÖSTHAMMAR</t>
        </is>
      </c>
      <c r="G338" t="n">
        <v>4.5</v>
      </c>
      <c r="H338" t="n">
        <v>0</v>
      </c>
      <c r="I338" t="n">
        <v>0</v>
      </c>
      <c r="J338" t="n">
        <v>0</v>
      </c>
      <c r="K338" t="n">
        <v>0</v>
      </c>
      <c r="L338" t="n">
        <v>0</v>
      </c>
      <c r="M338" t="n">
        <v>0</v>
      </c>
      <c r="N338" t="n">
        <v>0</v>
      </c>
      <c r="O338" t="n">
        <v>0</v>
      </c>
      <c r="P338" t="n">
        <v>0</v>
      </c>
      <c r="Q338" t="n">
        <v>0</v>
      </c>
      <c r="R338" s="2" t="inlineStr"/>
    </row>
    <row r="339" ht="15" customHeight="1">
      <c r="A339" t="inlineStr">
        <is>
          <t>A 22709-2021</t>
        </is>
      </c>
      <c r="B339" s="1" t="n">
        <v>44327</v>
      </c>
      <c r="C339" s="1" t="n">
        <v>45837</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23120-2021</t>
        </is>
      </c>
      <c r="B340" s="1" t="n">
        <v>44330</v>
      </c>
      <c r="C340" s="1" t="n">
        <v>45837</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24062-2021</t>
        </is>
      </c>
      <c r="B341" s="1" t="n">
        <v>44336</v>
      </c>
      <c r="C341" s="1" t="n">
        <v>45837</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24316-2021</t>
        </is>
      </c>
      <c r="B342" s="1" t="n">
        <v>44337</v>
      </c>
      <c r="C342" s="1" t="n">
        <v>45837</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25033-2021</t>
        </is>
      </c>
      <c r="B343" s="1" t="n">
        <v>44341</v>
      </c>
      <c r="C343" s="1" t="n">
        <v>45837</v>
      </c>
      <c r="D343" t="inlineStr">
        <is>
          <t>UPPSALA LÄN</t>
        </is>
      </c>
      <c r="E343" t="inlineStr">
        <is>
          <t>ÖSTHAMMAR</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25378-2021</t>
        </is>
      </c>
      <c r="B344" s="1" t="n">
        <v>44342</v>
      </c>
      <c r="C344" s="1" t="n">
        <v>45837</v>
      </c>
      <c r="D344" t="inlineStr">
        <is>
          <t>UPPSALA LÄN</t>
        </is>
      </c>
      <c r="E344" t="inlineStr">
        <is>
          <t>ÖSTHAMMAR</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25395-2021</t>
        </is>
      </c>
      <c r="B345" s="1" t="n">
        <v>44342</v>
      </c>
      <c r="C345" s="1" t="n">
        <v>45837</v>
      </c>
      <c r="D345" t="inlineStr">
        <is>
          <t>UPPSALA LÄN</t>
        </is>
      </c>
      <c r="E345" t="inlineStr">
        <is>
          <t>ÖSTHAMMAR</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26257-2021</t>
        </is>
      </c>
      <c r="B346" s="1" t="n">
        <v>44347</v>
      </c>
      <c r="C346" s="1" t="n">
        <v>45837</v>
      </c>
      <c r="D346" t="inlineStr">
        <is>
          <t>UPPSALA LÄN</t>
        </is>
      </c>
      <c r="E346" t="inlineStr">
        <is>
          <t>ÖSTHAMMAR</t>
        </is>
      </c>
      <c r="G346" t="n">
        <v>3.2</v>
      </c>
      <c r="H346" t="n">
        <v>0</v>
      </c>
      <c r="I346" t="n">
        <v>0</v>
      </c>
      <c r="J346" t="n">
        <v>0</v>
      </c>
      <c r="K346" t="n">
        <v>0</v>
      </c>
      <c r="L346" t="n">
        <v>0</v>
      </c>
      <c r="M346" t="n">
        <v>0</v>
      </c>
      <c r="N346" t="n">
        <v>0</v>
      </c>
      <c r="O346" t="n">
        <v>0</v>
      </c>
      <c r="P346" t="n">
        <v>0</v>
      </c>
      <c r="Q346" t="n">
        <v>0</v>
      </c>
      <c r="R346" s="2" t="inlineStr"/>
    </row>
    <row r="347" ht="15" customHeight="1">
      <c r="A347" t="inlineStr">
        <is>
          <t>A 27939-2021</t>
        </is>
      </c>
      <c r="B347" s="1" t="n">
        <v>44354</v>
      </c>
      <c r="C347" s="1" t="n">
        <v>45837</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27940-2021</t>
        </is>
      </c>
      <c r="B348" s="1" t="n">
        <v>44354</v>
      </c>
      <c r="C348" s="1" t="n">
        <v>45837</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29282-2021</t>
        </is>
      </c>
      <c r="B349" s="1" t="n">
        <v>44361</v>
      </c>
      <c r="C349" s="1" t="n">
        <v>45837</v>
      </c>
      <c r="D349" t="inlineStr">
        <is>
          <t>UPPSALA LÄN</t>
        </is>
      </c>
      <c r="E349" t="inlineStr">
        <is>
          <t>ÖSTHAMMAR</t>
        </is>
      </c>
      <c r="G349" t="n">
        <v>2.4</v>
      </c>
      <c r="H349" t="n">
        <v>0</v>
      </c>
      <c r="I349" t="n">
        <v>0</v>
      </c>
      <c r="J349" t="n">
        <v>0</v>
      </c>
      <c r="K349" t="n">
        <v>0</v>
      </c>
      <c r="L349" t="n">
        <v>0</v>
      </c>
      <c r="M349" t="n">
        <v>0</v>
      </c>
      <c r="N349" t="n">
        <v>0</v>
      </c>
      <c r="O349" t="n">
        <v>0</v>
      </c>
      <c r="P349" t="n">
        <v>0</v>
      </c>
      <c r="Q349" t="n">
        <v>0</v>
      </c>
      <c r="R349" s="2" t="inlineStr"/>
    </row>
    <row r="350" ht="15" customHeight="1">
      <c r="A350" t="inlineStr">
        <is>
          <t>A 30927-2021</t>
        </is>
      </c>
      <c r="B350" s="1" t="n">
        <v>44365</v>
      </c>
      <c r="C350" s="1" t="n">
        <v>45837</v>
      </c>
      <c r="D350" t="inlineStr">
        <is>
          <t>UPPSALA LÄN</t>
        </is>
      </c>
      <c r="E350" t="inlineStr">
        <is>
          <t>ÖSTHAMMAR</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30931-2021</t>
        </is>
      </c>
      <c r="B351" s="1" t="n">
        <v>44365</v>
      </c>
      <c r="C351" s="1" t="n">
        <v>45837</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31263-2021</t>
        </is>
      </c>
      <c r="B352" s="1" t="n">
        <v>44368</v>
      </c>
      <c r="C352" s="1" t="n">
        <v>45837</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32244-2021</t>
        </is>
      </c>
      <c r="B353" s="1" t="n">
        <v>44371</v>
      </c>
      <c r="C353" s="1" t="n">
        <v>45837</v>
      </c>
      <c r="D353" t="inlineStr">
        <is>
          <t>UPPSALA LÄN</t>
        </is>
      </c>
      <c r="E353" t="inlineStr">
        <is>
          <t>ÖSTHAMMAR</t>
        </is>
      </c>
      <c r="F353" t="inlineStr">
        <is>
          <t>Bergvik skog öst AB</t>
        </is>
      </c>
      <c r="G353" t="n">
        <v>2.6</v>
      </c>
      <c r="H353" t="n">
        <v>0</v>
      </c>
      <c r="I353" t="n">
        <v>0</v>
      </c>
      <c r="J353" t="n">
        <v>0</v>
      </c>
      <c r="K353" t="n">
        <v>0</v>
      </c>
      <c r="L353" t="n">
        <v>0</v>
      </c>
      <c r="M353" t="n">
        <v>0</v>
      </c>
      <c r="N353" t="n">
        <v>0</v>
      </c>
      <c r="O353" t="n">
        <v>0</v>
      </c>
      <c r="P353" t="n">
        <v>0</v>
      </c>
      <c r="Q353" t="n">
        <v>0</v>
      </c>
      <c r="R353" s="2" t="inlineStr"/>
    </row>
    <row r="354" ht="15" customHeight="1">
      <c r="A354" t="inlineStr">
        <is>
          <t>A 32939-2021</t>
        </is>
      </c>
      <c r="B354" s="1" t="n">
        <v>44376</v>
      </c>
      <c r="C354" s="1" t="n">
        <v>45837</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32948-2021</t>
        </is>
      </c>
      <c r="B355" s="1" t="n">
        <v>44376</v>
      </c>
      <c r="C355" s="1" t="n">
        <v>45837</v>
      </c>
      <c r="D355" t="inlineStr">
        <is>
          <t>UPPSALA LÄN</t>
        </is>
      </c>
      <c r="E355" t="inlineStr">
        <is>
          <t>ÖSTHAMMAR</t>
        </is>
      </c>
      <c r="F355" t="inlineStr">
        <is>
          <t>Bergvik skog öst AB</t>
        </is>
      </c>
      <c r="G355" t="n">
        <v>13.5</v>
      </c>
      <c r="H355" t="n">
        <v>0</v>
      </c>
      <c r="I355" t="n">
        <v>0</v>
      </c>
      <c r="J355" t="n">
        <v>0</v>
      </c>
      <c r="K355" t="n">
        <v>0</v>
      </c>
      <c r="L355" t="n">
        <v>0</v>
      </c>
      <c r="M355" t="n">
        <v>0</v>
      </c>
      <c r="N355" t="n">
        <v>0</v>
      </c>
      <c r="O355" t="n">
        <v>0</v>
      </c>
      <c r="P355" t="n">
        <v>0</v>
      </c>
      <c r="Q355" t="n">
        <v>0</v>
      </c>
      <c r="R355" s="2" t="inlineStr"/>
    </row>
    <row r="356" ht="15" customHeight="1">
      <c r="A356" t="inlineStr">
        <is>
          <t>A 33062-2021</t>
        </is>
      </c>
      <c r="B356" s="1" t="n">
        <v>44376</v>
      </c>
      <c r="C356" s="1" t="n">
        <v>45837</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33056-2021</t>
        </is>
      </c>
      <c r="B357" s="1" t="n">
        <v>44376</v>
      </c>
      <c r="C357" s="1" t="n">
        <v>45837</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33271-2021</t>
        </is>
      </c>
      <c r="B358" s="1" t="n">
        <v>44377</v>
      </c>
      <c r="C358" s="1" t="n">
        <v>45837</v>
      </c>
      <c r="D358" t="inlineStr">
        <is>
          <t>UPPSALA LÄN</t>
        </is>
      </c>
      <c r="E358" t="inlineStr">
        <is>
          <t>ÖSTHAMMAR</t>
        </is>
      </c>
      <c r="F358" t="inlineStr">
        <is>
          <t>Bergvik skog öst AB</t>
        </is>
      </c>
      <c r="G358" t="n">
        <v>3.9</v>
      </c>
      <c r="H358" t="n">
        <v>0</v>
      </c>
      <c r="I358" t="n">
        <v>0</v>
      </c>
      <c r="J358" t="n">
        <v>0</v>
      </c>
      <c r="K358" t="n">
        <v>0</v>
      </c>
      <c r="L358" t="n">
        <v>0</v>
      </c>
      <c r="M358" t="n">
        <v>0</v>
      </c>
      <c r="N358" t="n">
        <v>0</v>
      </c>
      <c r="O358" t="n">
        <v>0</v>
      </c>
      <c r="P358" t="n">
        <v>0</v>
      </c>
      <c r="Q358" t="n">
        <v>0</v>
      </c>
      <c r="R358" s="2" t="inlineStr"/>
    </row>
    <row r="359" ht="15" customHeight="1">
      <c r="A359" t="inlineStr">
        <is>
          <t>A 38411-2021</t>
        </is>
      </c>
      <c r="B359" s="1" t="n">
        <v>44406</v>
      </c>
      <c r="C359" s="1" t="n">
        <v>45837</v>
      </c>
      <c r="D359" t="inlineStr">
        <is>
          <t>UPPSALA LÄN</t>
        </is>
      </c>
      <c r="E359" t="inlineStr">
        <is>
          <t>ÖSTHAMMAR</t>
        </is>
      </c>
      <c r="F359" t="inlineStr">
        <is>
          <t>Bergvik skog öst AB</t>
        </is>
      </c>
      <c r="G359" t="n">
        <v>20.6</v>
      </c>
      <c r="H359" t="n">
        <v>0</v>
      </c>
      <c r="I359" t="n">
        <v>0</v>
      </c>
      <c r="J359" t="n">
        <v>0</v>
      </c>
      <c r="K359" t="n">
        <v>0</v>
      </c>
      <c r="L359" t="n">
        <v>0</v>
      </c>
      <c r="M359" t="n">
        <v>0</v>
      </c>
      <c r="N359" t="n">
        <v>0</v>
      </c>
      <c r="O359" t="n">
        <v>0</v>
      </c>
      <c r="P359" t="n">
        <v>0</v>
      </c>
      <c r="Q359" t="n">
        <v>0</v>
      </c>
      <c r="R359" s="2" t="inlineStr"/>
    </row>
    <row r="360" ht="15" customHeight="1">
      <c r="A360" t="inlineStr">
        <is>
          <t>A 40606-2021</t>
        </is>
      </c>
      <c r="B360" s="1" t="n">
        <v>44420</v>
      </c>
      <c r="C360" s="1" t="n">
        <v>45837</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41531-2021</t>
        </is>
      </c>
      <c r="B361" s="1" t="n">
        <v>44425</v>
      </c>
      <c r="C361" s="1" t="n">
        <v>45837</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41558-2021</t>
        </is>
      </c>
      <c r="B362" s="1" t="n">
        <v>44425</v>
      </c>
      <c r="C362" s="1" t="n">
        <v>45837</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41538-2021</t>
        </is>
      </c>
      <c r="B363" s="1" t="n">
        <v>44425</v>
      </c>
      <c r="C363" s="1" t="n">
        <v>45837</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41744-2021</t>
        </is>
      </c>
      <c r="B364" s="1" t="n">
        <v>44425</v>
      </c>
      <c r="C364" s="1" t="n">
        <v>45837</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43469-2021</t>
        </is>
      </c>
      <c r="B365" s="1" t="n">
        <v>44432</v>
      </c>
      <c r="C365" s="1" t="n">
        <v>45837</v>
      </c>
      <c r="D365" t="inlineStr">
        <is>
          <t>UPPSALA LÄN</t>
        </is>
      </c>
      <c r="E365" t="inlineStr">
        <is>
          <t>ÖSTHAMMAR</t>
        </is>
      </c>
      <c r="G365" t="n">
        <v>3.9</v>
      </c>
      <c r="H365" t="n">
        <v>0</v>
      </c>
      <c r="I365" t="n">
        <v>0</v>
      </c>
      <c r="J365" t="n">
        <v>0</v>
      </c>
      <c r="K365" t="n">
        <v>0</v>
      </c>
      <c r="L365" t="n">
        <v>0</v>
      </c>
      <c r="M365" t="n">
        <v>0</v>
      </c>
      <c r="N365" t="n">
        <v>0</v>
      </c>
      <c r="O365" t="n">
        <v>0</v>
      </c>
      <c r="P365" t="n">
        <v>0</v>
      </c>
      <c r="Q365" t="n">
        <v>0</v>
      </c>
      <c r="R365" s="2" t="inlineStr"/>
    </row>
    <row r="366" ht="15" customHeight="1">
      <c r="A366" t="inlineStr">
        <is>
          <t>A 48308-2021</t>
        </is>
      </c>
      <c r="B366" s="1" t="n">
        <v>44450</v>
      </c>
      <c r="C366" s="1" t="n">
        <v>45837</v>
      </c>
      <c r="D366" t="inlineStr">
        <is>
          <t>UPPSALA LÄN</t>
        </is>
      </c>
      <c r="E366" t="inlineStr">
        <is>
          <t>ÖSTHAMMAR</t>
        </is>
      </c>
      <c r="G366" t="n">
        <v>3.5</v>
      </c>
      <c r="H366" t="n">
        <v>0</v>
      </c>
      <c r="I366" t="n">
        <v>0</v>
      </c>
      <c r="J366" t="n">
        <v>0</v>
      </c>
      <c r="K366" t="n">
        <v>0</v>
      </c>
      <c r="L366" t="n">
        <v>0</v>
      </c>
      <c r="M366" t="n">
        <v>0</v>
      </c>
      <c r="N366" t="n">
        <v>0</v>
      </c>
      <c r="O366" t="n">
        <v>0</v>
      </c>
      <c r="P366" t="n">
        <v>0</v>
      </c>
      <c r="Q366" t="n">
        <v>0</v>
      </c>
      <c r="R366" s="2" t="inlineStr"/>
    </row>
    <row r="367" ht="15" customHeight="1">
      <c r="A367" t="inlineStr">
        <is>
          <t>A 51010-2021</t>
        </is>
      </c>
      <c r="B367" s="1" t="n">
        <v>44460</v>
      </c>
      <c r="C367" s="1" t="n">
        <v>45837</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51412-2021</t>
        </is>
      </c>
      <c r="B368" s="1" t="n">
        <v>44461</v>
      </c>
      <c r="C368" s="1" t="n">
        <v>45837</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51364-2021</t>
        </is>
      </c>
      <c r="B369" s="1" t="n">
        <v>44461</v>
      </c>
      <c r="C369" s="1" t="n">
        <v>45837</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51612-2021</t>
        </is>
      </c>
      <c r="B370" s="1" t="n">
        <v>44462</v>
      </c>
      <c r="C370" s="1" t="n">
        <v>45837</v>
      </c>
      <c r="D370" t="inlineStr">
        <is>
          <t>UPPSALA LÄN</t>
        </is>
      </c>
      <c r="E370" t="inlineStr">
        <is>
          <t>ÖSTHAMMAR</t>
        </is>
      </c>
      <c r="G370" t="n">
        <v>2.7</v>
      </c>
      <c r="H370" t="n">
        <v>0</v>
      </c>
      <c r="I370" t="n">
        <v>0</v>
      </c>
      <c r="J370" t="n">
        <v>0</v>
      </c>
      <c r="K370" t="n">
        <v>0</v>
      </c>
      <c r="L370" t="n">
        <v>0</v>
      </c>
      <c r="M370" t="n">
        <v>0</v>
      </c>
      <c r="N370" t="n">
        <v>0</v>
      </c>
      <c r="O370" t="n">
        <v>0</v>
      </c>
      <c r="P370" t="n">
        <v>0</v>
      </c>
      <c r="Q370" t="n">
        <v>0</v>
      </c>
      <c r="R370" s="2" t="inlineStr"/>
    </row>
    <row r="371" ht="15" customHeight="1">
      <c r="A371" t="inlineStr">
        <is>
          <t>A 52659-2021</t>
        </is>
      </c>
      <c r="B371" s="1" t="n">
        <v>44466</v>
      </c>
      <c r="C371" s="1" t="n">
        <v>45837</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52544-2021</t>
        </is>
      </c>
      <c r="B372" s="1" t="n">
        <v>44466</v>
      </c>
      <c r="C372" s="1" t="n">
        <v>45837</v>
      </c>
      <c r="D372" t="inlineStr">
        <is>
          <t>UPPSALA LÄN</t>
        </is>
      </c>
      <c r="E372" t="inlineStr">
        <is>
          <t>ÖSTHAMMAR</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52898-2021</t>
        </is>
      </c>
      <c r="B373" s="1" t="n">
        <v>44467</v>
      </c>
      <c r="C373" s="1" t="n">
        <v>45837</v>
      </c>
      <c r="D373" t="inlineStr">
        <is>
          <t>UPPSALA LÄN</t>
        </is>
      </c>
      <c r="E373" t="inlineStr">
        <is>
          <t>ÖSTHAMMAR</t>
        </is>
      </c>
      <c r="G373" t="n">
        <v>2.3</v>
      </c>
      <c r="H373" t="n">
        <v>0</v>
      </c>
      <c r="I373" t="n">
        <v>0</v>
      </c>
      <c r="J373" t="n">
        <v>0</v>
      </c>
      <c r="K373" t="n">
        <v>0</v>
      </c>
      <c r="L373" t="n">
        <v>0</v>
      </c>
      <c r="M373" t="n">
        <v>0</v>
      </c>
      <c r="N373" t="n">
        <v>0</v>
      </c>
      <c r="O373" t="n">
        <v>0</v>
      </c>
      <c r="P373" t="n">
        <v>0</v>
      </c>
      <c r="Q373" t="n">
        <v>0</v>
      </c>
      <c r="R373" s="2" t="inlineStr"/>
    </row>
    <row r="374" ht="15" customHeight="1">
      <c r="A374" t="inlineStr">
        <is>
          <t>A 55646-2021</t>
        </is>
      </c>
      <c r="B374" s="1" t="n">
        <v>44476</v>
      </c>
      <c r="C374" s="1" t="n">
        <v>45837</v>
      </c>
      <c r="D374" t="inlineStr">
        <is>
          <t>UPPSALA LÄN</t>
        </is>
      </c>
      <c r="E374" t="inlineStr">
        <is>
          <t>ÖSTHAMMAR</t>
        </is>
      </c>
      <c r="F374" t="inlineStr">
        <is>
          <t>Bergvik skog öst AB</t>
        </is>
      </c>
      <c r="G374" t="n">
        <v>0.2</v>
      </c>
      <c r="H374" t="n">
        <v>0</v>
      </c>
      <c r="I374" t="n">
        <v>0</v>
      </c>
      <c r="J374" t="n">
        <v>0</v>
      </c>
      <c r="K374" t="n">
        <v>0</v>
      </c>
      <c r="L374" t="n">
        <v>0</v>
      </c>
      <c r="M374" t="n">
        <v>0</v>
      </c>
      <c r="N374" t="n">
        <v>0</v>
      </c>
      <c r="O374" t="n">
        <v>0</v>
      </c>
      <c r="P374" t="n">
        <v>0</v>
      </c>
      <c r="Q374" t="n">
        <v>0</v>
      </c>
      <c r="R374" s="2" t="inlineStr"/>
    </row>
    <row r="375" ht="15" customHeight="1">
      <c r="A375" t="inlineStr">
        <is>
          <t>A 55872-2021</t>
        </is>
      </c>
      <c r="B375" s="1" t="n">
        <v>44476</v>
      </c>
      <c r="C375" s="1" t="n">
        <v>45837</v>
      </c>
      <c r="D375" t="inlineStr">
        <is>
          <t>UPPSALA LÄN</t>
        </is>
      </c>
      <c r="E375" t="inlineStr">
        <is>
          <t>ÖSTHAMMAR</t>
        </is>
      </c>
      <c r="F375" t="inlineStr">
        <is>
          <t>Bergvik skog öst AB</t>
        </is>
      </c>
      <c r="G375" t="n">
        <v>13.7</v>
      </c>
      <c r="H375" t="n">
        <v>0</v>
      </c>
      <c r="I375" t="n">
        <v>0</v>
      </c>
      <c r="J375" t="n">
        <v>0</v>
      </c>
      <c r="K375" t="n">
        <v>0</v>
      </c>
      <c r="L375" t="n">
        <v>0</v>
      </c>
      <c r="M375" t="n">
        <v>0</v>
      </c>
      <c r="N375" t="n">
        <v>0</v>
      </c>
      <c r="O375" t="n">
        <v>0</v>
      </c>
      <c r="P375" t="n">
        <v>0</v>
      </c>
      <c r="Q375" t="n">
        <v>0</v>
      </c>
      <c r="R375" s="2" t="inlineStr"/>
    </row>
    <row r="376" ht="15" customHeight="1">
      <c r="A376" t="inlineStr">
        <is>
          <t>A 57003-2021</t>
        </is>
      </c>
      <c r="B376" s="1" t="n">
        <v>44482</v>
      </c>
      <c r="C376" s="1" t="n">
        <v>45837</v>
      </c>
      <c r="D376" t="inlineStr">
        <is>
          <t>UPPSALA LÄN</t>
        </is>
      </c>
      <c r="E376" t="inlineStr">
        <is>
          <t>ÖSTHAMMAR</t>
        </is>
      </c>
      <c r="G376" t="n">
        <v>1.9</v>
      </c>
      <c r="H376" t="n">
        <v>0</v>
      </c>
      <c r="I376" t="n">
        <v>0</v>
      </c>
      <c r="J376" t="n">
        <v>0</v>
      </c>
      <c r="K376" t="n">
        <v>0</v>
      </c>
      <c r="L376" t="n">
        <v>0</v>
      </c>
      <c r="M376" t="n">
        <v>0</v>
      </c>
      <c r="N376" t="n">
        <v>0</v>
      </c>
      <c r="O376" t="n">
        <v>0</v>
      </c>
      <c r="P376" t="n">
        <v>0</v>
      </c>
      <c r="Q376" t="n">
        <v>0</v>
      </c>
      <c r="R376" s="2" t="inlineStr"/>
    </row>
    <row r="377" ht="15" customHeight="1">
      <c r="A377" t="inlineStr">
        <is>
          <t>A 57080-2021</t>
        </is>
      </c>
      <c r="B377" s="1" t="n">
        <v>44482</v>
      </c>
      <c r="C377" s="1" t="n">
        <v>45837</v>
      </c>
      <c r="D377" t="inlineStr">
        <is>
          <t>UPPSALA LÄN</t>
        </is>
      </c>
      <c r="E377" t="inlineStr">
        <is>
          <t>ÖSTHAMMAR</t>
        </is>
      </c>
      <c r="F377" t="inlineStr">
        <is>
          <t>Bergvik skog öst AB</t>
        </is>
      </c>
      <c r="G377" t="n">
        <v>13.4</v>
      </c>
      <c r="H377" t="n">
        <v>0</v>
      </c>
      <c r="I377" t="n">
        <v>0</v>
      </c>
      <c r="J377" t="n">
        <v>0</v>
      </c>
      <c r="K377" t="n">
        <v>0</v>
      </c>
      <c r="L377" t="n">
        <v>0</v>
      </c>
      <c r="M377" t="n">
        <v>0</v>
      </c>
      <c r="N377" t="n">
        <v>0</v>
      </c>
      <c r="O377" t="n">
        <v>0</v>
      </c>
      <c r="P377" t="n">
        <v>0</v>
      </c>
      <c r="Q377" t="n">
        <v>0</v>
      </c>
      <c r="R377" s="2" t="inlineStr"/>
    </row>
    <row r="378" ht="15" customHeight="1">
      <c r="A378" t="inlineStr">
        <is>
          <t>A 58334-2021</t>
        </is>
      </c>
      <c r="B378" s="1" t="n">
        <v>44488</v>
      </c>
      <c r="C378" s="1" t="n">
        <v>45837</v>
      </c>
      <c r="D378" t="inlineStr">
        <is>
          <t>UPPSALA LÄN</t>
        </is>
      </c>
      <c r="E378" t="inlineStr">
        <is>
          <t>ÖSTHAMMAR</t>
        </is>
      </c>
      <c r="G378" t="n">
        <v>5.7</v>
      </c>
      <c r="H378" t="n">
        <v>0</v>
      </c>
      <c r="I378" t="n">
        <v>0</v>
      </c>
      <c r="J378" t="n">
        <v>0</v>
      </c>
      <c r="K378" t="n">
        <v>0</v>
      </c>
      <c r="L378" t="n">
        <v>0</v>
      </c>
      <c r="M378" t="n">
        <v>0</v>
      </c>
      <c r="N378" t="n">
        <v>0</v>
      </c>
      <c r="O378" t="n">
        <v>0</v>
      </c>
      <c r="P378" t="n">
        <v>0</v>
      </c>
      <c r="Q378" t="n">
        <v>0</v>
      </c>
      <c r="R378" s="2" t="inlineStr"/>
    </row>
    <row r="379" ht="15" customHeight="1">
      <c r="A379" t="inlineStr">
        <is>
          <t>A 59360-2021</t>
        </is>
      </c>
      <c r="B379" s="1" t="n">
        <v>44491</v>
      </c>
      <c r="C379" s="1" t="n">
        <v>45837</v>
      </c>
      <c r="D379" t="inlineStr">
        <is>
          <t>UPPSALA LÄN</t>
        </is>
      </c>
      <c r="E379" t="inlineStr">
        <is>
          <t>ÖSTHAMMAR</t>
        </is>
      </c>
      <c r="F379" t="inlineStr">
        <is>
          <t>Bergvik skog öst AB</t>
        </is>
      </c>
      <c r="G379" t="n">
        <v>8</v>
      </c>
      <c r="H379" t="n">
        <v>0</v>
      </c>
      <c r="I379" t="n">
        <v>0</v>
      </c>
      <c r="J379" t="n">
        <v>0</v>
      </c>
      <c r="K379" t="n">
        <v>0</v>
      </c>
      <c r="L379" t="n">
        <v>0</v>
      </c>
      <c r="M379" t="n">
        <v>0</v>
      </c>
      <c r="N379" t="n">
        <v>0</v>
      </c>
      <c r="O379" t="n">
        <v>0</v>
      </c>
      <c r="P379" t="n">
        <v>0</v>
      </c>
      <c r="Q379" t="n">
        <v>0</v>
      </c>
      <c r="R379" s="2" t="inlineStr"/>
    </row>
    <row r="380" ht="15" customHeight="1">
      <c r="A380" t="inlineStr">
        <is>
          <t>A 59498-2021</t>
        </is>
      </c>
      <c r="B380" s="1" t="n">
        <v>44491</v>
      </c>
      <c r="C380" s="1" t="n">
        <v>45837</v>
      </c>
      <c r="D380" t="inlineStr">
        <is>
          <t>UPPSALA LÄN</t>
        </is>
      </c>
      <c r="E380" t="inlineStr">
        <is>
          <t>ÖSTHAMMAR</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60047-2021</t>
        </is>
      </c>
      <c r="B381" s="1" t="n">
        <v>44495</v>
      </c>
      <c r="C381" s="1" t="n">
        <v>45837</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60577-2021</t>
        </is>
      </c>
      <c r="B382" s="1" t="n">
        <v>44496</v>
      </c>
      <c r="C382" s="1" t="n">
        <v>45837</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60584-2021</t>
        </is>
      </c>
      <c r="B383" s="1" t="n">
        <v>44496</v>
      </c>
      <c r="C383" s="1" t="n">
        <v>45837</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61746-2021</t>
        </is>
      </c>
      <c r="B384" s="1" t="n">
        <v>44498</v>
      </c>
      <c r="C384" s="1" t="n">
        <v>45837</v>
      </c>
      <c r="D384" t="inlineStr">
        <is>
          <t>UPPSALA LÄN</t>
        </is>
      </c>
      <c r="E384" t="inlineStr">
        <is>
          <t>ÖSTHAMMAR</t>
        </is>
      </c>
      <c r="G384" t="n">
        <v>5.6</v>
      </c>
      <c r="H384" t="n">
        <v>0</v>
      </c>
      <c r="I384" t="n">
        <v>0</v>
      </c>
      <c r="J384" t="n">
        <v>0</v>
      </c>
      <c r="K384" t="n">
        <v>0</v>
      </c>
      <c r="L384" t="n">
        <v>0</v>
      </c>
      <c r="M384" t="n">
        <v>0</v>
      </c>
      <c r="N384" t="n">
        <v>0</v>
      </c>
      <c r="O384" t="n">
        <v>0</v>
      </c>
      <c r="P384" t="n">
        <v>0</v>
      </c>
      <c r="Q384" t="n">
        <v>0</v>
      </c>
      <c r="R384" s="2" t="inlineStr"/>
    </row>
    <row r="385" ht="15" customHeight="1">
      <c r="A385" t="inlineStr">
        <is>
          <t>A 61555-2021</t>
        </is>
      </c>
      <c r="B385" s="1" t="n">
        <v>44501</v>
      </c>
      <c r="C385" s="1" t="n">
        <v>45837</v>
      </c>
      <c r="D385" t="inlineStr">
        <is>
          <t>UPPSALA LÄN</t>
        </is>
      </c>
      <c r="E385" t="inlineStr">
        <is>
          <t>ÖSTHAMMAR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61560-2021</t>
        </is>
      </c>
      <c r="B386" s="1" t="n">
        <v>44501</v>
      </c>
      <c r="C386" s="1" t="n">
        <v>45837</v>
      </c>
      <c r="D386" t="inlineStr">
        <is>
          <t>UPPSALA LÄN</t>
        </is>
      </c>
      <c r="E386" t="inlineStr">
        <is>
          <t>ÖSTHAMMAR</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61817-2021</t>
        </is>
      </c>
      <c r="B387" s="1" t="n">
        <v>44501</v>
      </c>
      <c r="C387" s="1" t="n">
        <v>45837</v>
      </c>
      <c r="D387" t="inlineStr">
        <is>
          <t>UPPSALA LÄN</t>
        </is>
      </c>
      <c r="E387" t="inlineStr">
        <is>
          <t>ÖSTHAMMAR</t>
        </is>
      </c>
      <c r="F387" t="inlineStr">
        <is>
          <t>Bergvik skog öst AB</t>
        </is>
      </c>
      <c r="G387" t="n">
        <v>2.3</v>
      </c>
      <c r="H387" t="n">
        <v>0</v>
      </c>
      <c r="I387" t="n">
        <v>0</v>
      </c>
      <c r="J387" t="n">
        <v>0</v>
      </c>
      <c r="K387" t="n">
        <v>0</v>
      </c>
      <c r="L387" t="n">
        <v>0</v>
      </c>
      <c r="M387" t="n">
        <v>0</v>
      </c>
      <c r="N387" t="n">
        <v>0</v>
      </c>
      <c r="O387" t="n">
        <v>0</v>
      </c>
      <c r="P387" t="n">
        <v>0</v>
      </c>
      <c r="Q387" t="n">
        <v>0</v>
      </c>
      <c r="R387" s="2" t="inlineStr"/>
    </row>
    <row r="388" ht="15" customHeight="1">
      <c r="A388" t="inlineStr">
        <is>
          <t>A 62854-2021</t>
        </is>
      </c>
      <c r="B388" s="1" t="n">
        <v>44504</v>
      </c>
      <c r="C388" s="1" t="n">
        <v>45837</v>
      </c>
      <c r="D388" t="inlineStr">
        <is>
          <t>UPPSALA LÄN</t>
        </is>
      </c>
      <c r="E388" t="inlineStr">
        <is>
          <t>ÖSTHAMMAR</t>
        </is>
      </c>
      <c r="F388" t="inlineStr">
        <is>
          <t>Bergvik skog öst AB</t>
        </is>
      </c>
      <c r="G388" t="n">
        <v>10.3</v>
      </c>
      <c r="H388" t="n">
        <v>0</v>
      </c>
      <c r="I388" t="n">
        <v>0</v>
      </c>
      <c r="J388" t="n">
        <v>0</v>
      </c>
      <c r="K388" t="n">
        <v>0</v>
      </c>
      <c r="L388" t="n">
        <v>0</v>
      </c>
      <c r="M388" t="n">
        <v>0</v>
      </c>
      <c r="N388" t="n">
        <v>0</v>
      </c>
      <c r="O388" t="n">
        <v>0</v>
      </c>
      <c r="P388" t="n">
        <v>0</v>
      </c>
      <c r="Q388" t="n">
        <v>0</v>
      </c>
      <c r="R388" s="2" t="inlineStr"/>
    </row>
    <row r="389" ht="15" customHeight="1">
      <c r="A389" t="inlineStr">
        <is>
          <t>A 62782-2021</t>
        </is>
      </c>
      <c r="B389" s="1" t="n">
        <v>44504</v>
      </c>
      <c r="C389" s="1" t="n">
        <v>45837</v>
      </c>
      <c r="D389" t="inlineStr">
        <is>
          <t>UPPSALA LÄN</t>
        </is>
      </c>
      <c r="E389" t="inlineStr">
        <is>
          <t>ÖSTHAMMAR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64586-2021</t>
        </is>
      </c>
      <c r="B390" s="1" t="n">
        <v>44511</v>
      </c>
      <c r="C390" s="1" t="n">
        <v>45837</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64811-2021</t>
        </is>
      </c>
      <c r="B391" s="1" t="n">
        <v>44512</v>
      </c>
      <c r="C391" s="1" t="n">
        <v>45837</v>
      </c>
      <c r="D391" t="inlineStr">
        <is>
          <t>UPPSALA LÄN</t>
        </is>
      </c>
      <c r="E391" t="inlineStr">
        <is>
          <t>ÖSTHAMMAR</t>
        </is>
      </c>
      <c r="G391" t="n">
        <v>4.2</v>
      </c>
      <c r="H391" t="n">
        <v>0</v>
      </c>
      <c r="I391" t="n">
        <v>0</v>
      </c>
      <c r="J391" t="n">
        <v>0</v>
      </c>
      <c r="K391" t="n">
        <v>0</v>
      </c>
      <c r="L391" t="n">
        <v>0</v>
      </c>
      <c r="M391" t="n">
        <v>0</v>
      </c>
      <c r="N391" t="n">
        <v>0</v>
      </c>
      <c r="O391" t="n">
        <v>0</v>
      </c>
      <c r="P391" t="n">
        <v>0</v>
      </c>
      <c r="Q391" t="n">
        <v>0</v>
      </c>
      <c r="R391" s="2" t="inlineStr"/>
    </row>
    <row r="392" ht="15" customHeight="1">
      <c r="A392" t="inlineStr">
        <is>
          <t>A 64872-2021</t>
        </is>
      </c>
      <c r="B392" s="1" t="n">
        <v>44512</v>
      </c>
      <c r="C392" s="1" t="n">
        <v>45837</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64885-2021</t>
        </is>
      </c>
      <c r="B393" s="1" t="n">
        <v>44512</v>
      </c>
      <c r="C393" s="1" t="n">
        <v>45837</v>
      </c>
      <c r="D393" t="inlineStr">
        <is>
          <t>UPPSALA LÄN</t>
        </is>
      </c>
      <c r="E393" t="inlineStr">
        <is>
          <t>ÖSTHAMMAR</t>
        </is>
      </c>
      <c r="G393" t="n">
        <v>2.1</v>
      </c>
      <c r="H393" t="n">
        <v>0</v>
      </c>
      <c r="I393" t="n">
        <v>0</v>
      </c>
      <c r="J393" t="n">
        <v>0</v>
      </c>
      <c r="K393" t="n">
        <v>0</v>
      </c>
      <c r="L393" t="n">
        <v>0</v>
      </c>
      <c r="M393" t="n">
        <v>0</v>
      </c>
      <c r="N393" t="n">
        <v>0</v>
      </c>
      <c r="O393" t="n">
        <v>0</v>
      </c>
      <c r="P393" t="n">
        <v>0</v>
      </c>
      <c r="Q393" t="n">
        <v>0</v>
      </c>
      <c r="R393" s="2" t="inlineStr"/>
    </row>
    <row r="394" ht="15" customHeight="1">
      <c r="A394" t="inlineStr">
        <is>
          <t>A 65020-2021</t>
        </is>
      </c>
      <c r="B394" s="1" t="n">
        <v>44515</v>
      </c>
      <c r="C394" s="1" t="n">
        <v>45837</v>
      </c>
      <c r="D394" t="inlineStr">
        <is>
          <t>UPPSALA LÄN</t>
        </is>
      </c>
      <c r="E394" t="inlineStr">
        <is>
          <t>ÖSTHAMMAR</t>
        </is>
      </c>
      <c r="F394" t="inlineStr">
        <is>
          <t>Sveaskog</t>
        </is>
      </c>
      <c r="G394" t="n">
        <v>4.7</v>
      </c>
      <c r="H394" t="n">
        <v>0</v>
      </c>
      <c r="I394" t="n">
        <v>0</v>
      </c>
      <c r="J394" t="n">
        <v>0</v>
      </c>
      <c r="K394" t="n">
        <v>0</v>
      </c>
      <c r="L394" t="n">
        <v>0</v>
      </c>
      <c r="M394" t="n">
        <v>0</v>
      </c>
      <c r="N394" t="n">
        <v>0</v>
      </c>
      <c r="O394" t="n">
        <v>0</v>
      </c>
      <c r="P394" t="n">
        <v>0</v>
      </c>
      <c r="Q394" t="n">
        <v>0</v>
      </c>
      <c r="R394" s="2" t="inlineStr"/>
    </row>
    <row r="395" ht="15" customHeight="1">
      <c r="A395" t="inlineStr">
        <is>
          <t>A 65104-2021</t>
        </is>
      </c>
      <c r="B395" s="1" t="n">
        <v>44515</v>
      </c>
      <c r="C395" s="1" t="n">
        <v>45837</v>
      </c>
      <c r="D395" t="inlineStr">
        <is>
          <t>UPPSALA LÄN</t>
        </is>
      </c>
      <c r="E395" t="inlineStr">
        <is>
          <t>ÖSTHAMMAR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65028-2021</t>
        </is>
      </c>
      <c r="B396" s="1" t="n">
        <v>44515</v>
      </c>
      <c r="C396" s="1" t="n">
        <v>45837</v>
      </c>
      <c r="D396" t="inlineStr">
        <is>
          <t>UPPSALA LÄN</t>
        </is>
      </c>
      <c r="E396" t="inlineStr">
        <is>
          <t>ÖSTHAMMAR</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66549-2021</t>
        </is>
      </c>
      <c r="B397" s="1" t="n">
        <v>44519</v>
      </c>
      <c r="C397" s="1" t="n">
        <v>45837</v>
      </c>
      <c r="D397" t="inlineStr">
        <is>
          <t>UPPSALA LÄN</t>
        </is>
      </c>
      <c r="E397" t="inlineStr">
        <is>
          <t>ÖSTHAMMAR</t>
        </is>
      </c>
      <c r="F397" t="inlineStr">
        <is>
          <t>Bergvik skog öst AB</t>
        </is>
      </c>
      <c r="G397" t="n">
        <v>2.8</v>
      </c>
      <c r="H397" t="n">
        <v>0</v>
      </c>
      <c r="I397" t="n">
        <v>0</v>
      </c>
      <c r="J397" t="n">
        <v>0</v>
      </c>
      <c r="K397" t="n">
        <v>0</v>
      </c>
      <c r="L397" t="n">
        <v>0</v>
      </c>
      <c r="M397" t="n">
        <v>0</v>
      </c>
      <c r="N397" t="n">
        <v>0</v>
      </c>
      <c r="O397" t="n">
        <v>0</v>
      </c>
      <c r="P397" t="n">
        <v>0</v>
      </c>
      <c r="Q397" t="n">
        <v>0</v>
      </c>
      <c r="R397" s="2" t="inlineStr"/>
    </row>
    <row r="398" ht="15" customHeight="1">
      <c r="A398" t="inlineStr">
        <is>
          <t>A 66779-2021</t>
        </is>
      </c>
      <c r="B398" s="1" t="n">
        <v>44522</v>
      </c>
      <c r="C398" s="1" t="n">
        <v>45837</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67033-2021</t>
        </is>
      </c>
      <c r="B399" s="1" t="n">
        <v>44522</v>
      </c>
      <c r="C399" s="1" t="n">
        <v>45837</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67030-2021</t>
        </is>
      </c>
      <c r="B400" s="1" t="n">
        <v>44522</v>
      </c>
      <c r="C400" s="1" t="n">
        <v>45837</v>
      </c>
      <c r="D400" t="inlineStr">
        <is>
          <t>UPPSALA LÄN</t>
        </is>
      </c>
      <c r="E400" t="inlineStr">
        <is>
          <t>ÖSTHAMMAR</t>
        </is>
      </c>
      <c r="G400" t="n">
        <v>8.6</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45837</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67199-2021</t>
        </is>
      </c>
      <c r="B402" s="1" t="n">
        <v>44523</v>
      </c>
      <c r="C402" s="1" t="n">
        <v>45837</v>
      </c>
      <c r="D402" t="inlineStr">
        <is>
          <t>UPPSALA LÄN</t>
        </is>
      </c>
      <c r="E402" t="inlineStr">
        <is>
          <t>ÖSTHAMMAR</t>
        </is>
      </c>
      <c r="G402" t="n">
        <v>2.3</v>
      </c>
      <c r="H402" t="n">
        <v>0</v>
      </c>
      <c r="I402" t="n">
        <v>0</v>
      </c>
      <c r="J402" t="n">
        <v>0</v>
      </c>
      <c r="K402" t="n">
        <v>0</v>
      </c>
      <c r="L402" t="n">
        <v>0</v>
      </c>
      <c r="M402" t="n">
        <v>0</v>
      </c>
      <c r="N402" t="n">
        <v>0</v>
      </c>
      <c r="O402" t="n">
        <v>0</v>
      </c>
      <c r="P402" t="n">
        <v>0</v>
      </c>
      <c r="Q402" t="n">
        <v>0</v>
      </c>
      <c r="R402" s="2" t="inlineStr"/>
    </row>
    <row r="403" ht="15" customHeight="1">
      <c r="A403" t="inlineStr">
        <is>
          <t>A 67217-2021</t>
        </is>
      </c>
      <c r="B403" s="1" t="n">
        <v>44523</v>
      </c>
      <c r="C403" s="1" t="n">
        <v>45837</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67859-2021</t>
        </is>
      </c>
      <c r="B404" s="1" t="n">
        <v>44525</v>
      </c>
      <c r="C404" s="1" t="n">
        <v>45837</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67848-2021</t>
        </is>
      </c>
      <c r="B405" s="1" t="n">
        <v>44525</v>
      </c>
      <c r="C405" s="1" t="n">
        <v>45837</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69505-2021</t>
        </is>
      </c>
      <c r="B406" s="1" t="n">
        <v>44531</v>
      </c>
      <c r="C406" s="1" t="n">
        <v>45837</v>
      </c>
      <c r="D406" t="inlineStr">
        <is>
          <t>UPPSALA LÄN</t>
        </is>
      </c>
      <c r="E406" t="inlineStr">
        <is>
          <t>ÖSTHAMMAR</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69411-2021</t>
        </is>
      </c>
      <c r="B407" s="1" t="n">
        <v>44531</v>
      </c>
      <c r="C407" s="1" t="n">
        <v>45837</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69518-2021</t>
        </is>
      </c>
      <c r="B408" s="1" t="n">
        <v>44531</v>
      </c>
      <c r="C408" s="1" t="n">
        <v>45837</v>
      </c>
      <c r="D408" t="inlineStr">
        <is>
          <t>UPPSALA LÄN</t>
        </is>
      </c>
      <c r="E408" t="inlineStr">
        <is>
          <t>ÖSTHAMMAR</t>
        </is>
      </c>
      <c r="G408" t="n">
        <v>4.5</v>
      </c>
      <c r="H408" t="n">
        <v>0</v>
      </c>
      <c r="I408" t="n">
        <v>0</v>
      </c>
      <c r="J408" t="n">
        <v>0</v>
      </c>
      <c r="K408" t="n">
        <v>0</v>
      </c>
      <c r="L408" t="n">
        <v>0</v>
      </c>
      <c r="M408" t="n">
        <v>0</v>
      </c>
      <c r="N408" t="n">
        <v>0</v>
      </c>
      <c r="O408" t="n">
        <v>0</v>
      </c>
      <c r="P408" t="n">
        <v>0</v>
      </c>
      <c r="Q408" t="n">
        <v>0</v>
      </c>
      <c r="R408" s="2" t="inlineStr"/>
    </row>
    <row r="409" ht="15" customHeight="1">
      <c r="A409" t="inlineStr">
        <is>
          <t>A 70008-2021</t>
        </is>
      </c>
      <c r="B409" s="1" t="n">
        <v>44533</v>
      </c>
      <c r="C409" s="1" t="n">
        <v>45837</v>
      </c>
      <c r="D409" t="inlineStr">
        <is>
          <t>UPPSALA LÄN</t>
        </is>
      </c>
      <c r="E409" t="inlineStr">
        <is>
          <t>ÖSTHAMMAR</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70408-2021</t>
        </is>
      </c>
      <c r="B410" s="1" t="n">
        <v>44536</v>
      </c>
      <c r="C410" s="1" t="n">
        <v>45837</v>
      </c>
      <c r="D410" t="inlineStr">
        <is>
          <t>UPPSALA LÄN</t>
        </is>
      </c>
      <c r="E410" t="inlineStr">
        <is>
          <t>ÖSTHAMMAR</t>
        </is>
      </c>
      <c r="G410" t="n">
        <v>1</v>
      </c>
      <c r="H410" t="n">
        <v>0</v>
      </c>
      <c r="I410" t="n">
        <v>0</v>
      </c>
      <c r="J410" t="n">
        <v>0</v>
      </c>
      <c r="K410" t="n">
        <v>0</v>
      </c>
      <c r="L410" t="n">
        <v>0</v>
      </c>
      <c r="M410" t="n">
        <v>0</v>
      </c>
      <c r="N410" t="n">
        <v>0</v>
      </c>
      <c r="O410" t="n">
        <v>0</v>
      </c>
      <c r="P410" t="n">
        <v>0</v>
      </c>
      <c r="Q410" t="n">
        <v>0</v>
      </c>
      <c r="R410" s="2" t="inlineStr"/>
    </row>
    <row r="411" ht="15" customHeight="1">
      <c r="A411" t="inlineStr">
        <is>
          <t>A 72627-2021</t>
        </is>
      </c>
      <c r="B411" s="1" t="n">
        <v>44546</v>
      </c>
      <c r="C411" s="1" t="n">
        <v>45837</v>
      </c>
      <c r="D411" t="inlineStr">
        <is>
          <t>UPPSALA LÄN</t>
        </is>
      </c>
      <c r="E411" t="inlineStr">
        <is>
          <t>ÖSTHAMMAR</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72637-2021</t>
        </is>
      </c>
      <c r="B412" s="1" t="n">
        <v>44546</v>
      </c>
      <c r="C412" s="1" t="n">
        <v>45837</v>
      </c>
      <c r="D412" t="inlineStr">
        <is>
          <t>UPPSALA LÄN</t>
        </is>
      </c>
      <c r="E412" t="inlineStr">
        <is>
          <t>ÖSTHAMMAR</t>
        </is>
      </c>
      <c r="G412" t="n">
        <v>2.5</v>
      </c>
      <c r="H412" t="n">
        <v>0</v>
      </c>
      <c r="I412" t="n">
        <v>0</v>
      </c>
      <c r="J412" t="n">
        <v>0</v>
      </c>
      <c r="K412" t="n">
        <v>0</v>
      </c>
      <c r="L412" t="n">
        <v>0</v>
      </c>
      <c r="M412" t="n">
        <v>0</v>
      </c>
      <c r="N412" t="n">
        <v>0</v>
      </c>
      <c r="O412" t="n">
        <v>0</v>
      </c>
      <c r="P412" t="n">
        <v>0</v>
      </c>
      <c r="Q412" t="n">
        <v>0</v>
      </c>
      <c r="R412" s="2" t="inlineStr"/>
    </row>
    <row r="413" ht="15" customHeight="1">
      <c r="A413" t="inlineStr">
        <is>
          <t>A 72969-2021</t>
        </is>
      </c>
      <c r="B413" s="1" t="n">
        <v>44548</v>
      </c>
      <c r="C413" s="1" t="n">
        <v>45837</v>
      </c>
      <c r="D413" t="inlineStr">
        <is>
          <t>UPPSALA LÄN</t>
        </is>
      </c>
      <c r="E413" t="inlineStr">
        <is>
          <t>ÖSTHAMMAR</t>
        </is>
      </c>
      <c r="F413" t="inlineStr">
        <is>
          <t>Bergvik skog öst AB</t>
        </is>
      </c>
      <c r="G413" t="n">
        <v>8</v>
      </c>
      <c r="H413" t="n">
        <v>0</v>
      </c>
      <c r="I413" t="n">
        <v>0</v>
      </c>
      <c r="J413" t="n">
        <v>0</v>
      </c>
      <c r="K413" t="n">
        <v>0</v>
      </c>
      <c r="L413" t="n">
        <v>0</v>
      </c>
      <c r="M413" t="n">
        <v>0</v>
      </c>
      <c r="N413" t="n">
        <v>0</v>
      </c>
      <c r="O413" t="n">
        <v>0</v>
      </c>
      <c r="P413" t="n">
        <v>0</v>
      </c>
      <c r="Q413" t="n">
        <v>0</v>
      </c>
      <c r="R413" s="2" t="inlineStr"/>
    </row>
    <row r="414" ht="15" customHeight="1">
      <c r="A414" t="inlineStr">
        <is>
          <t>A 73483-2021</t>
        </is>
      </c>
      <c r="B414" s="1" t="n">
        <v>44550</v>
      </c>
      <c r="C414" s="1" t="n">
        <v>45837</v>
      </c>
      <c r="D414" t="inlineStr">
        <is>
          <t>UPPSALA LÄN</t>
        </is>
      </c>
      <c r="E414" t="inlineStr">
        <is>
          <t>ÖSTHAMMAR</t>
        </is>
      </c>
      <c r="G414" t="n">
        <v>2.8</v>
      </c>
      <c r="H414" t="n">
        <v>0</v>
      </c>
      <c r="I414" t="n">
        <v>0</v>
      </c>
      <c r="J414" t="n">
        <v>0</v>
      </c>
      <c r="K414" t="n">
        <v>0</v>
      </c>
      <c r="L414" t="n">
        <v>0</v>
      </c>
      <c r="M414" t="n">
        <v>0</v>
      </c>
      <c r="N414" t="n">
        <v>0</v>
      </c>
      <c r="O414" t="n">
        <v>0</v>
      </c>
      <c r="P414" t="n">
        <v>0</v>
      </c>
      <c r="Q414" t="n">
        <v>0</v>
      </c>
      <c r="R414" s="2" t="inlineStr"/>
    </row>
    <row r="415" ht="15" customHeight="1">
      <c r="A415" t="inlineStr">
        <is>
          <t>A 73592-2021</t>
        </is>
      </c>
      <c r="B415" s="1" t="n">
        <v>44552</v>
      </c>
      <c r="C415" s="1" t="n">
        <v>45837</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73965-2021</t>
        </is>
      </c>
      <c r="B416" s="1" t="n">
        <v>44553</v>
      </c>
      <c r="C416" s="1" t="n">
        <v>45837</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73982-2021</t>
        </is>
      </c>
      <c r="B417" s="1" t="n">
        <v>44555</v>
      </c>
      <c r="C417" s="1" t="n">
        <v>45837</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v>
      </c>
      <c r="C418" s="1" t="n">
        <v>45837</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74429-2021</t>
        </is>
      </c>
      <c r="B419" s="1" t="n">
        <v>44560</v>
      </c>
      <c r="C419" s="1" t="n">
        <v>45837</v>
      </c>
      <c r="D419" t="inlineStr">
        <is>
          <t>UPPSALA LÄN</t>
        </is>
      </c>
      <c r="E419" t="inlineStr">
        <is>
          <t>ÖSTHAMMAR</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74467-2021</t>
        </is>
      </c>
      <c r="B420" s="1" t="n">
        <v>44560</v>
      </c>
      <c r="C420" s="1" t="n">
        <v>45837</v>
      </c>
      <c r="D420" t="inlineStr">
        <is>
          <t>UPPSALA LÄN</t>
        </is>
      </c>
      <c r="E420" t="inlineStr">
        <is>
          <t>ÖSTHAMMAR</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74428-2021</t>
        </is>
      </c>
      <c r="B421" s="1" t="n">
        <v>44560</v>
      </c>
      <c r="C421" s="1" t="n">
        <v>45837</v>
      </c>
      <c r="D421" t="inlineStr">
        <is>
          <t>UPPSALA LÄN</t>
        </is>
      </c>
      <c r="E421" t="inlineStr">
        <is>
          <t>ÖSTHAMMAR</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74436-2021</t>
        </is>
      </c>
      <c r="B422" s="1" t="n">
        <v>44560</v>
      </c>
      <c r="C422" s="1" t="n">
        <v>45837</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1238-2022</t>
        </is>
      </c>
      <c r="B423" s="1" t="n">
        <v>44572</v>
      </c>
      <c r="C423" s="1" t="n">
        <v>45837</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1609-2022</t>
        </is>
      </c>
      <c r="B424" s="1" t="n">
        <v>44573</v>
      </c>
      <c r="C424" s="1" t="n">
        <v>45837</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2085-2022</t>
        </is>
      </c>
      <c r="B425" s="1" t="n">
        <v>44576</v>
      </c>
      <c r="C425" s="1" t="n">
        <v>45837</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2108-2022</t>
        </is>
      </c>
      <c r="B426" s="1" t="n">
        <v>44577</v>
      </c>
      <c r="C426" s="1" t="n">
        <v>45837</v>
      </c>
      <c r="D426" t="inlineStr">
        <is>
          <t>UPPSALA LÄN</t>
        </is>
      </c>
      <c r="E426" t="inlineStr">
        <is>
          <t>ÖSTHAMMAR</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2168-2022</t>
        </is>
      </c>
      <c r="B427" s="1" t="n">
        <v>44578</v>
      </c>
      <c r="C427" s="1" t="n">
        <v>45837</v>
      </c>
      <c r="D427" t="inlineStr">
        <is>
          <t>UPPSALA LÄN</t>
        </is>
      </c>
      <c r="E427" t="inlineStr">
        <is>
          <t>ÖSTHAMMAR</t>
        </is>
      </c>
      <c r="G427" t="n">
        <v>2.9</v>
      </c>
      <c r="H427" t="n">
        <v>0</v>
      </c>
      <c r="I427" t="n">
        <v>0</v>
      </c>
      <c r="J427" t="n">
        <v>0</v>
      </c>
      <c r="K427" t="n">
        <v>0</v>
      </c>
      <c r="L427" t="n">
        <v>0</v>
      </c>
      <c r="M427" t="n">
        <v>0</v>
      </c>
      <c r="N427" t="n">
        <v>0</v>
      </c>
      <c r="O427" t="n">
        <v>0</v>
      </c>
      <c r="P427" t="n">
        <v>0</v>
      </c>
      <c r="Q427" t="n">
        <v>0</v>
      </c>
      <c r="R427" s="2" t="inlineStr"/>
    </row>
    <row r="428" ht="15" customHeight="1">
      <c r="A428" t="inlineStr">
        <is>
          <t>A 3638-2022</t>
        </is>
      </c>
      <c r="B428" s="1" t="n">
        <v>44578</v>
      </c>
      <c r="C428" s="1" t="n">
        <v>45837</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3725-2022</t>
        </is>
      </c>
      <c r="B429" s="1" t="n">
        <v>44586</v>
      </c>
      <c r="C429" s="1" t="n">
        <v>45837</v>
      </c>
      <c r="D429" t="inlineStr">
        <is>
          <t>UPPSALA LÄN</t>
        </is>
      </c>
      <c r="E429" t="inlineStr">
        <is>
          <t>ÖSTHAMMAR</t>
        </is>
      </c>
      <c r="G429" t="n">
        <v>2</v>
      </c>
      <c r="H429" t="n">
        <v>0</v>
      </c>
      <c r="I429" t="n">
        <v>0</v>
      </c>
      <c r="J429" t="n">
        <v>0</v>
      </c>
      <c r="K429" t="n">
        <v>0</v>
      </c>
      <c r="L429" t="n">
        <v>0</v>
      </c>
      <c r="M429" t="n">
        <v>0</v>
      </c>
      <c r="N429" t="n">
        <v>0</v>
      </c>
      <c r="O429" t="n">
        <v>0</v>
      </c>
      <c r="P429" t="n">
        <v>0</v>
      </c>
      <c r="Q429" t="n">
        <v>0</v>
      </c>
      <c r="R429" s="2" t="inlineStr"/>
    </row>
    <row r="430" ht="15" customHeight="1">
      <c r="A430" t="inlineStr">
        <is>
          <t>A 3732-2022</t>
        </is>
      </c>
      <c r="B430" s="1" t="n">
        <v>44586</v>
      </c>
      <c r="C430" s="1" t="n">
        <v>45837</v>
      </c>
      <c r="D430" t="inlineStr">
        <is>
          <t>UPPSALA LÄN</t>
        </is>
      </c>
      <c r="E430" t="inlineStr">
        <is>
          <t>ÖSTHAMMAR</t>
        </is>
      </c>
      <c r="F430" t="inlineStr">
        <is>
          <t>Bergvik skog öst AB</t>
        </is>
      </c>
      <c r="G430" t="n">
        <v>3.6</v>
      </c>
      <c r="H430" t="n">
        <v>0</v>
      </c>
      <c r="I430" t="n">
        <v>0</v>
      </c>
      <c r="J430" t="n">
        <v>0</v>
      </c>
      <c r="K430" t="n">
        <v>0</v>
      </c>
      <c r="L430" t="n">
        <v>0</v>
      </c>
      <c r="M430" t="n">
        <v>0</v>
      </c>
      <c r="N430" t="n">
        <v>0</v>
      </c>
      <c r="O430" t="n">
        <v>0</v>
      </c>
      <c r="P430" t="n">
        <v>0</v>
      </c>
      <c r="Q430" t="n">
        <v>0</v>
      </c>
      <c r="R430" s="2" t="inlineStr"/>
    </row>
    <row r="431" ht="15" customHeight="1">
      <c r="A431" t="inlineStr">
        <is>
          <t>A 3740-2022</t>
        </is>
      </c>
      <c r="B431" s="1" t="n">
        <v>44586</v>
      </c>
      <c r="C431" s="1" t="n">
        <v>45837</v>
      </c>
      <c r="D431" t="inlineStr">
        <is>
          <t>UPPSALA LÄN</t>
        </is>
      </c>
      <c r="E431" t="inlineStr">
        <is>
          <t>ÖSTHAMMAR</t>
        </is>
      </c>
      <c r="F431" t="inlineStr">
        <is>
          <t>Bergvik skog öst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3991-2022</t>
        </is>
      </c>
      <c r="B432" s="1" t="n">
        <v>44587</v>
      </c>
      <c r="C432" s="1" t="n">
        <v>45837</v>
      </c>
      <c r="D432" t="inlineStr">
        <is>
          <t>UPPSALA LÄN</t>
        </is>
      </c>
      <c r="E432" t="inlineStr">
        <is>
          <t>ÖSTHAMMAR</t>
        </is>
      </c>
      <c r="F432" t="inlineStr">
        <is>
          <t>Bergvik skog öst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4101-2022</t>
        </is>
      </c>
      <c r="B433" s="1" t="n">
        <v>44588</v>
      </c>
      <c r="C433" s="1" t="n">
        <v>45837</v>
      </c>
      <c r="D433" t="inlineStr">
        <is>
          <t>UPPSALA LÄN</t>
        </is>
      </c>
      <c r="E433" t="inlineStr">
        <is>
          <t>ÖSTHAMMAR</t>
        </is>
      </c>
      <c r="G433" t="n">
        <v>4.4</v>
      </c>
      <c r="H433" t="n">
        <v>0</v>
      </c>
      <c r="I433" t="n">
        <v>0</v>
      </c>
      <c r="J433" t="n">
        <v>0</v>
      </c>
      <c r="K433" t="n">
        <v>0</v>
      </c>
      <c r="L433" t="n">
        <v>0</v>
      </c>
      <c r="M433" t="n">
        <v>0</v>
      </c>
      <c r="N433" t="n">
        <v>0</v>
      </c>
      <c r="O433" t="n">
        <v>0</v>
      </c>
      <c r="P433" t="n">
        <v>0</v>
      </c>
      <c r="Q433" t="n">
        <v>0</v>
      </c>
      <c r="R433" s="2" t="inlineStr"/>
    </row>
    <row r="434" ht="15" customHeight="1">
      <c r="A434" t="inlineStr">
        <is>
          <t>A 4318-2022</t>
        </is>
      </c>
      <c r="B434" s="1" t="n">
        <v>44588</v>
      </c>
      <c r="C434" s="1" t="n">
        <v>45837</v>
      </c>
      <c r="D434" t="inlineStr">
        <is>
          <t>UPPSALA LÄN</t>
        </is>
      </c>
      <c r="E434" t="inlineStr">
        <is>
          <t>ÖSTHAMMAR</t>
        </is>
      </c>
      <c r="F434" t="inlineStr">
        <is>
          <t>Bergvik skog öst AB</t>
        </is>
      </c>
      <c r="G434" t="n">
        <v>9.6</v>
      </c>
      <c r="H434" t="n">
        <v>0</v>
      </c>
      <c r="I434" t="n">
        <v>0</v>
      </c>
      <c r="J434" t="n">
        <v>0</v>
      </c>
      <c r="K434" t="n">
        <v>0</v>
      </c>
      <c r="L434" t="n">
        <v>0</v>
      </c>
      <c r="M434" t="n">
        <v>0</v>
      </c>
      <c r="N434" t="n">
        <v>0</v>
      </c>
      <c r="O434" t="n">
        <v>0</v>
      </c>
      <c r="P434" t="n">
        <v>0</v>
      </c>
      <c r="Q434" t="n">
        <v>0</v>
      </c>
      <c r="R434" s="2" t="inlineStr"/>
    </row>
    <row r="435" ht="15" customHeight="1">
      <c r="A435" t="inlineStr">
        <is>
          <t>A 4315-2022</t>
        </is>
      </c>
      <c r="B435" s="1" t="n">
        <v>44588</v>
      </c>
      <c r="C435" s="1" t="n">
        <v>45837</v>
      </c>
      <c r="D435" t="inlineStr">
        <is>
          <t>UPPSALA LÄN</t>
        </is>
      </c>
      <c r="E435" t="inlineStr">
        <is>
          <t>ÖSTHAMMAR</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4491-2022</t>
        </is>
      </c>
      <c r="B436" s="1" t="n">
        <v>44589</v>
      </c>
      <c r="C436" s="1" t="n">
        <v>45837</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4357-2022</t>
        </is>
      </c>
      <c r="B437" s="1" t="n">
        <v>44589</v>
      </c>
      <c r="C437" s="1" t="n">
        <v>45837</v>
      </c>
      <c r="D437" t="inlineStr">
        <is>
          <t>UPPSALA LÄN</t>
        </is>
      </c>
      <c r="E437" t="inlineStr">
        <is>
          <t>ÖSTHAMMAR</t>
        </is>
      </c>
      <c r="G437" t="n">
        <v>0.7</v>
      </c>
      <c r="H437" t="n">
        <v>0</v>
      </c>
      <c r="I437" t="n">
        <v>0</v>
      </c>
      <c r="J437" t="n">
        <v>0</v>
      </c>
      <c r="K437" t="n">
        <v>0</v>
      </c>
      <c r="L437" t="n">
        <v>0</v>
      </c>
      <c r="M437" t="n">
        <v>0</v>
      </c>
      <c r="N437" t="n">
        <v>0</v>
      </c>
      <c r="O437" t="n">
        <v>0</v>
      </c>
      <c r="P437" t="n">
        <v>0</v>
      </c>
      <c r="Q437" t="n">
        <v>0</v>
      </c>
      <c r="R437" s="2" t="inlineStr"/>
    </row>
    <row r="438" ht="15" customHeight="1">
      <c r="A438" t="inlineStr">
        <is>
          <t>A 4563-2022</t>
        </is>
      </c>
      <c r="B438" s="1" t="n">
        <v>44591</v>
      </c>
      <c r="C438" s="1" t="n">
        <v>45837</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4562-2022</t>
        </is>
      </c>
      <c r="B439" s="1" t="n">
        <v>44591</v>
      </c>
      <c r="C439" s="1" t="n">
        <v>45837</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4561-2022</t>
        </is>
      </c>
      <c r="B440" s="1" t="n">
        <v>44591</v>
      </c>
      <c r="C440" s="1" t="n">
        <v>45837</v>
      </c>
      <c r="D440" t="inlineStr">
        <is>
          <t>UPPSALA LÄN</t>
        </is>
      </c>
      <c r="E440" t="inlineStr">
        <is>
          <t>ÖSTHAMMAR</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v>
      </c>
      <c r="C441" s="1" t="n">
        <v>45837</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4565-2022</t>
        </is>
      </c>
      <c r="B442" s="1" t="n">
        <v>44591</v>
      </c>
      <c r="C442" s="1" t="n">
        <v>45837</v>
      </c>
      <c r="D442" t="inlineStr">
        <is>
          <t>UPPSALA LÄN</t>
        </is>
      </c>
      <c r="E442" t="inlineStr">
        <is>
          <t>ÖSTHAMMAR</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5855-2022</t>
        </is>
      </c>
      <c r="B443" s="1" t="n">
        <v>44596</v>
      </c>
      <c r="C443" s="1" t="n">
        <v>45837</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5974-2022</t>
        </is>
      </c>
      <c r="B444" s="1" t="n">
        <v>44597</v>
      </c>
      <c r="C444" s="1" t="n">
        <v>45837</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5933-2022</t>
        </is>
      </c>
      <c r="B445" s="1" t="n">
        <v>44598</v>
      </c>
      <c r="C445" s="1" t="n">
        <v>45837</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5934-2022</t>
        </is>
      </c>
      <c r="B446" s="1" t="n">
        <v>44598</v>
      </c>
      <c r="C446" s="1" t="n">
        <v>45837</v>
      </c>
      <c r="D446" t="inlineStr">
        <is>
          <t>UPPSALA LÄN</t>
        </is>
      </c>
      <c r="E446" t="inlineStr">
        <is>
          <t>ÖSTHAMMAR</t>
        </is>
      </c>
      <c r="F446" t="inlineStr">
        <is>
          <t>Bergvik skog öst AB</t>
        </is>
      </c>
      <c r="G446" t="n">
        <v>2.4</v>
      </c>
      <c r="H446" t="n">
        <v>0</v>
      </c>
      <c r="I446" t="n">
        <v>0</v>
      </c>
      <c r="J446" t="n">
        <v>0</v>
      </c>
      <c r="K446" t="n">
        <v>0</v>
      </c>
      <c r="L446" t="n">
        <v>0</v>
      </c>
      <c r="M446" t="n">
        <v>0</v>
      </c>
      <c r="N446" t="n">
        <v>0</v>
      </c>
      <c r="O446" t="n">
        <v>0</v>
      </c>
      <c r="P446" t="n">
        <v>0</v>
      </c>
      <c r="Q446" t="n">
        <v>0</v>
      </c>
      <c r="R446" s="2" t="inlineStr"/>
    </row>
    <row r="447" ht="15" customHeight="1">
      <c r="A447" t="inlineStr">
        <is>
          <t>A 5932-2022</t>
        </is>
      </c>
      <c r="B447" s="1" t="n">
        <v>44598</v>
      </c>
      <c r="C447" s="1" t="n">
        <v>45837</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5931-2022</t>
        </is>
      </c>
      <c r="B448" s="1" t="n">
        <v>44598</v>
      </c>
      <c r="C448" s="1" t="n">
        <v>45837</v>
      </c>
      <c r="D448" t="inlineStr">
        <is>
          <t>UPPSALA LÄN</t>
        </is>
      </c>
      <c r="E448" t="inlineStr">
        <is>
          <t>ÖSTHAMMAR</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6143-2022</t>
        </is>
      </c>
      <c r="B449" s="1" t="n">
        <v>44599</v>
      </c>
      <c r="C449" s="1" t="n">
        <v>45837</v>
      </c>
      <c r="D449" t="inlineStr">
        <is>
          <t>UPPSALA LÄN</t>
        </is>
      </c>
      <c r="E449" t="inlineStr">
        <is>
          <t>ÖSTHAMMAR</t>
        </is>
      </c>
      <c r="G449" t="n">
        <v>3.4</v>
      </c>
      <c r="H449" t="n">
        <v>0</v>
      </c>
      <c r="I449" t="n">
        <v>0</v>
      </c>
      <c r="J449" t="n">
        <v>0</v>
      </c>
      <c r="K449" t="n">
        <v>0</v>
      </c>
      <c r="L449" t="n">
        <v>0</v>
      </c>
      <c r="M449" t="n">
        <v>0</v>
      </c>
      <c r="N449" t="n">
        <v>0</v>
      </c>
      <c r="O449" t="n">
        <v>0</v>
      </c>
      <c r="P449" t="n">
        <v>0</v>
      </c>
      <c r="Q449" t="n">
        <v>0</v>
      </c>
      <c r="R449" s="2" t="inlineStr"/>
    </row>
    <row r="450" ht="15" customHeight="1">
      <c r="A450" t="inlineStr">
        <is>
          <t>A 6153-2022</t>
        </is>
      </c>
      <c r="B450" s="1" t="n">
        <v>44599</v>
      </c>
      <c r="C450" s="1" t="n">
        <v>45837</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6206-2022</t>
        </is>
      </c>
      <c r="B451" s="1" t="n">
        <v>44600</v>
      </c>
      <c r="C451" s="1" t="n">
        <v>45837</v>
      </c>
      <c r="D451" t="inlineStr">
        <is>
          <t>UPPSALA LÄN</t>
        </is>
      </c>
      <c r="E451" t="inlineStr">
        <is>
          <t>ÖSTHAMMAR</t>
        </is>
      </c>
      <c r="G451" t="n">
        <v>7.4</v>
      </c>
      <c r="H451" t="n">
        <v>0</v>
      </c>
      <c r="I451" t="n">
        <v>0</v>
      </c>
      <c r="J451" t="n">
        <v>0</v>
      </c>
      <c r="K451" t="n">
        <v>0</v>
      </c>
      <c r="L451" t="n">
        <v>0</v>
      </c>
      <c r="M451" t="n">
        <v>0</v>
      </c>
      <c r="N451" t="n">
        <v>0</v>
      </c>
      <c r="O451" t="n">
        <v>0</v>
      </c>
      <c r="P451" t="n">
        <v>0</v>
      </c>
      <c r="Q451" t="n">
        <v>0</v>
      </c>
      <c r="R451" s="2" t="inlineStr"/>
    </row>
    <row r="452" ht="15" customHeight="1">
      <c r="A452" t="inlineStr">
        <is>
          <t>A 6313-2022</t>
        </is>
      </c>
      <c r="B452" s="1" t="n">
        <v>44600</v>
      </c>
      <c r="C452" s="1" t="n">
        <v>45837</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6892-2022</t>
        </is>
      </c>
      <c r="B453" s="1" t="n">
        <v>44602</v>
      </c>
      <c r="C453" s="1" t="n">
        <v>45837</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7181-2022</t>
        </is>
      </c>
      <c r="B454" s="1" t="n">
        <v>44605</v>
      </c>
      <c r="C454" s="1" t="n">
        <v>45837</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7302-2022</t>
        </is>
      </c>
      <c r="B455" s="1" t="n">
        <v>44606</v>
      </c>
      <c r="C455" s="1" t="n">
        <v>45837</v>
      </c>
      <c r="D455" t="inlineStr">
        <is>
          <t>UPPSALA LÄN</t>
        </is>
      </c>
      <c r="E455" t="inlineStr">
        <is>
          <t>ÖSTHAMMAR</t>
        </is>
      </c>
      <c r="G455" t="n">
        <v>4</v>
      </c>
      <c r="H455" t="n">
        <v>0</v>
      </c>
      <c r="I455" t="n">
        <v>0</v>
      </c>
      <c r="J455" t="n">
        <v>0</v>
      </c>
      <c r="K455" t="n">
        <v>0</v>
      </c>
      <c r="L455" t="n">
        <v>0</v>
      </c>
      <c r="M455" t="n">
        <v>0</v>
      </c>
      <c r="N455" t="n">
        <v>0</v>
      </c>
      <c r="O455" t="n">
        <v>0</v>
      </c>
      <c r="P455" t="n">
        <v>0</v>
      </c>
      <c r="Q455" t="n">
        <v>0</v>
      </c>
      <c r="R455" s="2" t="inlineStr"/>
    </row>
    <row r="456" ht="15" customHeight="1">
      <c r="A456" t="inlineStr">
        <is>
          <t>A 7475-2022</t>
        </is>
      </c>
      <c r="B456" s="1" t="n">
        <v>44607</v>
      </c>
      <c r="C456" s="1" t="n">
        <v>45837</v>
      </c>
      <c r="D456" t="inlineStr">
        <is>
          <t>UPPSALA LÄN</t>
        </is>
      </c>
      <c r="E456" t="inlineStr">
        <is>
          <t>ÖSTHAMMAR</t>
        </is>
      </c>
      <c r="G456" t="n">
        <v>2.2</v>
      </c>
      <c r="H456" t="n">
        <v>0</v>
      </c>
      <c r="I456" t="n">
        <v>0</v>
      </c>
      <c r="J456" t="n">
        <v>0</v>
      </c>
      <c r="K456" t="n">
        <v>0</v>
      </c>
      <c r="L456" t="n">
        <v>0</v>
      </c>
      <c r="M456" t="n">
        <v>0</v>
      </c>
      <c r="N456" t="n">
        <v>0</v>
      </c>
      <c r="O456" t="n">
        <v>0</v>
      </c>
      <c r="P456" t="n">
        <v>0</v>
      </c>
      <c r="Q456" t="n">
        <v>0</v>
      </c>
      <c r="R456" s="2" t="inlineStr"/>
    </row>
    <row r="457" ht="15" customHeight="1">
      <c r="A457" t="inlineStr">
        <is>
          <t>A 7488-2022</t>
        </is>
      </c>
      <c r="B457" s="1" t="n">
        <v>44607</v>
      </c>
      <c r="C457" s="1" t="n">
        <v>45837</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7858-2022</t>
        </is>
      </c>
      <c r="B458" s="1" t="n">
        <v>44608</v>
      </c>
      <c r="C458" s="1" t="n">
        <v>45837</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7871-2022</t>
        </is>
      </c>
      <c r="B459" s="1" t="n">
        <v>44608</v>
      </c>
      <c r="C459" s="1" t="n">
        <v>45837</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7997-2022</t>
        </is>
      </c>
      <c r="B460" s="1" t="n">
        <v>44609</v>
      </c>
      <c r="C460" s="1" t="n">
        <v>45837</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8283-2022</t>
        </is>
      </c>
      <c r="B461" s="1" t="n">
        <v>44610</v>
      </c>
      <c r="C461" s="1" t="n">
        <v>45837</v>
      </c>
      <c r="D461" t="inlineStr">
        <is>
          <t>UPPSALA LÄN</t>
        </is>
      </c>
      <c r="E461" t="inlineStr">
        <is>
          <t>ÖSTHAMMAR</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45837</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8708-2022</t>
        </is>
      </c>
      <c r="B463" s="1" t="n">
        <v>44613</v>
      </c>
      <c r="C463" s="1" t="n">
        <v>45837</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8710-2022</t>
        </is>
      </c>
      <c r="B464" s="1" t="n">
        <v>44613</v>
      </c>
      <c r="C464" s="1" t="n">
        <v>45837</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8537-2022</t>
        </is>
      </c>
      <c r="B465" s="1" t="n">
        <v>44613</v>
      </c>
      <c r="C465" s="1" t="n">
        <v>45837</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8554-2022</t>
        </is>
      </c>
      <c r="B466" s="1" t="n">
        <v>44613</v>
      </c>
      <c r="C466" s="1" t="n">
        <v>45837</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8556-2022</t>
        </is>
      </c>
      <c r="B467" s="1" t="n">
        <v>44613</v>
      </c>
      <c r="C467" s="1" t="n">
        <v>45837</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8775-2022</t>
        </is>
      </c>
      <c r="B468" s="1" t="n">
        <v>44614</v>
      </c>
      <c r="C468" s="1" t="n">
        <v>45837</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8750-2022</t>
        </is>
      </c>
      <c r="B469" s="1" t="n">
        <v>44614</v>
      </c>
      <c r="C469" s="1" t="n">
        <v>45837</v>
      </c>
      <c r="D469" t="inlineStr">
        <is>
          <t>UPPSALA LÄN</t>
        </is>
      </c>
      <c r="E469" t="inlineStr">
        <is>
          <t>ÖSTHAMMAR</t>
        </is>
      </c>
      <c r="G469" t="n">
        <v>1.6</v>
      </c>
      <c r="H469" t="n">
        <v>0</v>
      </c>
      <c r="I469" t="n">
        <v>0</v>
      </c>
      <c r="J469" t="n">
        <v>0</v>
      </c>
      <c r="K469" t="n">
        <v>0</v>
      </c>
      <c r="L469" t="n">
        <v>0</v>
      </c>
      <c r="M469" t="n">
        <v>0</v>
      </c>
      <c r="N469" t="n">
        <v>0</v>
      </c>
      <c r="O469" t="n">
        <v>0</v>
      </c>
      <c r="P469" t="n">
        <v>0</v>
      </c>
      <c r="Q469" t="n">
        <v>0</v>
      </c>
      <c r="R469" s="2" t="inlineStr"/>
    </row>
    <row r="470" ht="15" customHeight="1">
      <c r="A470" t="inlineStr">
        <is>
          <t>A 9755-2022</t>
        </is>
      </c>
      <c r="B470" s="1" t="n">
        <v>44618</v>
      </c>
      <c r="C470" s="1" t="n">
        <v>45837</v>
      </c>
      <c r="D470" t="inlineStr">
        <is>
          <t>UPPSALA LÄN</t>
        </is>
      </c>
      <c r="E470" t="inlineStr">
        <is>
          <t>ÖSTHAMMAR</t>
        </is>
      </c>
      <c r="F470" t="inlineStr">
        <is>
          <t>Bergvik skog öst AB</t>
        </is>
      </c>
      <c r="G470" t="n">
        <v>13.9</v>
      </c>
      <c r="H470" t="n">
        <v>0</v>
      </c>
      <c r="I470" t="n">
        <v>0</v>
      </c>
      <c r="J470" t="n">
        <v>0</v>
      </c>
      <c r="K470" t="n">
        <v>0</v>
      </c>
      <c r="L470" t="n">
        <v>0</v>
      </c>
      <c r="M470" t="n">
        <v>0</v>
      </c>
      <c r="N470" t="n">
        <v>0</v>
      </c>
      <c r="O470" t="n">
        <v>0</v>
      </c>
      <c r="P470" t="n">
        <v>0</v>
      </c>
      <c r="Q470" t="n">
        <v>0</v>
      </c>
      <c r="R470" s="2" t="inlineStr"/>
    </row>
    <row r="471" ht="15" customHeight="1">
      <c r="A471" t="inlineStr">
        <is>
          <t>A 9789-2022</t>
        </is>
      </c>
      <c r="B471" s="1" t="n">
        <v>44620</v>
      </c>
      <c r="C471" s="1" t="n">
        <v>45837</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9795-2022</t>
        </is>
      </c>
      <c r="B472" s="1" t="n">
        <v>44620</v>
      </c>
      <c r="C472" s="1" t="n">
        <v>45837</v>
      </c>
      <c r="D472" t="inlineStr">
        <is>
          <t>UPPSALA LÄN</t>
        </is>
      </c>
      <c r="E472" t="inlineStr">
        <is>
          <t>ÖSTHAMMAR</t>
        </is>
      </c>
      <c r="G472" t="n">
        <v>1.3</v>
      </c>
      <c r="H472" t="n">
        <v>0</v>
      </c>
      <c r="I472" t="n">
        <v>0</v>
      </c>
      <c r="J472" t="n">
        <v>0</v>
      </c>
      <c r="K472" t="n">
        <v>0</v>
      </c>
      <c r="L472" t="n">
        <v>0</v>
      </c>
      <c r="M472" t="n">
        <v>0</v>
      </c>
      <c r="N472" t="n">
        <v>0</v>
      </c>
      <c r="O472" t="n">
        <v>0</v>
      </c>
      <c r="P472" t="n">
        <v>0</v>
      </c>
      <c r="Q472" t="n">
        <v>0</v>
      </c>
      <c r="R472" s="2" t="inlineStr"/>
    </row>
    <row r="473" ht="15" customHeight="1">
      <c r="A473" t="inlineStr">
        <is>
          <t>A 10287-2022</t>
        </is>
      </c>
      <c r="B473" s="1" t="n">
        <v>44622</v>
      </c>
      <c r="C473" s="1" t="n">
        <v>45837</v>
      </c>
      <c r="D473" t="inlineStr">
        <is>
          <t>UPPSALA LÄN</t>
        </is>
      </c>
      <c r="E473" t="inlineStr">
        <is>
          <t>ÖSTHAMMAR</t>
        </is>
      </c>
      <c r="F473" t="inlineStr">
        <is>
          <t>Bergvik skog öst AB</t>
        </is>
      </c>
      <c r="G473" t="n">
        <v>0.2</v>
      </c>
      <c r="H473" t="n">
        <v>0</v>
      </c>
      <c r="I473" t="n">
        <v>0</v>
      </c>
      <c r="J473" t="n">
        <v>0</v>
      </c>
      <c r="K473" t="n">
        <v>0</v>
      </c>
      <c r="L473" t="n">
        <v>0</v>
      </c>
      <c r="M473" t="n">
        <v>0</v>
      </c>
      <c r="N473" t="n">
        <v>0</v>
      </c>
      <c r="O473" t="n">
        <v>0</v>
      </c>
      <c r="P473" t="n">
        <v>0</v>
      </c>
      <c r="Q473" t="n">
        <v>0</v>
      </c>
      <c r="R473" s="2" t="inlineStr"/>
    </row>
    <row r="474" ht="15" customHeight="1">
      <c r="A474" t="inlineStr">
        <is>
          <t>A 10294-2022</t>
        </is>
      </c>
      <c r="B474" s="1" t="n">
        <v>44622</v>
      </c>
      <c r="C474" s="1" t="n">
        <v>45837</v>
      </c>
      <c r="D474" t="inlineStr">
        <is>
          <t>UPPSALA LÄN</t>
        </is>
      </c>
      <c r="E474" t="inlineStr">
        <is>
          <t>ÖSTHAMMAR</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10288-2022</t>
        </is>
      </c>
      <c r="B475" s="1" t="n">
        <v>44622</v>
      </c>
      <c r="C475" s="1" t="n">
        <v>45837</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10298-2022</t>
        </is>
      </c>
      <c r="B476" s="1" t="n">
        <v>44622</v>
      </c>
      <c r="C476" s="1" t="n">
        <v>45837</v>
      </c>
      <c r="D476" t="inlineStr">
        <is>
          <t>UPPSALA LÄN</t>
        </is>
      </c>
      <c r="E476" t="inlineStr">
        <is>
          <t>ÖSTHAMMAR</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10980-2022</t>
        </is>
      </c>
      <c r="B477" s="1" t="n">
        <v>44628</v>
      </c>
      <c r="C477" s="1" t="n">
        <v>45837</v>
      </c>
      <c r="D477" t="inlineStr">
        <is>
          <t>UPPSALA LÄN</t>
        </is>
      </c>
      <c r="E477" t="inlineStr">
        <is>
          <t>ÖSTHAMMAR</t>
        </is>
      </c>
      <c r="G477" t="n">
        <v>7.4</v>
      </c>
      <c r="H477" t="n">
        <v>0</v>
      </c>
      <c r="I477" t="n">
        <v>0</v>
      </c>
      <c r="J477" t="n">
        <v>0</v>
      </c>
      <c r="K477" t="n">
        <v>0</v>
      </c>
      <c r="L477" t="n">
        <v>0</v>
      </c>
      <c r="M477" t="n">
        <v>0</v>
      </c>
      <c r="N477" t="n">
        <v>0</v>
      </c>
      <c r="O477" t="n">
        <v>0</v>
      </c>
      <c r="P477" t="n">
        <v>0</v>
      </c>
      <c r="Q477" t="n">
        <v>0</v>
      </c>
      <c r="R477" s="2" t="inlineStr"/>
    </row>
    <row r="478" ht="15" customHeight="1">
      <c r="A478" t="inlineStr">
        <is>
          <t>A 11547-2022</t>
        </is>
      </c>
      <c r="B478" s="1" t="n">
        <v>44631</v>
      </c>
      <c r="C478" s="1" t="n">
        <v>45837</v>
      </c>
      <c r="D478" t="inlineStr">
        <is>
          <t>UPPSALA LÄN</t>
        </is>
      </c>
      <c r="E478" t="inlineStr">
        <is>
          <t>ÖSTHAMMAR</t>
        </is>
      </c>
      <c r="G478" t="n">
        <v>4.4</v>
      </c>
      <c r="H478" t="n">
        <v>0</v>
      </c>
      <c r="I478" t="n">
        <v>0</v>
      </c>
      <c r="J478" t="n">
        <v>0</v>
      </c>
      <c r="K478" t="n">
        <v>0</v>
      </c>
      <c r="L478" t="n">
        <v>0</v>
      </c>
      <c r="M478" t="n">
        <v>0</v>
      </c>
      <c r="N478" t="n">
        <v>0</v>
      </c>
      <c r="O478" t="n">
        <v>0</v>
      </c>
      <c r="P478" t="n">
        <v>0</v>
      </c>
      <c r="Q478" t="n">
        <v>0</v>
      </c>
      <c r="R478" s="2" t="inlineStr"/>
    </row>
    <row r="479" ht="15" customHeight="1">
      <c r="A479" t="inlineStr">
        <is>
          <t>A 11643-2022</t>
        </is>
      </c>
      <c r="B479" s="1" t="n">
        <v>44631</v>
      </c>
      <c r="C479" s="1" t="n">
        <v>45837</v>
      </c>
      <c r="D479" t="inlineStr">
        <is>
          <t>UPPSALA LÄN</t>
        </is>
      </c>
      <c r="E479" t="inlineStr">
        <is>
          <t>ÖSTHAMMAR</t>
        </is>
      </c>
      <c r="F479" t="inlineStr">
        <is>
          <t>Bergvik skog öst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11884-2022</t>
        </is>
      </c>
      <c r="B480" s="1" t="n">
        <v>44635</v>
      </c>
      <c r="C480" s="1" t="n">
        <v>45837</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11987-2022</t>
        </is>
      </c>
      <c r="B481" s="1" t="n">
        <v>44635</v>
      </c>
      <c r="C481" s="1" t="n">
        <v>45837</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11986-2022</t>
        </is>
      </c>
      <c r="B482" s="1" t="n">
        <v>44635</v>
      </c>
      <c r="C482" s="1" t="n">
        <v>45837</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12176-2022</t>
        </is>
      </c>
      <c r="B483" s="1" t="n">
        <v>44636</v>
      </c>
      <c r="C483" s="1" t="n">
        <v>45837</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12999-2022</t>
        </is>
      </c>
      <c r="B484" s="1" t="n">
        <v>44643</v>
      </c>
      <c r="C484" s="1" t="n">
        <v>45837</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13044-2022</t>
        </is>
      </c>
      <c r="B485" s="1" t="n">
        <v>44643</v>
      </c>
      <c r="C485" s="1" t="n">
        <v>45837</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13093-2022</t>
        </is>
      </c>
      <c r="B486" s="1" t="n">
        <v>44643</v>
      </c>
      <c r="C486" s="1" t="n">
        <v>45837</v>
      </c>
      <c r="D486" t="inlineStr">
        <is>
          <t>UPPSALA LÄN</t>
        </is>
      </c>
      <c r="E486" t="inlineStr">
        <is>
          <t>ÖSTHAMMAR</t>
        </is>
      </c>
      <c r="F486" t="inlineStr">
        <is>
          <t>Bergvik skog öst AB</t>
        </is>
      </c>
      <c r="G486" t="n">
        <v>3.2</v>
      </c>
      <c r="H486" t="n">
        <v>0</v>
      </c>
      <c r="I486" t="n">
        <v>0</v>
      </c>
      <c r="J486" t="n">
        <v>0</v>
      </c>
      <c r="K486" t="n">
        <v>0</v>
      </c>
      <c r="L486" t="n">
        <v>0</v>
      </c>
      <c r="M486" t="n">
        <v>0</v>
      </c>
      <c r="N486" t="n">
        <v>0</v>
      </c>
      <c r="O486" t="n">
        <v>0</v>
      </c>
      <c r="P486" t="n">
        <v>0</v>
      </c>
      <c r="Q486" t="n">
        <v>0</v>
      </c>
      <c r="R486" s="2" t="inlineStr"/>
    </row>
    <row r="487" ht="15" customHeight="1">
      <c r="A487" t="inlineStr">
        <is>
          <t>A 13238-2022</t>
        </is>
      </c>
      <c r="B487" s="1" t="n">
        <v>44644</v>
      </c>
      <c r="C487" s="1" t="n">
        <v>45837</v>
      </c>
      <c r="D487" t="inlineStr">
        <is>
          <t>UPPSALA LÄN</t>
        </is>
      </c>
      <c r="E487" t="inlineStr">
        <is>
          <t>ÖSTHAMMAR</t>
        </is>
      </c>
      <c r="G487" t="n">
        <v>6.5</v>
      </c>
      <c r="H487" t="n">
        <v>0</v>
      </c>
      <c r="I487" t="n">
        <v>0</v>
      </c>
      <c r="J487" t="n">
        <v>0</v>
      </c>
      <c r="K487" t="n">
        <v>0</v>
      </c>
      <c r="L487" t="n">
        <v>0</v>
      </c>
      <c r="M487" t="n">
        <v>0</v>
      </c>
      <c r="N487" t="n">
        <v>0</v>
      </c>
      <c r="O487" t="n">
        <v>0</v>
      </c>
      <c r="P487" t="n">
        <v>0</v>
      </c>
      <c r="Q487" t="n">
        <v>0</v>
      </c>
      <c r="R487" s="2" t="inlineStr"/>
    </row>
    <row r="488" ht="15" customHeight="1">
      <c r="A488" t="inlineStr">
        <is>
          <t>A 13279-2022</t>
        </is>
      </c>
      <c r="B488" s="1" t="n">
        <v>44644</v>
      </c>
      <c r="C488" s="1" t="n">
        <v>45837</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13867-2022</t>
        </is>
      </c>
      <c r="B489" s="1" t="n">
        <v>44649</v>
      </c>
      <c r="C489" s="1" t="n">
        <v>45837</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14272-2022</t>
        </is>
      </c>
      <c r="B490" s="1" t="n">
        <v>44651</v>
      </c>
      <c r="C490" s="1" t="n">
        <v>45837</v>
      </c>
      <c r="D490" t="inlineStr">
        <is>
          <t>UPPSALA LÄN</t>
        </is>
      </c>
      <c r="E490" t="inlineStr">
        <is>
          <t>ÖSTHAMMAR</t>
        </is>
      </c>
      <c r="F490" t="inlineStr">
        <is>
          <t>Bergvik skog öst AB</t>
        </is>
      </c>
      <c r="G490" t="n">
        <v>3.1</v>
      </c>
      <c r="H490" t="n">
        <v>0</v>
      </c>
      <c r="I490" t="n">
        <v>0</v>
      </c>
      <c r="J490" t="n">
        <v>0</v>
      </c>
      <c r="K490" t="n">
        <v>0</v>
      </c>
      <c r="L490" t="n">
        <v>0</v>
      </c>
      <c r="M490" t="n">
        <v>0</v>
      </c>
      <c r="N490" t="n">
        <v>0</v>
      </c>
      <c r="O490" t="n">
        <v>0</v>
      </c>
      <c r="P490" t="n">
        <v>0</v>
      </c>
      <c r="Q490" t="n">
        <v>0</v>
      </c>
      <c r="R490" s="2" t="inlineStr"/>
    </row>
    <row r="491" ht="15" customHeight="1">
      <c r="A491" t="inlineStr">
        <is>
          <t>A 14124-2022</t>
        </is>
      </c>
      <c r="B491" s="1" t="n">
        <v>44651</v>
      </c>
      <c r="C491" s="1" t="n">
        <v>45837</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14187-2022</t>
        </is>
      </c>
      <c r="B492" s="1" t="n">
        <v>44651</v>
      </c>
      <c r="C492" s="1" t="n">
        <v>45837</v>
      </c>
      <c r="D492" t="inlineStr">
        <is>
          <t>UPPSALA LÄN</t>
        </is>
      </c>
      <c r="E492" t="inlineStr">
        <is>
          <t>ÖSTHAMMAR</t>
        </is>
      </c>
      <c r="F492" t="inlineStr">
        <is>
          <t>Övriga Aktiebolag</t>
        </is>
      </c>
      <c r="G492" t="n">
        <v>14.1</v>
      </c>
      <c r="H492" t="n">
        <v>0</v>
      </c>
      <c r="I492" t="n">
        <v>0</v>
      </c>
      <c r="J492" t="n">
        <v>0</v>
      </c>
      <c r="K492" t="n">
        <v>0</v>
      </c>
      <c r="L492" t="n">
        <v>0</v>
      </c>
      <c r="M492" t="n">
        <v>0</v>
      </c>
      <c r="N492" t="n">
        <v>0</v>
      </c>
      <c r="O492" t="n">
        <v>0</v>
      </c>
      <c r="P492" t="n">
        <v>0</v>
      </c>
      <c r="Q492" t="n">
        <v>0</v>
      </c>
      <c r="R492" s="2" t="inlineStr"/>
    </row>
    <row r="493" ht="15" customHeight="1">
      <c r="A493" t="inlineStr">
        <is>
          <t>A 14271-2022</t>
        </is>
      </c>
      <c r="B493" s="1" t="n">
        <v>44651</v>
      </c>
      <c r="C493" s="1" t="n">
        <v>45837</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14671-2022</t>
        </is>
      </c>
      <c r="B494" s="1" t="n">
        <v>44655</v>
      </c>
      <c r="C494" s="1" t="n">
        <v>45837</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15064-2022</t>
        </is>
      </c>
      <c r="B495" s="1" t="n">
        <v>44657</v>
      </c>
      <c r="C495" s="1" t="n">
        <v>45837</v>
      </c>
      <c r="D495" t="inlineStr">
        <is>
          <t>UPPSALA LÄN</t>
        </is>
      </c>
      <c r="E495" t="inlineStr">
        <is>
          <t>ÖSTHAMMAR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15311-2022</t>
        </is>
      </c>
      <c r="B496" s="1" t="n">
        <v>44659</v>
      </c>
      <c r="C496" s="1" t="n">
        <v>45837</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15334-2022</t>
        </is>
      </c>
      <c r="B497" s="1" t="n">
        <v>44659</v>
      </c>
      <c r="C497" s="1" t="n">
        <v>45837</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15447-2022</t>
        </is>
      </c>
      <c r="B498" s="1" t="n">
        <v>44660</v>
      </c>
      <c r="C498" s="1" t="n">
        <v>45837</v>
      </c>
      <c r="D498" t="inlineStr">
        <is>
          <t>UPPSALA LÄN</t>
        </is>
      </c>
      <c r="E498" t="inlineStr">
        <is>
          <t>ÖSTHAMMAR</t>
        </is>
      </c>
      <c r="F498" t="inlineStr">
        <is>
          <t>Bergvik skog öst AB</t>
        </is>
      </c>
      <c r="G498" t="n">
        <v>2.2</v>
      </c>
      <c r="H498" t="n">
        <v>0</v>
      </c>
      <c r="I498" t="n">
        <v>0</v>
      </c>
      <c r="J498" t="n">
        <v>0</v>
      </c>
      <c r="K498" t="n">
        <v>0</v>
      </c>
      <c r="L498" t="n">
        <v>0</v>
      </c>
      <c r="M498" t="n">
        <v>0</v>
      </c>
      <c r="N498" t="n">
        <v>0</v>
      </c>
      <c r="O498" t="n">
        <v>0</v>
      </c>
      <c r="P498" t="n">
        <v>0</v>
      </c>
      <c r="Q498" t="n">
        <v>0</v>
      </c>
      <c r="R498" s="2" t="inlineStr"/>
    </row>
    <row r="499" ht="15" customHeight="1">
      <c r="A499" t="inlineStr">
        <is>
          <t>A 15445-2022</t>
        </is>
      </c>
      <c r="B499" s="1" t="n">
        <v>44660</v>
      </c>
      <c r="C499" s="1" t="n">
        <v>45837</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15449-2022</t>
        </is>
      </c>
      <c r="B500" s="1" t="n">
        <v>44660</v>
      </c>
      <c r="C500" s="1" t="n">
        <v>45837</v>
      </c>
      <c r="D500" t="inlineStr">
        <is>
          <t>UPPSALA LÄN</t>
        </is>
      </c>
      <c r="E500" t="inlineStr">
        <is>
          <t>ÖSTHAMMAR</t>
        </is>
      </c>
      <c r="F500" t="inlineStr">
        <is>
          <t>Bergvik skog öst AB</t>
        </is>
      </c>
      <c r="G500" t="n">
        <v>2</v>
      </c>
      <c r="H500" t="n">
        <v>0</v>
      </c>
      <c r="I500" t="n">
        <v>0</v>
      </c>
      <c r="J500" t="n">
        <v>0</v>
      </c>
      <c r="K500" t="n">
        <v>0</v>
      </c>
      <c r="L500" t="n">
        <v>0</v>
      </c>
      <c r="M500" t="n">
        <v>0</v>
      </c>
      <c r="N500" t="n">
        <v>0</v>
      </c>
      <c r="O500" t="n">
        <v>0</v>
      </c>
      <c r="P500" t="n">
        <v>0</v>
      </c>
      <c r="Q500" t="n">
        <v>0</v>
      </c>
      <c r="R500" s="2" t="inlineStr"/>
    </row>
    <row r="501" ht="15" customHeight="1">
      <c r="A501" t="inlineStr">
        <is>
          <t>A 15456-2022</t>
        </is>
      </c>
      <c r="B501" s="1" t="n">
        <v>44661</v>
      </c>
      <c r="C501" s="1" t="n">
        <v>45837</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15457-2022</t>
        </is>
      </c>
      <c r="B502" s="1" t="n">
        <v>44661</v>
      </c>
      <c r="C502" s="1" t="n">
        <v>45837</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45837</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15845-2022</t>
        </is>
      </c>
      <c r="B504" s="1" t="n">
        <v>44664</v>
      </c>
      <c r="C504" s="1" t="n">
        <v>45837</v>
      </c>
      <c r="D504" t="inlineStr">
        <is>
          <t>UPPSALA LÄN</t>
        </is>
      </c>
      <c r="E504" t="inlineStr">
        <is>
          <t>ÖSTHAMMAR</t>
        </is>
      </c>
      <c r="G504" t="n">
        <v>4.5</v>
      </c>
      <c r="H504" t="n">
        <v>0</v>
      </c>
      <c r="I504" t="n">
        <v>0</v>
      </c>
      <c r="J504" t="n">
        <v>0</v>
      </c>
      <c r="K504" t="n">
        <v>0</v>
      </c>
      <c r="L504" t="n">
        <v>0</v>
      </c>
      <c r="M504" t="n">
        <v>0</v>
      </c>
      <c r="N504" t="n">
        <v>0</v>
      </c>
      <c r="O504" t="n">
        <v>0</v>
      </c>
      <c r="P504" t="n">
        <v>0</v>
      </c>
      <c r="Q504" t="n">
        <v>0</v>
      </c>
      <c r="R504" s="2" t="inlineStr"/>
    </row>
    <row r="505" ht="15" customHeight="1">
      <c r="A505" t="inlineStr">
        <is>
          <t>A 15928-2022</t>
        </is>
      </c>
      <c r="B505" s="1" t="n">
        <v>44664</v>
      </c>
      <c r="C505" s="1" t="n">
        <v>45837</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16141-2022</t>
        </is>
      </c>
      <c r="B506" s="1" t="n">
        <v>44665</v>
      </c>
      <c r="C506" s="1" t="n">
        <v>45837</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16142-2022</t>
        </is>
      </c>
      <c r="B507" s="1" t="n">
        <v>44665</v>
      </c>
      <c r="C507" s="1" t="n">
        <v>45837</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16167-2022</t>
        </is>
      </c>
      <c r="B508" s="1" t="n">
        <v>44667</v>
      </c>
      <c r="C508" s="1" t="n">
        <v>45837</v>
      </c>
      <c r="D508" t="inlineStr">
        <is>
          <t>UPPSALA LÄN</t>
        </is>
      </c>
      <c r="E508" t="inlineStr">
        <is>
          <t>ÖSTHAMMAR</t>
        </is>
      </c>
      <c r="F508" t="inlineStr">
        <is>
          <t>Bergvik skog öst AB</t>
        </is>
      </c>
      <c r="G508" t="n">
        <v>18.7</v>
      </c>
      <c r="H508" t="n">
        <v>0</v>
      </c>
      <c r="I508" t="n">
        <v>0</v>
      </c>
      <c r="J508" t="n">
        <v>0</v>
      </c>
      <c r="K508" t="n">
        <v>0</v>
      </c>
      <c r="L508" t="n">
        <v>0</v>
      </c>
      <c r="M508" t="n">
        <v>0</v>
      </c>
      <c r="N508" t="n">
        <v>0</v>
      </c>
      <c r="O508" t="n">
        <v>0</v>
      </c>
      <c r="P508" t="n">
        <v>0</v>
      </c>
      <c r="Q508" t="n">
        <v>0</v>
      </c>
      <c r="R508" s="2" t="inlineStr"/>
    </row>
    <row r="509" ht="15" customHeight="1">
      <c r="A509" t="inlineStr">
        <is>
          <t>A 16185-2022</t>
        </is>
      </c>
      <c r="B509" s="1" t="n">
        <v>44669</v>
      </c>
      <c r="C509" s="1" t="n">
        <v>45837</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16184-2022</t>
        </is>
      </c>
      <c r="B510" s="1" t="n">
        <v>44669</v>
      </c>
      <c r="C510" s="1" t="n">
        <v>45837</v>
      </c>
      <c r="D510" t="inlineStr">
        <is>
          <t>UPPSALA LÄN</t>
        </is>
      </c>
      <c r="E510" t="inlineStr">
        <is>
          <t>ÖSTHAMMAR</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16254-2022</t>
        </is>
      </c>
      <c r="B511" s="1" t="n">
        <v>44670</v>
      </c>
      <c r="C511" s="1" t="n">
        <v>45837</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16933-2022</t>
        </is>
      </c>
      <c r="B512" s="1" t="n">
        <v>44676</v>
      </c>
      <c r="C512" s="1" t="n">
        <v>45837</v>
      </c>
      <c r="D512" t="inlineStr">
        <is>
          <t>UPPSALA LÄN</t>
        </is>
      </c>
      <c r="E512" t="inlineStr">
        <is>
          <t>ÖSTHAMMAR</t>
        </is>
      </c>
      <c r="G512" t="n">
        <v>1.3</v>
      </c>
      <c r="H512" t="n">
        <v>0</v>
      </c>
      <c r="I512" t="n">
        <v>0</v>
      </c>
      <c r="J512" t="n">
        <v>0</v>
      </c>
      <c r="K512" t="n">
        <v>0</v>
      </c>
      <c r="L512" t="n">
        <v>0</v>
      </c>
      <c r="M512" t="n">
        <v>0</v>
      </c>
      <c r="N512" t="n">
        <v>0</v>
      </c>
      <c r="O512" t="n">
        <v>0</v>
      </c>
      <c r="P512" t="n">
        <v>0</v>
      </c>
      <c r="Q512" t="n">
        <v>0</v>
      </c>
      <c r="R512" s="2" t="inlineStr"/>
    </row>
    <row r="513" ht="15" customHeight="1">
      <c r="A513" t="inlineStr">
        <is>
          <t>A 17013-2022</t>
        </is>
      </c>
      <c r="B513" s="1" t="n">
        <v>44676</v>
      </c>
      <c r="C513" s="1" t="n">
        <v>45837</v>
      </c>
      <c r="D513" t="inlineStr">
        <is>
          <t>UPPSALA LÄN</t>
        </is>
      </c>
      <c r="E513" t="inlineStr">
        <is>
          <t>ÖSTHAMMAR</t>
        </is>
      </c>
      <c r="F513" t="inlineStr">
        <is>
          <t>Bergvik skog öst AB</t>
        </is>
      </c>
      <c r="G513" t="n">
        <v>0.2</v>
      </c>
      <c r="H513" t="n">
        <v>0</v>
      </c>
      <c r="I513" t="n">
        <v>0</v>
      </c>
      <c r="J513" t="n">
        <v>0</v>
      </c>
      <c r="K513" t="n">
        <v>0</v>
      </c>
      <c r="L513" t="n">
        <v>0</v>
      </c>
      <c r="M513" t="n">
        <v>0</v>
      </c>
      <c r="N513" t="n">
        <v>0</v>
      </c>
      <c r="O513" t="n">
        <v>0</v>
      </c>
      <c r="P513" t="n">
        <v>0</v>
      </c>
      <c r="Q513" t="n">
        <v>0</v>
      </c>
      <c r="R513" s="2" t="inlineStr"/>
    </row>
    <row r="514" ht="15" customHeight="1">
      <c r="A514" t="inlineStr">
        <is>
          <t>A 17947-2022</t>
        </is>
      </c>
      <c r="B514" s="1" t="n">
        <v>44683</v>
      </c>
      <c r="C514" s="1" t="n">
        <v>45837</v>
      </c>
      <c r="D514" t="inlineStr">
        <is>
          <t>UPPSALA LÄN</t>
        </is>
      </c>
      <c r="E514" t="inlineStr">
        <is>
          <t>ÖSTHAMMAR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18183-2022</t>
        </is>
      </c>
      <c r="B515" s="1" t="n">
        <v>44684</v>
      </c>
      <c r="C515" s="1" t="n">
        <v>45837</v>
      </c>
      <c r="D515" t="inlineStr">
        <is>
          <t>UPPSALA LÄN</t>
        </is>
      </c>
      <c r="E515" t="inlineStr">
        <is>
          <t>ÖSTHAMMAR</t>
        </is>
      </c>
      <c r="G515" t="n">
        <v>0.2</v>
      </c>
      <c r="H515" t="n">
        <v>0</v>
      </c>
      <c r="I515" t="n">
        <v>0</v>
      </c>
      <c r="J515" t="n">
        <v>0</v>
      </c>
      <c r="K515" t="n">
        <v>0</v>
      </c>
      <c r="L515" t="n">
        <v>0</v>
      </c>
      <c r="M515" t="n">
        <v>0</v>
      </c>
      <c r="N515" t="n">
        <v>0</v>
      </c>
      <c r="O515" t="n">
        <v>0</v>
      </c>
      <c r="P515" t="n">
        <v>0</v>
      </c>
      <c r="Q515" t="n">
        <v>0</v>
      </c>
      <c r="R515" s="2" t="inlineStr"/>
    </row>
    <row r="516" ht="15" customHeight="1">
      <c r="A516" t="inlineStr">
        <is>
          <t>A 18732-2022</t>
        </is>
      </c>
      <c r="B516" s="1" t="n">
        <v>44687</v>
      </c>
      <c r="C516" s="1" t="n">
        <v>45837</v>
      </c>
      <c r="D516" t="inlineStr">
        <is>
          <t>UPPSALA LÄN</t>
        </is>
      </c>
      <c r="E516" t="inlineStr">
        <is>
          <t>ÖSTHAMMAR</t>
        </is>
      </c>
      <c r="G516" t="n">
        <v>10.5</v>
      </c>
      <c r="H516" t="n">
        <v>0</v>
      </c>
      <c r="I516" t="n">
        <v>0</v>
      </c>
      <c r="J516" t="n">
        <v>0</v>
      </c>
      <c r="K516" t="n">
        <v>0</v>
      </c>
      <c r="L516" t="n">
        <v>0</v>
      </c>
      <c r="M516" t="n">
        <v>0</v>
      </c>
      <c r="N516" t="n">
        <v>0</v>
      </c>
      <c r="O516" t="n">
        <v>0</v>
      </c>
      <c r="P516" t="n">
        <v>0</v>
      </c>
      <c r="Q516" t="n">
        <v>0</v>
      </c>
      <c r="R516" s="2" t="inlineStr"/>
    </row>
    <row r="517" ht="15" customHeight="1">
      <c r="A517" t="inlineStr">
        <is>
          <t>A 18727-2022</t>
        </is>
      </c>
      <c r="B517" s="1" t="n">
        <v>44687</v>
      </c>
      <c r="C517" s="1" t="n">
        <v>45837</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18728-2022</t>
        </is>
      </c>
      <c r="B518" s="1" t="n">
        <v>44687</v>
      </c>
      <c r="C518" s="1" t="n">
        <v>45837</v>
      </c>
      <c r="D518" t="inlineStr">
        <is>
          <t>UPPSALA LÄN</t>
        </is>
      </c>
      <c r="E518" t="inlineStr">
        <is>
          <t>ÖSTHAMMAR</t>
        </is>
      </c>
      <c r="G518" t="n">
        <v>8.1</v>
      </c>
      <c r="H518" t="n">
        <v>0</v>
      </c>
      <c r="I518" t="n">
        <v>0</v>
      </c>
      <c r="J518" t="n">
        <v>0</v>
      </c>
      <c r="K518" t="n">
        <v>0</v>
      </c>
      <c r="L518" t="n">
        <v>0</v>
      </c>
      <c r="M518" t="n">
        <v>0</v>
      </c>
      <c r="N518" t="n">
        <v>0</v>
      </c>
      <c r="O518" t="n">
        <v>0</v>
      </c>
      <c r="P518" t="n">
        <v>0</v>
      </c>
      <c r="Q518" t="n">
        <v>0</v>
      </c>
      <c r="R518" s="2" t="inlineStr"/>
    </row>
    <row r="519" ht="15" customHeight="1">
      <c r="A519" t="inlineStr">
        <is>
          <t>A 18734-2022</t>
        </is>
      </c>
      <c r="B519" s="1" t="n">
        <v>44687</v>
      </c>
      <c r="C519" s="1" t="n">
        <v>45837</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v>
      </c>
      <c r="C520" s="1" t="n">
        <v>45837</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18736-2022</t>
        </is>
      </c>
      <c r="B521" s="1" t="n">
        <v>44687</v>
      </c>
      <c r="C521" s="1" t="n">
        <v>45837</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45837</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19181-2022</t>
        </is>
      </c>
      <c r="B523" s="1" t="n">
        <v>44691</v>
      </c>
      <c r="C523" s="1" t="n">
        <v>45837</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19287-2022</t>
        </is>
      </c>
      <c r="B524" s="1" t="n">
        <v>44692</v>
      </c>
      <c r="C524" s="1" t="n">
        <v>45837</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19707-2022</t>
        </is>
      </c>
      <c r="B525" s="1" t="n">
        <v>44694</v>
      </c>
      <c r="C525" s="1" t="n">
        <v>45837</v>
      </c>
      <c r="D525" t="inlineStr">
        <is>
          <t>UPPSALA LÄN</t>
        </is>
      </c>
      <c r="E525" t="inlineStr">
        <is>
          <t>ÖSTHAMMAR</t>
        </is>
      </c>
      <c r="F525" t="inlineStr">
        <is>
          <t>Allmännings- och besparingsskogar</t>
        </is>
      </c>
      <c r="G525" t="n">
        <v>0.5</v>
      </c>
      <c r="H525" t="n">
        <v>0</v>
      </c>
      <c r="I525" t="n">
        <v>0</v>
      </c>
      <c r="J525" t="n">
        <v>0</v>
      </c>
      <c r="K525" t="n">
        <v>0</v>
      </c>
      <c r="L525" t="n">
        <v>0</v>
      </c>
      <c r="M525" t="n">
        <v>0</v>
      </c>
      <c r="N525" t="n">
        <v>0</v>
      </c>
      <c r="O525" t="n">
        <v>0</v>
      </c>
      <c r="P525" t="n">
        <v>0</v>
      </c>
      <c r="Q525" t="n">
        <v>0</v>
      </c>
      <c r="R525" s="2" t="inlineStr"/>
    </row>
    <row r="526" ht="15" customHeight="1">
      <c r="A526" t="inlineStr">
        <is>
          <t>A 20468-2022</t>
        </is>
      </c>
      <c r="B526" s="1" t="n">
        <v>44699</v>
      </c>
      <c r="C526" s="1" t="n">
        <v>45837</v>
      </c>
      <c r="D526" t="inlineStr">
        <is>
          <t>UPPSALA LÄN</t>
        </is>
      </c>
      <c r="E526" t="inlineStr">
        <is>
          <t>ÖSTHAMMAR</t>
        </is>
      </c>
      <c r="G526" t="n">
        <v>3.7</v>
      </c>
      <c r="H526" t="n">
        <v>0</v>
      </c>
      <c r="I526" t="n">
        <v>0</v>
      </c>
      <c r="J526" t="n">
        <v>0</v>
      </c>
      <c r="K526" t="n">
        <v>0</v>
      </c>
      <c r="L526" t="n">
        <v>0</v>
      </c>
      <c r="M526" t="n">
        <v>0</v>
      </c>
      <c r="N526" t="n">
        <v>0</v>
      </c>
      <c r="O526" t="n">
        <v>0</v>
      </c>
      <c r="P526" t="n">
        <v>0</v>
      </c>
      <c r="Q526" t="n">
        <v>0</v>
      </c>
      <c r="R526" s="2" t="inlineStr"/>
    </row>
    <row r="527" ht="15" customHeight="1">
      <c r="A527" t="inlineStr">
        <is>
          <t>A 21522-2022</t>
        </is>
      </c>
      <c r="B527" s="1" t="n">
        <v>44706</v>
      </c>
      <c r="C527" s="1" t="n">
        <v>45837</v>
      </c>
      <c r="D527" t="inlineStr">
        <is>
          <t>UPPSALA LÄN</t>
        </is>
      </c>
      <c r="E527" t="inlineStr">
        <is>
          <t>ÖSTHAMMAR</t>
        </is>
      </c>
      <c r="G527" t="n">
        <v>1.8</v>
      </c>
      <c r="H527" t="n">
        <v>0</v>
      </c>
      <c r="I527" t="n">
        <v>0</v>
      </c>
      <c r="J527" t="n">
        <v>0</v>
      </c>
      <c r="K527" t="n">
        <v>0</v>
      </c>
      <c r="L527" t="n">
        <v>0</v>
      </c>
      <c r="M527" t="n">
        <v>0</v>
      </c>
      <c r="N527" t="n">
        <v>0</v>
      </c>
      <c r="O527" t="n">
        <v>0</v>
      </c>
      <c r="P527" t="n">
        <v>0</v>
      </c>
      <c r="Q527" t="n">
        <v>0</v>
      </c>
      <c r="R527" s="2" t="inlineStr"/>
    </row>
    <row r="528" ht="15" customHeight="1">
      <c r="A528" t="inlineStr">
        <is>
          <t>A 21830-2022</t>
        </is>
      </c>
      <c r="B528" s="1" t="n">
        <v>44710</v>
      </c>
      <c r="C528" s="1" t="n">
        <v>45837</v>
      </c>
      <c r="D528" t="inlineStr">
        <is>
          <t>UPPSALA LÄN</t>
        </is>
      </c>
      <c r="E528" t="inlineStr">
        <is>
          <t>ÖSTHAMMAR</t>
        </is>
      </c>
      <c r="F528" t="inlineStr">
        <is>
          <t>Bergvik skog öst AB</t>
        </is>
      </c>
      <c r="G528" t="n">
        <v>3.6</v>
      </c>
      <c r="H528" t="n">
        <v>0</v>
      </c>
      <c r="I528" t="n">
        <v>0</v>
      </c>
      <c r="J528" t="n">
        <v>0</v>
      </c>
      <c r="K528" t="n">
        <v>0</v>
      </c>
      <c r="L528" t="n">
        <v>0</v>
      </c>
      <c r="M528" t="n">
        <v>0</v>
      </c>
      <c r="N528" t="n">
        <v>0</v>
      </c>
      <c r="O528" t="n">
        <v>0</v>
      </c>
      <c r="P528" t="n">
        <v>0</v>
      </c>
      <c r="Q528" t="n">
        <v>0</v>
      </c>
      <c r="R528" s="2" t="inlineStr"/>
    </row>
    <row r="529" ht="15" customHeight="1">
      <c r="A529" t="inlineStr">
        <is>
          <t>A 21829-2022</t>
        </is>
      </c>
      <c r="B529" s="1" t="n">
        <v>44710</v>
      </c>
      <c r="C529" s="1" t="n">
        <v>45837</v>
      </c>
      <c r="D529" t="inlineStr">
        <is>
          <t>UPPSALA LÄN</t>
        </is>
      </c>
      <c r="E529" t="inlineStr">
        <is>
          <t>ÖSTHAMMAR</t>
        </is>
      </c>
      <c r="F529" t="inlineStr">
        <is>
          <t>Bergvik skog öst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22207-2022</t>
        </is>
      </c>
      <c r="B530" s="1" t="n">
        <v>44712</v>
      </c>
      <c r="C530" s="1" t="n">
        <v>45837</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22619-2022</t>
        </is>
      </c>
      <c r="B531" s="1" t="n">
        <v>44714</v>
      </c>
      <c r="C531" s="1" t="n">
        <v>45837</v>
      </c>
      <c r="D531" t="inlineStr">
        <is>
          <t>UPPSALA LÄN</t>
        </is>
      </c>
      <c r="E531" t="inlineStr">
        <is>
          <t>ÖSTHAMMAR</t>
        </is>
      </c>
      <c r="G531" t="n">
        <v>0.7</v>
      </c>
      <c r="H531" t="n">
        <v>0</v>
      </c>
      <c r="I531" t="n">
        <v>0</v>
      </c>
      <c r="J531" t="n">
        <v>0</v>
      </c>
      <c r="K531" t="n">
        <v>0</v>
      </c>
      <c r="L531" t="n">
        <v>0</v>
      </c>
      <c r="M531" t="n">
        <v>0</v>
      </c>
      <c r="N531" t="n">
        <v>0</v>
      </c>
      <c r="O531" t="n">
        <v>0</v>
      </c>
      <c r="P531" t="n">
        <v>0</v>
      </c>
      <c r="Q531" t="n">
        <v>0</v>
      </c>
      <c r="R531" s="2" t="inlineStr"/>
    </row>
    <row r="532" ht="15" customHeight="1">
      <c r="A532" t="inlineStr">
        <is>
          <t>A 22804-2022</t>
        </is>
      </c>
      <c r="B532" s="1" t="n">
        <v>44715</v>
      </c>
      <c r="C532" s="1" t="n">
        <v>45837</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22887-2022</t>
        </is>
      </c>
      <c r="B533" s="1" t="n">
        <v>44715</v>
      </c>
      <c r="C533" s="1" t="n">
        <v>45837</v>
      </c>
      <c r="D533" t="inlineStr">
        <is>
          <t>UPPSALA LÄN</t>
        </is>
      </c>
      <c r="E533" t="inlineStr">
        <is>
          <t>ÖSTHAMMAR</t>
        </is>
      </c>
      <c r="G533" t="n">
        <v>0.2</v>
      </c>
      <c r="H533" t="n">
        <v>0</v>
      </c>
      <c r="I533" t="n">
        <v>0</v>
      </c>
      <c r="J533" t="n">
        <v>0</v>
      </c>
      <c r="K533" t="n">
        <v>0</v>
      </c>
      <c r="L533" t="n">
        <v>0</v>
      </c>
      <c r="M533" t="n">
        <v>0</v>
      </c>
      <c r="N533" t="n">
        <v>0</v>
      </c>
      <c r="O533" t="n">
        <v>0</v>
      </c>
      <c r="P533" t="n">
        <v>0</v>
      </c>
      <c r="Q533" t="n">
        <v>0</v>
      </c>
      <c r="R533" s="2" t="inlineStr"/>
    </row>
    <row r="534" ht="15" customHeight="1">
      <c r="A534" t="inlineStr">
        <is>
          <t>A 22945-2022</t>
        </is>
      </c>
      <c r="B534" s="1" t="n">
        <v>44715</v>
      </c>
      <c r="C534" s="1" t="n">
        <v>45837</v>
      </c>
      <c r="D534" t="inlineStr">
        <is>
          <t>UPPSALA LÄN</t>
        </is>
      </c>
      <c r="E534" t="inlineStr">
        <is>
          <t>ÖSTHAMMAR</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22993-2022</t>
        </is>
      </c>
      <c r="B535" s="1" t="n">
        <v>44718</v>
      </c>
      <c r="C535" s="1" t="n">
        <v>45837</v>
      </c>
      <c r="D535" t="inlineStr">
        <is>
          <t>UPPSALA LÄN</t>
        </is>
      </c>
      <c r="E535" t="inlineStr">
        <is>
          <t>ÖSTHAMMAR</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22994-2022</t>
        </is>
      </c>
      <c r="B536" s="1" t="n">
        <v>44718</v>
      </c>
      <c r="C536" s="1" t="n">
        <v>45837</v>
      </c>
      <c r="D536" t="inlineStr">
        <is>
          <t>UPPSALA LÄN</t>
        </is>
      </c>
      <c r="E536" t="inlineStr">
        <is>
          <t>ÖSTHAMMAR</t>
        </is>
      </c>
      <c r="F536" t="inlineStr">
        <is>
          <t>Bergvik skog öst AB</t>
        </is>
      </c>
      <c r="G536" t="n">
        <v>29.9</v>
      </c>
      <c r="H536" t="n">
        <v>0</v>
      </c>
      <c r="I536" t="n">
        <v>0</v>
      </c>
      <c r="J536" t="n">
        <v>0</v>
      </c>
      <c r="K536" t="n">
        <v>0</v>
      </c>
      <c r="L536" t="n">
        <v>0</v>
      </c>
      <c r="M536" t="n">
        <v>0</v>
      </c>
      <c r="N536" t="n">
        <v>0</v>
      </c>
      <c r="O536" t="n">
        <v>0</v>
      </c>
      <c r="P536" t="n">
        <v>0</v>
      </c>
      <c r="Q536" t="n">
        <v>0</v>
      </c>
      <c r="R536" s="2" t="inlineStr"/>
    </row>
    <row r="537" ht="15" customHeight="1">
      <c r="A537" t="inlineStr">
        <is>
          <t>A 23603-2022</t>
        </is>
      </c>
      <c r="B537" s="1" t="n">
        <v>44721</v>
      </c>
      <c r="C537" s="1" t="n">
        <v>45837</v>
      </c>
      <c r="D537" t="inlineStr">
        <is>
          <t>UPPSALA LÄN</t>
        </is>
      </c>
      <c r="E537" t="inlineStr">
        <is>
          <t>ÖSTHAMMAR</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24138-2022</t>
        </is>
      </c>
      <c r="B538" s="1" t="n">
        <v>44725</v>
      </c>
      <c r="C538" s="1" t="n">
        <v>45837</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24149-2022</t>
        </is>
      </c>
      <c r="B539" s="1" t="n">
        <v>44725</v>
      </c>
      <c r="C539" s="1" t="n">
        <v>45837</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45837</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24259-2022</t>
        </is>
      </c>
      <c r="B541" s="1" t="n">
        <v>44725</v>
      </c>
      <c r="C541" s="1" t="n">
        <v>45837</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24447-2022</t>
        </is>
      </c>
      <c r="B542" s="1" t="n">
        <v>44726</v>
      </c>
      <c r="C542" s="1" t="n">
        <v>45837</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24367-2022</t>
        </is>
      </c>
      <c r="B543" s="1" t="n">
        <v>44726</v>
      </c>
      <c r="C543" s="1" t="n">
        <v>45837</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24817-2022</t>
        </is>
      </c>
      <c r="B544" s="1" t="n">
        <v>44728</v>
      </c>
      <c r="C544" s="1" t="n">
        <v>45837</v>
      </c>
      <c r="D544" t="inlineStr">
        <is>
          <t>UPPSALA LÄN</t>
        </is>
      </c>
      <c r="E544" t="inlineStr">
        <is>
          <t>ÖSTHAMMAR</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45837</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25418-2022</t>
        </is>
      </c>
      <c r="B546" s="1" t="n">
        <v>44732</v>
      </c>
      <c r="C546" s="1" t="n">
        <v>45837</v>
      </c>
      <c r="D546" t="inlineStr">
        <is>
          <t>UPPSALA LÄN</t>
        </is>
      </c>
      <c r="E546" t="inlineStr">
        <is>
          <t>ÖSTHAMMAR</t>
        </is>
      </c>
      <c r="G546" t="n">
        <v>2.8</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v>
      </c>
      <c r="C547" s="1" t="n">
        <v>45837</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26008-2022</t>
        </is>
      </c>
      <c r="B548" s="1" t="n">
        <v>44734</v>
      </c>
      <c r="C548" s="1" t="n">
        <v>45837</v>
      </c>
      <c r="D548" t="inlineStr">
        <is>
          <t>UPPSALA LÄN</t>
        </is>
      </c>
      <c r="E548" t="inlineStr">
        <is>
          <t>ÖSTHAMMAR</t>
        </is>
      </c>
      <c r="F548" t="inlineStr">
        <is>
          <t>Bergvik skog öst AB</t>
        </is>
      </c>
      <c r="G548" t="n">
        <v>8.4</v>
      </c>
      <c r="H548" t="n">
        <v>0</v>
      </c>
      <c r="I548" t="n">
        <v>0</v>
      </c>
      <c r="J548" t="n">
        <v>0</v>
      </c>
      <c r="K548" t="n">
        <v>0</v>
      </c>
      <c r="L548" t="n">
        <v>0</v>
      </c>
      <c r="M548" t="n">
        <v>0</v>
      </c>
      <c r="N548" t="n">
        <v>0</v>
      </c>
      <c r="O548" t="n">
        <v>0</v>
      </c>
      <c r="P548" t="n">
        <v>0</v>
      </c>
      <c r="Q548" t="n">
        <v>0</v>
      </c>
      <c r="R548" s="2" t="inlineStr"/>
    </row>
    <row r="549" ht="15" customHeight="1">
      <c r="A549" t="inlineStr">
        <is>
          <t>A 25987-2022</t>
        </is>
      </c>
      <c r="B549" s="1" t="n">
        <v>44734</v>
      </c>
      <c r="C549" s="1" t="n">
        <v>45837</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25983-2022</t>
        </is>
      </c>
      <c r="B550" s="1" t="n">
        <v>44734</v>
      </c>
      <c r="C550" s="1" t="n">
        <v>45837</v>
      </c>
      <c r="D550" t="inlineStr">
        <is>
          <t>UPPSALA LÄN</t>
        </is>
      </c>
      <c r="E550" t="inlineStr">
        <is>
          <t>ÖSTHAMMAR</t>
        </is>
      </c>
      <c r="G550" t="n">
        <v>4.7</v>
      </c>
      <c r="H550" t="n">
        <v>0</v>
      </c>
      <c r="I550" t="n">
        <v>0</v>
      </c>
      <c r="J550" t="n">
        <v>0</v>
      </c>
      <c r="K550" t="n">
        <v>0</v>
      </c>
      <c r="L550" t="n">
        <v>0</v>
      </c>
      <c r="M550" t="n">
        <v>0</v>
      </c>
      <c r="N550" t="n">
        <v>0</v>
      </c>
      <c r="O550" t="n">
        <v>0</v>
      </c>
      <c r="P550" t="n">
        <v>0</v>
      </c>
      <c r="Q550" t="n">
        <v>0</v>
      </c>
      <c r="R550" s="2" t="inlineStr"/>
    </row>
    <row r="551" ht="15" customHeight="1">
      <c r="A551" t="inlineStr">
        <is>
          <t>A 26004-2022</t>
        </is>
      </c>
      <c r="B551" s="1" t="n">
        <v>44734</v>
      </c>
      <c r="C551" s="1" t="n">
        <v>45837</v>
      </c>
      <c r="D551" t="inlineStr">
        <is>
          <t>UPPSALA LÄN</t>
        </is>
      </c>
      <c r="E551" t="inlineStr">
        <is>
          <t>ÖSTHAMMAR</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26534-2022</t>
        </is>
      </c>
      <c r="B552" s="1" t="n">
        <v>44739</v>
      </c>
      <c r="C552" s="1" t="n">
        <v>45837</v>
      </c>
      <c r="D552" t="inlineStr">
        <is>
          <t>UPPSALA LÄN</t>
        </is>
      </c>
      <c r="E552" t="inlineStr">
        <is>
          <t>ÖSTHAMMAR</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26552-2022</t>
        </is>
      </c>
      <c r="B553" s="1" t="n">
        <v>44739</v>
      </c>
      <c r="C553" s="1" t="n">
        <v>45837</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26561-2022</t>
        </is>
      </c>
      <c r="B554" s="1" t="n">
        <v>44739</v>
      </c>
      <c r="C554" s="1" t="n">
        <v>45837</v>
      </c>
      <c r="D554" t="inlineStr">
        <is>
          <t>UPPSALA LÄN</t>
        </is>
      </c>
      <c r="E554" t="inlineStr">
        <is>
          <t>ÖSTHAMMAR</t>
        </is>
      </c>
      <c r="G554" t="n">
        <v>3.7</v>
      </c>
      <c r="H554" t="n">
        <v>0</v>
      </c>
      <c r="I554" t="n">
        <v>0</v>
      </c>
      <c r="J554" t="n">
        <v>0</v>
      </c>
      <c r="K554" t="n">
        <v>0</v>
      </c>
      <c r="L554" t="n">
        <v>0</v>
      </c>
      <c r="M554" t="n">
        <v>0</v>
      </c>
      <c r="N554" t="n">
        <v>0</v>
      </c>
      <c r="O554" t="n">
        <v>0</v>
      </c>
      <c r="P554" t="n">
        <v>0</v>
      </c>
      <c r="Q554" t="n">
        <v>0</v>
      </c>
      <c r="R554" s="2" t="inlineStr"/>
    </row>
    <row r="555" ht="15" customHeight="1">
      <c r="A555" t="inlineStr">
        <is>
          <t>A 28228-2022</t>
        </is>
      </c>
      <c r="B555" s="1" t="n">
        <v>44746</v>
      </c>
      <c r="C555" s="1" t="n">
        <v>45837</v>
      </c>
      <c r="D555" t="inlineStr">
        <is>
          <t>UPPSALA LÄN</t>
        </is>
      </c>
      <c r="E555" t="inlineStr">
        <is>
          <t>ÖSTHAMMAR</t>
        </is>
      </c>
      <c r="G555" t="n">
        <v>2.7</v>
      </c>
      <c r="H555" t="n">
        <v>0</v>
      </c>
      <c r="I555" t="n">
        <v>0</v>
      </c>
      <c r="J555" t="n">
        <v>0</v>
      </c>
      <c r="K555" t="n">
        <v>0</v>
      </c>
      <c r="L555" t="n">
        <v>0</v>
      </c>
      <c r="M555" t="n">
        <v>0</v>
      </c>
      <c r="N555" t="n">
        <v>0</v>
      </c>
      <c r="O555" t="n">
        <v>0</v>
      </c>
      <c r="P555" t="n">
        <v>0</v>
      </c>
      <c r="Q555" t="n">
        <v>0</v>
      </c>
      <c r="R555" s="2" t="inlineStr"/>
    </row>
    <row r="556" ht="15" customHeight="1">
      <c r="A556" t="inlineStr">
        <is>
          <t>A 29753-2022</t>
        </is>
      </c>
      <c r="B556" s="1" t="n">
        <v>44755</v>
      </c>
      <c r="C556" s="1" t="n">
        <v>45837</v>
      </c>
      <c r="D556" t="inlineStr">
        <is>
          <t>UPPSALA LÄN</t>
        </is>
      </c>
      <c r="E556" t="inlineStr">
        <is>
          <t>ÖSTHAMMAR</t>
        </is>
      </c>
      <c r="G556" t="n">
        <v>9.4</v>
      </c>
      <c r="H556" t="n">
        <v>0</v>
      </c>
      <c r="I556" t="n">
        <v>0</v>
      </c>
      <c r="J556" t="n">
        <v>0</v>
      </c>
      <c r="K556" t="n">
        <v>0</v>
      </c>
      <c r="L556" t="n">
        <v>0</v>
      </c>
      <c r="M556" t="n">
        <v>0</v>
      </c>
      <c r="N556" t="n">
        <v>0</v>
      </c>
      <c r="O556" t="n">
        <v>0</v>
      </c>
      <c r="P556" t="n">
        <v>0</v>
      </c>
      <c r="Q556" t="n">
        <v>0</v>
      </c>
      <c r="R556" s="2" t="inlineStr"/>
    </row>
    <row r="557" ht="15" customHeight="1">
      <c r="A557" t="inlineStr">
        <is>
          <t>A 30212-2022</t>
        </is>
      </c>
      <c r="B557" s="1" t="n">
        <v>44757</v>
      </c>
      <c r="C557" s="1" t="n">
        <v>45837</v>
      </c>
      <c r="D557" t="inlineStr">
        <is>
          <t>UPPSALA LÄN</t>
        </is>
      </c>
      <c r="E557" t="inlineStr">
        <is>
          <t>ÖSTHAMMAR</t>
        </is>
      </c>
      <c r="F557" t="inlineStr">
        <is>
          <t>Bergvik skog öst AB</t>
        </is>
      </c>
      <c r="G557" t="n">
        <v>13.6</v>
      </c>
      <c r="H557" t="n">
        <v>0</v>
      </c>
      <c r="I557" t="n">
        <v>0</v>
      </c>
      <c r="J557" t="n">
        <v>0</v>
      </c>
      <c r="K557" t="n">
        <v>0</v>
      </c>
      <c r="L557" t="n">
        <v>0</v>
      </c>
      <c r="M557" t="n">
        <v>0</v>
      </c>
      <c r="N557" t="n">
        <v>0</v>
      </c>
      <c r="O557" t="n">
        <v>0</v>
      </c>
      <c r="P557" t="n">
        <v>0</v>
      </c>
      <c r="Q557" t="n">
        <v>0</v>
      </c>
      <c r="R557" s="2" t="inlineStr"/>
    </row>
    <row r="558" ht="15" customHeight="1">
      <c r="A558" t="inlineStr">
        <is>
          <t>A 30209-2022</t>
        </is>
      </c>
      <c r="B558" s="1" t="n">
        <v>44757</v>
      </c>
      <c r="C558" s="1" t="n">
        <v>45837</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30549-2022</t>
        </is>
      </c>
      <c r="B559" s="1" t="n">
        <v>44762</v>
      </c>
      <c r="C559" s="1" t="n">
        <v>45837</v>
      </c>
      <c r="D559" t="inlineStr">
        <is>
          <t>UPPSALA LÄN</t>
        </is>
      </c>
      <c r="E559" t="inlineStr">
        <is>
          <t>ÖSTHAMMAR</t>
        </is>
      </c>
      <c r="F559" t="inlineStr">
        <is>
          <t>Bergvik skog öst AB</t>
        </is>
      </c>
      <c r="G559" t="n">
        <v>6.2</v>
      </c>
      <c r="H559" t="n">
        <v>0</v>
      </c>
      <c r="I559" t="n">
        <v>0</v>
      </c>
      <c r="J559" t="n">
        <v>0</v>
      </c>
      <c r="K559" t="n">
        <v>0</v>
      </c>
      <c r="L559" t="n">
        <v>0</v>
      </c>
      <c r="M559" t="n">
        <v>0</v>
      </c>
      <c r="N559" t="n">
        <v>0</v>
      </c>
      <c r="O559" t="n">
        <v>0</v>
      </c>
      <c r="P559" t="n">
        <v>0</v>
      </c>
      <c r="Q559" t="n">
        <v>0</v>
      </c>
      <c r="R559" s="2" t="inlineStr"/>
    </row>
    <row r="560" ht="15" customHeight="1">
      <c r="A560" t="inlineStr">
        <is>
          <t>A 31027-2022</t>
        </is>
      </c>
      <c r="B560" s="1" t="n">
        <v>44768</v>
      </c>
      <c r="C560" s="1" t="n">
        <v>45837</v>
      </c>
      <c r="D560" t="inlineStr">
        <is>
          <t>UPPSALA LÄN</t>
        </is>
      </c>
      <c r="E560" t="inlineStr">
        <is>
          <t>ÖSTHAMMAR</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31035-2022</t>
        </is>
      </c>
      <c r="B561" s="1" t="n">
        <v>44768</v>
      </c>
      <c r="C561" s="1" t="n">
        <v>45837</v>
      </c>
      <c r="D561" t="inlineStr">
        <is>
          <t>UPPSALA LÄN</t>
        </is>
      </c>
      <c r="E561" t="inlineStr">
        <is>
          <t>ÖSTHAMMAR</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31026-2022</t>
        </is>
      </c>
      <c r="B562" s="1" t="n">
        <v>44768</v>
      </c>
      <c r="C562" s="1" t="n">
        <v>45837</v>
      </c>
      <c r="D562" t="inlineStr">
        <is>
          <t>UPPSALA LÄN</t>
        </is>
      </c>
      <c r="E562" t="inlineStr">
        <is>
          <t>ÖSTHAMMAR</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31182-2022</t>
        </is>
      </c>
      <c r="B563" s="1" t="n">
        <v>44770</v>
      </c>
      <c r="C563" s="1" t="n">
        <v>45837</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31140-2022</t>
        </is>
      </c>
      <c r="B564" s="1" t="n">
        <v>44770</v>
      </c>
      <c r="C564" s="1" t="n">
        <v>45837</v>
      </c>
      <c r="D564" t="inlineStr">
        <is>
          <t>UPPSALA LÄN</t>
        </is>
      </c>
      <c r="E564" t="inlineStr">
        <is>
          <t>ÖSTHAMMAR</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31137-2022</t>
        </is>
      </c>
      <c r="B565" s="1" t="n">
        <v>44770</v>
      </c>
      <c r="C565" s="1" t="n">
        <v>45837</v>
      </c>
      <c r="D565" t="inlineStr">
        <is>
          <t>UPPSALA LÄN</t>
        </is>
      </c>
      <c r="E565" t="inlineStr">
        <is>
          <t>ÖSTHAMMAR</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31282-2022</t>
        </is>
      </c>
      <c r="B566" s="1" t="n">
        <v>44771</v>
      </c>
      <c r="C566" s="1" t="n">
        <v>45837</v>
      </c>
      <c r="D566" t="inlineStr">
        <is>
          <t>UPPSALA LÄN</t>
        </is>
      </c>
      <c r="E566" t="inlineStr">
        <is>
          <t>ÖSTHAMMAR</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31574-2022</t>
        </is>
      </c>
      <c r="B567" s="1" t="n">
        <v>44775</v>
      </c>
      <c r="C567" s="1" t="n">
        <v>45837</v>
      </c>
      <c r="D567" t="inlineStr">
        <is>
          <t>UPPSALA LÄN</t>
        </is>
      </c>
      <c r="E567" t="inlineStr">
        <is>
          <t>ÖSTHAMMAR</t>
        </is>
      </c>
      <c r="G567" t="n">
        <v>29.7</v>
      </c>
      <c r="H567" t="n">
        <v>0</v>
      </c>
      <c r="I567" t="n">
        <v>0</v>
      </c>
      <c r="J567" t="n">
        <v>0</v>
      </c>
      <c r="K567" t="n">
        <v>0</v>
      </c>
      <c r="L567" t="n">
        <v>0</v>
      </c>
      <c r="M567" t="n">
        <v>0</v>
      </c>
      <c r="N567" t="n">
        <v>0</v>
      </c>
      <c r="O567" t="n">
        <v>0</v>
      </c>
      <c r="P567" t="n">
        <v>0</v>
      </c>
      <c r="Q567" t="n">
        <v>0</v>
      </c>
      <c r="R567" s="2" t="inlineStr"/>
    </row>
    <row r="568" ht="15" customHeight="1">
      <c r="A568" t="inlineStr">
        <is>
          <t>A 31549-2022</t>
        </is>
      </c>
      <c r="B568" s="1" t="n">
        <v>44775</v>
      </c>
      <c r="C568" s="1" t="n">
        <v>45837</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31669-2022</t>
        </is>
      </c>
      <c r="B569" s="1" t="n">
        <v>44775</v>
      </c>
      <c r="C569" s="1" t="n">
        <v>45837</v>
      </c>
      <c r="D569" t="inlineStr">
        <is>
          <t>UPPSALA LÄN</t>
        </is>
      </c>
      <c r="E569" t="inlineStr">
        <is>
          <t>ÖSTHAMMAR</t>
        </is>
      </c>
      <c r="G569" t="n">
        <v>6</v>
      </c>
      <c r="H569" t="n">
        <v>0</v>
      </c>
      <c r="I569" t="n">
        <v>0</v>
      </c>
      <c r="J569" t="n">
        <v>0</v>
      </c>
      <c r="K569" t="n">
        <v>0</v>
      </c>
      <c r="L569" t="n">
        <v>0</v>
      </c>
      <c r="M569" t="n">
        <v>0</v>
      </c>
      <c r="N569" t="n">
        <v>0</v>
      </c>
      <c r="O569" t="n">
        <v>0</v>
      </c>
      <c r="P569" t="n">
        <v>0</v>
      </c>
      <c r="Q569" t="n">
        <v>0</v>
      </c>
      <c r="R569" s="2" t="inlineStr"/>
    </row>
    <row r="570" ht="15" customHeight="1">
      <c r="A570" t="inlineStr">
        <is>
          <t>A 32678-2022</t>
        </is>
      </c>
      <c r="B570" s="1" t="n">
        <v>44783</v>
      </c>
      <c r="C570" s="1" t="n">
        <v>45837</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32742-2022</t>
        </is>
      </c>
      <c r="B571" s="1" t="n">
        <v>44783</v>
      </c>
      <c r="C571" s="1" t="n">
        <v>45837</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32744-2022</t>
        </is>
      </c>
      <c r="B572" s="1" t="n">
        <v>44783</v>
      </c>
      <c r="C572" s="1" t="n">
        <v>45837</v>
      </c>
      <c r="D572" t="inlineStr">
        <is>
          <t>UPPSALA LÄN</t>
        </is>
      </c>
      <c r="E572" t="inlineStr">
        <is>
          <t>ÖSTHAMMAR</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34418-2022</t>
        </is>
      </c>
      <c r="B573" s="1" t="n">
        <v>44792</v>
      </c>
      <c r="C573" s="1" t="n">
        <v>45837</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34742-2022</t>
        </is>
      </c>
      <c r="B574" s="1" t="n">
        <v>44795</v>
      </c>
      <c r="C574" s="1" t="n">
        <v>45837</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34971-2022</t>
        </is>
      </c>
      <c r="B575" s="1" t="n">
        <v>44796</v>
      </c>
      <c r="C575" s="1" t="n">
        <v>45837</v>
      </c>
      <c r="D575" t="inlineStr">
        <is>
          <t>UPPSALA LÄN</t>
        </is>
      </c>
      <c r="E575" t="inlineStr">
        <is>
          <t>ÖSTHAMMAR</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34994-2022</t>
        </is>
      </c>
      <c r="B576" s="1" t="n">
        <v>44796</v>
      </c>
      <c r="C576" s="1" t="n">
        <v>45837</v>
      </c>
      <c r="D576" t="inlineStr">
        <is>
          <t>UPPSALA LÄN</t>
        </is>
      </c>
      <c r="E576" t="inlineStr">
        <is>
          <t>ÖSTHAMMAR</t>
        </is>
      </c>
      <c r="F576" t="inlineStr">
        <is>
          <t>Bergvik skog öst AB</t>
        </is>
      </c>
      <c r="G576" t="n">
        <v>3.7</v>
      </c>
      <c r="H576" t="n">
        <v>0</v>
      </c>
      <c r="I576" t="n">
        <v>0</v>
      </c>
      <c r="J576" t="n">
        <v>0</v>
      </c>
      <c r="K576" t="n">
        <v>0</v>
      </c>
      <c r="L576" t="n">
        <v>0</v>
      </c>
      <c r="M576" t="n">
        <v>0</v>
      </c>
      <c r="N576" t="n">
        <v>0</v>
      </c>
      <c r="O576" t="n">
        <v>0</v>
      </c>
      <c r="P576" t="n">
        <v>0</v>
      </c>
      <c r="Q576" t="n">
        <v>0</v>
      </c>
      <c r="R576" s="2" t="inlineStr"/>
    </row>
    <row r="577" ht="15" customHeight="1">
      <c r="A577" t="inlineStr">
        <is>
          <t>A 36343-2022</t>
        </is>
      </c>
      <c r="B577" s="1" t="n">
        <v>44803</v>
      </c>
      <c r="C577" s="1" t="n">
        <v>45837</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36873-2022</t>
        </is>
      </c>
      <c r="B578" s="1" t="n">
        <v>44805</v>
      </c>
      <c r="C578" s="1" t="n">
        <v>45837</v>
      </c>
      <c r="D578" t="inlineStr">
        <is>
          <t>UPPSALA LÄN</t>
        </is>
      </c>
      <c r="E578" t="inlineStr">
        <is>
          <t>ÖSTHAMMAR</t>
        </is>
      </c>
      <c r="G578" t="n">
        <v>2.5</v>
      </c>
      <c r="H578" t="n">
        <v>0</v>
      </c>
      <c r="I578" t="n">
        <v>0</v>
      </c>
      <c r="J578" t="n">
        <v>0</v>
      </c>
      <c r="K578" t="n">
        <v>0</v>
      </c>
      <c r="L578" t="n">
        <v>0</v>
      </c>
      <c r="M578" t="n">
        <v>0</v>
      </c>
      <c r="N578" t="n">
        <v>0</v>
      </c>
      <c r="O578" t="n">
        <v>0</v>
      </c>
      <c r="P578" t="n">
        <v>0</v>
      </c>
      <c r="Q578" t="n">
        <v>0</v>
      </c>
      <c r="R578" s="2" t="inlineStr"/>
    </row>
    <row r="579" ht="15" customHeight="1">
      <c r="A579" t="inlineStr">
        <is>
          <t>A 37545-2022</t>
        </is>
      </c>
      <c r="B579" s="1" t="n">
        <v>44809</v>
      </c>
      <c r="C579" s="1" t="n">
        <v>45837</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37570-2022</t>
        </is>
      </c>
      <c r="B580" s="1" t="n">
        <v>44809</v>
      </c>
      <c r="C580" s="1" t="n">
        <v>45837</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37813-2022</t>
        </is>
      </c>
      <c r="B581" s="1" t="n">
        <v>44810</v>
      </c>
      <c r="C581" s="1" t="n">
        <v>45837</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37812-2022</t>
        </is>
      </c>
      <c r="B582" s="1" t="n">
        <v>44810</v>
      </c>
      <c r="C582" s="1" t="n">
        <v>45837</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38501-2022</t>
        </is>
      </c>
      <c r="B583" s="1" t="n">
        <v>44813</v>
      </c>
      <c r="C583" s="1" t="n">
        <v>45837</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38702-2022</t>
        </is>
      </c>
      <c r="B584" s="1" t="n">
        <v>44814</v>
      </c>
      <c r="C584" s="1" t="n">
        <v>45837</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39480-2022</t>
        </is>
      </c>
      <c r="B585" s="1" t="n">
        <v>44818</v>
      </c>
      <c r="C585" s="1" t="n">
        <v>45837</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40336-2022</t>
        </is>
      </c>
      <c r="B586" s="1" t="n">
        <v>44823</v>
      </c>
      <c r="C586" s="1" t="n">
        <v>45837</v>
      </c>
      <c r="D586" t="inlineStr">
        <is>
          <t>UPPSALA LÄN</t>
        </is>
      </c>
      <c r="E586" t="inlineStr">
        <is>
          <t>ÖSTHAMMAR</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40637-2022</t>
        </is>
      </c>
      <c r="B587" s="1" t="n">
        <v>44824</v>
      </c>
      <c r="C587" s="1" t="n">
        <v>45837</v>
      </c>
      <c r="D587" t="inlineStr">
        <is>
          <t>UPPSALA LÄN</t>
        </is>
      </c>
      <c r="E587" t="inlineStr">
        <is>
          <t>ÖSTHAMMAR</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40681-2022</t>
        </is>
      </c>
      <c r="B588" s="1" t="n">
        <v>44824</v>
      </c>
      <c r="C588" s="1" t="n">
        <v>45837</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41033-2022</t>
        </is>
      </c>
      <c r="B589" s="1" t="n">
        <v>44825</v>
      </c>
      <c r="C589" s="1" t="n">
        <v>45837</v>
      </c>
      <c r="D589" t="inlineStr">
        <is>
          <t>UPPSALA LÄN</t>
        </is>
      </c>
      <c r="E589" t="inlineStr">
        <is>
          <t>ÖSTHAMMAR</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41423-2022</t>
        </is>
      </c>
      <c r="B590" s="1" t="n">
        <v>44826</v>
      </c>
      <c r="C590" s="1" t="n">
        <v>45837</v>
      </c>
      <c r="D590" t="inlineStr">
        <is>
          <t>UPPSALA LÄN</t>
        </is>
      </c>
      <c r="E590" t="inlineStr">
        <is>
          <t>ÖSTHAMMAR</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44020-2022</t>
        </is>
      </c>
      <c r="B591" s="1" t="n">
        <v>44838</v>
      </c>
      <c r="C591" s="1" t="n">
        <v>45837</v>
      </c>
      <c r="D591" t="inlineStr">
        <is>
          <t>UPPSALA LÄN</t>
        </is>
      </c>
      <c r="E591" t="inlineStr">
        <is>
          <t>ÖSTHAMMAR</t>
        </is>
      </c>
      <c r="F591" t="inlineStr">
        <is>
          <t>Bergvik skog öst AB</t>
        </is>
      </c>
      <c r="G591" t="n">
        <v>12.1</v>
      </c>
      <c r="H591" t="n">
        <v>0</v>
      </c>
      <c r="I591" t="n">
        <v>0</v>
      </c>
      <c r="J591" t="n">
        <v>0</v>
      </c>
      <c r="K591" t="n">
        <v>0</v>
      </c>
      <c r="L591" t="n">
        <v>0</v>
      </c>
      <c r="M591" t="n">
        <v>0</v>
      </c>
      <c r="N591" t="n">
        <v>0</v>
      </c>
      <c r="O591" t="n">
        <v>0</v>
      </c>
      <c r="P591" t="n">
        <v>0</v>
      </c>
      <c r="Q591" t="n">
        <v>0</v>
      </c>
      <c r="R591" s="2" t="inlineStr"/>
    </row>
    <row r="592" ht="15" customHeight="1">
      <c r="A592" t="inlineStr">
        <is>
          <t>A 44019-2022</t>
        </is>
      </c>
      <c r="B592" s="1" t="n">
        <v>44838</v>
      </c>
      <c r="C592" s="1" t="n">
        <v>45837</v>
      </c>
      <c r="D592" t="inlineStr">
        <is>
          <t>UPPSALA LÄN</t>
        </is>
      </c>
      <c r="E592" t="inlineStr">
        <is>
          <t>ÖSTHAMMAR</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44354-2022</t>
        </is>
      </c>
      <c r="B593" s="1" t="n">
        <v>44839</v>
      </c>
      <c r="C593" s="1" t="n">
        <v>45837</v>
      </c>
      <c r="D593" t="inlineStr">
        <is>
          <t>UPPSALA LÄN</t>
        </is>
      </c>
      <c r="E593" t="inlineStr">
        <is>
          <t>ÖSTHAMMAR</t>
        </is>
      </c>
      <c r="G593" t="n">
        <v>5.4</v>
      </c>
      <c r="H593" t="n">
        <v>0</v>
      </c>
      <c r="I593" t="n">
        <v>0</v>
      </c>
      <c r="J593" t="n">
        <v>0</v>
      </c>
      <c r="K593" t="n">
        <v>0</v>
      </c>
      <c r="L593" t="n">
        <v>0</v>
      </c>
      <c r="M593" t="n">
        <v>0</v>
      </c>
      <c r="N593" t="n">
        <v>0</v>
      </c>
      <c r="O593" t="n">
        <v>0</v>
      </c>
      <c r="P593" t="n">
        <v>0</v>
      </c>
      <c r="Q593" t="n">
        <v>0</v>
      </c>
      <c r="R593" s="2" t="inlineStr"/>
    </row>
    <row r="594" ht="15" customHeight="1">
      <c r="A594" t="inlineStr">
        <is>
          <t>A 44366-2022</t>
        </is>
      </c>
      <c r="B594" s="1" t="n">
        <v>44839</v>
      </c>
      <c r="C594" s="1" t="n">
        <v>45837</v>
      </c>
      <c r="D594" t="inlineStr">
        <is>
          <t>UPPSALA LÄN</t>
        </is>
      </c>
      <c r="E594" t="inlineStr">
        <is>
          <t>ÖSTHAMMAR</t>
        </is>
      </c>
      <c r="G594" t="n">
        <v>8.1</v>
      </c>
      <c r="H594" t="n">
        <v>0</v>
      </c>
      <c r="I594" t="n">
        <v>0</v>
      </c>
      <c r="J594" t="n">
        <v>0</v>
      </c>
      <c r="K594" t="n">
        <v>0</v>
      </c>
      <c r="L594" t="n">
        <v>0</v>
      </c>
      <c r="M594" t="n">
        <v>0</v>
      </c>
      <c r="N594" t="n">
        <v>0</v>
      </c>
      <c r="O594" t="n">
        <v>0</v>
      </c>
      <c r="P594" t="n">
        <v>0</v>
      </c>
      <c r="Q594" t="n">
        <v>0</v>
      </c>
      <c r="R594" s="2" t="inlineStr"/>
    </row>
    <row r="595" ht="15" customHeight="1">
      <c r="A595" t="inlineStr">
        <is>
          <t>A 44184-2022</t>
        </is>
      </c>
      <c r="B595" s="1" t="n">
        <v>44839</v>
      </c>
      <c r="C595" s="1" t="n">
        <v>45837</v>
      </c>
      <c r="D595" t="inlineStr">
        <is>
          <t>UPPSALA LÄN</t>
        </is>
      </c>
      <c r="E595" t="inlineStr">
        <is>
          <t>ÖSTHAMMAR</t>
        </is>
      </c>
      <c r="G595" t="n">
        <v>4.2</v>
      </c>
      <c r="H595" t="n">
        <v>0</v>
      </c>
      <c r="I595" t="n">
        <v>0</v>
      </c>
      <c r="J595" t="n">
        <v>0</v>
      </c>
      <c r="K595" t="n">
        <v>0</v>
      </c>
      <c r="L595" t="n">
        <v>0</v>
      </c>
      <c r="M595" t="n">
        <v>0</v>
      </c>
      <c r="N595" t="n">
        <v>0</v>
      </c>
      <c r="O595" t="n">
        <v>0</v>
      </c>
      <c r="P595" t="n">
        <v>0</v>
      </c>
      <c r="Q595" t="n">
        <v>0</v>
      </c>
      <c r="R595" s="2" t="inlineStr"/>
    </row>
    <row r="596" ht="15" customHeight="1">
      <c r="A596" t="inlineStr">
        <is>
          <t>A 44617-2022</t>
        </is>
      </c>
      <c r="B596" s="1" t="n">
        <v>44840</v>
      </c>
      <c r="C596" s="1" t="n">
        <v>45837</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44945-2022</t>
        </is>
      </c>
      <c r="B597" s="1" t="n">
        <v>44841</v>
      </c>
      <c r="C597" s="1" t="n">
        <v>45837</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44815-2022</t>
        </is>
      </c>
      <c r="B598" s="1" t="n">
        <v>44841</v>
      </c>
      <c r="C598" s="1" t="n">
        <v>45837</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45788-2022</t>
        </is>
      </c>
      <c r="B599" s="1" t="n">
        <v>44846</v>
      </c>
      <c r="C599" s="1" t="n">
        <v>45837</v>
      </c>
      <c r="D599" t="inlineStr">
        <is>
          <t>UPPSALA LÄN</t>
        </is>
      </c>
      <c r="E599" t="inlineStr">
        <is>
          <t>ÖSTHAMMAR</t>
        </is>
      </c>
      <c r="F599" t="inlineStr">
        <is>
          <t>Övriga Aktiebolag</t>
        </is>
      </c>
      <c r="G599" t="n">
        <v>3.3</v>
      </c>
      <c r="H599" t="n">
        <v>0</v>
      </c>
      <c r="I599" t="n">
        <v>0</v>
      </c>
      <c r="J599" t="n">
        <v>0</v>
      </c>
      <c r="K599" t="n">
        <v>0</v>
      </c>
      <c r="L599" t="n">
        <v>0</v>
      </c>
      <c r="M599" t="n">
        <v>0</v>
      </c>
      <c r="N599" t="n">
        <v>0</v>
      </c>
      <c r="O599" t="n">
        <v>0</v>
      </c>
      <c r="P599" t="n">
        <v>0</v>
      </c>
      <c r="Q599" t="n">
        <v>0</v>
      </c>
      <c r="R599" s="2" t="inlineStr"/>
    </row>
    <row r="600" ht="15" customHeight="1">
      <c r="A600" t="inlineStr">
        <is>
          <t>A 46448-2022</t>
        </is>
      </c>
      <c r="B600" s="1" t="n">
        <v>44848</v>
      </c>
      <c r="C600" s="1" t="n">
        <v>45837</v>
      </c>
      <c r="D600" t="inlineStr">
        <is>
          <t>UPPSALA LÄN</t>
        </is>
      </c>
      <c r="E600" t="inlineStr">
        <is>
          <t>ÖSTHAMMAR</t>
        </is>
      </c>
      <c r="G600" t="n">
        <v>2.6</v>
      </c>
      <c r="H600" t="n">
        <v>0</v>
      </c>
      <c r="I600" t="n">
        <v>0</v>
      </c>
      <c r="J600" t="n">
        <v>0</v>
      </c>
      <c r="K600" t="n">
        <v>0</v>
      </c>
      <c r="L600" t="n">
        <v>0</v>
      </c>
      <c r="M600" t="n">
        <v>0</v>
      </c>
      <c r="N600" t="n">
        <v>0</v>
      </c>
      <c r="O600" t="n">
        <v>0</v>
      </c>
      <c r="P600" t="n">
        <v>0</v>
      </c>
      <c r="Q600" t="n">
        <v>0</v>
      </c>
      <c r="R600" s="2" t="inlineStr"/>
    </row>
    <row r="601" ht="15" customHeight="1">
      <c r="A601" t="inlineStr">
        <is>
          <t>A 46915-2022</t>
        </is>
      </c>
      <c r="B601" s="1" t="n">
        <v>44851</v>
      </c>
      <c r="C601" s="1" t="n">
        <v>45837</v>
      </c>
      <c r="D601" t="inlineStr">
        <is>
          <t>UPPSALA LÄN</t>
        </is>
      </c>
      <c r="E601" t="inlineStr">
        <is>
          <t>ÖSTHAMMAR</t>
        </is>
      </c>
      <c r="F601" t="inlineStr">
        <is>
          <t>Bergvik skog öst AB</t>
        </is>
      </c>
      <c r="G601" t="n">
        <v>7.9</v>
      </c>
      <c r="H601" t="n">
        <v>0</v>
      </c>
      <c r="I601" t="n">
        <v>0</v>
      </c>
      <c r="J601" t="n">
        <v>0</v>
      </c>
      <c r="K601" t="n">
        <v>0</v>
      </c>
      <c r="L601" t="n">
        <v>0</v>
      </c>
      <c r="M601" t="n">
        <v>0</v>
      </c>
      <c r="N601" t="n">
        <v>0</v>
      </c>
      <c r="O601" t="n">
        <v>0</v>
      </c>
      <c r="P601" t="n">
        <v>0</v>
      </c>
      <c r="Q601" t="n">
        <v>0</v>
      </c>
      <c r="R601" s="2" t="inlineStr"/>
    </row>
    <row r="602" ht="15" customHeight="1">
      <c r="A602" t="inlineStr">
        <is>
          <t>A 47163-2022</t>
        </is>
      </c>
      <c r="B602" s="1" t="n">
        <v>44852</v>
      </c>
      <c r="C602" s="1" t="n">
        <v>45837</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48191-2022</t>
        </is>
      </c>
      <c r="B603" s="1" t="n">
        <v>44858</v>
      </c>
      <c r="C603" s="1" t="n">
        <v>45837</v>
      </c>
      <c r="D603" t="inlineStr">
        <is>
          <t>UPPSALA LÄN</t>
        </is>
      </c>
      <c r="E603" t="inlineStr">
        <is>
          <t>ÖSTHAMMAR</t>
        </is>
      </c>
      <c r="G603" t="n">
        <v>3.4</v>
      </c>
      <c r="H603" t="n">
        <v>0</v>
      </c>
      <c r="I603" t="n">
        <v>0</v>
      </c>
      <c r="J603" t="n">
        <v>0</v>
      </c>
      <c r="K603" t="n">
        <v>0</v>
      </c>
      <c r="L603" t="n">
        <v>0</v>
      </c>
      <c r="M603" t="n">
        <v>0</v>
      </c>
      <c r="N603" t="n">
        <v>0</v>
      </c>
      <c r="O603" t="n">
        <v>0</v>
      </c>
      <c r="P603" t="n">
        <v>0</v>
      </c>
      <c r="Q603" t="n">
        <v>0</v>
      </c>
      <c r="R603" s="2" t="inlineStr"/>
    </row>
    <row r="604" ht="15" customHeight="1">
      <c r="A604" t="inlineStr">
        <is>
          <t>A 48231-2022</t>
        </is>
      </c>
      <c r="B604" s="1" t="n">
        <v>44858</v>
      </c>
      <c r="C604" s="1" t="n">
        <v>45837</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49097-2022</t>
        </is>
      </c>
      <c r="B605" s="1" t="n">
        <v>44860</v>
      </c>
      <c r="C605" s="1" t="n">
        <v>45837</v>
      </c>
      <c r="D605" t="inlineStr">
        <is>
          <t>UPPSALA LÄN</t>
        </is>
      </c>
      <c r="E605" t="inlineStr">
        <is>
          <t>ÖSTHAMMAR</t>
        </is>
      </c>
      <c r="G605" t="n">
        <v>6.9</v>
      </c>
      <c r="H605" t="n">
        <v>0</v>
      </c>
      <c r="I605" t="n">
        <v>0</v>
      </c>
      <c r="J605" t="n">
        <v>0</v>
      </c>
      <c r="K605" t="n">
        <v>0</v>
      </c>
      <c r="L605" t="n">
        <v>0</v>
      </c>
      <c r="M605" t="n">
        <v>0</v>
      </c>
      <c r="N605" t="n">
        <v>0</v>
      </c>
      <c r="O605" t="n">
        <v>0</v>
      </c>
      <c r="P605" t="n">
        <v>0</v>
      </c>
      <c r="Q605" t="n">
        <v>0</v>
      </c>
      <c r="R605" s="2" t="inlineStr"/>
    </row>
    <row r="606" ht="15" customHeight="1">
      <c r="A606" t="inlineStr">
        <is>
          <t>A 49334-2022</t>
        </is>
      </c>
      <c r="B606" s="1" t="n">
        <v>44861</v>
      </c>
      <c r="C606" s="1" t="n">
        <v>45837</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49914-2022</t>
        </is>
      </c>
      <c r="B607" s="1" t="n">
        <v>44865</v>
      </c>
      <c r="C607" s="1" t="n">
        <v>45837</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50576-2022</t>
        </is>
      </c>
      <c r="B608" s="1" t="n">
        <v>44866</v>
      </c>
      <c r="C608" s="1" t="n">
        <v>45837</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51055-2022</t>
        </is>
      </c>
      <c r="B609" s="1" t="n">
        <v>44868</v>
      </c>
      <c r="C609" s="1" t="n">
        <v>45837</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51696-2022</t>
        </is>
      </c>
      <c r="B610" s="1" t="n">
        <v>44872</v>
      </c>
      <c r="C610" s="1" t="n">
        <v>45837</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51906-2022</t>
        </is>
      </c>
      <c r="B611" s="1" t="n">
        <v>44872</v>
      </c>
      <c r="C611" s="1" t="n">
        <v>45837</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52265-2022</t>
        </is>
      </c>
      <c r="B612" s="1" t="n">
        <v>44873</v>
      </c>
      <c r="C612" s="1" t="n">
        <v>45837</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52255-2022</t>
        </is>
      </c>
      <c r="B613" s="1" t="n">
        <v>44873</v>
      </c>
      <c r="C613" s="1" t="n">
        <v>45837</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52295-2022</t>
        </is>
      </c>
      <c r="B614" s="1" t="n">
        <v>44873</v>
      </c>
      <c r="C614" s="1" t="n">
        <v>45837</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52652-2022</t>
        </is>
      </c>
      <c r="B615" s="1" t="n">
        <v>44874</v>
      </c>
      <c r="C615" s="1" t="n">
        <v>45837</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52389-2022</t>
        </is>
      </c>
      <c r="B616" s="1" t="n">
        <v>44874</v>
      </c>
      <c r="C616" s="1" t="n">
        <v>45837</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52663-2022</t>
        </is>
      </c>
      <c r="B617" s="1" t="n">
        <v>44874</v>
      </c>
      <c r="C617" s="1" t="n">
        <v>45837</v>
      </c>
      <c r="D617" t="inlineStr">
        <is>
          <t>UPPSALA LÄN</t>
        </is>
      </c>
      <c r="E617" t="inlineStr">
        <is>
          <t>ÖSTHAMMAR</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52650-2022</t>
        </is>
      </c>
      <c r="B618" s="1" t="n">
        <v>44874</v>
      </c>
      <c r="C618" s="1" t="n">
        <v>45837</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52661-2022</t>
        </is>
      </c>
      <c r="B619" s="1" t="n">
        <v>44874</v>
      </c>
      <c r="C619" s="1" t="n">
        <v>45837</v>
      </c>
      <c r="D619" t="inlineStr">
        <is>
          <t>UPPSALA LÄN</t>
        </is>
      </c>
      <c r="E619" t="inlineStr">
        <is>
          <t>ÖSTHAMMAR</t>
        </is>
      </c>
      <c r="F619" t="inlineStr">
        <is>
          <t>Bergvik skog öst AB</t>
        </is>
      </c>
      <c r="G619" t="n">
        <v>0.2</v>
      </c>
      <c r="H619" t="n">
        <v>0</v>
      </c>
      <c r="I619" t="n">
        <v>0</v>
      </c>
      <c r="J619" t="n">
        <v>0</v>
      </c>
      <c r="K619" t="n">
        <v>0</v>
      </c>
      <c r="L619" t="n">
        <v>0</v>
      </c>
      <c r="M619" t="n">
        <v>0</v>
      </c>
      <c r="N619" t="n">
        <v>0</v>
      </c>
      <c r="O619" t="n">
        <v>0</v>
      </c>
      <c r="P619" t="n">
        <v>0</v>
      </c>
      <c r="Q619" t="n">
        <v>0</v>
      </c>
      <c r="R619" s="2" t="inlineStr"/>
    </row>
    <row r="620" ht="15" customHeight="1">
      <c r="A620" t="inlineStr">
        <is>
          <t>A 53180-2022</t>
        </is>
      </c>
      <c r="B620" s="1" t="n">
        <v>44876</v>
      </c>
      <c r="C620" s="1" t="n">
        <v>45837</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54666-2022</t>
        </is>
      </c>
      <c r="B621" s="1" t="n">
        <v>44883</v>
      </c>
      <c r="C621" s="1" t="n">
        <v>45837</v>
      </c>
      <c r="D621" t="inlineStr">
        <is>
          <t>UPPSALA LÄN</t>
        </is>
      </c>
      <c r="E621" t="inlineStr">
        <is>
          <t>ÖSTHAMMAR</t>
        </is>
      </c>
      <c r="G621" t="n">
        <v>14.3</v>
      </c>
      <c r="H621" t="n">
        <v>0</v>
      </c>
      <c r="I621" t="n">
        <v>0</v>
      </c>
      <c r="J621" t="n">
        <v>0</v>
      </c>
      <c r="K621" t="n">
        <v>0</v>
      </c>
      <c r="L621" t="n">
        <v>0</v>
      </c>
      <c r="M621" t="n">
        <v>0</v>
      </c>
      <c r="N621" t="n">
        <v>0</v>
      </c>
      <c r="O621" t="n">
        <v>0</v>
      </c>
      <c r="P621" t="n">
        <v>0</v>
      </c>
      <c r="Q621" t="n">
        <v>0</v>
      </c>
      <c r="R621" s="2" t="inlineStr"/>
    </row>
    <row r="622" ht="15" customHeight="1">
      <c r="A622" t="inlineStr">
        <is>
          <t>A 56260-2022</t>
        </is>
      </c>
      <c r="B622" s="1" t="n">
        <v>44890</v>
      </c>
      <c r="C622" s="1" t="n">
        <v>45837</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56969-2022</t>
        </is>
      </c>
      <c r="B623" s="1" t="n">
        <v>44894</v>
      </c>
      <c r="C623" s="1" t="n">
        <v>45837</v>
      </c>
      <c r="D623" t="inlineStr">
        <is>
          <t>UPPSALA LÄN</t>
        </is>
      </c>
      <c r="E623" t="inlineStr">
        <is>
          <t>ÖSTHAMMAR</t>
        </is>
      </c>
      <c r="G623" t="n">
        <v>5.5</v>
      </c>
      <c r="H623" t="n">
        <v>0</v>
      </c>
      <c r="I623" t="n">
        <v>0</v>
      </c>
      <c r="J623" t="n">
        <v>0</v>
      </c>
      <c r="K623" t="n">
        <v>0</v>
      </c>
      <c r="L623" t="n">
        <v>0</v>
      </c>
      <c r="M623" t="n">
        <v>0</v>
      </c>
      <c r="N623" t="n">
        <v>0</v>
      </c>
      <c r="O623" t="n">
        <v>0</v>
      </c>
      <c r="P623" t="n">
        <v>0</v>
      </c>
      <c r="Q623" t="n">
        <v>0</v>
      </c>
      <c r="R623" s="2" t="inlineStr"/>
    </row>
    <row r="624" ht="15" customHeight="1">
      <c r="A624" t="inlineStr">
        <is>
          <t>A 57462-2022</t>
        </is>
      </c>
      <c r="B624" s="1" t="n">
        <v>44896</v>
      </c>
      <c r="C624" s="1" t="n">
        <v>45837</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57453-2022</t>
        </is>
      </c>
      <c r="B625" s="1" t="n">
        <v>44896</v>
      </c>
      <c r="C625" s="1" t="n">
        <v>45837</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58127-2022</t>
        </is>
      </c>
      <c r="B626" s="1" t="n">
        <v>44900</v>
      </c>
      <c r="C626" s="1" t="n">
        <v>45837</v>
      </c>
      <c r="D626" t="inlineStr">
        <is>
          <t>UPPSALA LÄN</t>
        </is>
      </c>
      <c r="E626" t="inlineStr">
        <is>
          <t>ÖSTHAMMAR</t>
        </is>
      </c>
      <c r="F626" t="inlineStr">
        <is>
          <t>Bergvik skog öst AB</t>
        </is>
      </c>
      <c r="G626" t="n">
        <v>6.4</v>
      </c>
      <c r="H626" t="n">
        <v>0</v>
      </c>
      <c r="I626" t="n">
        <v>0</v>
      </c>
      <c r="J626" t="n">
        <v>0</v>
      </c>
      <c r="K626" t="n">
        <v>0</v>
      </c>
      <c r="L626" t="n">
        <v>0</v>
      </c>
      <c r="M626" t="n">
        <v>0</v>
      </c>
      <c r="N626" t="n">
        <v>0</v>
      </c>
      <c r="O626" t="n">
        <v>0</v>
      </c>
      <c r="P626" t="n">
        <v>0</v>
      </c>
      <c r="Q626" t="n">
        <v>0</v>
      </c>
      <c r="R626" s="2" t="inlineStr"/>
    </row>
    <row r="627" ht="15" customHeight="1">
      <c r="A627" t="inlineStr">
        <is>
          <t>A 58367-2022</t>
        </is>
      </c>
      <c r="B627" s="1" t="n">
        <v>44901</v>
      </c>
      <c r="C627" s="1" t="n">
        <v>45837</v>
      </c>
      <c r="D627" t="inlineStr">
        <is>
          <t>UPPSALA LÄN</t>
        </is>
      </c>
      <c r="E627" t="inlineStr">
        <is>
          <t>ÖSTHAMMAR</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45837</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60258-2022</t>
        </is>
      </c>
      <c r="B629" s="1" t="n">
        <v>44903</v>
      </c>
      <c r="C629" s="1" t="n">
        <v>45837</v>
      </c>
      <c r="D629" t="inlineStr">
        <is>
          <t>UPPSALA LÄN</t>
        </is>
      </c>
      <c r="E629" t="inlineStr">
        <is>
          <t>ÖSTHAMMAR</t>
        </is>
      </c>
      <c r="G629" t="n">
        <v>2.5</v>
      </c>
      <c r="H629" t="n">
        <v>0</v>
      </c>
      <c r="I629" t="n">
        <v>0</v>
      </c>
      <c r="J629" t="n">
        <v>0</v>
      </c>
      <c r="K629" t="n">
        <v>0</v>
      </c>
      <c r="L629" t="n">
        <v>0</v>
      </c>
      <c r="M629" t="n">
        <v>0</v>
      </c>
      <c r="N629" t="n">
        <v>0</v>
      </c>
      <c r="O629" t="n">
        <v>0</v>
      </c>
      <c r="P629" t="n">
        <v>0</v>
      </c>
      <c r="Q629" t="n">
        <v>0</v>
      </c>
      <c r="R629" s="2" t="inlineStr"/>
    </row>
    <row r="630" ht="15" customHeight="1">
      <c r="A630" t="inlineStr">
        <is>
          <t>A 59382-2022</t>
        </is>
      </c>
      <c r="B630" s="1" t="n">
        <v>44905</v>
      </c>
      <c r="C630" s="1" t="n">
        <v>45837</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59563-2022</t>
        </is>
      </c>
      <c r="B631" s="1" t="n">
        <v>44907</v>
      </c>
      <c r="C631" s="1" t="n">
        <v>45837</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59880-2022</t>
        </is>
      </c>
      <c r="B632" s="1" t="n">
        <v>44908</v>
      </c>
      <c r="C632" s="1" t="n">
        <v>45837</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60079-2022</t>
        </is>
      </c>
      <c r="B633" s="1" t="n">
        <v>44909</v>
      </c>
      <c r="C633" s="1" t="n">
        <v>45837</v>
      </c>
      <c r="D633" t="inlineStr">
        <is>
          <t>UPPSALA LÄN</t>
        </is>
      </c>
      <c r="E633" t="inlineStr">
        <is>
          <t>ÖSTHAMMAR</t>
        </is>
      </c>
      <c r="G633" t="n">
        <v>9.6</v>
      </c>
      <c r="H633" t="n">
        <v>0</v>
      </c>
      <c r="I633" t="n">
        <v>0</v>
      </c>
      <c r="J633" t="n">
        <v>0</v>
      </c>
      <c r="K633" t="n">
        <v>0</v>
      </c>
      <c r="L633" t="n">
        <v>0</v>
      </c>
      <c r="M633" t="n">
        <v>0</v>
      </c>
      <c r="N633" t="n">
        <v>0</v>
      </c>
      <c r="O633" t="n">
        <v>0</v>
      </c>
      <c r="P633" t="n">
        <v>0</v>
      </c>
      <c r="Q633" t="n">
        <v>0</v>
      </c>
      <c r="R633" s="2" t="inlineStr"/>
    </row>
    <row r="634" ht="15" customHeight="1">
      <c r="A634" t="inlineStr">
        <is>
          <t>A 60597-2022</t>
        </is>
      </c>
      <c r="B634" s="1" t="n">
        <v>44911</v>
      </c>
      <c r="C634" s="1" t="n">
        <v>45837</v>
      </c>
      <c r="D634" t="inlineStr">
        <is>
          <t>UPPSALA LÄN</t>
        </is>
      </c>
      <c r="E634" t="inlineStr">
        <is>
          <t>ÖSTHAMMAR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61261-2022</t>
        </is>
      </c>
      <c r="B635" s="1" t="n">
        <v>44915</v>
      </c>
      <c r="C635" s="1" t="n">
        <v>45837</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61216-2022</t>
        </is>
      </c>
      <c r="B636" s="1" t="n">
        <v>44915</v>
      </c>
      <c r="C636" s="1" t="n">
        <v>45837</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v>
      </c>
      <c r="C637" s="1" t="n">
        <v>45837</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62295-2022</t>
        </is>
      </c>
      <c r="B638" s="1" t="n">
        <v>44916</v>
      </c>
      <c r="C638" s="1" t="n">
        <v>45837</v>
      </c>
      <c r="D638" t="inlineStr">
        <is>
          <t>UPPSALA LÄN</t>
        </is>
      </c>
      <c r="E638" t="inlineStr">
        <is>
          <t>ÖSTHAMMAR</t>
        </is>
      </c>
      <c r="G638" t="n">
        <v>3.3</v>
      </c>
      <c r="H638" t="n">
        <v>0</v>
      </c>
      <c r="I638" t="n">
        <v>0</v>
      </c>
      <c r="J638" t="n">
        <v>0</v>
      </c>
      <c r="K638" t="n">
        <v>0</v>
      </c>
      <c r="L638" t="n">
        <v>0</v>
      </c>
      <c r="M638" t="n">
        <v>0</v>
      </c>
      <c r="N638" t="n">
        <v>0</v>
      </c>
      <c r="O638" t="n">
        <v>0</v>
      </c>
      <c r="P638" t="n">
        <v>0</v>
      </c>
      <c r="Q638" t="n">
        <v>0</v>
      </c>
      <c r="R638" s="2" t="inlineStr"/>
    </row>
    <row r="639" ht="15" customHeight="1">
      <c r="A639" t="inlineStr">
        <is>
          <t>A 62394-2022</t>
        </is>
      </c>
      <c r="B639" s="1" t="n">
        <v>44923</v>
      </c>
      <c r="C639" s="1" t="n">
        <v>45837</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62393-2022</t>
        </is>
      </c>
      <c r="B640" s="1" t="n">
        <v>44923</v>
      </c>
      <c r="C640" s="1" t="n">
        <v>45837</v>
      </c>
      <c r="D640" t="inlineStr">
        <is>
          <t>UPPSALA LÄN</t>
        </is>
      </c>
      <c r="E640" t="inlineStr">
        <is>
          <t>ÖSTHAMMAR</t>
        </is>
      </c>
      <c r="F640" t="inlineStr">
        <is>
          <t>Bergvik skog öst AB</t>
        </is>
      </c>
      <c r="G640" t="n">
        <v>2.7</v>
      </c>
      <c r="H640" t="n">
        <v>0</v>
      </c>
      <c r="I640" t="n">
        <v>0</v>
      </c>
      <c r="J640" t="n">
        <v>0</v>
      </c>
      <c r="K640" t="n">
        <v>0</v>
      </c>
      <c r="L640" t="n">
        <v>0</v>
      </c>
      <c r="M640" t="n">
        <v>0</v>
      </c>
      <c r="N640" t="n">
        <v>0</v>
      </c>
      <c r="O640" t="n">
        <v>0</v>
      </c>
      <c r="P640" t="n">
        <v>0</v>
      </c>
      <c r="Q640" t="n">
        <v>0</v>
      </c>
      <c r="R640" s="2" t="inlineStr"/>
    </row>
    <row r="641" ht="15" customHeight="1">
      <c r="A641" t="inlineStr">
        <is>
          <t>A 62392-2022</t>
        </is>
      </c>
      <c r="B641" s="1" t="n">
        <v>44923</v>
      </c>
      <c r="C641" s="1" t="n">
        <v>45837</v>
      </c>
      <c r="D641" t="inlineStr">
        <is>
          <t>UPPSALA LÄN</t>
        </is>
      </c>
      <c r="E641" t="inlineStr">
        <is>
          <t>ÖSTHAMMAR</t>
        </is>
      </c>
      <c r="F641" t="inlineStr">
        <is>
          <t>Bergvik skog öst AB</t>
        </is>
      </c>
      <c r="G641" t="n">
        <v>1.7</v>
      </c>
      <c r="H641" t="n">
        <v>0</v>
      </c>
      <c r="I641" t="n">
        <v>0</v>
      </c>
      <c r="J641" t="n">
        <v>0</v>
      </c>
      <c r="K641" t="n">
        <v>0</v>
      </c>
      <c r="L641" t="n">
        <v>0</v>
      </c>
      <c r="M641" t="n">
        <v>0</v>
      </c>
      <c r="N641" t="n">
        <v>0</v>
      </c>
      <c r="O641" t="n">
        <v>0</v>
      </c>
      <c r="P641" t="n">
        <v>0</v>
      </c>
      <c r="Q641" t="n">
        <v>0</v>
      </c>
      <c r="R641" s="2" t="inlineStr"/>
    </row>
    <row r="642" ht="15" customHeight="1">
      <c r="A642" t="inlineStr">
        <is>
          <t>A 62391-2022</t>
        </is>
      </c>
      <c r="B642" s="1" t="n">
        <v>44923</v>
      </c>
      <c r="C642" s="1" t="n">
        <v>45837</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57-2023</t>
        </is>
      </c>
      <c r="B643" s="1" t="n">
        <v>44928</v>
      </c>
      <c r="C643" s="1" t="n">
        <v>45837</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59-2023</t>
        </is>
      </c>
      <c r="B644" s="1" t="n">
        <v>44928</v>
      </c>
      <c r="C644" s="1" t="n">
        <v>45837</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390-2023</t>
        </is>
      </c>
      <c r="B645" s="1" t="n">
        <v>44929</v>
      </c>
      <c r="C645" s="1" t="n">
        <v>45837</v>
      </c>
      <c r="D645" t="inlineStr">
        <is>
          <t>UPPSALA LÄN</t>
        </is>
      </c>
      <c r="E645" t="inlineStr">
        <is>
          <t>ÖSTHAMMAR</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1791-2023</t>
        </is>
      </c>
      <c r="B646" s="1" t="n">
        <v>44938</v>
      </c>
      <c r="C646" s="1" t="n">
        <v>45837</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1800-2023</t>
        </is>
      </c>
      <c r="B647" s="1" t="n">
        <v>44938</v>
      </c>
      <c r="C647" s="1" t="n">
        <v>45837</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1796-2023</t>
        </is>
      </c>
      <c r="B648" s="1" t="n">
        <v>44938</v>
      </c>
      <c r="C648" s="1" t="n">
        <v>45837</v>
      </c>
      <c r="D648" t="inlineStr">
        <is>
          <t>UPPSALA LÄN</t>
        </is>
      </c>
      <c r="E648" t="inlineStr">
        <is>
          <t>ÖSTHAMMAR</t>
        </is>
      </c>
      <c r="G648" t="n">
        <v>1.2</v>
      </c>
      <c r="H648" t="n">
        <v>0</v>
      </c>
      <c r="I648" t="n">
        <v>0</v>
      </c>
      <c r="J648" t="n">
        <v>0</v>
      </c>
      <c r="K648" t="n">
        <v>0</v>
      </c>
      <c r="L648" t="n">
        <v>0</v>
      </c>
      <c r="M648" t="n">
        <v>0</v>
      </c>
      <c r="N648" t="n">
        <v>0</v>
      </c>
      <c r="O648" t="n">
        <v>0</v>
      </c>
      <c r="P648" t="n">
        <v>0</v>
      </c>
      <c r="Q648" t="n">
        <v>0</v>
      </c>
      <c r="R648" s="2" t="inlineStr"/>
    </row>
    <row r="649" ht="15" customHeight="1">
      <c r="A649" t="inlineStr">
        <is>
          <t>A 2733-2023</t>
        </is>
      </c>
      <c r="B649" s="1" t="n">
        <v>44943</v>
      </c>
      <c r="C649" s="1" t="n">
        <v>45837</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2967-2023</t>
        </is>
      </c>
      <c r="B650" s="1" t="n">
        <v>44945</v>
      </c>
      <c r="C650" s="1" t="n">
        <v>45837</v>
      </c>
      <c r="D650" t="inlineStr">
        <is>
          <t>UPPSALA LÄN</t>
        </is>
      </c>
      <c r="E650" t="inlineStr">
        <is>
          <t>ÖSTHAMMAR</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3005-2023</t>
        </is>
      </c>
      <c r="B651" s="1" t="n">
        <v>44945</v>
      </c>
      <c r="C651" s="1" t="n">
        <v>45837</v>
      </c>
      <c r="D651" t="inlineStr">
        <is>
          <t>UPPSALA LÄN</t>
        </is>
      </c>
      <c r="E651" t="inlineStr">
        <is>
          <t>ÖSTHAMMAR</t>
        </is>
      </c>
      <c r="F651" t="inlineStr">
        <is>
          <t>Bergvik skog öst AB</t>
        </is>
      </c>
      <c r="G651" t="n">
        <v>6.5</v>
      </c>
      <c r="H651" t="n">
        <v>0</v>
      </c>
      <c r="I651" t="n">
        <v>0</v>
      </c>
      <c r="J651" t="n">
        <v>0</v>
      </c>
      <c r="K651" t="n">
        <v>0</v>
      </c>
      <c r="L651" t="n">
        <v>0</v>
      </c>
      <c r="M651" t="n">
        <v>0</v>
      </c>
      <c r="N651" t="n">
        <v>0</v>
      </c>
      <c r="O651" t="n">
        <v>0</v>
      </c>
      <c r="P651" t="n">
        <v>0</v>
      </c>
      <c r="Q651" t="n">
        <v>0</v>
      </c>
      <c r="R651" s="2" t="inlineStr"/>
    </row>
    <row r="652" ht="15" customHeight="1">
      <c r="A652" t="inlineStr">
        <is>
          <t>A 3743-2023</t>
        </is>
      </c>
      <c r="B652" s="1" t="n">
        <v>44948</v>
      </c>
      <c r="C652" s="1" t="n">
        <v>45837</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3327-2023</t>
        </is>
      </c>
      <c r="B653" s="1" t="n">
        <v>44949</v>
      </c>
      <c r="C653" s="1" t="n">
        <v>45837</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3514-2023</t>
        </is>
      </c>
      <c r="B654" s="1" t="n">
        <v>44950</v>
      </c>
      <c r="C654" s="1" t="n">
        <v>45837</v>
      </c>
      <c r="D654" t="inlineStr">
        <is>
          <t>UPPSALA LÄN</t>
        </is>
      </c>
      <c r="E654" t="inlineStr">
        <is>
          <t>ÖSTHAMMAR</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4004-2023</t>
        </is>
      </c>
      <c r="B655" s="1" t="n">
        <v>44952</v>
      </c>
      <c r="C655" s="1" t="n">
        <v>45837</v>
      </c>
      <c r="D655" t="inlineStr">
        <is>
          <t>UPPSALA LÄN</t>
        </is>
      </c>
      <c r="E655" t="inlineStr">
        <is>
          <t>ÖSTHAMMAR</t>
        </is>
      </c>
      <c r="G655" t="n">
        <v>4.1</v>
      </c>
      <c r="H655" t="n">
        <v>0</v>
      </c>
      <c r="I655" t="n">
        <v>0</v>
      </c>
      <c r="J655" t="n">
        <v>0</v>
      </c>
      <c r="K655" t="n">
        <v>0</v>
      </c>
      <c r="L655" t="n">
        <v>0</v>
      </c>
      <c r="M655" t="n">
        <v>0</v>
      </c>
      <c r="N655" t="n">
        <v>0</v>
      </c>
      <c r="O655" t="n">
        <v>0</v>
      </c>
      <c r="P655" t="n">
        <v>0</v>
      </c>
      <c r="Q655" t="n">
        <v>0</v>
      </c>
      <c r="R655" s="2" t="inlineStr"/>
    </row>
    <row r="656" ht="15" customHeight="1">
      <c r="A656" t="inlineStr">
        <is>
          <t>A 4054-2023</t>
        </is>
      </c>
      <c r="B656" s="1" t="n">
        <v>44952</v>
      </c>
      <c r="C656" s="1" t="n">
        <v>45837</v>
      </c>
      <c r="D656" t="inlineStr">
        <is>
          <t>UPPSALA LÄN</t>
        </is>
      </c>
      <c r="E656" t="inlineStr">
        <is>
          <t>ÖSTHAMMAR</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4233-2023</t>
        </is>
      </c>
      <c r="B657" s="1" t="n">
        <v>44953</v>
      </c>
      <c r="C657" s="1" t="n">
        <v>45837</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4228-2023</t>
        </is>
      </c>
      <c r="B658" s="1" t="n">
        <v>44953</v>
      </c>
      <c r="C658" s="1" t="n">
        <v>45837</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4361-2023</t>
        </is>
      </c>
      <c r="B659" s="1" t="n">
        <v>44954</v>
      </c>
      <c r="C659" s="1" t="n">
        <v>45837</v>
      </c>
      <c r="D659" t="inlineStr">
        <is>
          <t>UPPSALA LÄN</t>
        </is>
      </c>
      <c r="E659" t="inlineStr">
        <is>
          <t>ÖSTHAMMAR</t>
        </is>
      </c>
      <c r="F659" t="inlineStr">
        <is>
          <t>Bergvik skog öst AB</t>
        </is>
      </c>
      <c r="G659" t="n">
        <v>18.3</v>
      </c>
      <c r="H659" t="n">
        <v>0</v>
      </c>
      <c r="I659" t="n">
        <v>0</v>
      </c>
      <c r="J659" t="n">
        <v>0</v>
      </c>
      <c r="K659" t="n">
        <v>0</v>
      </c>
      <c r="L659" t="n">
        <v>0</v>
      </c>
      <c r="M659" t="n">
        <v>0</v>
      </c>
      <c r="N659" t="n">
        <v>0</v>
      </c>
      <c r="O659" t="n">
        <v>0</v>
      </c>
      <c r="P659" t="n">
        <v>0</v>
      </c>
      <c r="Q659" t="n">
        <v>0</v>
      </c>
      <c r="R659" s="2" t="inlineStr"/>
    </row>
    <row r="660" ht="15" customHeight="1">
      <c r="A660" t="inlineStr">
        <is>
          <t>A 5404-2023</t>
        </is>
      </c>
      <c r="B660" s="1" t="n">
        <v>44957</v>
      </c>
      <c r="C660" s="1" t="n">
        <v>45837</v>
      </c>
      <c r="D660" t="inlineStr">
        <is>
          <t>UPPSALA LÄN</t>
        </is>
      </c>
      <c r="E660" t="inlineStr">
        <is>
          <t>ÖSTHAMMAR</t>
        </is>
      </c>
      <c r="G660" t="n">
        <v>2.5</v>
      </c>
      <c r="H660" t="n">
        <v>0</v>
      </c>
      <c r="I660" t="n">
        <v>0</v>
      </c>
      <c r="J660" t="n">
        <v>0</v>
      </c>
      <c r="K660" t="n">
        <v>0</v>
      </c>
      <c r="L660" t="n">
        <v>0</v>
      </c>
      <c r="M660" t="n">
        <v>0</v>
      </c>
      <c r="N660" t="n">
        <v>0</v>
      </c>
      <c r="O660" t="n">
        <v>0</v>
      </c>
      <c r="P660" t="n">
        <v>0</v>
      </c>
      <c r="Q660" t="n">
        <v>0</v>
      </c>
      <c r="R660" s="2" t="inlineStr"/>
    </row>
    <row r="661" ht="15" customHeight="1">
      <c r="A661" t="inlineStr">
        <is>
          <t>A 5429-2023</t>
        </is>
      </c>
      <c r="B661" s="1" t="n">
        <v>44959</v>
      </c>
      <c r="C661" s="1" t="n">
        <v>45837</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5430-2023</t>
        </is>
      </c>
      <c r="B662" s="1" t="n">
        <v>44959</v>
      </c>
      <c r="C662" s="1" t="n">
        <v>45837</v>
      </c>
      <c r="D662" t="inlineStr">
        <is>
          <t>UPPSALA LÄN</t>
        </is>
      </c>
      <c r="E662" t="inlineStr">
        <is>
          <t>ÖSTHAMMAR</t>
        </is>
      </c>
      <c r="F662" t="inlineStr">
        <is>
          <t>Bergvik skog öst AB</t>
        </is>
      </c>
      <c r="G662" t="n">
        <v>18.4</v>
      </c>
      <c r="H662" t="n">
        <v>0</v>
      </c>
      <c r="I662" t="n">
        <v>0</v>
      </c>
      <c r="J662" t="n">
        <v>0</v>
      </c>
      <c r="K662" t="n">
        <v>0</v>
      </c>
      <c r="L662" t="n">
        <v>0</v>
      </c>
      <c r="M662" t="n">
        <v>0</v>
      </c>
      <c r="N662" t="n">
        <v>0</v>
      </c>
      <c r="O662" t="n">
        <v>0</v>
      </c>
      <c r="P662" t="n">
        <v>0</v>
      </c>
      <c r="Q662" t="n">
        <v>0</v>
      </c>
      <c r="R662" s="2" t="inlineStr"/>
    </row>
    <row r="663" ht="15" customHeight="1">
      <c r="A663" t="inlineStr">
        <is>
          <t>A 5643-2023</t>
        </is>
      </c>
      <c r="B663" s="1" t="n">
        <v>44960</v>
      </c>
      <c r="C663" s="1" t="n">
        <v>45837</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6629-2023</t>
        </is>
      </c>
      <c r="B664" s="1" t="n">
        <v>44960</v>
      </c>
      <c r="C664" s="1" t="n">
        <v>45837</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6635-2023</t>
        </is>
      </c>
      <c r="B665" s="1" t="n">
        <v>44960</v>
      </c>
      <c r="C665" s="1" t="n">
        <v>45837</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5832-2023</t>
        </is>
      </c>
      <c r="B666" s="1" t="n">
        <v>44963</v>
      </c>
      <c r="C666" s="1" t="n">
        <v>45837</v>
      </c>
      <c r="D666" t="inlineStr">
        <is>
          <t>UPPSALA LÄN</t>
        </is>
      </c>
      <c r="E666" t="inlineStr">
        <is>
          <t>ÖSTHAMMAR</t>
        </is>
      </c>
      <c r="G666" t="n">
        <v>3.1</v>
      </c>
      <c r="H666" t="n">
        <v>0</v>
      </c>
      <c r="I666" t="n">
        <v>0</v>
      </c>
      <c r="J666" t="n">
        <v>0</v>
      </c>
      <c r="K666" t="n">
        <v>0</v>
      </c>
      <c r="L666" t="n">
        <v>0</v>
      </c>
      <c r="M666" t="n">
        <v>0</v>
      </c>
      <c r="N666" t="n">
        <v>0</v>
      </c>
      <c r="O666" t="n">
        <v>0</v>
      </c>
      <c r="P666" t="n">
        <v>0</v>
      </c>
      <c r="Q666" t="n">
        <v>0</v>
      </c>
      <c r="R666" s="2" t="inlineStr"/>
    </row>
    <row r="667" ht="15" customHeight="1">
      <c r="A667" t="inlineStr">
        <is>
          <t>A 5836-2023</t>
        </is>
      </c>
      <c r="B667" s="1" t="n">
        <v>44963</v>
      </c>
      <c r="C667" s="1" t="n">
        <v>45837</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5831-2023</t>
        </is>
      </c>
      <c r="B668" s="1" t="n">
        <v>44963</v>
      </c>
      <c r="C668" s="1" t="n">
        <v>45837</v>
      </c>
      <c r="D668" t="inlineStr">
        <is>
          <t>UPPSALA LÄN</t>
        </is>
      </c>
      <c r="E668" t="inlineStr">
        <is>
          <t>ÖSTHAMMAR</t>
        </is>
      </c>
      <c r="G668" t="n">
        <v>8.1</v>
      </c>
      <c r="H668" t="n">
        <v>0</v>
      </c>
      <c r="I668" t="n">
        <v>0</v>
      </c>
      <c r="J668" t="n">
        <v>0</v>
      </c>
      <c r="K668" t="n">
        <v>0</v>
      </c>
      <c r="L668" t="n">
        <v>0</v>
      </c>
      <c r="M668" t="n">
        <v>0</v>
      </c>
      <c r="N668" t="n">
        <v>0</v>
      </c>
      <c r="O668" t="n">
        <v>0</v>
      </c>
      <c r="P668" t="n">
        <v>0</v>
      </c>
      <c r="Q668" t="n">
        <v>0</v>
      </c>
      <c r="R668" s="2" t="inlineStr"/>
    </row>
    <row r="669" ht="15" customHeight="1">
      <c r="A669" t="inlineStr">
        <is>
          <t>A 5857-2023</t>
        </is>
      </c>
      <c r="B669" s="1" t="n">
        <v>44963</v>
      </c>
      <c r="C669" s="1" t="n">
        <v>45837</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5884-2023</t>
        </is>
      </c>
      <c r="B670" s="1" t="n">
        <v>44963</v>
      </c>
      <c r="C670" s="1" t="n">
        <v>45837</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5877-2023</t>
        </is>
      </c>
      <c r="B671" s="1" t="n">
        <v>44963</v>
      </c>
      <c r="C671" s="1" t="n">
        <v>45837</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7195-2023</t>
        </is>
      </c>
      <c r="B672" s="1" t="n">
        <v>44970</v>
      </c>
      <c r="C672" s="1" t="n">
        <v>45837</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7206-2023</t>
        </is>
      </c>
      <c r="B673" s="1" t="n">
        <v>44970</v>
      </c>
      <c r="C673" s="1" t="n">
        <v>45837</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7118-2023</t>
        </is>
      </c>
      <c r="B674" s="1" t="n">
        <v>44970</v>
      </c>
      <c r="C674" s="1" t="n">
        <v>45837</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7546-2023</t>
        </is>
      </c>
      <c r="B675" s="1" t="n">
        <v>44972</v>
      </c>
      <c r="C675" s="1" t="n">
        <v>45837</v>
      </c>
      <c r="D675" t="inlineStr">
        <is>
          <t>UPPSALA LÄN</t>
        </is>
      </c>
      <c r="E675" t="inlineStr">
        <is>
          <t>ÖSTHAMMAR</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7543-2023</t>
        </is>
      </c>
      <c r="B676" s="1" t="n">
        <v>44972</v>
      </c>
      <c r="C676" s="1" t="n">
        <v>45837</v>
      </c>
      <c r="D676" t="inlineStr">
        <is>
          <t>UPPSALA LÄN</t>
        </is>
      </c>
      <c r="E676" t="inlineStr">
        <is>
          <t>ÖSTHAMMAR</t>
        </is>
      </c>
      <c r="F676" t="inlineStr">
        <is>
          <t>Bergvik skog öst AB</t>
        </is>
      </c>
      <c r="G676" t="n">
        <v>13.3</v>
      </c>
      <c r="H676" t="n">
        <v>0</v>
      </c>
      <c r="I676" t="n">
        <v>0</v>
      </c>
      <c r="J676" t="n">
        <v>0</v>
      </c>
      <c r="K676" t="n">
        <v>0</v>
      </c>
      <c r="L676" t="n">
        <v>0</v>
      </c>
      <c r="M676" t="n">
        <v>0</v>
      </c>
      <c r="N676" t="n">
        <v>0</v>
      </c>
      <c r="O676" t="n">
        <v>0</v>
      </c>
      <c r="P676" t="n">
        <v>0</v>
      </c>
      <c r="Q676" t="n">
        <v>0</v>
      </c>
      <c r="R676" s="2" t="inlineStr"/>
    </row>
    <row r="677" ht="15" customHeight="1">
      <c r="A677" t="inlineStr">
        <is>
          <t>A 7560-2023</t>
        </is>
      </c>
      <c r="B677" s="1" t="n">
        <v>44972</v>
      </c>
      <c r="C677" s="1" t="n">
        <v>45837</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7876-2023</t>
        </is>
      </c>
      <c r="B678" s="1" t="n">
        <v>44973</v>
      </c>
      <c r="C678" s="1" t="n">
        <v>45837</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7944-2023</t>
        </is>
      </c>
      <c r="B679" s="1" t="n">
        <v>44973</v>
      </c>
      <c r="C679" s="1" t="n">
        <v>45837</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7975-2023</t>
        </is>
      </c>
      <c r="B680" s="1" t="n">
        <v>44973</v>
      </c>
      <c r="C680" s="1" t="n">
        <v>45837</v>
      </c>
      <c r="D680" t="inlineStr">
        <is>
          <t>UPPSALA LÄN</t>
        </is>
      </c>
      <c r="E680" t="inlineStr">
        <is>
          <t>ÖSTHAMMAR</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8006-2023</t>
        </is>
      </c>
      <c r="B681" s="1" t="n">
        <v>44973</v>
      </c>
      <c r="C681" s="1" t="n">
        <v>45837</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8616-2023</t>
        </is>
      </c>
      <c r="B682" s="1" t="n">
        <v>44977</v>
      </c>
      <c r="C682" s="1" t="n">
        <v>45837</v>
      </c>
      <c r="D682" t="inlineStr">
        <is>
          <t>UPPSALA LÄN</t>
        </is>
      </c>
      <c r="E682" t="inlineStr">
        <is>
          <t>ÖSTHAMMAR</t>
        </is>
      </c>
      <c r="F682" t="inlineStr">
        <is>
          <t>Bergvik skog öst AB</t>
        </is>
      </c>
      <c r="G682" t="n">
        <v>0.2</v>
      </c>
      <c r="H682" t="n">
        <v>0</v>
      </c>
      <c r="I682" t="n">
        <v>0</v>
      </c>
      <c r="J682" t="n">
        <v>0</v>
      </c>
      <c r="K682" t="n">
        <v>0</v>
      </c>
      <c r="L682" t="n">
        <v>0</v>
      </c>
      <c r="M682" t="n">
        <v>0</v>
      </c>
      <c r="N682" t="n">
        <v>0</v>
      </c>
      <c r="O682" t="n">
        <v>0</v>
      </c>
      <c r="P682" t="n">
        <v>0</v>
      </c>
      <c r="Q682" t="n">
        <v>0</v>
      </c>
      <c r="R682" s="2" t="inlineStr"/>
    </row>
    <row r="683" ht="15" customHeight="1">
      <c r="A683" t="inlineStr">
        <is>
          <t>A 8826-2023</t>
        </is>
      </c>
      <c r="B683" s="1" t="n">
        <v>44978</v>
      </c>
      <c r="C683" s="1" t="n">
        <v>45837</v>
      </c>
      <c r="D683" t="inlineStr">
        <is>
          <t>UPPSALA LÄN</t>
        </is>
      </c>
      <c r="E683" t="inlineStr">
        <is>
          <t>ÖSTHAMMAR</t>
        </is>
      </c>
      <c r="F683" t="inlineStr">
        <is>
          <t>Bergvik skog öst AB</t>
        </is>
      </c>
      <c r="G683" t="n">
        <v>4.3</v>
      </c>
      <c r="H683" t="n">
        <v>0</v>
      </c>
      <c r="I683" t="n">
        <v>0</v>
      </c>
      <c r="J683" t="n">
        <v>0</v>
      </c>
      <c r="K683" t="n">
        <v>0</v>
      </c>
      <c r="L683" t="n">
        <v>0</v>
      </c>
      <c r="M683" t="n">
        <v>0</v>
      </c>
      <c r="N683" t="n">
        <v>0</v>
      </c>
      <c r="O683" t="n">
        <v>0</v>
      </c>
      <c r="P683" t="n">
        <v>0</v>
      </c>
      <c r="Q683" t="n">
        <v>0</v>
      </c>
      <c r="R683" s="2" t="inlineStr"/>
    </row>
    <row r="684" ht="15" customHeight="1">
      <c r="A684" t="inlineStr">
        <is>
          <t>A 8830-2023</t>
        </is>
      </c>
      <c r="B684" s="1" t="n">
        <v>44978</v>
      </c>
      <c r="C684" s="1" t="n">
        <v>45837</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9052-2023</t>
        </is>
      </c>
      <c r="B685" s="1" t="n">
        <v>44979</v>
      </c>
      <c r="C685" s="1" t="n">
        <v>45837</v>
      </c>
      <c r="D685" t="inlineStr">
        <is>
          <t>UPPSALA LÄN</t>
        </is>
      </c>
      <c r="E685" t="inlineStr">
        <is>
          <t>ÖSTHAMMAR</t>
        </is>
      </c>
      <c r="F685" t="inlineStr">
        <is>
          <t>Kyrkan</t>
        </is>
      </c>
      <c r="G685" t="n">
        <v>0.2</v>
      </c>
      <c r="H685" t="n">
        <v>0</v>
      </c>
      <c r="I685" t="n">
        <v>0</v>
      </c>
      <c r="J685" t="n">
        <v>0</v>
      </c>
      <c r="K685" t="n">
        <v>0</v>
      </c>
      <c r="L685" t="n">
        <v>0</v>
      </c>
      <c r="M685" t="n">
        <v>0</v>
      </c>
      <c r="N685" t="n">
        <v>0</v>
      </c>
      <c r="O685" t="n">
        <v>0</v>
      </c>
      <c r="P685" t="n">
        <v>0</v>
      </c>
      <c r="Q685" t="n">
        <v>0</v>
      </c>
      <c r="R685" s="2" t="inlineStr"/>
    </row>
    <row r="686" ht="15" customHeight="1">
      <c r="A686" t="inlineStr">
        <is>
          <t>A 9543-2023</t>
        </is>
      </c>
      <c r="B686" s="1" t="n">
        <v>44981</v>
      </c>
      <c r="C686" s="1" t="n">
        <v>45837</v>
      </c>
      <c r="D686" t="inlineStr">
        <is>
          <t>UPPSALA LÄN</t>
        </is>
      </c>
      <c r="E686" t="inlineStr">
        <is>
          <t>ÖSTHAMMAR</t>
        </is>
      </c>
      <c r="F686" t="inlineStr">
        <is>
          <t>Bergvik skog öst AB</t>
        </is>
      </c>
      <c r="G686" t="n">
        <v>5.9</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45837</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10449-2023</t>
        </is>
      </c>
      <c r="B688" s="1" t="n">
        <v>44987</v>
      </c>
      <c r="C688" s="1" t="n">
        <v>45837</v>
      </c>
      <c r="D688" t="inlineStr">
        <is>
          <t>UPPSALA LÄN</t>
        </is>
      </c>
      <c r="E688" t="inlineStr">
        <is>
          <t>ÖSTHAMMAR</t>
        </is>
      </c>
      <c r="G688" t="n">
        <v>3.1</v>
      </c>
      <c r="H688" t="n">
        <v>0</v>
      </c>
      <c r="I688" t="n">
        <v>0</v>
      </c>
      <c r="J688" t="n">
        <v>0</v>
      </c>
      <c r="K688" t="n">
        <v>0</v>
      </c>
      <c r="L688" t="n">
        <v>0</v>
      </c>
      <c r="M688" t="n">
        <v>0</v>
      </c>
      <c r="N688" t="n">
        <v>0</v>
      </c>
      <c r="O688" t="n">
        <v>0</v>
      </c>
      <c r="P688" t="n">
        <v>0</v>
      </c>
      <c r="Q688" t="n">
        <v>0</v>
      </c>
      <c r="R688" s="2" t="inlineStr"/>
    </row>
    <row r="689" ht="15" customHeight="1">
      <c r="A689" t="inlineStr">
        <is>
          <t>A 10982-2023</t>
        </is>
      </c>
      <c r="B689" s="1" t="n">
        <v>44991</v>
      </c>
      <c r="C689" s="1" t="n">
        <v>45837</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11008-2023</t>
        </is>
      </c>
      <c r="B690" s="1" t="n">
        <v>44991</v>
      </c>
      <c r="C690" s="1" t="n">
        <v>45837</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11015-2023</t>
        </is>
      </c>
      <c r="B691" s="1" t="n">
        <v>44991</v>
      </c>
      <c r="C691" s="1" t="n">
        <v>45837</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11036-2023</t>
        </is>
      </c>
      <c r="B692" s="1" t="n">
        <v>44991</v>
      </c>
      <c r="C692" s="1" t="n">
        <v>45837</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11009-2023</t>
        </is>
      </c>
      <c r="B693" s="1" t="n">
        <v>44991</v>
      </c>
      <c r="C693" s="1" t="n">
        <v>45837</v>
      </c>
      <c r="D693" t="inlineStr">
        <is>
          <t>UPPSALA LÄN</t>
        </is>
      </c>
      <c r="E693" t="inlineStr">
        <is>
          <t>ÖSTHAMMAR</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11033-2023</t>
        </is>
      </c>
      <c r="B694" s="1" t="n">
        <v>44991</v>
      </c>
      <c r="C694" s="1" t="n">
        <v>45837</v>
      </c>
      <c r="D694" t="inlineStr">
        <is>
          <t>UPPSALA LÄN</t>
        </is>
      </c>
      <c r="E694" t="inlineStr">
        <is>
          <t>ÖSTHAMMAR</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11282-2023</t>
        </is>
      </c>
      <c r="B695" s="1" t="n">
        <v>44992</v>
      </c>
      <c r="C695" s="1" t="n">
        <v>45837</v>
      </c>
      <c r="D695" t="inlineStr">
        <is>
          <t>UPPSALA LÄN</t>
        </is>
      </c>
      <c r="E695" t="inlineStr">
        <is>
          <t>ÖSTHAMMAR</t>
        </is>
      </c>
      <c r="F695" t="inlineStr">
        <is>
          <t>Bergvik skog öst AB</t>
        </is>
      </c>
      <c r="G695" t="n">
        <v>12.3</v>
      </c>
      <c r="H695" t="n">
        <v>0</v>
      </c>
      <c r="I695" t="n">
        <v>0</v>
      </c>
      <c r="J695" t="n">
        <v>0</v>
      </c>
      <c r="K695" t="n">
        <v>0</v>
      </c>
      <c r="L695" t="n">
        <v>0</v>
      </c>
      <c r="M695" t="n">
        <v>0</v>
      </c>
      <c r="N695" t="n">
        <v>0</v>
      </c>
      <c r="O695" t="n">
        <v>0</v>
      </c>
      <c r="P695" t="n">
        <v>0</v>
      </c>
      <c r="Q695" t="n">
        <v>0</v>
      </c>
      <c r="R695" s="2" t="inlineStr"/>
    </row>
    <row r="696" ht="15" customHeight="1">
      <c r="A696" t="inlineStr">
        <is>
          <t>A 11281-2023</t>
        </is>
      </c>
      <c r="B696" s="1" t="n">
        <v>44992</v>
      </c>
      <c r="C696" s="1" t="n">
        <v>45837</v>
      </c>
      <c r="D696" t="inlineStr">
        <is>
          <t>UPPSALA LÄN</t>
        </is>
      </c>
      <c r="E696" t="inlineStr">
        <is>
          <t>ÖSTHAMMAR</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11469-2023</t>
        </is>
      </c>
      <c r="B697" s="1" t="n">
        <v>44993</v>
      </c>
      <c r="C697" s="1" t="n">
        <v>45837</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12190-2023</t>
        </is>
      </c>
      <c r="B698" s="1" t="n">
        <v>44995</v>
      </c>
      <c r="C698" s="1" t="n">
        <v>45837</v>
      </c>
      <c r="D698" t="inlineStr">
        <is>
          <t>UPPSALA LÄN</t>
        </is>
      </c>
      <c r="E698" t="inlineStr">
        <is>
          <t>ÖSTHAMMAR</t>
        </is>
      </c>
      <c r="G698" t="n">
        <v>1.6</v>
      </c>
      <c r="H698" t="n">
        <v>0</v>
      </c>
      <c r="I698" t="n">
        <v>0</v>
      </c>
      <c r="J698" t="n">
        <v>0</v>
      </c>
      <c r="K698" t="n">
        <v>0</v>
      </c>
      <c r="L698" t="n">
        <v>0</v>
      </c>
      <c r="M698" t="n">
        <v>0</v>
      </c>
      <c r="N698" t="n">
        <v>0</v>
      </c>
      <c r="O698" t="n">
        <v>0</v>
      </c>
      <c r="P698" t="n">
        <v>0</v>
      </c>
      <c r="Q698" t="n">
        <v>0</v>
      </c>
      <c r="R698" s="2" t="inlineStr"/>
    </row>
    <row r="699" ht="15" customHeight="1">
      <c r="A699" t="inlineStr">
        <is>
          <t>A 12186-2023</t>
        </is>
      </c>
      <c r="B699" s="1" t="n">
        <v>44995</v>
      </c>
      <c r="C699" s="1" t="n">
        <v>45837</v>
      </c>
      <c r="D699" t="inlineStr">
        <is>
          <t>UPPSALA LÄN</t>
        </is>
      </c>
      <c r="E699" t="inlineStr">
        <is>
          <t>ÖSTHAMMAR</t>
        </is>
      </c>
      <c r="G699" t="n">
        <v>5.7</v>
      </c>
      <c r="H699" t="n">
        <v>0</v>
      </c>
      <c r="I699" t="n">
        <v>0</v>
      </c>
      <c r="J699" t="n">
        <v>0</v>
      </c>
      <c r="K699" t="n">
        <v>0</v>
      </c>
      <c r="L699" t="n">
        <v>0</v>
      </c>
      <c r="M699" t="n">
        <v>0</v>
      </c>
      <c r="N699" t="n">
        <v>0</v>
      </c>
      <c r="O699" t="n">
        <v>0</v>
      </c>
      <c r="P699" t="n">
        <v>0</v>
      </c>
      <c r="Q699" t="n">
        <v>0</v>
      </c>
      <c r="R699" s="2" t="inlineStr"/>
    </row>
    <row r="700" ht="15" customHeight="1">
      <c r="A700" t="inlineStr">
        <is>
          <t>A 12262-2023</t>
        </is>
      </c>
      <c r="B700" s="1" t="n">
        <v>44998</v>
      </c>
      <c r="C700" s="1" t="n">
        <v>45837</v>
      </c>
      <c r="D700" t="inlineStr">
        <is>
          <t>UPPSALA LÄN</t>
        </is>
      </c>
      <c r="E700" t="inlineStr">
        <is>
          <t>ÖSTHAMMAR</t>
        </is>
      </c>
      <c r="G700" t="n">
        <v>4.1</v>
      </c>
      <c r="H700" t="n">
        <v>0</v>
      </c>
      <c r="I700" t="n">
        <v>0</v>
      </c>
      <c r="J700" t="n">
        <v>0</v>
      </c>
      <c r="K700" t="n">
        <v>0</v>
      </c>
      <c r="L700" t="n">
        <v>0</v>
      </c>
      <c r="M700" t="n">
        <v>0</v>
      </c>
      <c r="N700" t="n">
        <v>0</v>
      </c>
      <c r="O700" t="n">
        <v>0</v>
      </c>
      <c r="P700" t="n">
        <v>0</v>
      </c>
      <c r="Q700" t="n">
        <v>0</v>
      </c>
      <c r="R700" s="2" t="inlineStr"/>
    </row>
    <row r="701" ht="15" customHeight="1">
      <c r="A701" t="inlineStr">
        <is>
          <t>A 12215-2023</t>
        </is>
      </c>
      <c r="B701" s="1" t="n">
        <v>44998</v>
      </c>
      <c r="C701" s="1" t="n">
        <v>45837</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12497-2023</t>
        </is>
      </c>
      <c r="B702" s="1" t="n">
        <v>44999</v>
      </c>
      <c r="C702" s="1" t="n">
        <v>45837</v>
      </c>
      <c r="D702" t="inlineStr">
        <is>
          <t>UPPSALA LÄN</t>
        </is>
      </c>
      <c r="E702" t="inlineStr">
        <is>
          <t>ÖSTHAMMAR</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13336-2023</t>
        </is>
      </c>
      <c r="B703" s="1" t="n">
        <v>45005</v>
      </c>
      <c r="C703" s="1" t="n">
        <v>45837</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13352-2023</t>
        </is>
      </c>
      <c r="B704" s="1" t="n">
        <v>45005</v>
      </c>
      <c r="C704" s="1" t="n">
        <v>45837</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13643-2023</t>
        </is>
      </c>
      <c r="B705" s="1" t="n">
        <v>45006</v>
      </c>
      <c r="C705" s="1" t="n">
        <v>45837</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13580-2023</t>
        </is>
      </c>
      <c r="B706" s="1" t="n">
        <v>45006</v>
      </c>
      <c r="C706" s="1" t="n">
        <v>45837</v>
      </c>
      <c r="D706" t="inlineStr">
        <is>
          <t>UPPSALA LÄN</t>
        </is>
      </c>
      <c r="E706" t="inlineStr">
        <is>
          <t>ÖSTHAMMAR</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13584-2023</t>
        </is>
      </c>
      <c r="B707" s="1" t="n">
        <v>45006</v>
      </c>
      <c r="C707" s="1" t="n">
        <v>45837</v>
      </c>
      <c r="D707" t="inlineStr">
        <is>
          <t>UPPSALA LÄN</t>
        </is>
      </c>
      <c r="E707" t="inlineStr">
        <is>
          <t>ÖSTHAMMAR</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13738-2023</t>
        </is>
      </c>
      <c r="B708" s="1" t="n">
        <v>45007</v>
      </c>
      <c r="C708" s="1" t="n">
        <v>45837</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13767-2023</t>
        </is>
      </c>
      <c r="B709" s="1" t="n">
        <v>45007</v>
      </c>
      <c r="C709" s="1" t="n">
        <v>45837</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13755-2023</t>
        </is>
      </c>
      <c r="B710" s="1" t="n">
        <v>45007</v>
      </c>
      <c r="C710" s="1" t="n">
        <v>45837</v>
      </c>
      <c r="D710" t="inlineStr">
        <is>
          <t>UPPSALA LÄN</t>
        </is>
      </c>
      <c r="E710" t="inlineStr">
        <is>
          <t>ÖSTHAMMAR</t>
        </is>
      </c>
      <c r="G710" t="n">
        <v>2.4</v>
      </c>
      <c r="H710" t="n">
        <v>0</v>
      </c>
      <c r="I710" t="n">
        <v>0</v>
      </c>
      <c r="J710" t="n">
        <v>0</v>
      </c>
      <c r="K710" t="n">
        <v>0</v>
      </c>
      <c r="L710" t="n">
        <v>0</v>
      </c>
      <c r="M710" t="n">
        <v>0</v>
      </c>
      <c r="N710" t="n">
        <v>0</v>
      </c>
      <c r="O710" t="n">
        <v>0</v>
      </c>
      <c r="P710" t="n">
        <v>0</v>
      </c>
      <c r="Q710" t="n">
        <v>0</v>
      </c>
      <c r="R710" s="2" t="inlineStr"/>
    </row>
    <row r="711" ht="15" customHeight="1">
      <c r="A711" t="inlineStr">
        <is>
          <t>A 13771-2023</t>
        </is>
      </c>
      <c r="B711" s="1" t="n">
        <v>45007</v>
      </c>
      <c r="C711" s="1" t="n">
        <v>45837</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13736-2023</t>
        </is>
      </c>
      <c r="B712" s="1" t="n">
        <v>45007</v>
      </c>
      <c r="C712" s="1" t="n">
        <v>45837</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14505-2023</t>
        </is>
      </c>
      <c r="B713" s="1" t="n">
        <v>45012</v>
      </c>
      <c r="C713" s="1" t="n">
        <v>45837</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14510-2023</t>
        </is>
      </c>
      <c r="B714" s="1" t="n">
        <v>45012</v>
      </c>
      <c r="C714" s="1" t="n">
        <v>45837</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14595-2023</t>
        </is>
      </c>
      <c r="B715" s="1" t="n">
        <v>45013</v>
      </c>
      <c r="C715" s="1" t="n">
        <v>45837</v>
      </c>
      <c r="D715" t="inlineStr">
        <is>
          <t>UPPSALA LÄN</t>
        </is>
      </c>
      <c r="E715" t="inlineStr">
        <is>
          <t>ÖSTHAMMAR</t>
        </is>
      </c>
      <c r="G715" t="n">
        <v>5</v>
      </c>
      <c r="H715" t="n">
        <v>0</v>
      </c>
      <c r="I715" t="n">
        <v>0</v>
      </c>
      <c r="J715" t="n">
        <v>0</v>
      </c>
      <c r="K715" t="n">
        <v>0</v>
      </c>
      <c r="L715" t="n">
        <v>0</v>
      </c>
      <c r="M715" t="n">
        <v>0</v>
      </c>
      <c r="N715" t="n">
        <v>0</v>
      </c>
      <c r="O715" t="n">
        <v>0</v>
      </c>
      <c r="P715" t="n">
        <v>0</v>
      </c>
      <c r="Q715" t="n">
        <v>0</v>
      </c>
      <c r="R715" s="2" t="inlineStr"/>
    </row>
    <row r="716" ht="15" customHeight="1">
      <c r="A716" t="inlineStr">
        <is>
          <t>A 14822-2023</t>
        </is>
      </c>
      <c r="B716" s="1" t="n">
        <v>45014</v>
      </c>
      <c r="C716" s="1" t="n">
        <v>45837</v>
      </c>
      <c r="D716" t="inlineStr">
        <is>
          <t>UPPSALA LÄN</t>
        </is>
      </c>
      <c r="E716" t="inlineStr">
        <is>
          <t>ÖSTHAMMAR</t>
        </is>
      </c>
      <c r="G716" t="n">
        <v>6.2</v>
      </c>
      <c r="H716" t="n">
        <v>0</v>
      </c>
      <c r="I716" t="n">
        <v>0</v>
      </c>
      <c r="J716" t="n">
        <v>0</v>
      </c>
      <c r="K716" t="n">
        <v>0</v>
      </c>
      <c r="L716" t="n">
        <v>0</v>
      </c>
      <c r="M716" t="n">
        <v>0</v>
      </c>
      <c r="N716" t="n">
        <v>0</v>
      </c>
      <c r="O716" t="n">
        <v>0</v>
      </c>
      <c r="P716" t="n">
        <v>0</v>
      </c>
      <c r="Q716" t="n">
        <v>0</v>
      </c>
      <c r="R716" s="2" t="inlineStr"/>
    </row>
    <row r="717" ht="15" customHeight="1">
      <c r="A717" t="inlineStr">
        <is>
          <t>A 14835-2023</t>
        </is>
      </c>
      <c r="B717" s="1" t="n">
        <v>45014</v>
      </c>
      <c r="C717" s="1" t="n">
        <v>45837</v>
      </c>
      <c r="D717" t="inlineStr">
        <is>
          <t>UPPSALA LÄN</t>
        </is>
      </c>
      <c r="E717" t="inlineStr">
        <is>
          <t>ÖSTHAMMAR</t>
        </is>
      </c>
      <c r="G717" t="n">
        <v>9.5</v>
      </c>
      <c r="H717" t="n">
        <v>0</v>
      </c>
      <c r="I717" t="n">
        <v>0</v>
      </c>
      <c r="J717" t="n">
        <v>0</v>
      </c>
      <c r="K717" t="n">
        <v>0</v>
      </c>
      <c r="L717" t="n">
        <v>0</v>
      </c>
      <c r="M717" t="n">
        <v>0</v>
      </c>
      <c r="N717" t="n">
        <v>0</v>
      </c>
      <c r="O717" t="n">
        <v>0</v>
      </c>
      <c r="P717" t="n">
        <v>0</v>
      </c>
      <c r="Q717" t="n">
        <v>0</v>
      </c>
      <c r="R717" s="2" t="inlineStr"/>
    </row>
    <row r="718" ht="15" customHeight="1">
      <c r="A718" t="inlineStr">
        <is>
          <t>A 14889-2023</t>
        </is>
      </c>
      <c r="B718" s="1" t="n">
        <v>45015</v>
      </c>
      <c r="C718" s="1" t="n">
        <v>45837</v>
      </c>
      <c r="D718" t="inlineStr">
        <is>
          <t>UPPSALA LÄN</t>
        </is>
      </c>
      <c r="E718" t="inlineStr">
        <is>
          <t>ÖSTHAMMAR</t>
        </is>
      </c>
      <c r="F718" t="inlineStr">
        <is>
          <t>Bergvik skog öst AB</t>
        </is>
      </c>
      <c r="G718" t="n">
        <v>7.6</v>
      </c>
      <c r="H718" t="n">
        <v>0</v>
      </c>
      <c r="I718" t="n">
        <v>0</v>
      </c>
      <c r="J718" t="n">
        <v>0</v>
      </c>
      <c r="K718" t="n">
        <v>0</v>
      </c>
      <c r="L718" t="n">
        <v>0</v>
      </c>
      <c r="M718" t="n">
        <v>0</v>
      </c>
      <c r="N718" t="n">
        <v>0</v>
      </c>
      <c r="O718" t="n">
        <v>0</v>
      </c>
      <c r="P718" t="n">
        <v>0</v>
      </c>
      <c r="Q718" t="n">
        <v>0</v>
      </c>
      <c r="R718" s="2" t="inlineStr"/>
    </row>
    <row r="719" ht="15" customHeight="1">
      <c r="A719" t="inlineStr">
        <is>
          <t>A 14888-2023</t>
        </is>
      </c>
      <c r="B719" s="1" t="n">
        <v>45015</v>
      </c>
      <c r="C719" s="1" t="n">
        <v>45837</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14976-2023</t>
        </is>
      </c>
      <c r="B720" s="1" t="n">
        <v>45015</v>
      </c>
      <c r="C720" s="1" t="n">
        <v>45837</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15554-2023</t>
        </is>
      </c>
      <c r="B721" s="1" t="n">
        <v>45019</v>
      </c>
      <c r="C721" s="1" t="n">
        <v>45837</v>
      </c>
      <c r="D721" t="inlineStr">
        <is>
          <t>UPPSALA LÄN</t>
        </is>
      </c>
      <c r="E721" t="inlineStr">
        <is>
          <t>ÖSTHAMMAR</t>
        </is>
      </c>
      <c r="G721" t="n">
        <v>5.3</v>
      </c>
      <c r="H721" t="n">
        <v>0</v>
      </c>
      <c r="I721" t="n">
        <v>0</v>
      </c>
      <c r="J721" t="n">
        <v>0</v>
      </c>
      <c r="K721" t="n">
        <v>0</v>
      </c>
      <c r="L721" t="n">
        <v>0</v>
      </c>
      <c r="M721" t="n">
        <v>0</v>
      </c>
      <c r="N721" t="n">
        <v>0</v>
      </c>
      <c r="O721" t="n">
        <v>0</v>
      </c>
      <c r="P721" t="n">
        <v>0</v>
      </c>
      <c r="Q721" t="n">
        <v>0</v>
      </c>
      <c r="R721" s="2" t="inlineStr"/>
    </row>
    <row r="722" ht="15" customHeight="1">
      <c r="A722" t="inlineStr">
        <is>
          <t>A 16112-2023</t>
        </is>
      </c>
      <c r="B722" s="1" t="n">
        <v>45027</v>
      </c>
      <c r="C722" s="1" t="n">
        <v>45837</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16345-2023</t>
        </is>
      </c>
      <c r="B723" s="1" t="n">
        <v>45028</v>
      </c>
      <c r="C723" s="1" t="n">
        <v>45837</v>
      </c>
      <c r="D723" t="inlineStr">
        <is>
          <t>UPPSALA LÄN</t>
        </is>
      </c>
      <c r="E723" t="inlineStr">
        <is>
          <t>ÖSTHAMMAR</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16701-2023</t>
        </is>
      </c>
      <c r="B724" s="1" t="n">
        <v>45030</v>
      </c>
      <c r="C724" s="1" t="n">
        <v>45837</v>
      </c>
      <c r="D724" t="inlineStr">
        <is>
          <t>UPPSALA LÄN</t>
        </is>
      </c>
      <c r="E724" t="inlineStr">
        <is>
          <t>ÖSTHAMMAR</t>
        </is>
      </c>
      <c r="G724" t="n">
        <v>2.5</v>
      </c>
      <c r="H724" t="n">
        <v>0</v>
      </c>
      <c r="I724" t="n">
        <v>0</v>
      </c>
      <c r="J724" t="n">
        <v>0</v>
      </c>
      <c r="K724" t="n">
        <v>0</v>
      </c>
      <c r="L724" t="n">
        <v>0</v>
      </c>
      <c r="M724" t="n">
        <v>0</v>
      </c>
      <c r="N724" t="n">
        <v>0</v>
      </c>
      <c r="O724" t="n">
        <v>0</v>
      </c>
      <c r="P724" t="n">
        <v>0</v>
      </c>
      <c r="Q724" t="n">
        <v>0</v>
      </c>
      <c r="R724" s="2" t="inlineStr"/>
    </row>
    <row r="725" ht="15" customHeight="1">
      <c r="A725" t="inlineStr">
        <is>
          <t>A 16954-2023</t>
        </is>
      </c>
      <c r="B725" s="1" t="n">
        <v>45033</v>
      </c>
      <c r="C725" s="1" t="n">
        <v>45837</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16948-2023</t>
        </is>
      </c>
      <c r="B726" s="1" t="n">
        <v>45033</v>
      </c>
      <c r="C726" s="1" t="n">
        <v>45837</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16966-2023</t>
        </is>
      </c>
      <c r="B727" s="1" t="n">
        <v>45033</v>
      </c>
      <c r="C727" s="1" t="n">
        <v>45837</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17028-2023</t>
        </is>
      </c>
      <c r="B728" s="1" t="n">
        <v>45034</v>
      </c>
      <c r="C728" s="1" t="n">
        <v>45837</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17631-2023</t>
        </is>
      </c>
      <c r="B729" s="1" t="n">
        <v>45036</v>
      </c>
      <c r="C729" s="1" t="n">
        <v>45837</v>
      </c>
      <c r="D729" t="inlineStr">
        <is>
          <t>UPPSALA LÄN</t>
        </is>
      </c>
      <c r="E729" t="inlineStr">
        <is>
          <t>ÖSTHAMMAR</t>
        </is>
      </c>
      <c r="G729" t="n">
        <v>5.1</v>
      </c>
      <c r="H729" t="n">
        <v>0</v>
      </c>
      <c r="I729" t="n">
        <v>0</v>
      </c>
      <c r="J729" t="n">
        <v>0</v>
      </c>
      <c r="K729" t="n">
        <v>0</v>
      </c>
      <c r="L729" t="n">
        <v>0</v>
      </c>
      <c r="M729" t="n">
        <v>0</v>
      </c>
      <c r="N729" t="n">
        <v>0</v>
      </c>
      <c r="O729" t="n">
        <v>0</v>
      </c>
      <c r="P729" t="n">
        <v>0</v>
      </c>
      <c r="Q729" t="n">
        <v>0</v>
      </c>
      <c r="R729" s="2" t="inlineStr"/>
    </row>
    <row r="730" ht="15" customHeight="1">
      <c r="A730" t="inlineStr">
        <is>
          <t>A 17850-2023</t>
        </is>
      </c>
      <c r="B730" s="1" t="n">
        <v>45037</v>
      </c>
      <c r="C730" s="1" t="n">
        <v>45837</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17851-2023</t>
        </is>
      </c>
      <c r="B731" s="1" t="n">
        <v>45037</v>
      </c>
      <c r="C731" s="1" t="n">
        <v>45837</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17854-2023</t>
        </is>
      </c>
      <c r="B732" s="1" t="n">
        <v>45037</v>
      </c>
      <c r="C732" s="1" t="n">
        <v>45837</v>
      </c>
      <c r="D732" t="inlineStr">
        <is>
          <t>UPPSALA LÄN</t>
        </is>
      </c>
      <c r="E732" t="inlineStr">
        <is>
          <t>ÖSTHAMMAR</t>
        </is>
      </c>
      <c r="G732" t="n">
        <v>5.6</v>
      </c>
      <c r="H732" t="n">
        <v>0</v>
      </c>
      <c r="I732" t="n">
        <v>0</v>
      </c>
      <c r="J732" t="n">
        <v>0</v>
      </c>
      <c r="K732" t="n">
        <v>0</v>
      </c>
      <c r="L732" t="n">
        <v>0</v>
      </c>
      <c r="M732" t="n">
        <v>0</v>
      </c>
      <c r="N732" t="n">
        <v>0</v>
      </c>
      <c r="O732" t="n">
        <v>0</v>
      </c>
      <c r="P732" t="n">
        <v>0</v>
      </c>
      <c r="Q732" t="n">
        <v>0</v>
      </c>
      <c r="R732" s="2" t="inlineStr"/>
    </row>
    <row r="733" ht="15" customHeight="1">
      <c r="A733" t="inlineStr">
        <is>
          <t>A 18091-2023</t>
        </is>
      </c>
      <c r="B733" s="1" t="n">
        <v>45040</v>
      </c>
      <c r="C733" s="1" t="n">
        <v>45837</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17970-2023</t>
        </is>
      </c>
      <c r="B734" s="1" t="n">
        <v>45040</v>
      </c>
      <c r="C734" s="1" t="n">
        <v>45837</v>
      </c>
      <c r="D734" t="inlineStr">
        <is>
          <t>UPPSALA LÄN</t>
        </is>
      </c>
      <c r="E734" t="inlineStr">
        <is>
          <t>ÖSTHAMMAR</t>
        </is>
      </c>
      <c r="G734" t="n">
        <v>3.3</v>
      </c>
      <c r="H734" t="n">
        <v>0</v>
      </c>
      <c r="I734" t="n">
        <v>0</v>
      </c>
      <c r="J734" t="n">
        <v>0</v>
      </c>
      <c r="K734" t="n">
        <v>0</v>
      </c>
      <c r="L734" t="n">
        <v>0</v>
      </c>
      <c r="M734" t="n">
        <v>0</v>
      </c>
      <c r="N734" t="n">
        <v>0</v>
      </c>
      <c r="O734" t="n">
        <v>0</v>
      </c>
      <c r="P734" t="n">
        <v>0</v>
      </c>
      <c r="Q734" t="n">
        <v>0</v>
      </c>
      <c r="R734" s="2" t="inlineStr"/>
    </row>
    <row r="735" ht="15" customHeight="1">
      <c r="A735" t="inlineStr">
        <is>
          <t>A 18074-2023</t>
        </is>
      </c>
      <c r="B735" s="1" t="n">
        <v>45040</v>
      </c>
      <c r="C735" s="1" t="n">
        <v>45837</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45837</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17969-2023</t>
        </is>
      </c>
      <c r="B737" s="1" t="n">
        <v>45040</v>
      </c>
      <c r="C737" s="1" t="n">
        <v>45837</v>
      </c>
      <c r="D737" t="inlineStr">
        <is>
          <t>UPPSALA LÄN</t>
        </is>
      </c>
      <c r="E737" t="inlineStr">
        <is>
          <t>ÖSTHAMMAR</t>
        </is>
      </c>
      <c r="G737" t="n">
        <v>5.4</v>
      </c>
      <c r="H737" t="n">
        <v>0</v>
      </c>
      <c r="I737" t="n">
        <v>0</v>
      </c>
      <c r="J737" t="n">
        <v>0</v>
      </c>
      <c r="K737" t="n">
        <v>0</v>
      </c>
      <c r="L737" t="n">
        <v>0</v>
      </c>
      <c r="M737" t="n">
        <v>0</v>
      </c>
      <c r="N737" t="n">
        <v>0</v>
      </c>
      <c r="O737" t="n">
        <v>0</v>
      </c>
      <c r="P737" t="n">
        <v>0</v>
      </c>
      <c r="Q737" t="n">
        <v>0</v>
      </c>
      <c r="R737" s="2" t="inlineStr"/>
    </row>
    <row r="738" ht="15" customHeight="1">
      <c r="A738" t="inlineStr">
        <is>
          <t>A 18219-2023</t>
        </is>
      </c>
      <c r="B738" s="1" t="n">
        <v>45041</v>
      </c>
      <c r="C738" s="1" t="n">
        <v>45837</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18536-2023</t>
        </is>
      </c>
      <c r="B739" s="1" t="n">
        <v>45042</v>
      </c>
      <c r="C739" s="1" t="n">
        <v>45837</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18386-2023</t>
        </is>
      </c>
      <c r="B740" s="1" t="n">
        <v>45042</v>
      </c>
      <c r="C740" s="1" t="n">
        <v>45837</v>
      </c>
      <c r="D740" t="inlineStr">
        <is>
          <t>UPPSALA LÄN</t>
        </is>
      </c>
      <c r="E740" t="inlineStr">
        <is>
          <t>ÖSTHAMMAR</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18535-2023</t>
        </is>
      </c>
      <c r="B741" s="1" t="n">
        <v>45042</v>
      </c>
      <c r="C741" s="1" t="n">
        <v>45837</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18534-2023</t>
        </is>
      </c>
      <c r="B742" s="1" t="n">
        <v>45042</v>
      </c>
      <c r="C742" s="1" t="n">
        <v>45837</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18538-2023</t>
        </is>
      </c>
      <c r="B743" s="1" t="n">
        <v>45042</v>
      </c>
      <c r="C743" s="1" t="n">
        <v>45837</v>
      </c>
      <c r="D743" t="inlineStr">
        <is>
          <t>UPPSALA LÄN</t>
        </is>
      </c>
      <c r="E743" t="inlineStr">
        <is>
          <t>ÖSTHAMMAR</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18838-2023</t>
        </is>
      </c>
      <c r="B744" s="1" t="n">
        <v>45044</v>
      </c>
      <c r="C744" s="1" t="n">
        <v>45837</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18839-2023</t>
        </is>
      </c>
      <c r="B745" s="1" t="n">
        <v>45044</v>
      </c>
      <c r="C745" s="1" t="n">
        <v>45837</v>
      </c>
      <c r="D745" t="inlineStr">
        <is>
          <t>UPPSALA LÄN</t>
        </is>
      </c>
      <c r="E745" t="inlineStr">
        <is>
          <t>ÖSTHAMMAR</t>
        </is>
      </c>
      <c r="G745" t="n">
        <v>2.5</v>
      </c>
      <c r="H745" t="n">
        <v>0</v>
      </c>
      <c r="I745" t="n">
        <v>0</v>
      </c>
      <c r="J745" t="n">
        <v>0</v>
      </c>
      <c r="K745" t="n">
        <v>0</v>
      </c>
      <c r="L745" t="n">
        <v>0</v>
      </c>
      <c r="M745" t="n">
        <v>0</v>
      </c>
      <c r="N745" t="n">
        <v>0</v>
      </c>
      <c r="O745" t="n">
        <v>0</v>
      </c>
      <c r="P745" t="n">
        <v>0</v>
      </c>
      <c r="Q745" t="n">
        <v>0</v>
      </c>
      <c r="R745" s="2" t="inlineStr"/>
    </row>
    <row r="746" ht="15" customHeight="1">
      <c r="A746" t="inlineStr">
        <is>
          <t>A 18841-2023</t>
        </is>
      </c>
      <c r="B746" s="1" t="n">
        <v>45044</v>
      </c>
      <c r="C746" s="1" t="n">
        <v>45837</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18945-2023</t>
        </is>
      </c>
      <c r="B747" s="1" t="n">
        <v>45044</v>
      </c>
      <c r="C747" s="1" t="n">
        <v>45837</v>
      </c>
      <c r="D747" t="inlineStr">
        <is>
          <t>UPPSALA LÄN</t>
        </is>
      </c>
      <c r="E747" t="inlineStr">
        <is>
          <t>ÖSTHAMMAR</t>
        </is>
      </c>
      <c r="G747" t="n">
        <v>3.7</v>
      </c>
      <c r="H747" t="n">
        <v>0</v>
      </c>
      <c r="I747" t="n">
        <v>0</v>
      </c>
      <c r="J747" t="n">
        <v>0</v>
      </c>
      <c r="K747" t="n">
        <v>0</v>
      </c>
      <c r="L747" t="n">
        <v>0</v>
      </c>
      <c r="M747" t="n">
        <v>0</v>
      </c>
      <c r="N747" t="n">
        <v>0</v>
      </c>
      <c r="O747" t="n">
        <v>0</v>
      </c>
      <c r="P747" t="n">
        <v>0</v>
      </c>
      <c r="Q747" t="n">
        <v>0</v>
      </c>
      <c r="R747" s="2" t="inlineStr"/>
    </row>
    <row r="748" ht="15" customHeight="1">
      <c r="A748" t="inlineStr">
        <is>
          <t>A 18946-2023</t>
        </is>
      </c>
      <c r="B748" s="1" t="n">
        <v>45044</v>
      </c>
      <c r="C748" s="1" t="n">
        <v>45837</v>
      </c>
      <c r="D748" t="inlineStr">
        <is>
          <t>UPPSALA LÄN</t>
        </is>
      </c>
      <c r="E748" t="inlineStr">
        <is>
          <t>ÖSTHAMMAR</t>
        </is>
      </c>
      <c r="G748" t="n">
        <v>4.9</v>
      </c>
      <c r="H748" t="n">
        <v>0</v>
      </c>
      <c r="I748" t="n">
        <v>0</v>
      </c>
      <c r="J748" t="n">
        <v>0</v>
      </c>
      <c r="K748" t="n">
        <v>0</v>
      </c>
      <c r="L748" t="n">
        <v>0</v>
      </c>
      <c r="M748" t="n">
        <v>0</v>
      </c>
      <c r="N748" t="n">
        <v>0</v>
      </c>
      <c r="O748" t="n">
        <v>0</v>
      </c>
      <c r="P748" t="n">
        <v>0</v>
      </c>
      <c r="Q748" t="n">
        <v>0</v>
      </c>
      <c r="R748" s="2" t="inlineStr"/>
    </row>
    <row r="749" ht="15" customHeight="1">
      <c r="A749" t="inlineStr">
        <is>
          <t>A 19012-2023</t>
        </is>
      </c>
      <c r="B749" s="1" t="n">
        <v>45045</v>
      </c>
      <c r="C749" s="1" t="n">
        <v>45837</v>
      </c>
      <c r="D749" t="inlineStr">
        <is>
          <t>UPPSALA LÄN</t>
        </is>
      </c>
      <c r="E749" t="inlineStr">
        <is>
          <t>ÖSTHAMMAR</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19015-2023</t>
        </is>
      </c>
      <c r="B750" s="1" t="n">
        <v>45045</v>
      </c>
      <c r="C750" s="1" t="n">
        <v>45837</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19010-2023</t>
        </is>
      </c>
      <c r="B751" s="1" t="n">
        <v>45045</v>
      </c>
      <c r="C751" s="1" t="n">
        <v>45837</v>
      </c>
      <c r="D751" t="inlineStr">
        <is>
          <t>UPPSALA LÄN</t>
        </is>
      </c>
      <c r="E751" t="inlineStr">
        <is>
          <t>ÖSTHAMMAR</t>
        </is>
      </c>
      <c r="F751" t="inlineStr">
        <is>
          <t>Bergvik skog öst AB</t>
        </is>
      </c>
      <c r="G751" t="n">
        <v>3.7</v>
      </c>
      <c r="H751" t="n">
        <v>0</v>
      </c>
      <c r="I751" t="n">
        <v>0</v>
      </c>
      <c r="J751" t="n">
        <v>0</v>
      </c>
      <c r="K751" t="n">
        <v>0</v>
      </c>
      <c r="L751" t="n">
        <v>0</v>
      </c>
      <c r="M751" t="n">
        <v>0</v>
      </c>
      <c r="N751" t="n">
        <v>0</v>
      </c>
      <c r="O751" t="n">
        <v>0</v>
      </c>
      <c r="P751" t="n">
        <v>0</v>
      </c>
      <c r="Q751" t="n">
        <v>0</v>
      </c>
      <c r="R751" s="2" t="inlineStr"/>
    </row>
    <row r="752" ht="15" customHeight="1">
      <c r="A752" t="inlineStr">
        <is>
          <t>A 19014-2023</t>
        </is>
      </c>
      <c r="B752" s="1" t="n">
        <v>45045</v>
      </c>
      <c r="C752" s="1" t="n">
        <v>45837</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19009-2023</t>
        </is>
      </c>
      <c r="B753" s="1" t="n">
        <v>45045</v>
      </c>
      <c r="C753" s="1" t="n">
        <v>45837</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19041-2023</t>
        </is>
      </c>
      <c r="B754" s="1" t="n">
        <v>45047</v>
      </c>
      <c r="C754" s="1" t="n">
        <v>45837</v>
      </c>
      <c r="D754" t="inlineStr">
        <is>
          <t>UPPSALA LÄN</t>
        </is>
      </c>
      <c r="E754" t="inlineStr">
        <is>
          <t>ÖSTHAMMAR</t>
        </is>
      </c>
      <c r="F754" t="inlineStr">
        <is>
          <t>Bergvik skog öst AB</t>
        </is>
      </c>
      <c r="G754" t="n">
        <v>3.9</v>
      </c>
      <c r="H754" t="n">
        <v>0</v>
      </c>
      <c r="I754" t="n">
        <v>0</v>
      </c>
      <c r="J754" t="n">
        <v>0</v>
      </c>
      <c r="K754" t="n">
        <v>0</v>
      </c>
      <c r="L754" t="n">
        <v>0</v>
      </c>
      <c r="M754" t="n">
        <v>0</v>
      </c>
      <c r="N754" t="n">
        <v>0</v>
      </c>
      <c r="O754" t="n">
        <v>0</v>
      </c>
      <c r="P754" t="n">
        <v>0</v>
      </c>
      <c r="Q754" t="n">
        <v>0</v>
      </c>
      <c r="R754" s="2" t="inlineStr"/>
    </row>
    <row r="755" ht="15" customHeight="1">
      <c r="A755" t="inlineStr">
        <is>
          <t>A 19040-2023</t>
        </is>
      </c>
      <c r="B755" s="1" t="n">
        <v>45047</v>
      </c>
      <c r="C755" s="1" t="n">
        <v>45837</v>
      </c>
      <c r="D755" t="inlineStr">
        <is>
          <t>UPPSALA LÄN</t>
        </is>
      </c>
      <c r="E755" t="inlineStr">
        <is>
          <t>ÖSTHAMMAR</t>
        </is>
      </c>
      <c r="F755" t="inlineStr">
        <is>
          <t>Bergvik skog öst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19102-2023</t>
        </is>
      </c>
      <c r="B756" s="1" t="n">
        <v>45048</v>
      </c>
      <c r="C756" s="1" t="n">
        <v>45837</v>
      </c>
      <c r="D756" t="inlineStr">
        <is>
          <t>UPPSALA LÄN</t>
        </is>
      </c>
      <c r="E756" t="inlineStr">
        <is>
          <t>ÖSTHAMMAR</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19099-2023</t>
        </is>
      </c>
      <c r="B757" s="1" t="n">
        <v>45048</v>
      </c>
      <c r="C757" s="1" t="n">
        <v>45837</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19097-2023</t>
        </is>
      </c>
      <c r="B758" s="1" t="n">
        <v>45048</v>
      </c>
      <c r="C758" s="1" t="n">
        <v>45837</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19215-2023</t>
        </is>
      </c>
      <c r="B759" s="1" t="n">
        <v>45048</v>
      </c>
      <c r="C759" s="1" t="n">
        <v>45837</v>
      </c>
      <c r="D759" t="inlineStr">
        <is>
          <t>UPPSALA LÄN</t>
        </is>
      </c>
      <c r="E759" t="inlineStr">
        <is>
          <t>ÖSTHAMMAR</t>
        </is>
      </c>
      <c r="G759" t="n">
        <v>2.3</v>
      </c>
      <c r="H759" t="n">
        <v>0</v>
      </c>
      <c r="I759" t="n">
        <v>0</v>
      </c>
      <c r="J759" t="n">
        <v>0</v>
      </c>
      <c r="K759" t="n">
        <v>0</v>
      </c>
      <c r="L759" t="n">
        <v>0</v>
      </c>
      <c r="M759" t="n">
        <v>0</v>
      </c>
      <c r="N759" t="n">
        <v>0</v>
      </c>
      <c r="O759" t="n">
        <v>0</v>
      </c>
      <c r="P759" t="n">
        <v>0</v>
      </c>
      <c r="Q759" t="n">
        <v>0</v>
      </c>
      <c r="R759" s="2" t="inlineStr"/>
    </row>
    <row r="760" ht="15" customHeight="1">
      <c r="A760" t="inlineStr">
        <is>
          <t>A 19216-2023</t>
        </is>
      </c>
      <c r="B760" s="1" t="n">
        <v>45048</v>
      </c>
      <c r="C760" s="1" t="n">
        <v>45837</v>
      </c>
      <c r="D760" t="inlineStr">
        <is>
          <t>UPPSALA LÄN</t>
        </is>
      </c>
      <c r="E760" t="inlineStr">
        <is>
          <t>ÖSTHAMMAR</t>
        </is>
      </c>
      <c r="G760" t="n">
        <v>11.3</v>
      </c>
      <c r="H760" t="n">
        <v>0</v>
      </c>
      <c r="I760" t="n">
        <v>0</v>
      </c>
      <c r="J760" t="n">
        <v>0</v>
      </c>
      <c r="K760" t="n">
        <v>0</v>
      </c>
      <c r="L760" t="n">
        <v>0</v>
      </c>
      <c r="M760" t="n">
        <v>0</v>
      </c>
      <c r="N760" t="n">
        <v>0</v>
      </c>
      <c r="O760" t="n">
        <v>0</v>
      </c>
      <c r="P760" t="n">
        <v>0</v>
      </c>
      <c r="Q760" t="n">
        <v>0</v>
      </c>
      <c r="R760" s="2" t="inlineStr"/>
    </row>
    <row r="761" ht="15" customHeight="1">
      <c r="A761" t="inlineStr">
        <is>
          <t>A 19784-2023</t>
        </is>
      </c>
      <c r="B761" s="1" t="n">
        <v>45051</v>
      </c>
      <c r="C761" s="1" t="n">
        <v>45837</v>
      </c>
      <c r="D761" t="inlineStr">
        <is>
          <t>UPPSALA LÄN</t>
        </is>
      </c>
      <c r="E761" t="inlineStr">
        <is>
          <t>ÖSTHAMMAR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19801-2023</t>
        </is>
      </c>
      <c r="B762" s="1" t="n">
        <v>45051</v>
      </c>
      <c r="C762" s="1" t="n">
        <v>45837</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19968-2023</t>
        </is>
      </c>
      <c r="B763" s="1" t="n">
        <v>45054</v>
      </c>
      <c r="C763" s="1" t="n">
        <v>45837</v>
      </c>
      <c r="D763" t="inlineStr">
        <is>
          <t>UPPSALA LÄN</t>
        </is>
      </c>
      <c r="E763" t="inlineStr">
        <is>
          <t>ÖSTHAMMAR</t>
        </is>
      </c>
      <c r="G763" t="n">
        <v>5.8</v>
      </c>
      <c r="H763" t="n">
        <v>0</v>
      </c>
      <c r="I763" t="n">
        <v>0</v>
      </c>
      <c r="J763" t="n">
        <v>0</v>
      </c>
      <c r="K763" t="n">
        <v>0</v>
      </c>
      <c r="L763" t="n">
        <v>0</v>
      </c>
      <c r="M763" t="n">
        <v>0</v>
      </c>
      <c r="N763" t="n">
        <v>0</v>
      </c>
      <c r="O763" t="n">
        <v>0</v>
      </c>
      <c r="P763" t="n">
        <v>0</v>
      </c>
      <c r="Q763" t="n">
        <v>0</v>
      </c>
      <c r="R763" s="2" t="inlineStr"/>
    </row>
    <row r="764" ht="15" customHeight="1">
      <c r="A764" t="inlineStr">
        <is>
          <t>A 20038-2023</t>
        </is>
      </c>
      <c r="B764" s="1" t="n">
        <v>45054</v>
      </c>
      <c r="C764" s="1" t="n">
        <v>45837</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20046-2023</t>
        </is>
      </c>
      <c r="B765" s="1" t="n">
        <v>45054</v>
      </c>
      <c r="C765" s="1" t="n">
        <v>45837</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20029-2023</t>
        </is>
      </c>
      <c r="B766" s="1" t="n">
        <v>45054</v>
      </c>
      <c r="C766" s="1" t="n">
        <v>45837</v>
      </c>
      <c r="D766" t="inlineStr">
        <is>
          <t>UPPSALA LÄN</t>
        </is>
      </c>
      <c r="E766" t="inlineStr">
        <is>
          <t>ÖSTHAMMAR</t>
        </is>
      </c>
      <c r="G766" t="n">
        <v>4.8</v>
      </c>
      <c r="H766" t="n">
        <v>0</v>
      </c>
      <c r="I766" t="n">
        <v>0</v>
      </c>
      <c r="J766" t="n">
        <v>0</v>
      </c>
      <c r="K766" t="n">
        <v>0</v>
      </c>
      <c r="L766" t="n">
        <v>0</v>
      </c>
      <c r="M766" t="n">
        <v>0</v>
      </c>
      <c r="N766" t="n">
        <v>0</v>
      </c>
      <c r="O766" t="n">
        <v>0</v>
      </c>
      <c r="P766" t="n">
        <v>0</v>
      </c>
      <c r="Q766" t="n">
        <v>0</v>
      </c>
      <c r="R766" s="2" t="inlineStr"/>
    </row>
    <row r="767" ht="15" customHeight="1">
      <c r="A767" t="inlineStr">
        <is>
          <t>A 20366-2023</t>
        </is>
      </c>
      <c r="B767" s="1" t="n">
        <v>45056</v>
      </c>
      <c r="C767" s="1" t="n">
        <v>45837</v>
      </c>
      <c r="D767" t="inlineStr">
        <is>
          <t>UPPSALA LÄN</t>
        </is>
      </c>
      <c r="E767" t="inlineStr">
        <is>
          <t>ÖSTHAMMAR</t>
        </is>
      </c>
      <c r="G767" t="n">
        <v>1.6</v>
      </c>
      <c r="H767" t="n">
        <v>0</v>
      </c>
      <c r="I767" t="n">
        <v>0</v>
      </c>
      <c r="J767" t="n">
        <v>0</v>
      </c>
      <c r="K767" t="n">
        <v>0</v>
      </c>
      <c r="L767" t="n">
        <v>0</v>
      </c>
      <c r="M767" t="n">
        <v>0</v>
      </c>
      <c r="N767" t="n">
        <v>0</v>
      </c>
      <c r="O767" t="n">
        <v>0</v>
      </c>
      <c r="P767" t="n">
        <v>0</v>
      </c>
      <c r="Q767" t="n">
        <v>0</v>
      </c>
      <c r="R767" s="2" t="inlineStr"/>
    </row>
    <row r="768" ht="15" customHeight="1">
      <c r="A768" t="inlineStr">
        <is>
          <t>A 20572-2023</t>
        </is>
      </c>
      <c r="B768" s="1" t="n">
        <v>45057</v>
      </c>
      <c r="C768" s="1" t="n">
        <v>45837</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20657-2023</t>
        </is>
      </c>
      <c r="B769" s="1" t="n">
        <v>45058</v>
      </c>
      <c r="C769" s="1" t="n">
        <v>45837</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20664-2023</t>
        </is>
      </c>
      <c r="B770" s="1" t="n">
        <v>45058</v>
      </c>
      <c r="C770" s="1" t="n">
        <v>45837</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20680-2023</t>
        </is>
      </c>
      <c r="B771" s="1" t="n">
        <v>45058</v>
      </c>
      <c r="C771" s="1" t="n">
        <v>45837</v>
      </c>
      <c r="D771" t="inlineStr">
        <is>
          <t>UPPSALA LÄN</t>
        </is>
      </c>
      <c r="E771" t="inlineStr">
        <is>
          <t>ÖSTHAMMAR</t>
        </is>
      </c>
      <c r="F771" t="inlineStr">
        <is>
          <t>Bergvik skog öst AB</t>
        </is>
      </c>
      <c r="G771" t="n">
        <v>10.5</v>
      </c>
      <c r="H771" t="n">
        <v>0</v>
      </c>
      <c r="I771" t="n">
        <v>0</v>
      </c>
      <c r="J771" t="n">
        <v>0</v>
      </c>
      <c r="K771" t="n">
        <v>0</v>
      </c>
      <c r="L771" t="n">
        <v>0</v>
      </c>
      <c r="M771" t="n">
        <v>0</v>
      </c>
      <c r="N771" t="n">
        <v>0</v>
      </c>
      <c r="O771" t="n">
        <v>0</v>
      </c>
      <c r="P771" t="n">
        <v>0</v>
      </c>
      <c r="Q771" t="n">
        <v>0</v>
      </c>
      <c r="R771" s="2" t="inlineStr"/>
    </row>
    <row r="772" ht="15" customHeight="1">
      <c r="A772" t="inlineStr">
        <is>
          <t>A 20677-2023</t>
        </is>
      </c>
      <c r="B772" s="1" t="n">
        <v>45058</v>
      </c>
      <c r="C772" s="1" t="n">
        <v>45837</v>
      </c>
      <c r="D772" t="inlineStr">
        <is>
          <t>UPPSALA LÄN</t>
        </is>
      </c>
      <c r="E772" t="inlineStr">
        <is>
          <t>ÖSTHAMMAR</t>
        </is>
      </c>
      <c r="F772" t="inlineStr">
        <is>
          <t>Bergvik skog öst AB</t>
        </is>
      </c>
      <c r="G772" t="n">
        <v>4</v>
      </c>
      <c r="H772" t="n">
        <v>0</v>
      </c>
      <c r="I772" t="n">
        <v>0</v>
      </c>
      <c r="J772" t="n">
        <v>0</v>
      </c>
      <c r="K772" t="n">
        <v>0</v>
      </c>
      <c r="L772" t="n">
        <v>0</v>
      </c>
      <c r="M772" t="n">
        <v>0</v>
      </c>
      <c r="N772" t="n">
        <v>0</v>
      </c>
      <c r="O772" t="n">
        <v>0</v>
      </c>
      <c r="P772" t="n">
        <v>0</v>
      </c>
      <c r="Q772" t="n">
        <v>0</v>
      </c>
      <c r="R772" s="2" t="inlineStr"/>
    </row>
    <row r="773" ht="15" customHeight="1">
      <c r="A773" t="inlineStr">
        <is>
          <t>A 21478-2023</t>
        </is>
      </c>
      <c r="B773" s="1" t="n">
        <v>45063</v>
      </c>
      <c r="C773" s="1" t="n">
        <v>45837</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21615-2023</t>
        </is>
      </c>
      <c r="B774" s="1" t="n">
        <v>45063</v>
      </c>
      <c r="C774" s="1" t="n">
        <v>45837</v>
      </c>
      <c r="D774" t="inlineStr">
        <is>
          <t>UPPSALA LÄN</t>
        </is>
      </c>
      <c r="E774" t="inlineStr">
        <is>
          <t>ÖSTHAMMAR</t>
        </is>
      </c>
      <c r="G774" t="n">
        <v>3.3</v>
      </c>
      <c r="H774" t="n">
        <v>0</v>
      </c>
      <c r="I774" t="n">
        <v>0</v>
      </c>
      <c r="J774" t="n">
        <v>0</v>
      </c>
      <c r="K774" t="n">
        <v>0</v>
      </c>
      <c r="L774" t="n">
        <v>0</v>
      </c>
      <c r="M774" t="n">
        <v>0</v>
      </c>
      <c r="N774" t="n">
        <v>0</v>
      </c>
      <c r="O774" t="n">
        <v>0</v>
      </c>
      <c r="P774" t="n">
        <v>0</v>
      </c>
      <c r="Q774" t="n">
        <v>0</v>
      </c>
      <c r="R774" s="2" t="inlineStr"/>
    </row>
    <row r="775" ht="15" customHeight="1">
      <c r="A775" t="inlineStr">
        <is>
          <t>A 21624-2023</t>
        </is>
      </c>
      <c r="B775" s="1" t="n">
        <v>45063</v>
      </c>
      <c r="C775" s="1" t="n">
        <v>45837</v>
      </c>
      <c r="D775" t="inlineStr">
        <is>
          <t>UPPSALA LÄN</t>
        </is>
      </c>
      <c r="E775" t="inlineStr">
        <is>
          <t>ÖSTHAMMAR</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21862-2023</t>
        </is>
      </c>
      <c r="B776" s="1" t="n">
        <v>45068</v>
      </c>
      <c r="C776" s="1" t="n">
        <v>45837</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22405-2023</t>
        </is>
      </c>
      <c r="B777" s="1" t="n">
        <v>45070</v>
      </c>
      <c r="C777" s="1" t="n">
        <v>45837</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22413-2023</t>
        </is>
      </c>
      <c r="B778" s="1" t="n">
        <v>45070</v>
      </c>
      <c r="C778" s="1" t="n">
        <v>45837</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22322-2023</t>
        </is>
      </c>
      <c r="B779" s="1" t="n">
        <v>45070</v>
      </c>
      <c r="C779" s="1" t="n">
        <v>45837</v>
      </c>
      <c r="D779" t="inlineStr">
        <is>
          <t>UPPSALA LÄN</t>
        </is>
      </c>
      <c r="E779" t="inlineStr">
        <is>
          <t>ÖSTHAMMAR</t>
        </is>
      </c>
      <c r="F779" t="inlineStr">
        <is>
          <t>Bergvik skog öst AB</t>
        </is>
      </c>
      <c r="G779" t="n">
        <v>2.7</v>
      </c>
      <c r="H779" t="n">
        <v>0</v>
      </c>
      <c r="I779" t="n">
        <v>0</v>
      </c>
      <c r="J779" t="n">
        <v>0</v>
      </c>
      <c r="K779" t="n">
        <v>0</v>
      </c>
      <c r="L779" t="n">
        <v>0</v>
      </c>
      <c r="M779" t="n">
        <v>0</v>
      </c>
      <c r="N779" t="n">
        <v>0</v>
      </c>
      <c r="O779" t="n">
        <v>0</v>
      </c>
      <c r="P779" t="n">
        <v>0</v>
      </c>
      <c r="Q779" t="n">
        <v>0</v>
      </c>
      <c r="R779" s="2" t="inlineStr"/>
    </row>
    <row r="780" ht="15" customHeight="1">
      <c r="A780" t="inlineStr">
        <is>
          <t>A 22701-2023</t>
        </is>
      </c>
      <c r="B780" s="1" t="n">
        <v>45071</v>
      </c>
      <c r="C780" s="1" t="n">
        <v>45837</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22794-2023</t>
        </is>
      </c>
      <c r="B781" s="1" t="n">
        <v>45072</v>
      </c>
      <c r="C781" s="1" t="n">
        <v>45837</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22798-2023</t>
        </is>
      </c>
      <c r="B782" s="1" t="n">
        <v>45072</v>
      </c>
      <c r="C782" s="1" t="n">
        <v>45837</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22796-2023</t>
        </is>
      </c>
      <c r="B783" s="1" t="n">
        <v>45072</v>
      </c>
      <c r="C783" s="1" t="n">
        <v>45837</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23083-2023</t>
        </is>
      </c>
      <c r="B784" s="1" t="n">
        <v>45075</v>
      </c>
      <c r="C784" s="1" t="n">
        <v>45837</v>
      </c>
      <c r="D784" t="inlineStr">
        <is>
          <t>UPPSALA LÄN</t>
        </is>
      </c>
      <c r="E784" t="inlineStr">
        <is>
          <t>ÖSTHAMMAR</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23064-2023</t>
        </is>
      </c>
      <c r="B785" s="1" t="n">
        <v>45075</v>
      </c>
      <c r="C785" s="1" t="n">
        <v>45837</v>
      </c>
      <c r="D785" t="inlineStr">
        <is>
          <t>UPPSALA LÄN</t>
        </is>
      </c>
      <c r="E785" t="inlineStr">
        <is>
          <t>ÖSTHAMMAR</t>
        </is>
      </c>
      <c r="F785" t="inlineStr">
        <is>
          <t>Kyrkan</t>
        </is>
      </c>
      <c r="G785" t="n">
        <v>16.6</v>
      </c>
      <c r="H785" t="n">
        <v>0</v>
      </c>
      <c r="I785" t="n">
        <v>0</v>
      </c>
      <c r="J785" t="n">
        <v>0</v>
      </c>
      <c r="K785" t="n">
        <v>0</v>
      </c>
      <c r="L785" t="n">
        <v>0</v>
      </c>
      <c r="M785" t="n">
        <v>0</v>
      </c>
      <c r="N785" t="n">
        <v>0</v>
      </c>
      <c r="O785" t="n">
        <v>0</v>
      </c>
      <c r="P785" t="n">
        <v>0</v>
      </c>
      <c r="Q785" t="n">
        <v>0</v>
      </c>
      <c r="R785" s="2" t="inlineStr"/>
    </row>
    <row r="786" ht="15" customHeight="1">
      <c r="A786" t="inlineStr">
        <is>
          <t>A 23197-2023</t>
        </is>
      </c>
      <c r="B786" s="1" t="n">
        <v>45075</v>
      </c>
      <c r="C786" s="1" t="n">
        <v>45837</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23142-2023</t>
        </is>
      </c>
      <c r="B787" s="1" t="n">
        <v>45075</v>
      </c>
      <c r="C787" s="1" t="n">
        <v>45837</v>
      </c>
      <c r="D787" t="inlineStr">
        <is>
          <t>UPPSALA LÄN</t>
        </is>
      </c>
      <c r="E787" t="inlineStr">
        <is>
          <t>ÖSTHAMMAR</t>
        </is>
      </c>
      <c r="G787" t="n">
        <v>2.3</v>
      </c>
      <c r="H787" t="n">
        <v>0</v>
      </c>
      <c r="I787" t="n">
        <v>0</v>
      </c>
      <c r="J787" t="n">
        <v>0</v>
      </c>
      <c r="K787" t="n">
        <v>0</v>
      </c>
      <c r="L787" t="n">
        <v>0</v>
      </c>
      <c r="M787" t="n">
        <v>0</v>
      </c>
      <c r="N787" t="n">
        <v>0</v>
      </c>
      <c r="O787" t="n">
        <v>0</v>
      </c>
      <c r="P787" t="n">
        <v>0</v>
      </c>
      <c r="Q787" t="n">
        <v>0</v>
      </c>
      <c r="R787" s="2" t="inlineStr"/>
    </row>
    <row r="788" ht="15" customHeight="1">
      <c r="A788" t="inlineStr">
        <is>
          <t>A 23059-2023</t>
        </is>
      </c>
      <c r="B788" s="1" t="n">
        <v>45075</v>
      </c>
      <c r="C788" s="1" t="n">
        <v>45837</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45837</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23495-2023</t>
        </is>
      </c>
      <c r="B790" s="1" t="n">
        <v>45076</v>
      </c>
      <c r="C790" s="1" t="n">
        <v>45837</v>
      </c>
      <c r="D790" t="inlineStr">
        <is>
          <t>UPPSALA LÄN</t>
        </is>
      </c>
      <c r="E790" t="inlineStr">
        <is>
          <t>ÖSTHAMMAR</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24033-2023</t>
        </is>
      </c>
      <c r="B791" s="1" t="n">
        <v>45078</v>
      </c>
      <c r="C791" s="1" t="n">
        <v>45837</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24128-2023</t>
        </is>
      </c>
      <c r="B792" s="1" t="n">
        <v>45079</v>
      </c>
      <c r="C792" s="1" t="n">
        <v>45837</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24325-2023</t>
        </is>
      </c>
      <c r="B793" s="1" t="n">
        <v>45080</v>
      </c>
      <c r="C793" s="1" t="n">
        <v>45837</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24324-2023</t>
        </is>
      </c>
      <c r="B794" s="1" t="n">
        <v>45080</v>
      </c>
      <c r="C794" s="1" t="n">
        <v>45837</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24428-2023</t>
        </is>
      </c>
      <c r="B795" s="1" t="n">
        <v>45082</v>
      </c>
      <c r="C795" s="1" t="n">
        <v>45837</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24493-2023</t>
        </is>
      </c>
      <c r="B796" s="1" t="n">
        <v>45082</v>
      </c>
      <c r="C796" s="1" t="n">
        <v>45837</v>
      </c>
      <c r="D796" t="inlineStr">
        <is>
          <t>UPPSALA LÄN</t>
        </is>
      </c>
      <c r="E796" t="inlineStr">
        <is>
          <t>ÖSTHAMMAR</t>
        </is>
      </c>
      <c r="G796" t="n">
        <v>1.9</v>
      </c>
      <c r="H796" t="n">
        <v>0</v>
      </c>
      <c r="I796" t="n">
        <v>0</v>
      </c>
      <c r="J796" t="n">
        <v>0</v>
      </c>
      <c r="K796" t="n">
        <v>0</v>
      </c>
      <c r="L796" t="n">
        <v>0</v>
      </c>
      <c r="M796" t="n">
        <v>0</v>
      </c>
      <c r="N796" t="n">
        <v>0</v>
      </c>
      <c r="O796" t="n">
        <v>0</v>
      </c>
      <c r="P796" t="n">
        <v>0</v>
      </c>
      <c r="Q796" t="n">
        <v>0</v>
      </c>
      <c r="R796" s="2" t="inlineStr"/>
    </row>
    <row r="797" ht="15" customHeight="1">
      <c r="A797" t="inlineStr">
        <is>
          <t>A 24491-2023</t>
        </is>
      </c>
      <c r="B797" s="1" t="n">
        <v>45082</v>
      </c>
      <c r="C797" s="1" t="n">
        <v>45837</v>
      </c>
      <c r="D797" t="inlineStr">
        <is>
          <t>UPPSALA LÄN</t>
        </is>
      </c>
      <c r="E797" t="inlineStr">
        <is>
          <t>ÖSTHAMMAR</t>
        </is>
      </c>
      <c r="G797" t="n">
        <v>5.3</v>
      </c>
      <c r="H797" t="n">
        <v>0</v>
      </c>
      <c r="I797" t="n">
        <v>0</v>
      </c>
      <c r="J797" t="n">
        <v>0</v>
      </c>
      <c r="K797" t="n">
        <v>0</v>
      </c>
      <c r="L797" t="n">
        <v>0</v>
      </c>
      <c r="M797" t="n">
        <v>0</v>
      </c>
      <c r="N797" t="n">
        <v>0</v>
      </c>
      <c r="O797" t="n">
        <v>0</v>
      </c>
      <c r="P797" t="n">
        <v>0</v>
      </c>
      <c r="Q797" t="n">
        <v>0</v>
      </c>
      <c r="R797" s="2" t="inlineStr"/>
    </row>
    <row r="798" ht="15" customHeight="1">
      <c r="A798" t="inlineStr">
        <is>
          <t>A 24587-2023</t>
        </is>
      </c>
      <c r="B798" s="1" t="n">
        <v>45083</v>
      </c>
      <c r="C798" s="1" t="n">
        <v>45837</v>
      </c>
      <c r="D798" t="inlineStr">
        <is>
          <t>UPPSALA LÄN</t>
        </is>
      </c>
      <c r="E798" t="inlineStr">
        <is>
          <t>ÖSTHAMMAR</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24642-2023</t>
        </is>
      </c>
      <c r="B799" s="1" t="n">
        <v>45084</v>
      </c>
      <c r="C799" s="1" t="n">
        <v>45837</v>
      </c>
      <c r="D799" t="inlineStr">
        <is>
          <t>UPPSALA LÄN</t>
        </is>
      </c>
      <c r="E799" t="inlineStr">
        <is>
          <t>ÖSTHAMMAR</t>
        </is>
      </c>
      <c r="F799" t="inlineStr">
        <is>
          <t>Bergvik skog öst AB</t>
        </is>
      </c>
      <c r="G799" t="n">
        <v>7.2</v>
      </c>
      <c r="H799" t="n">
        <v>0</v>
      </c>
      <c r="I799" t="n">
        <v>0</v>
      </c>
      <c r="J799" t="n">
        <v>0</v>
      </c>
      <c r="K799" t="n">
        <v>0</v>
      </c>
      <c r="L799" t="n">
        <v>0</v>
      </c>
      <c r="M799" t="n">
        <v>0</v>
      </c>
      <c r="N799" t="n">
        <v>0</v>
      </c>
      <c r="O799" t="n">
        <v>0</v>
      </c>
      <c r="P799" t="n">
        <v>0</v>
      </c>
      <c r="Q799" t="n">
        <v>0</v>
      </c>
      <c r="R799" s="2" t="inlineStr"/>
    </row>
    <row r="800" ht="15" customHeight="1">
      <c r="A800" t="inlineStr">
        <is>
          <t>A 24648-2023</t>
        </is>
      </c>
      <c r="B800" s="1" t="n">
        <v>45084</v>
      </c>
      <c r="C800" s="1" t="n">
        <v>45837</v>
      </c>
      <c r="D800" t="inlineStr">
        <is>
          <t>UPPSALA LÄN</t>
        </is>
      </c>
      <c r="E800" t="inlineStr">
        <is>
          <t>ÖSTHAMMAR</t>
        </is>
      </c>
      <c r="F800" t="inlineStr">
        <is>
          <t>Bergvik skog öst AB</t>
        </is>
      </c>
      <c r="G800" t="n">
        <v>12.5</v>
      </c>
      <c r="H800" t="n">
        <v>0</v>
      </c>
      <c r="I800" t="n">
        <v>0</v>
      </c>
      <c r="J800" t="n">
        <v>0</v>
      </c>
      <c r="K800" t="n">
        <v>0</v>
      </c>
      <c r="L800" t="n">
        <v>0</v>
      </c>
      <c r="M800" t="n">
        <v>0</v>
      </c>
      <c r="N800" t="n">
        <v>0</v>
      </c>
      <c r="O800" t="n">
        <v>0</v>
      </c>
      <c r="P800" t="n">
        <v>0</v>
      </c>
      <c r="Q800" t="n">
        <v>0</v>
      </c>
      <c r="R800" s="2" t="inlineStr"/>
    </row>
    <row r="801" ht="15" customHeight="1">
      <c r="A801" t="inlineStr">
        <is>
          <t>A 24751-2023</t>
        </is>
      </c>
      <c r="B801" s="1" t="n">
        <v>45084</v>
      </c>
      <c r="C801" s="1" t="n">
        <v>45837</v>
      </c>
      <c r="D801" t="inlineStr">
        <is>
          <t>UPPSALA LÄN</t>
        </is>
      </c>
      <c r="E801" t="inlineStr">
        <is>
          <t>ÖSTHAMMAR</t>
        </is>
      </c>
      <c r="F801" t="inlineStr">
        <is>
          <t>Bergvik skog öst AB</t>
        </is>
      </c>
      <c r="G801" t="n">
        <v>6.2</v>
      </c>
      <c r="H801" t="n">
        <v>0</v>
      </c>
      <c r="I801" t="n">
        <v>0</v>
      </c>
      <c r="J801" t="n">
        <v>0</v>
      </c>
      <c r="K801" t="n">
        <v>0</v>
      </c>
      <c r="L801" t="n">
        <v>0</v>
      </c>
      <c r="M801" t="n">
        <v>0</v>
      </c>
      <c r="N801" t="n">
        <v>0</v>
      </c>
      <c r="O801" t="n">
        <v>0</v>
      </c>
      <c r="P801" t="n">
        <v>0</v>
      </c>
      <c r="Q801" t="n">
        <v>0</v>
      </c>
      <c r="R801" s="2" t="inlineStr"/>
    </row>
    <row r="802" ht="15" customHeight="1">
      <c r="A802" t="inlineStr">
        <is>
          <t>A 25194-2023</t>
        </is>
      </c>
      <c r="B802" s="1" t="n">
        <v>45086</v>
      </c>
      <c r="C802" s="1" t="n">
        <v>45837</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26612-2023</t>
        </is>
      </c>
      <c r="B803" s="1" t="n">
        <v>45089</v>
      </c>
      <c r="C803" s="1" t="n">
        <v>45837</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26610-2023</t>
        </is>
      </c>
      <c r="B804" s="1" t="n">
        <v>45089</v>
      </c>
      <c r="C804" s="1" t="n">
        <v>45837</v>
      </c>
      <c r="D804" t="inlineStr">
        <is>
          <t>UPPSALA LÄN</t>
        </is>
      </c>
      <c r="E804" t="inlineStr">
        <is>
          <t>ÖSTHAMMAR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25897-2023</t>
        </is>
      </c>
      <c r="B805" s="1" t="n">
        <v>45090</v>
      </c>
      <c r="C805" s="1" t="n">
        <v>45837</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25903-2023</t>
        </is>
      </c>
      <c r="B806" s="1" t="n">
        <v>45090</v>
      </c>
      <c r="C806" s="1" t="n">
        <v>45837</v>
      </c>
      <c r="D806" t="inlineStr">
        <is>
          <t>UPPSALA LÄN</t>
        </is>
      </c>
      <c r="E806" t="inlineStr">
        <is>
          <t>ÖSTHAMMAR</t>
        </is>
      </c>
      <c r="F806" t="inlineStr">
        <is>
          <t>Bergvik skog öst AB</t>
        </is>
      </c>
      <c r="G806" t="n">
        <v>29.2</v>
      </c>
      <c r="H806" t="n">
        <v>0</v>
      </c>
      <c r="I806" t="n">
        <v>0</v>
      </c>
      <c r="J806" t="n">
        <v>0</v>
      </c>
      <c r="K806" t="n">
        <v>0</v>
      </c>
      <c r="L806" t="n">
        <v>0</v>
      </c>
      <c r="M806" t="n">
        <v>0</v>
      </c>
      <c r="N806" t="n">
        <v>0</v>
      </c>
      <c r="O806" t="n">
        <v>0</v>
      </c>
      <c r="P806" t="n">
        <v>0</v>
      </c>
      <c r="Q806" t="n">
        <v>0</v>
      </c>
      <c r="R806" s="2" t="inlineStr"/>
    </row>
    <row r="807" ht="15" customHeight="1">
      <c r="A807" t="inlineStr">
        <is>
          <t>A 25970-2023</t>
        </is>
      </c>
      <c r="B807" s="1" t="n">
        <v>45090</v>
      </c>
      <c r="C807" s="1" t="n">
        <v>45837</v>
      </c>
      <c r="D807" t="inlineStr">
        <is>
          <t>UPPSALA LÄN</t>
        </is>
      </c>
      <c r="E807" t="inlineStr">
        <is>
          <t>ÖSTHAMMAR</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25968-2023</t>
        </is>
      </c>
      <c r="B808" s="1" t="n">
        <v>45090</v>
      </c>
      <c r="C808" s="1" t="n">
        <v>45837</v>
      </c>
      <c r="D808" t="inlineStr">
        <is>
          <t>UPPSALA LÄN</t>
        </is>
      </c>
      <c r="E808" t="inlineStr">
        <is>
          <t>ÖSTHAMMAR</t>
        </is>
      </c>
      <c r="F808" t="inlineStr">
        <is>
          <t>Sveaskog</t>
        </is>
      </c>
      <c r="G808" t="n">
        <v>3.8</v>
      </c>
      <c r="H808" t="n">
        <v>0</v>
      </c>
      <c r="I808" t="n">
        <v>0</v>
      </c>
      <c r="J808" t="n">
        <v>0</v>
      </c>
      <c r="K808" t="n">
        <v>0</v>
      </c>
      <c r="L808" t="n">
        <v>0</v>
      </c>
      <c r="M808" t="n">
        <v>0</v>
      </c>
      <c r="N808" t="n">
        <v>0</v>
      </c>
      <c r="O808" t="n">
        <v>0</v>
      </c>
      <c r="P808" t="n">
        <v>0</v>
      </c>
      <c r="Q808" t="n">
        <v>0</v>
      </c>
      <c r="R808" s="2" t="inlineStr"/>
    </row>
    <row r="809" ht="15" customHeight="1">
      <c r="A809" t="inlineStr">
        <is>
          <t>A 25969-2023</t>
        </is>
      </c>
      <c r="B809" s="1" t="n">
        <v>45090</v>
      </c>
      <c r="C809" s="1" t="n">
        <v>45837</v>
      </c>
      <c r="D809" t="inlineStr">
        <is>
          <t>UPPSALA LÄN</t>
        </is>
      </c>
      <c r="E809" t="inlineStr">
        <is>
          <t>ÖSTHAMMAR</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26774-2023</t>
        </is>
      </c>
      <c r="B810" s="1" t="n">
        <v>45093</v>
      </c>
      <c r="C810" s="1" t="n">
        <v>45837</v>
      </c>
      <c r="D810" t="inlineStr">
        <is>
          <t>UPPSALA LÄN</t>
        </is>
      </c>
      <c r="E810" t="inlineStr">
        <is>
          <t>ÖSTHAMMAR</t>
        </is>
      </c>
      <c r="F810" t="inlineStr">
        <is>
          <t>Bergvik skog öst AB</t>
        </is>
      </c>
      <c r="G810" t="n">
        <v>2.1</v>
      </c>
      <c r="H810" t="n">
        <v>0</v>
      </c>
      <c r="I810" t="n">
        <v>0</v>
      </c>
      <c r="J810" t="n">
        <v>0</v>
      </c>
      <c r="K810" t="n">
        <v>0</v>
      </c>
      <c r="L810" t="n">
        <v>0</v>
      </c>
      <c r="M810" t="n">
        <v>0</v>
      </c>
      <c r="N810" t="n">
        <v>0</v>
      </c>
      <c r="O810" t="n">
        <v>0</v>
      </c>
      <c r="P810" t="n">
        <v>0</v>
      </c>
      <c r="Q810" t="n">
        <v>0</v>
      </c>
      <c r="R810" s="2" t="inlineStr"/>
    </row>
    <row r="811" ht="15" customHeight="1">
      <c r="A811" t="inlineStr">
        <is>
          <t>A 26734-2023</t>
        </is>
      </c>
      <c r="B811" s="1" t="n">
        <v>45093</v>
      </c>
      <c r="C811" s="1" t="n">
        <v>45837</v>
      </c>
      <c r="D811" t="inlineStr">
        <is>
          <t>UPPSALA LÄN</t>
        </is>
      </c>
      <c r="E811" t="inlineStr">
        <is>
          <t>ÖSTHAMMAR</t>
        </is>
      </c>
      <c r="F811" t="inlineStr">
        <is>
          <t>Bergvik skog öst AB</t>
        </is>
      </c>
      <c r="G811" t="n">
        <v>25.5</v>
      </c>
      <c r="H811" t="n">
        <v>0</v>
      </c>
      <c r="I811" t="n">
        <v>0</v>
      </c>
      <c r="J811" t="n">
        <v>0</v>
      </c>
      <c r="K811" t="n">
        <v>0</v>
      </c>
      <c r="L811" t="n">
        <v>0</v>
      </c>
      <c r="M811" t="n">
        <v>0</v>
      </c>
      <c r="N811" t="n">
        <v>0</v>
      </c>
      <c r="O811" t="n">
        <v>0</v>
      </c>
      <c r="P811" t="n">
        <v>0</v>
      </c>
      <c r="Q811" t="n">
        <v>0</v>
      </c>
      <c r="R811" s="2" t="inlineStr"/>
    </row>
    <row r="812" ht="15" customHeight="1">
      <c r="A812" t="inlineStr">
        <is>
          <t>A 28170-2023</t>
        </is>
      </c>
      <c r="B812" s="1" t="n">
        <v>45093</v>
      </c>
      <c r="C812" s="1" t="n">
        <v>45837</v>
      </c>
      <c r="D812" t="inlineStr">
        <is>
          <t>UPPSALA LÄN</t>
        </is>
      </c>
      <c r="E812" t="inlineStr">
        <is>
          <t>ÖSTHAMMAR</t>
        </is>
      </c>
      <c r="G812" t="n">
        <v>7.2</v>
      </c>
      <c r="H812" t="n">
        <v>0</v>
      </c>
      <c r="I812" t="n">
        <v>0</v>
      </c>
      <c r="J812" t="n">
        <v>0</v>
      </c>
      <c r="K812" t="n">
        <v>0</v>
      </c>
      <c r="L812" t="n">
        <v>0</v>
      </c>
      <c r="M812" t="n">
        <v>0</v>
      </c>
      <c r="N812" t="n">
        <v>0</v>
      </c>
      <c r="O812" t="n">
        <v>0</v>
      </c>
      <c r="P812" t="n">
        <v>0</v>
      </c>
      <c r="Q812" t="n">
        <v>0</v>
      </c>
      <c r="R812" s="2" t="inlineStr"/>
    </row>
    <row r="813" ht="15" customHeight="1">
      <c r="A813" t="inlineStr">
        <is>
          <t>A 27150-2023</t>
        </is>
      </c>
      <c r="B813" s="1" t="n">
        <v>45096</v>
      </c>
      <c r="C813" s="1" t="n">
        <v>45837</v>
      </c>
      <c r="D813" t="inlineStr">
        <is>
          <t>UPPSALA LÄN</t>
        </is>
      </c>
      <c r="E813" t="inlineStr">
        <is>
          <t>ÖSTHAMMAR</t>
        </is>
      </c>
      <c r="F813" t="inlineStr">
        <is>
          <t>Bergvik skog öst AB</t>
        </is>
      </c>
      <c r="G813" t="n">
        <v>5</v>
      </c>
      <c r="H813" t="n">
        <v>0</v>
      </c>
      <c r="I813" t="n">
        <v>0</v>
      </c>
      <c r="J813" t="n">
        <v>0</v>
      </c>
      <c r="K813" t="n">
        <v>0</v>
      </c>
      <c r="L813" t="n">
        <v>0</v>
      </c>
      <c r="M813" t="n">
        <v>0</v>
      </c>
      <c r="N813" t="n">
        <v>0</v>
      </c>
      <c r="O813" t="n">
        <v>0</v>
      </c>
      <c r="P813" t="n">
        <v>0</v>
      </c>
      <c r="Q813" t="n">
        <v>0</v>
      </c>
      <c r="R813" s="2" t="inlineStr"/>
    </row>
    <row r="814" ht="15" customHeight="1">
      <c r="A814" t="inlineStr">
        <is>
          <t>A 27154-2023</t>
        </is>
      </c>
      <c r="B814" s="1" t="n">
        <v>45096</v>
      </c>
      <c r="C814" s="1" t="n">
        <v>45837</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27308-2023</t>
        </is>
      </c>
      <c r="B815" s="1" t="n">
        <v>45096</v>
      </c>
      <c r="C815" s="1" t="n">
        <v>45837</v>
      </c>
      <c r="D815" t="inlineStr">
        <is>
          <t>UPPSALA LÄN</t>
        </is>
      </c>
      <c r="E815" t="inlineStr">
        <is>
          <t>ÖSTHAMMAR</t>
        </is>
      </c>
      <c r="F815" t="inlineStr">
        <is>
          <t>Bergvik skog öst AB</t>
        </is>
      </c>
      <c r="G815" t="n">
        <v>2.4</v>
      </c>
      <c r="H815" t="n">
        <v>0</v>
      </c>
      <c r="I815" t="n">
        <v>0</v>
      </c>
      <c r="J815" t="n">
        <v>0</v>
      </c>
      <c r="K815" t="n">
        <v>0</v>
      </c>
      <c r="L815" t="n">
        <v>0</v>
      </c>
      <c r="M815" t="n">
        <v>0</v>
      </c>
      <c r="N815" t="n">
        <v>0</v>
      </c>
      <c r="O815" t="n">
        <v>0</v>
      </c>
      <c r="P815" t="n">
        <v>0</v>
      </c>
      <c r="Q815" t="n">
        <v>0</v>
      </c>
      <c r="R815" s="2" t="inlineStr"/>
    </row>
    <row r="816" ht="15" customHeight="1">
      <c r="A816" t="inlineStr">
        <is>
          <t>A 27660-2023</t>
        </is>
      </c>
      <c r="B816" s="1" t="n">
        <v>45097</v>
      </c>
      <c r="C816" s="1" t="n">
        <v>45837</v>
      </c>
      <c r="D816" t="inlineStr">
        <is>
          <t>UPPSALA LÄN</t>
        </is>
      </c>
      <c r="E816" t="inlineStr">
        <is>
          <t>ÖSTHAMMAR</t>
        </is>
      </c>
      <c r="G816" t="n">
        <v>2.8</v>
      </c>
      <c r="H816" t="n">
        <v>0</v>
      </c>
      <c r="I816" t="n">
        <v>0</v>
      </c>
      <c r="J816" t="n">
        <v>0</v>
      </c>
      <c r="K816" t="n">
        <v>0</v>
      </c>
      <c r="L816" t="n">
        <v>0</v>
      </c>
      <c r="M816" t="n">
        <v>0</v>
      </c>
      <c r="N816" t="n">
        <v>0</v>
      </c>
      <c r="O816" t="n">
        <v>0</v>
      </c>
      <c r="P816" t="n">
        <v>0</v>
      </c>
      <c r="Q816" t="n">
        <v>0</v>
      </c>
      <c r="R816" s="2" t="inlineStr"/>
    </row>
    <row r="817" ht="15" customHeight="1">
      <c r="A817" t="inlineStr">
        <is>
          <t>A 27659-2023</t>
        </is>
      </c>
      <c r="B817" s="1" t="n">
        <v>45097</v>
      </c>
      <c r="C817" s="1" t="n">
        <v>45837</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27801-2023</t>
        </is>
      </c>
      <c r="B818" s="1" t="n">
        <v>45098</v>
      </c>
      <c r="C818" s="1" t="n">
        <v>45837</v>
      </c>
      <c r="D818" t="inlineStr">
        <is>
          <t>UPPSALA LÄN</t>
        </is>
      </c>
      <c r="E818" t="inlineStr">
        <is>
          <t>ÖSTHAMMAR</t>
        </is>
      </c>
      <c r="F818" t="inlineStr">
        <is>
          <t>Kyrkan</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28422-2023</t>
        </is>
      </c>
      <c r="B819" s="1" t="n">
        <v>45102</v>
      </c>
      <c r="C819" s="1" t="n">
        <v>45837</v>
      </c>
      <c r="D819" t="inlineStr">
        <is>
          <t>UPPSALA LÄN</t>
        </is>
      </c>
      <c r="E819" t="inlineStr">
        <is>
          <t>ÖSTHAMMAR</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28430-2023</t>
        </is>
      </c>
      <c r="B820" s="1" t="n">
        <v>45102</v>
      </c>
      <c r="C820" s="1" t="n">
        <v>45837</v>
      </c>
      <c r="D820" t="inlineStr">
        <is>
          <t>UPPSALA LÄN</t>
        </is>
      </c>
      <c r="E820" t="inlineStr">
        <is>
          <t>ÖSTHAMMAR</t>
        </is>
      </c>
      <c r="F820" t="inlineStr">
        <is>
          <t>Bergvik skog öst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28434-2023</t>
        </is>
      </c>
      <c r="B821" s="1" t="n">
        <v>45102</v>
      </c>
      <c r="C821" s="1" t="n">
        <v>45837</v>
      </c>
      <c r="D821" t="inlineStr">
        <is>
          <t>UPPSALA LÄN</t>
        </is>
      </c>
      <c r="E821" t="inlineStr">
        <is>
          <t>ÖSTHAMMAR</t>
        </is>
      </c>
      <c r="F821" t="inlineStr">
        <is>
          <t>Bergvik skog öst AB</t>
        </is>
      </c>
      <c r="G821" t="n">
        <v>8.9</v>
      </c>
      <c r="H821" t="n">
        <v>0</v>
      </c>
      <c r="I821" t="n">
        <v>0</v>
      </c>
      <c r="J821" t="n">
        <v>0</v>
      </c>
      <c r="K821" t="n">
        <v>0</v>
      </c>
      <c r="L821" t="n">
        <v>0</v>
      </c>
      <c r="M821" t="n">
        <v>0</v>
      </c>
      <c r="N821" t="n">
        <v>0</v>
      </c>
      <c r="O821" t="n">
        <v>0</v>
      </c>
      <c r="P821" t="n">
        <v>0</v>
      </c>
      <c r="Q821" t="n">
        <v>0</v>
      </c>
      <c r="R821" s="2" t="inlineStr"/>
    </row>
    <row r="822" ht="15" customHeight="1">
      <c r="A822" t="inlineStr">
        <is>
          <t>A 28420-2023</t>
        </is>
      </c>
      <c r="B822" s="1" t="n">
        <v>45102</v>
      </c>
      <c r="C822" s="1" t="n">
        <v>45837</v>
      </c>
      <c r="D822" t="inlineStr">
        <is>
          <t>UPPSALA LÄN</t>
        </is>
      </c>
      <c r="E822" t="inlineStr">
        <is>
          <t>ÖSTHAMMAR</t>
        </is>
      </c>
      <c r="F822" t="inlineStr">
        <is>
          <t>Bergvik skog öst AB</t>
        </is>
      </c>
      <c r="G822" t="n">
        <v>3.2</v>
      </c>
      <c r="H822" t="n">
        <v>0</v>
      </c>
      <c r="I822" t="n">
        <v>0</v>
      </c>
      <c r="J822" t="n">
        <v>0</v>
      </c>
      <c r="K822" t="n">
        <v>0</v>
      </c>
      <c r="L822" t="n">
        <v>0</v>
      </c>
      <c r="M822" t="n">
        <v>0</v>
      </c>
      <c r="N822" t="n">
        <v>0</v>
      </c>
      <c r="O822" t="n">
        <v>0</v>
      </c>
      <c r="P822" t="n">
        <v>0</v>
      </c>
      <c r="Q822" t="n">
        <v>0</v>
      </c>
      <c r="R822" s="2" t="inlineStr"/>
    </row>
    <row r="823" ht="15" customHeight="1">
      <c r="A823" t="inlineStr">
        <is>
          <t>A 28432-2023</t>
        </is>
      </c>
      <c r="B823" s="1" t="n">
        <v>45102</v>
      </c>
      <c r="C823" s="1" t="n">
        <v>45837</v>
      </c>
      <c r="D823" t="inlineStr">
        <is>
          <t>UPPSALA LÄN</t>
        </is>
      </c>
      <c r="E823" t="inlineStr">
        <is>
          <t>ÖSTHAMMAR</t>
        </is>
      </c>
      <c r="F823" t="inlineStr">
        <is>
          <t>Bergvik skog öst AB</t>
        </is>
      </c>
      <c r="G823" t="n">
        <v>3.9</v>
      </c>
      <c r="H823" t="n">
        <v>0</v>
      </c>
      <c r="I823" t="n">
        <v>0</v>
      </c>
      <c r="J823" t="n">
        <v>0</v>
      </c>
      <c r="K823" t="n">
        <v>0</v>
      </c>
      <c r="L823" t="n">
        <v>0</v>
      </c>
      <c r="M823" t="n">
        <v>0</v>
      </c>
      <c r="N823" t="n">
        <v>0</v>
      </c>
      <c r="O823" t="n">
        <v>0</v>
      </c>
      <c r="P823" t="n">
        <v>0</v>
      </c>
      <c r="Q823" t="n">
        <v>0</v>
      </c>
      <c r="R823" s="2" t="inlineStr"/>
    </row>
    <row r="824" ht="15" customHeight="1">
      <c r="A824" t="inlineStr">
        <is>
          <t>A 28421-2023</t>
        </is>
      </c>
      <c r="B824" s="1" t="n">
        <v>45102</v>
      </c>
      <c r="C824" s="1" t="n">
        <v>45837</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28429-2023</t>
        </is>
      </c>
      <c r="B825" s="1" t="n">
        <v>45102</v>
      </c>
      <c r="C825" s="1" t="n">
        <v>45837</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28482-2023</t>
        </is>
      </c>
      <c r="B826" s="1" t="n">
        <v>45103</v>
      </c>
      <c r="C826" s="1" t="n">
        <v>45837</v>
      </c>
      <c r="D826" t="inlineStr">
        <is>
          <t>UPPSALA LÄN</t>
        </is>
      </c>
      <c r="E826" t="inlineStr">
        <is>
          <t>ÖSTHAMMAR</t>
        </is>
      </c>
      <c r="F826" t="inlineStr">
        <is>
          <t>Naturvårdsverket</t>
        </is>
      </c>
      <c r="G826" t="n">
        <v>8.9</v>
      </c>
      <c r="H826" t="n">
        <v>0</v>
      </c>
      <c r="I826" t="n">
        <v>0</v>
      </c>
      <c r="J826" t="n">
        <v>0</v>
      </c>
      <c r="K826" t="n">
        <v>0</v>
      </c>
      <c r="L826" t="n">
        <v>0</v>
      </c>
      <c r="M826" t="n">
        <v>0</v>
      </c>
      <c r="N826" t="n">
        <v>0</v>
      </c>
      <c r="O826" t="n">
        <v>0</v>
      </c>
      <c r="P826" t="n">
        <v>0</v>
      </c>
      <c r="Q826" t="n">
        <v>0</v>
      </c>
      <c r="R826" s="2" t="inlineStr"/>
    </row>
    <row r="827" ht="15" customHeight="1">
      <c r="A827" t="inlineStr">
        <is>
          <t>A 29873-2023</t>
        </is>
      </c>
      <c r="B827" s="1" t="n">
        <v>45107</v>
      </c>
      <c r="C827" s="1" t="n">
        <v>45837</v>
      </c>
      <c r="D827" t="inlineStr">
        <is>
          <t>UPPSALA LÄN</t>
        </is>
      </c>
      <c r="E827" t="inlineStr">
        <is>
          <t>ÖSTHAMMAR</t>
        </is>
      </c>
      <c r="F827" t="inlineStr">
        <is>
          <t>Naturvårdsverket</t>
        </is>
      </c>
      <c r="G827" t="n">
        <v>7.8</v>
      </c>
      <c r="H827" t="n">
        <v>0</v>
      </c>
      <c r="I827" t="n">
        <v>0</v>
      </c>
      <c r="J827" t="n">
        <v>0</v>
      </c>
      <c r="K827" t="n">
        <v>0</v>
      </c>
      <c r="L827" t="n">
        <v>0</v>
      </c>
      <c r="M827" t="n">
        <v>0</v>
      </c>
      <c r="N827" t="n">
        <v>0</v>
      </c>
      <c r="O827" t="n">
        <v>0</v>
      </c>
      <c r="P827" t="n">
        <v>0</v>
      </c>
      <c r="Q827" t="n">
        <v>0</v>
      </c>
      <c r="R827" s="2" t="inlineStr"/>
    </row>
    <row r="828" ht="15" customHeight="1">
      <c r="A828" t="inlineStr">
        <is>
          <t>A 29824-2023</t>
        </is>
      </c>
      <c r="B828" s="1" t="n">
        <v>45107</v>
      </c>
      <c r="C828" s="1" t="n">
        <v>45837</v>
      </c>
      <c r="D828" t="inlineStr">
        <is>
          <t>UPPSALA LÄN</t>
        </is>
      </c>
      <c r="E828" t="inlineStr">
        <is>
          <t>ÖSTHAMMAR</t>
        </is>
      </c>
      <c r="F828" t="inlineStr">
        <is>
          <t>Naturvårdsverket</t>
        </is>
      </c>
      <c r="G828" t="n">
        <v>1.6</v>
      </c>
      <c r="H828" t="n">
        <v>0</v>
      </c>
      <c r="I828" t="n">
        <v>0</v>
      </c>
      <c r="J828" t="n">
        <v>0</v>
      </c>
      <c r="K828" t="n">
        <v>0</v>
      </c>
      <c r="L828" t="n">
        <v>0</v>
      </c>
      <c r="M828" t="n">
        <v>0</v>
      </c>
      <c r="N828" t="n">
        <v>0</v>
      </c>
      <c r="O828" t="n">
        <v>0</v>
      </c>
      <c r="P828" t="n">
        <v>0</v>
      </c>
      <c r="Q828" t="n">
        <v>0</v>
      </c>
      <c r="R828" s="2" t="inlineStr"/>
    </row>
    <row r="829" ht="15" customHeight="1">
      <c r="A829" t="inlineStr">
        <is>
          <t>A 30086-2023</t>
        </is>
      </c>
      <c r="B829" s="1" t="n">
        <v>45110</v>
      </c>
      <c r="C829" s="1" t="n">
        <v>45837</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30470-2023</t>
        </is>
      </c>
      <c r="B830" s="1" t="n">
        <v>45111</v>
      </c>
      <c r="C830" s="1" t="n">
        <v>45837</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30498-2023</t>
        </is>
      </c>
      <c r="B831" s="1" t="n">
        <v>45111</v>
      </c>
      <c r="C831" s="1" t="n">
        <v>45837</v>
      </c>
      <c r="D831" t="inlineStr">
        <is>
          <t>UPPSALA LÄN</t>
        </is>
      </c>
      <c r="E831" t="inlineStr">
        <is>
          <t>ÖSTHAMMAR</t>
        </is>
      </c>
      <c r="G831" t="n">
        <v>0.7</v>
      </c>
      <c r="H831" t="n">
        <v>0</v>
      </c>
      <c r="I831" t="n">
        <v>0</v>
      </c>
      <c r="J831" t="n">
        <v>0</v>
      </c>
      <c r="K831" t="n">
        <v>0</v>
      </c>
      <c r="L831" t="n">
        <v>0</v>
      </c>
      <c r="M831" t="n">
        <v>0</v>
      </c>
      <c r="N831" t="n">
        <v>0</v>
      </c>
      <c r="O831" t="n">
        <v>0</v>
      </c>
      <c r="P831" t="n">
        <v>0</v>
      </c>
      <c r="Q831" t="n">
        <v>0</v>
      </c>
      <c r="R831" s="2" t="inlineStr"/>
    </row>
    <row r="832" ht="15" customHeight="1">
      <c r="A832" t="inlineStr">
        <is>
          <t>A 30809-2023</t>
        </is>
      </c>
      <c r="B832" s="1" t="n">
        <v>45112</v>
      </c>
      <c r="C832" s="1" t="n">
        <v>45837</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30808-2023</t>
        </is>
      </c>
      <c r="B833" s="1" t="n">
        <v>45112</v>
      </c>
      <c r="C833" s="1" t="n">
        <v>45837</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30812-2023</t>
        </is>
      </c>
      <c r="B834" s="1" t="n">
        <v>45112</v>
      </c>
      <c r="C834" s="1" t="n">
        <v>45837</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30810-2023</t>
        </is>
      </c>
      <c r="B835" s="1" t="n">
        <v>45112</v>
      </c>
      <c r="C835" s="1" t="n">
        <v>45837</v>
      </c>
      <c r="D835" t="inlineStr">
        <is>
          <t>UPPSALA LÄN</t>
        </is>
      </c>
      <c r="E835" t="inlineStr">
        <is>
          <t>ÖSTHAMMAR</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30811-2023</t>
        </is>
      </c>
      <c r="B836" s="1" t="n">
        <v>45112</v>
      </c>
      <c r="C836" s="1" t="n">
        <v>45837</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31480-2023</t>
        </is>
      </c>
      <c r="B837" s="1" t="n">
        <v>45114</v>
      </c>
      <c r="C837" s="1" t="n">
        <v>45837</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31484-2023</t>
        </is>
      </c>
      <c r="B838" s="1" t="n">
        <v>45114</v>
      </c>
      <c r="C838" s="1" t="n">
        <v>45837</v>
      </c>
      <c r="D838" t="inlineStr">
        <is>
          <t>UPPSALA LÄN</t>
        </is>
      </c>
      <c r="E838" t="inlineStr">
        <is>
          <t>ÖSTHAMMAR</t>
        </is>
      </c>
      <c r="F838" t="inlineStr">
        <is>
          <t>Bergvik skog öst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31479-2023</t>
        </is>
      </c>
      <c r="B839" s="1" t="n">
        <v>45114</v>
      </c>
      <c r="C839" s="1" t="n">
        <v>45837</v>
      </c>
      <c r="D839" t="inlineStr">
        <is>
          <t>UPPSALA LÄN</t>
        </is>
      </c>
      <c r="E839" t="inlineStr">
        <is>
          <t>ÖSTHAMMAR</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31483-2023</t>
        </is>
      </c>
      <c r="B840" s="1" t="n">
        <v>45114</v>
      </c>
      <c r="C840" s="1" t="n">
        <v>45837</v>
      </c>
      <c r="D840" t="inlineStr">
        <is>
          <t>UPPSALA LÄN</t>
        </is>
      </c>
      <c r="E840" t="inlineStr">
        <is>
          <t>ÖSTHAMMAR</t>
        </is>
      </c>
      <c r="F840" t="inlineStr">
        <is>
          <t>Bergvik skog öst AB</t>
        </is>
      </c>
      <c r="G840" t="n">
        <v>4.5</v>
      </c>
      <c r="H840" t="n">
        <v>0</v>
      </c>
      <c r="I840" t="n">
        <v>0</v>
      </c>
      <c r="J840" t="n">
        <v>0</v>
      </c>
      <c r="K840" t="n">
        <v>0</v>
      </c>
      <c r="L840" t="n">
        <v>0</v>
      </c>
      <c r="M840" t="n">
        <v>0</v>
      </c>
      <c r="N840" t="n">
        <v>0</v>
      </c>
      <c r="O840" t="n">
        <v>0</v>
      </c>
      <c r="P840" t="n">
        <v>0</v>
      </c>
      <c r="Q840" t="n">
        <v>0</v>
      </c>
      <c r="R840" s="2" t="inlineStr"/>
    </row>
    <row r="841" ht="15" customHeight="1">
      <c r="A841" t="inlineStr">
        <is>
          <t>A 31482-2023</t>
        </is>
      </c>
      <c r="B841" s="1" t="n">
        <v>45114</v>
      </c>
      <c r="C841" s="1" t="n">
        <v>45837</v>
      </c>
      <c r="D841" t="inlineStr">
        <is>
          <t>UPPSALA LÄN</t>
        </is>
      </c>
      <c r="E841" t="inlineStr">
        <is>
          <t>ÖSTHAMMAR</t>
        </is>
      </c>
      <c r="F841" t="inlineStr">
        <is>
          <t>Bergvik skog öst AB</t>
        </is>
      </c>
      <c r="G841" t="n">
        <v>4.2</v>
      </c>
      <c r="H841" t="n">
        <v>0</v>
      </c>
      <c r="I841" t="n">
        <v>0</v>
      </c>
      <c r="J841" t="n">
        <v>0</v>
      </c>
      <c r="K841" t="n">
        <v>0</v>
      </c>
      <c r="L841" t="n">
        <v>0</v>
      </c>
      <c r="M841" t="n">
        <v>0</v>
      </c>
      <c r="N841" t="n">
        <v>0</v>
      </c>
      <c r="O841" t="n">
        <v>0</v>
      </c>
      <c r="P841" t="n">
        <v>0</v>
      </c>
      <c r="Q841" t="n">
        <v>0</v>
      </c>
      <c r="R841" s="2" t="inlineStr"/>
    </row>
    <row r="842" ht="15" customHeight="1">
      <c r="A842" t="inlineStr">
        <is>
          <t>A 31486-2023</t>
        </is>
      </c>
      <c r="B842" s="1" t="n">
        <v>45114</v>
      </c>
      <c r="C842" s="1" t="n">
        <v>45837</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31481-2023</t>
        </is>
      </c>
      <c r="B843" s="1" t="n">
        <v>45114</v>
      </c>
      <c r="C843" s="1" t="n">
        <v>45837</v>
      </c>
      <c r="D843" t="inlineStr">
        <is>
          <t>UPPSALA LÄN</t>
        </is>
      </c>
      <c r="E843" t="inlineStr">
        <is>
          <t>ÖSTHAMMAR</t>
        </is>
      </c>
      <c r="F843" t="inlineStr">
        <is>
          <t>Bergvik skog öst AB</t>
        </is>
      </c>
      <c r="G843" t="n">
        <v>2.3</v>
      </c>
      <c r="H843" t="n">
        <v>0</v>
      </c>
      <c r="I843" t="n">
        <v>0</v>
      </c>
      <c r="J843" t="n">
        <v>0</v>
      </c>
      <c r="K843" t="n">
        <v>0</v>
      </c>
      <c r="L843" t="n">
        <v>0</v>
      </c>
      <c r="M843" t="n">
        <v>0</v>
      </c>
      <c r="N843" t="n">
        <v>0</v>
      </c>
      <c r="O843" t="n">
        <v>0</v>
      </c>
      <c r="P843" t="n">
        <v>0</v>
      </c>
      <c r="Q843" t="n">
        <v>0</v>
      </c>
      <c r="R843" s="2" t="inlineStr"/>
    </row>
    <row r="844" ht="15" customHeight="1">
      <c r="A844" t="inlineStr">
        <is>
          <t>A 31485-2023</t>
        </is>
      </c>
      <c r="B844" s="1" t="n">
        <v>45114</v>
      </c>
      <c r="C844" s="1" t="n">
        <v>45837</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31688-2023</t>
        </is>
      </c>
      <c r="B845" s="1" t="n">
        <v>45117</v>
      </c>
      <c r="C845" s="1" t="n">
        <v>45837</v>
      </c>
      <c r="D845" t="inlineStr">
        <is>
          <t>UPPSALA LÄN</t>
        </is>
      </c>
      <c r="E845" t="inlineStr">
        <is>
          <t>ÖSTHAMMAR</t>
        </is>
      </c>
      <c r="F845" t="inlineStr">
        <is>
          <t>Bergvik skog öst AB</t>
        </is>
      </c>
      <c r="G845" t="n">
        <v>4.9</v>
      </c>
      <c r="H845" t="n">
        <v>0</v>
      </c>
      <c r="I845" t="n">
        <v>0</v>
      </c>
      <c r="J845" t="n">
        <v>0</v>
      </c>
      <c r="K845" t="n">
        <v>0</v>
      </c>
      <c r="L845" t="n">
        <v>0</v>
      </c>
      <c r="M845" t="n">
        <v>0</v>
      </c>
      <c r="N845" t="n">
        <v>0</v>
      </c>
      <c r="O845" t="n">
        <v>0</v>
      </c>
      <c r="P845" t="n">
        <v>0</v>
      </c>
      <c r="Q845" t="n">
        <v>0</v>
      </c>
      <c r="R845" s="2" t="inlineStr"/>
    </row>
    <row r="846" ht="15" customHeight="1">
      <c r="A846" t="inlineStr">
        <is>
          <t>A 32194-2023</t>
        </is>
      </c>
      <c r="B846" s="1" t="n">
        <v>45119</v>
      </c>
      <c r="C846" s="1" t="n">
        <v>45837</v>
      </c>
      <c r="D846" t="inlineStr">
        <is>
          <t>UPPSALA LÄN</t>
        </is>
      </c>
      <c r="E846" t="inlineStr">
        <is>
          <t>ÖSTHAMMAR</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32195-2023</t>
        </is>
      </c>
      <c r="B847" s="1" t="n">
        <v>45119</v>
      </c>
      <c r="C847" s="1" t="n">
        <v>45837</v>
      </c>
      <c r="D847" t="inlineStr">
        <is>
          <t>UPPSALA LÄN</t>
        </is>
      </c>
      <c r="E847" t="inlineStr">
        <is>
          <t>ÖSTHAMMAR</t>
        </is>
      </c>
      <c r="F847" t="inlineStr">
        <is>
          <t>Bergvik skog öst AB</t>
        </is>
      </c>
      <c r="G847" t="n">
        <v>1.2</v>
      </c>
      <c r="H847" t="n">
        <v>0</v>
      </c>
      <c r="I847" t="n">
        <v>0</v>
      </c>
      <c r="J847" t="n">
        <v>0</v>
      </c>
      <c r="K847" t="n">
        <v>0</v>
      </c>
      <c r="L847" t="n">
        <v>0</v>
      </c>
      <c r="M847" t="n">
        <v>0</v>
      </c>
      <c r="N847" t="n">
        <v>0</v>
      </c>
      <c r="O847" t="n">
        <v>0</v>
      </c>
      <c r="P847" t="n">
        <v>0</v>
      </c>
      <c r="Q847" t="n">
        <v>0</v>
      </c>
      <c r="R847" s="2" t="inlineStr"/>
    </row>
    <row r="848" ht="15" customHeight="1">
      <c r="A848" t="inlineStr">
        <is>
          <t>A 32197-2023</t>
        </is>
      </c>
      <c r="B848" s="1" t="n">
        <v>45119</v>
      </c>
      <c r="C848" s="1" t="n">
        <v>45837</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32196-2023</t>
        </is>
      </c>
      <c r="B849" s="1" t="n">
        <v>45119</v>
      </c>
      <c r="C849" s="1" t="n">
        <v>45837</v>
      </c>
      <c r="D849" t="inlineStr">
        <is>
          <t>UPPSALA LÄN</t>
        </is>
      </c>
      <c r="E849" t="inlineStr">
        <is>
          <t>ÖSTHAMMAR</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32390-2023</t>
        </is>
      </c>
      <c r="B850" s="1" t="n">
        <v>45120</v>
      </c>
      <c r="C850" s="1" t="n">
        <v>45837</v>
      </c>
      <c r="D850" t="inlineStr">
        <is>
          <t>UPPSALA LÄN</t>
        </is>
      </c>
      <c r="E850" t="inlineStr">
        <is>
          <t>ÖSTHAMMAR</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32693-2023</t>
        </is>
      </c>
      <c r="B851" s="1" t="n">
        <v>45121</v>
      </c>
      <c r="C851" s="1" t="n">
        <v>45837</v>
      </c>
      <c r="D851" t="inlineStr">
        <is>
          <t>UPPSALA LÄN</t>
        </is>
      </c>
      <c r="E851" t="inlineStr">
        <is>
          <t>ÖSTHAMMAR</t>
        </is>
      </c>
      <c r="F851" t="inlineStr">
        <is>
          <t>Bergvik skog öst AB</t>
        </is>
      </c>
      <c r="G851" t="n">
        <v>2.8</v>
      </c>
      <c r="H851" t="n">
        <v>0</v>
      </c>
      <c r="I851" t="n">
        <v>0</v>
      </c>
      <c r="J851" t="n">
        <v>0</v>
      </c>
      <c r="K851" t="n">
        <v>0</v>
      </c>
      <c r="L851" t="n">
        <v>0</v>
      </c>
      <c r="M851" t="n">
        <v>0</v>
      </c>
      <c r="N851" t="n">
        <v>0</v>
      </c>
      <c r="O851" t="n">
        <v>0</v>
      </c>
      <c r="P851" t="n">
        <v>0</v>
      </c>
      <c r="Q851" t="n">
        <v>0</v>
      </c>
      <c r="R851" s="2" t="inlineStr"/>
    </row>
    <row r="852" ht="15" customHeight="1">
      <c r="A852" t="inlineStr">
        <is>
          <t>A 32691-2023</t>
        </is>
      </c>
      <c r="B852" s="1" t="n">
        <v>45121</v>
      </c>
      <c r="C852" s="1" t="n">
        <v>45837</v>
      </c>
      <c r="D852" t="inlineStr">
        <is>
          <t>UPPSALA LÄN</t>
        </is>
      </c>
      <c r="E852" t="inlineStr">
        <is>
          <t>ÖSTHAMMAR</t>
        </is>
      </c>
      <c r="F852" t="inlineStr">
        <is>
          <t>Bergvik skog öst AB</t>
        </is>
      </c>
      <c r="G852" t="n">
        <v>20.2</v>
      </c>
      <c r="H852" t="n">
        <v>0</v>
      </c>
      <c r="I852" t="n">
        <v>0</v>
      </c>
      <c r="J852" t="n">
        <v>0</v>
      </c>
      <c r="K852" t="n">
        <v>0</v>
      </c>
      <c r="L852" t="n">
        <v>0</v>
      </c>
      <c r="M852" t="n">
        <v>0</v>
      </c>
      <c r="N852" t="n">
        <v>0</v>
      </c>
      <c r="O852" t="n">
        <v>0</v>
      </c>
      <c r="P852" t="n">
        <v>0</v>
      </c>
      <c r="Q852" t="n">
        <v>0</v>
      </c>
      <c r="R852" s="2" t="inlineStr"/>
    </row>
    <row r="853" ht="15" customHeight="1">
      <c r="A853" t="inlineStr">
        <is>
          <t>A 32752-2023</t>
        </is>
      </c>
      <c r="B853" s="1" t="n">
        <v>45122</v>
      </c>
      <c r="C853" s="1" t="n">
        <v>45837</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32779-2023</t>
        </is>
      </c>
      <c r="B854" s="1" t="n">
        <v>45123</v>
      </c>
      <c r="C854" s="1" t="n">
        <v>45837</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32778-2023</t>
        </is>
      </c>
      <c r="B855" s="1" t="n">
        <v>45123</v>
      </c>
      <c r="C855" s="1" t="n">
        <v>45837</v>
      </c>
      <c r="D855" t="inlineStr">
        <is>
          <t>UPPSALA LÄN</t>
        </is>
      </c>
      <c r="E855" t="inlineStr">
        <is>
          <t>ÖSTHAMMAR</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32895-2023</t>
        </is>
      </c>
      <c r="B856" s="1" t="n">
        <v>45124</v>
      </c>
      <c r="C856" s="1" t="n">
        <v>45837</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34108-2023</t>
        </is>
      </c>
      <c r="B857" s="1" t="n">
        <v>45135</v>
      </c>
      <c r="C857" s="1" t="n">
        <v>45837</v>
      </c>
      <c r="D857" t="inlineStr">
        <is>
          <t>UPPSALA LÄN</t>
        </is>
      </c>
      <c r="E857" t="inlineStr">
        <is>
          <t>ÖSTHAMMAR</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34607-2023</t>
        </is>
      </c>
      <c r="B858" s="1" t="n">
        <v>45138</v>
      </c>
      <c r="C858" s="1" t="n">
        <v>45837</v>
      </c>
      <c r="D858" t="inlineStr">
        <is>
          <t>UPPSALA LÄN</t>
        </is>
      </c>
      <c r="E858" t="inlineStr">
        <is>
          <t>ÖSTHAMMAR</t>
        </is>
      </c>
      <c r="G858" t="n">
        <v>4.7</v>
      </c>
      <c r="H858" t="n">
        <v>0</v>
      </c>
      <c r="I858" t="n">
        <v>0</v>
      </c>
      <c r="J858" t="n">
        <v>0</v>
      </c>
      <c r="K858" t="n">
        <v>0</v>
      </c>
      <c r="L858" t="n">
        <v>0</v>
      </c>
      <c r="M858" t="n">
        <v>0</v>
      </c>
      <c r="N858" t="n">
        <v>0</v>
      </c>
      <c r="O858" t="n">
        <v>0</v>
      </c>
      <c r="P858" t="n">
        <v>0</v>
      </c>
      <c r="Q858" t="n">
        <v>0</v>
      </c>
      <c r="R858" s="2" t="inlineStr"/>
    </row>
    <row r="859" ht="15" customHeight="1">
      <c r="A859" t="inlineStr">
        <is>
          <t>A 34412-2023</t>
        </is>
      </c>
      <c r="B859" s="1" t="n">
        <v>45139</v>
      </c>
      <c r="C859" s="1" t="n">
        <v>45837</v>
      </c>
      <c r="D859" t="inlineStr">
        <is>
          <t>UPPSALA LÄN</t>
        </is>
      </c>
      <c r="E859" t="inlineStr">
        <is>
          <t>ÖSTHAMMAR</t>
        </is>
      </c>
      <c r="F859" t="inlineStr">
        <is>
          <t>Bergvik skog öst AB</t>
        </is>
      </c>
      <c r="G859" t="n">
        <v>4</v>
      </c>
      <c r="H859" t="n">
        <v>0</v>
      </c>
      <c r="I859" t="n">
        <v>0</v>
      </c>
      <c r="J859" t="n">
        <v>0</v>
      </c>
      <c r="K859" t="n">
        <v>0</v>
      </c>
      <c r="L859" t="n">
        <v>0</v>
      </c>
      <c r="M859" t="n">
        <v>0</v>
      </c>
      <c r="N859" t="n">
        <v>0</v>
      </c>
      <c r="O859" t="n">
        <v>0</v>
      </c>
      <c r="P859" t="n">
        <v>0</v>
      </c>
      <c r="Q859" t="n">
        <v>0</v>
      </c>
      <c r="R859" s="2" t="inlineStr"/>
    </row>
    <row r="860" ht="15" customHeight="1">
      <c r="A860" t="inlineStr">
        <is>
          <t>A 34471-2023</t>
        </is>
      </c>
      <c r="B860" s="1" t="n">
        <v>45139</v>
      </c>
      <c r="C860" s="1" t="n">
        <v>45837</v>
      </c>
      <c r="D860" t="inlineStr">
        <is>
          <t>UPPSALA LÄN</t>
        </is>
      </c>
      <c r="E860" t="inlineStr">
        <is>
          <t>ÖSTHAMMAR</t>
        </is>
      </c>
      <c r="F860" t="inlineStr">
        <is>
          <t>Bergvik skog öst AB</t>
        </is>
      </c>
      <c r="G860" t="n">
        <v>4.5</v>
      </c>
      <c r="H860" t="n">
        <v>0</v>
      </c>
      <c r="I860" t="n">
        <v>0</v>
      </c>
      <c r="J860" t="n">
        <v>0</v>
      </c>
      <c r="K860" t="n">
        <v>0</v>
      </c>
      <c r="L860" t="n">
        <v>0</v>
      </c>
      <c r="M860" t="n">
        <v>0</v>
      </c>
      <c r="N860" t="n">
        <v>0</v>
      </c>
      <c r="O860" t="n">
        <v>0</v>
      </c>
      <c r="P860" t="n">
        <v>0</v>
      </c>
      <c r="Q860" t="n">
        <v>0</v>
      </c>
      <c r="R860" s="2" t="inlineStr"/>
    </row>
    <row r="861" ht="15" customHeight="1">
      <c r="A861" t="inlineStr">
        <is>
          <t>A 34920-2023</t>
        </is>
      </c>
      <c r="B861" s="1" t="n">
        <v>45142</v>
      </c>
      <c r="C861" s="1" t="n">
        <v>45837</v>
      </c>
      <c r="D861" t="inlineStr">
        <is>
          <t>UPPSALA LÄN</t>
        </is>
      </c>
      <c r="E861" t="inlineStr">
        <is>
          <t>ÖSTHAMMAR</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34923-2023</t>
        </is>
      </c>
      <c r="B862" s="1" t="n">
        <v>45142</v>
      </c>
      <c r="C862" s="1" t="n">
        <v>45837</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34951-2023</t>
        </is>
      </c>
      <c r="B863" s="1" t="n">
        <v>45142</v>
      </c>
      <c r="C863" s="1" t="n">
        <v>45837</v>
      </c>
      <c r="D863" t="inlineStr">
        <is>
          <t>UPPSALA LÄN</t>
        </is>
      </c>
      <c r="E863" t="inlineStr">
        <is>
          <t>ÖSTHAMMAR</t>
        </is>
      </c>
      <c r="F863" t="inlineStr">
        <is>
          <t>Naturvårdsverket</t>
        </is>
      </c>
      <c r="G863" t="n">
        <v>4.8</v>
      </c>
      <c r="H863" t="n">
        <v>0</v>
      </c>
      <c r="I863" t="n">
        <v>0</v>
      </c>
      <c r="J863" t="n">
        <v>0</v>
      </c>
      <c r="K863" t="n">
        <v>0</v>
      </c>
      <c r="L863" t="n">
        <v>0</v>
      </c>
      <c r="M863" t="n">
        <v>0</v>
      </c>
      <c r="N863" t="n">
        <v>0</v>
      </c>
      <c r="O863" t="n">
        <v>0</v>
      </c>
      <c r="P863" t="n">
        <v>0</v>
      </c>
      <c r="Q863" t="n">
        <v>0</v>
      </c>
      <c r="R863" s="2" t="inlineStr"/>
    </row>
    <row r="864" ht="15" customHeight="1">
      <c r="A864" t="inlineStr">
        <is>
          <t>A 34922-2023</t>
        </is>
      </c>
      <c r="B864" s="1" t="n">
        <v>45142</v>
      </c>
      <c r="C864" s="1" t="n">
        <v>45837</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35403-2023</t>
        </is>
      </c>
      <c r="B865" s="1" t="n">
        <v>45146</v>
      </c>
      <c r="C865" s="1" t="n">
        <v>45837</v>
      </c>
      <c r="D865" t="inlineStr">
        <is>
          <t>UPPSALA LÄN</t>
        </is>
      </c>
      <c r="E865" t="inlineStr">
        <is>
          <t>ÖSTHAMMAR</t>
        </is>
      </c>
      <c r="F865" t="inlineStr">
        <is>
          <t>Bergvik skog öst AB</t>
        </is>
      </c>
      <c r="G865" t="n">
        <v>3.6</v>
      </c>
      <c r="H865" t="n">
        <v>0</v>
      </c>
      <c r="I865" t="n">
        <v>0</v>
      </c>
      <c r="J865" t="n">
        <v>0</v>
      </c>
      <c r="K865" t="n">
        <v>0</v>
      </c>
      <c r="L865" t="n">
        <v>0</v>
      </c>
      <c r="M865" t="n">
        <v>0</v>
      </c>
      <c r="N865" t="n">
        <v>0</v>
      </c>
      <c r="O865" t="n">
        <v>0</v>
      </c>
      <c r="P865" t="n">
        <v>0</v>
      </c>
      <c r="Q865" t="n">
        <v>0</v>
      </c>
      <c r="R865" s="2" t="inlineStr"/>
    </row>
    <row r="866" ht="15" customHeight="1">
      <c r="A866" t="inlineStr">
        <is>
          <t>A 35309-2023</t>
        </is>
      </c>
      <c r="B866" s="1" t="n">
        <v>45146</v>
      </c>
      <c r="C866" s="1" t="n">
        <v>45837</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35413-2023</t>
        </is>
      </c>
      <c r="B867" s="1" t="n">
        <v>45146</v>
      </c>
      <c r="C867" s="1" t="n">
        <v>45837</v>
      </c>
      <c r="D867" t="inlineStr">
        <is>
          <t>UPPSALA LÄN</t>
        </is>
      </c>
      <c r="E867" t="inlineStr">
        <is>
          <t>ÖSTHAMMAR</t>
        </is>
      </c>
      <c r="F867" t="inlineStr">
        <is>
          <t>Bergvik skog öst AB</t>
        </is>
      </c>
      <c r="G867" t="n">
        <v>26.1</v>
      </c>
      <c r="H867" t="n">
        <v>0</v>
      </c>
      <c r="I867" t="n">
        <v>0</v>
      </c>
      <c r="J867" t="n">
        <v>0</v>
      </c>
      <c r="K867" t="n">
        <v>0</v>
      </c>
      <c r="L867" t="n">
        <v>0</v>
      </c>
      <c r="M867" t="n">
        <v>0</v>
      </c>
      <c r="N867" t="n">
        <v>0</v>
      </c>
      <c r="O867" t="n">
        <v>0</v>
      </c>
      <c r="P867" t="n">
        <v>0</v>
      </c>
      <c r="Q867" t="n">
        <v>0</v>
      </c>
      <c r="R867" s="2" t="inlineStr"/>
    </row>
    <row r="868" ht="15" customHeight="1">
      <c r="A868" t="inlineStr">
        <is>
          <t>A 35406-2023</t>
        </is>
      </c>
      <c r="B868" s="1" t="n">
        <v>45146</v>
      </c>
      <c r="C868" s="1" t="n">
        <v>45837</v>
      </c>
      <c r="D868" t="inlineStr">
        <is>
          <t>UPPSALA LÄN</t>
        </is>
      </c>
      <c r="E868" t="inlineStr">
        <is>
          <t>ÖSTHAMMAR</t>
        </is>
      </c>
      <c r="F868" t="inlineStr">
        <is>
          <t>Bergvik skog öst AB</t>
        </is>
      </c>
      <c r="G868" t="n">
        <v>1.7</v>
      </c>
      <c r="H868" t="n">
        <v>0</v>
      </c>
      <c r="I868" t="n">
        <v>0</v>
      </c>
      <c r="J868" t="n">
        <v>0</v>
      </c>
      <c r="K868" t="n">
        <v>0</v>
      </c>
      <c r="L868" t="n">
        <v>0</v>
      </c>
      <c r="M868" t="n">
        <v>0</v>
      </c>
      <c r="N868" t="n">
        <v>0</v>
      </c>
      <c r="O868" t="n">
        <v>0</v>
      </c>
      <c r="P868" t="n">
        <v>0</v>
      </c>
      <c r="Q868" t="n">
        <v>0</v>
      </c>
      <c r="R868" s="2" t="inlineStr"/>
    </row>
    <row r="869" ht="15" customHeight="1">
      <c r="A869" t="inlineStr">
        <is>
          <t>A 35410-2023</t>
        </is>
      </c>
      <c r="B869" s="1" t="n">
        <v>45146</v>
      </c>
      <c r="C869" s="1" t="n">
        <v>45837</v>
      </c>
      <c r="D869" t="inlineStr">
        <is>
          <t>UPPSALA LÄN</t>
        </is>
      </c>
      <c r="E869" t="inlineStr">
        <is>
          <t>ÖSTHAMMAR</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35474-2023</t>
        </is>
      </c>
      <c r="B870" s="1" t="n">
        <v>45146</v>
      </c>
      <c r="C870" s="1" t="n">
        <v>45837</v>
      </c>
      <c r="D870" t="inlineStr">
        <is>
          <t>UPPSALA LÄN</t>
        </is>
      </c>
      <c r="E870" t="inlineStr">
        <is>
          <t>ÖSTHAMMAR</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35476-2023</t>
        </is>
      </c>
      <c r="B871" s="1" t="n">
        <v>45146</v>
      </c>
      <c r="C871" s="1" t="n">
        <v>45837</v>
      </c>
      <c r="D871" t="inlineStr">
        <is>
          <t>UPPSALA LÄN</t>
        </is>
      </c>
      <c r="E871" t="inlineStr">
        <is>
          <t>ÖSTHAMMAR</t>
        </is>
      </c>
      <c r="G871" t="n">
        <v>2.4</v>
      </c>
      <c r="H871" t="n">
        <v>0</v>
      </c>
      <c r="I871" t="n">
        <v>0</v>
      </c>
      <c r="J871" t="n">
        <v>0</v>
      </c>
      <c r="K871" t="n">
        <v>0</v>
      </c>
      <c r="L871" t="n">
        <v>0</v>
      </c>
      <c r="M871" t="n">
        <v>0</v>
      </c>
      <c r="N871" t="n">
        <v>0</v>
      </c>
      <c r="O871" t="n">
        <v>0</v>
      </c>
      <c r="P871" t="n">
        <v>0</v>
      </c>
      <c r="Q871" t="n">
        <v>0</v>
      </c>
      <c r="R871" s="2" t="inlineStr"/>
    </row>
    <row r="872" ht="15" customHeight="1">
      <c r="A872" t="inlineStr">
        <is>
          <t>A 35539-2023</t>
        </is>
      </c>
      <c r="B872" s="1" t="n">
        <v>45147</v>
      </c>
      <c r="C872" s="1" t="n">
        <v>45837</v>
      </c>
      <c r="D872" t="inlineStr">
        <is>
          <t>UPPSALA LÄN</t>
        </is>
      </c>
      <c r="E872" t="inlineStr">
        <is>
          <t>ÖSTHAMMAR</t>
        </is>
      </c>
      <c r="G872" t="n">
        <v>1.4</v>
      </c>
      <c r="H872" t="n">
        <v>0</v>
      </c>
      <c r="I872" t="n">
        <v>0</v>
      </c>
      <c r="J872" t="n">
        <v>0</v>
      </c>
      <c r="K872" t="n">
        <v>0</v>
      </c>
      <c r="L872" t="n">
        <v>0</v>
      </c>
      <c r="M872" t="n">
        <v>0</v>
      </c>
      <c r="N872" t="n">
        <v>0</v>
      </c>
      <c r="O872" t="n">
        <v>0</v>
      </c>
      <c r="P872" t="n">
        <v>0</v>
      </c>
      <c r="Q872" t="n">
        <v>0</v>
      </c>
      <c r="R872" s="2" t="inlineStr"/>
    </row>
    <row r="873" ht="15" customHeight="1">
      <c r="A873" t="inlineStr">
        <is>
          <t>A 35918-2023</t>
        </is>
      </c>
      <c r="B873" s="1" t="n">
        <v>45148</v>
      </c>
      <c r="C873" s="1" t="n">
        <v>45837</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36020-2023</t>
        </is>
      </c>
      <c r="B874" s="1" t="n">
        <v>45149</v>
      </c>
      <c r="C874" s="1" t="n">
        <v>45837</v>
      </c>
      <c r="D874" t="inlineStr">
        <is>
          <t>UPPSALA LÄN</t>
        </is>
      </c>
      <c r="E874" t="inlineStr">
        <is>
          <t>ÖSTHAMMAR</t>
        </is>
      </c>
      <c r="F874" t="inlineStr">
        <is>
          <t>Bergvik skog öst AB</t>
        </is>
      </c>
      <c r="G874" t="n">
        <v>6.8</v>
      </c>
      <c r="H874" t="n">
        <v>0</v>
      </c>
      <c r="I874" t="n">
        <v>0</v>
      </c>
      <c r="J874" t="n">
        <v>0</v>
      </c>
      <c r="K874" t="n">
        <v>0</v>
      </c>
      <c r="L874" t="n">
        <v>0</v>
      </c>
      <c r="M874" t="n">
        <v>0</v>
      </c>
      <c r="N874" t="n">
        <v>0</v>
      </c>
      <c r="O874" t="n">
        <v>0</v>
      </c>
      <c r="P874" t="n">
        <v>0</v>
      </c>
      <c r="Q874" t="n">
        <v>0</v>
      </c>
      <c r="R874" s="2" t="inlineStr"/>
    </row>
    <row r="875" ht="15" customHeight="1">
      <c r="A875" t="inlineStr">
        <is>
          <t>A 36301-2023</t>
        </is>
      </c>
      <c r="B875" s="1" t="n">
        <v>45152</v>
      </c>
      <c r="C875" s="1" t="n">
        <v>45837</v>
      </c>
      <c r="D875" t="inlineStr">
        <is>
          <t>UPPSALA LÄN</t>
        </is>
      </c>
      <c r="E875" t="inlineStr">
        <is>
          <t>ÖSTHAMMAR</t>
        </is>
      </c>
      <c r="G875" t="n">
        <v>0.9</v>
      </c>
      <c r="H875" t="n">
        <v>0</v>
      </c>
      <c r="I875" t="n">
        <v>0</v>
      </c>
      <c r="J875" t="n">
        <v>0</v>
      </c>
      <c r="K875" t="n">
        <v>0</v>
      </c>
      <c r="L875" t="n">
        <v>0</v>
      </c>
      <c r="M875" t="n">
        <v>0</v>
      </c>
      <c r="N875" t="n">
        <v>0</v>
      </c>
      <c r="O875" t="n">
        <v>0</v>
      </c>
      <c r="P875" t="n">
        <v>0</v>
      </c>
      <c r="Q875" t="n">
        <v>0</v>
      </c>
      <c r="R875" s="2" t="inlineStr"/>
    </row>
    <row r="876" ht="15" customHeight="1">
      <c r="A876" t="inlineStr">
        <is>
          <t>A 36447-2023</t>
        </is>
      </c>
      <c r="B876" s="1" t="n">
        <v>45152</v>
      </c>
      <c r="C876" s="1" t="n">
        <v>45837</v>
      </c>
      <c r="D876" t="inlineStr">
        <is>
          <t>UPPSALA LÄN</t>
        </is>
      </c>
      <c r="E876" t="inlineStr">
        <is>
          <t>ÖSTHAMMAR</t>
        </is>
      </c>
      <c r="F876" t="inlineStr">
        <is>
          <t>Bergvik skog öst AB</t>
        </is>
      </c>
      <c r="G876" t="n">
        <v>6.5</v>
      </c>
      <c r="H876" t="n">
        <v>0</v>
      </c>
      <c r="I876" t="n">
        <v>0</v>
      </c>
      <c r="J876" t="n">
        <v>0</v>
      </c>
      <c r="K876" t="n">
        <v>0</v>
      </c>
      <c r="L876" t="n">
        <v>0</v>
      </c>
      <c r="M876" t="n">
        <v>0</v>
      </c>
      <c r="N876" t="n">
        <v>0</v>
      </c>
      <c r="O876" t="n">
        <v>0</v>
      </c>
      <c r="P876" t="n">
        <v>0</v>
      </c>
      <c r="Q876" t="n">
        <v>0</v>
      </c>
      <c r="R876" s="2" t="inlineStr"/>
    </row>
    <row r="877" ht="15" customHeight="1">
      <c r="A877" t="inlineStr">
        <is>
          <t>A 36861-2023</t>
        </is>
      </c>
      <c r="B877" s="1" t="n">
        <v>45154</v>
      </c>
      <c r="C877" s="1" t="n">
        <v>45837</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36857-2023</t>
        </is>
      </c>
      <c r="B878" s="1" t="n">
        <v>45154</v>
      </c>
      <c r="C878" s="1" t="n">
        <v>45837</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36904-2023</t>
        </is>
      </c>
      <c r="B879" s="1" t="n">
        <v>45154</v>
      </c>
      <c r="C879" s="1" t="n">
        <v>45837</v>
      </c>
      <c r="D879" t="inlineStr">
        <is>
          <t>UPPSALA LÄN</t>
        </is>
      </c>
      <c r="E879" t="inlineStr">
        <is>
          <t>ÖSTHAMMAR</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37021-2023</t>
        </is>
      </c>
      <c r="B880" s="1" t="n">
        <v>45155</v>
      </c>
      <c r="C880" s="1" t="n">
        <v>45837</v>
      </c>
      <c r="D880" t="inlineStr">
        <is>
          <t>UPPSALA LÄN</t>
        </is>
      </c>
      <c r="E880" t="inlineStr">
        <is>
          <t>ÖSTHAMMAR</t>
        </is>
      </c>
      <c r="F880" t="inlineStr">
        <is>
          <t>Övriga Aktiebolag</t>
        </is>
      </c>
      <c r="G880" t="n">
        <v>3.8</v>
      </c>
      <c r="H880" t="n">
        <v>0</v>
      </c>
      <c r="I880" t="n">
        <v>0</v>
      </c>
      <c r="J880" t="n">
        <v>0</v>
      </c>
      <c r="K880" t="n">
        <v>0</v>
      </c>
      <c r="L880" t="n">
        <v>0</v>
      </c>
      <c r="M880" t="n">
        <v>0</v>
      </c>
      <c r="N880" t="n">
        <v>0</v>
      </c>
      <c r="O880" t="n">
        <v>0</v>
      </c>
      <c r="P880" t="n">
        <v>0</v>
      </c>
      <c r="Q880" t="n">
        <v>0</v>
      </c>
      <c r="R880" s="2" t="inlineStr"/>
    </row>
    <row r="881" ht="15" customHeight="1">
      <c r="A881" t="inlineStr">
        <is>
          <t>A 37478-2023</t>
        </is>
      </c>
      <c r="B881" s="1" t="n">
        <v>45157</v>
      </c>
      <c r="C881" s="1" t="n">
        <v>45837</v>
      </c>
      <c r="D881" t="inlineStr">
        <is>
          <t>UPPSALA LÄN</t>
        </is>
      </c>
      <c r="E881" t="inlineStr">
        <is>
          <t>ÖSTHAMMAR</t>
        </is>
      </c>
      <c r="F881" t="inlineStr">
        <is>
          <t>Bergvik skog öst AB</t>
        </is>
      </c>
      <c r="G881" t="n">
        <v>2</v>
      </c>
      <c r="H881" t="n">
        <v>0</v>
      </c>
      <c r="I881" t="n">
        <v>0</v>
      </c>
      <c r="J881" t="n">
        <v>0</v>
      </c>
      <c r="K881" t="n">
        <v>0</v>
      </c>
      <c r="L881" t="n">
        <v>0</v>
      </c>
      <c r="M881" t="n">
        <v>0</v>
      </c>
      <c r="N881" t="n">
        <v>0</v>
      </c>
      <c r="O881" t="n">
        <v>0</v>
      </c>
      <c r="P881" t="n">
        <v>0</v>
      </c>
      <c r="Q881" t="n">
        <v>0</v>
      </c>
      <c r="R881" s="2" t="inlineStr"/>
    </row>
    <row r="882" ht="15" customHeight="1">
      <c r="A882" t="inlineStr">
        <is>
          <t>A 37493-2023</t>
        </is>
      </c>
      <c r="B882" s="1" t="n">
        <v>45157</v>
      </c>
      <c r="C882" s="1" t="n">
        <v>45837</v>
      </c>
      <c r="D882" t="inlineStr">
        <is>
          <t>UPPSALA LÄN</t>
        </is>
      </c>
      <c r="E882" t="inlineStr">
        <is>
          <t>ÖSTHAMMAR</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37494-2023</t>
        </is>
      </c>
      <c r="B883" s="1" t="n">
        <v>45157</v>
      </c>
      <c r="C883" s="1" t="n">
        <v>45837</v>
      </c>
      <c r="D883" t="inlineStr">
        <is>
          <t>UPPSALA LÄN</t>
        </is>
      </c>
      <c r="E883" t="inlineStr">
        <is>
          <t>ÖSTHAMMAR</t>
        </is>
      </c>
      <c r="F883" t="inlineStr">
        <is>
          <t>Bergvik skog öst AB</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37863-2023</t>
        </is>
      </c>
      <c r="B884" s="1" t="n">
        <v>45160</v>
      </c>
      <c r="C884" s="1" t="n">
        <v>45837</v>
      </c>
      <c r="D884" t="inlineStr">
        <is>
          <t>UPPSALA LÄN</t>
        </is>
      </c>
      <c r="E884" t="inlineStr">
        <is>
          <t>ÖSTHAMMAR</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37865-2023</t>
        </is>
      </c>
      <c r="B885" s="1" t="n">
        <v>45160</v>
      </c>
      <c r="C885" s="1" t="n">
        <v>45837</v>
      </c>
      <c r="D885" t="inlineStr">
        <is>
          <t>UPPSALA LÄN</t>
        </is>
      </c>
      <c r="E885" t="inlineStr">
        <is>
          <t>ÖSTHAMMAR</t>
        </is>
      </c>
      <c r="G885" t="n">
        <v>1.4</v>
      </c>
      <c r="H885" t="n">
        <v>0</v>
      </c>
      <c r="I885" t="n">
        <v>0</v>
      </c>
      <c r="J885" t="n">
        <v>0</v>
      </c>
      <c r="K885" t="n">
        <v>0</v>
      </c>
      <c r="L885" t="n">
        <v>0</v>
      </c>
      <c r="M885" t="n">
        <v>0</v>
      </c>
      <c r="N885" t="n">
        <v>0</v>
      </c>
      <c r="O885" t="n">
        <v>0</v>
      </c>
      <c r="P885" t="n">
        <v>0</v>
      </c>
      <c r="Q885" t="n">
        <v>0</v>
      </c>
      <c r="R885" s="2" t="inlineStr"/>
    </row>
    <row r="886" ht="15" customHeight="1">
      <c r="A886" t="inlineStr">
        <is>
          <t>A 38039-2023</t>
        </is>
      </c>
      <c r="B886" s="1" t="n">
        <v>45160</v>
      </c>
      <c r="C886" s="1" t="n">
        <v>45837</v>
      </c>
      <c r="D886" t="inlineStr">
        <is>
          <t>UPPSALA LÄN</t>
        </is>
      </c>
      <c r="E886" t="inlineStr">
        <is>
          <t>ÖSTHAMMAR</t>
        </is>
      </c>
      <c r="F886" t="inlineStr">
        <is>
          <t>Bergvik skog öst AB</t>
        </is>
      </c>
      <c r="G886" t="n">
        <v>6.2</v>
      </c>
      <c r="H886" t="n">
        <v>0</v>
      </c>
      <c r="I886" t="n">
        <v>0</v>
      </c>
      <c r="J886" t="n">
        <v>0</v>
      </c>
      <c r="K886" t="n">
        <v>0</v>
      </c>
      <c r="L886" t="n">
        <v>0</v>
      </c>
      <c r="M886" t="n">
        <v>0</v>
      </c>
      <c r="N886" t="n">
        <v>0</v>
      </c>
      <c r="O886" t="n">
        <v>0</v>
      </c>
      <c r="P886" t="n">
        <v>0</v>
      </c>
      <c r="Q886" t="n">
        <v>0</v>
      </c>
      <c r="R886" s="2" t="inlineStr"/>
    </row>
    <row r="887" ht="15" customHeight="1">
      <c r="A887" t="inlineStr">
        <is>
          <t>A 38228-2023</t>
        </is>
      </c>
      <c r="B887" s="1" t="n">
        <v>45160</v>
      </c>
      <c r="C887" s="1" t="n">
        <v>45837</v>
      </c>
      <c r="D887" t="inlineStr">
        <is>
          <t>UPPSALA LÄN</t>
        </is>
      </c>
      <c r="E887" t="inlineStr">
        <is>
          <t>ÖSTHAMMAR</t>
        </is>
      </c>
      <c r="G887" t="n">
        <v>19.2</v>
      </c>
      <c r="H887" t="n">
        <v>0</v>
      </c>
      <c r="I887" t="n">
        <v>0</v>
      </c>
      <c r="J887" t="n">
        <v>0</v>
      </c>
      <c r="K887" t="n">
        <v>0</v>
      </c>
      <c r="L887" t="n">
        <v>0</v>
      </c>
      <c r="M887" t="n">
        <v>0</v>
      </c>
      <c r="N887" t="n">
        <v>0</v>
      </c>
      <c r="O887" t="n">
        <v>0</v>
      </c>
      <c r="P887" t="n">
        <v>0</v>
      </c>
      <c r="Q887" t="n">
        <v>0</v>
      </c>
      <c r="R887" s="2" t="inlineStr"/>
    </row>
    <row r="888" ht="15" customHeight="1">
      <c r="A888" t="inlineStr">
        <is>
          <t>A 38127-2023</t>
        </is>
      </c>
      <c r="B888" s="1" t="n">
        <v>45161</v>
      </c>
      <c r="C888" s="1" t="n">
        <v>45837</v>
      </c>
      <c r="D888" t="inlineStr">
        <is>
          <t>UPPSALA LÄN</t>
        </is>
      </c>
      <c r="E888" t="inlineStr">
        <is>
          <t>ÖSTHAMMAR</t>
        </is>
      </c>
      <c r="G888" t="n">
        <v>1.5</v>
      </c>
      <c r="H888" t="n">
        <v>0</v>
      </c>
      <c r="I888" t="n">
        <v>0</v>
      </c>
      <c r="J888" t="n">
        <v>0</v>
      </c>
      <c r="K888" t="n">
        <v>0</v>
      </c>
      <c r="L888" t="n">
        <v>0</v>
      </c>
      <c r="M888" t="n">
        <v>0</v>
      </c>
      <c r="N888" t="n">
        <v>0</v>
      </c>
      <c r="O888" t="n">
        <v>0</v>
      </c>
      <c r="P888" t="n">
        <v>0</v>
      </c>
      <c r="Q888" t="n">
        <v>0</v>
      </c>
      <c r="R888" s="2" t="inlineStr"/>
    </row>
    <row r="889" ht="15" customHeight="1">
      <c r="A889" t="inlineStr">
        <is>
          <t>A 38162-2023</t>
        </is>
      </c>
      <c r="B889" s="1" t="n">
        <v>45161</v>
      </c>
      <c r="C889" s="1" t="n">
        <v>45837</v>
      </c>
      <c r="D889" t="inlineStr">
        <is>
          <t>UPPSALA LÄN</t>
        </is>
      </c>
      <c r="E889" t="inlineStr">
        <is>
          <t>ÖSTHAMMAR</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38128-2023</t>
        </is>
      </c>
      <c r="B890" s="1" t="n">
        <v>45161</v>
      </c>
      <c r="C890" s="1" t="n">
        <v>45837</v>
      </c>
      <c r="D890" t="inlineStr">
        <is>
          <t>UPPSALA LÄN</t>
        </is>
      </c>
      <c r="E890" t="inlineStr">
        <is>
          <t>ÖSTHAMMAR</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38600-2023</t>
        </is>
      </c>
      <c r="B891" s="1" t="n">
        <v>45162</v>
      </c>
      <c r="C891" s="1" t="n">
        <v>45837</v>
      </c>
      <c r="D891" t="inlineStr">
        <is>
          <t>UPPSALA LÄN</t>
        </is>
      </c>
      <c r="E891" t="inlineStr">
        <is>
          <t>ÖSTHAMMAR</t>
        </is>
      </c>
      <c r="F891" t="inlineStr">
        <is>
          <t>Bergvik skog väst AB</t>
        </is>
      </c>
      <c r="G891" t="n">
        <v>0.1</v>
      </c>
      <c r="H891" t="n">
        <v>0</v>
      </c>
      <c r="I891" t="n">
        <v>0</v>
      </c>
      <c r="J891" t="n">
        <v>0</v>
      </c>
      <c r="K891" t="n">
        <v>0</v>
      </c>
      <c r="L891" t="n">
        <v>0</v>
      </c>
      <c r="M891" t="n">
        <v>0</v>
      </c>
      <c r="N891" t="n">
        <v>0</v>
      </c>
      <c r="O891" t="n">
        <v>0</v>
      </c>
      <c r="P891" t="n">
        <v>0</v>
      </c>
      <c r="Q891" t="n">
        <v>0</v>
      </c>
      <c r="R891" s="2" t="inlineStr"/>
    </row>
    <row r="892" ht="15" customHeight="1">
      <c r="A892" t="inlineStr">
        <is>
          <t>A 38610-2023</t>
        </is>
      </c>
      <c r="B892" s="1" t="n">
        <v>45162</v>
      </c>
      <c r="C892" s="1" t="n">
        <v>45837</v>
      </c>
      <c r="D892" t="inlineStr">
        <is>
          <t>UPPSALA LÄN</t>
        </is>
      </c>
      <c r="E892" t="inlineStr">
        <is>
          <t>ÖSTHAMMAR</t>
        </is>
      </c>
      <c r="F892" t="inlineStr">
        <is>
          <t>Bergvik skog öst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38571-2023</t>
        </is>
      </c>
      <c r="B893" s="1" t="n">
        <v>45162</v>
      </c>
      <c r="C893" s="1" t="n">
        <v>45837</v>
      </c>
      <c r="D893" t="inlineStr">
        <is>
          <t>UPPSALA LÄN</t>
        </is>
      </c>
      <c r="E893" t="inlineStr">
        <is>
          <t>ÖSTHAMMAR</t>
        </is>
      </c>
      <c r="F893" t="inlineStr">
        <is>
          <t>Bergvik skog öst AB</t>
        </is>
      </c>
      <c r="G893" t="n">
        <v>1.1</v>
      </c>
      <c r="H893" t="n">
        <v>0</v>
      </c>
      <c r="I893" t="n">
        <v>0</v>
      </c>
      <c r="J893" t="n">
        <v>0</v>
      </c>
      <c r="K893" t="n">
        <v>0</v>
      </c>
      <c r="L893" t="n">
        <v>0</v>
      </c>
      <c r="M893" t="n">
        <v>0</v>
      </c>
      <c r="N893" t="n">
        <v>0</v>
      </c>
      <c r="O893" t="n">
        <v>0</v>
      </c>
      <c r="P893" t="n">
        <v>0</v>
      </c>
      <c r="Q893" t="n">
        <v>0</v>
      </c>
      <c r="R893" s="2" t="inlineStr"/>
    </row>
    <row r="894" ht="15" customHeight="1">
      <c r="A894" t="inlineStr">
        <is>
          <t>A 38711-2023</t>
        </is>
      </c>
      <c r="B894" s="1" t="n">
        <v>45163</v>
      </c>
      <c r="C894" s="1" t="n">
        <v>45837</v>
      </c>
      <c r="D894" t="inlineStr">
        <is>
          <t>UPPSALA LÄN</t>
        </is>
      </c>
      <c r="E894" t="inlineStr">
        <is>
          <t>ÖSTHAMMAR</t>
        </is>
      </c>
      <c r="G894" t="n">
        <v>5.4</v>
      </c>
      <c r="H894" t="n">
        <v>0</v>
      </c>
      <c r="I894" t="n">
        <v>0</v>
      </c>
      <c r="J894" t="n">
        <v>0</v>
      </c>
      <c r="K894" t="n">
        <v>0</v>
      </c>
      <c r="L894" t="n">
        <v>0</v>
      </c>
      <c r="M894" t="n">
        <v>0</v>
      </c>
      <c r="N894" t="n">
        <v>0</v>
      </c>
      <c r="O894" t="n">
        <v>0</v>
      </c>
      <c r="P894" t="n">
        <v>0</v>
      </c>
      <c r="Q894" t="n">
        <v>0</v>
      </c>
      <c r="R894" s="2" t="inlineStr"/>
    </row>
    <row r="895" ht="15" customHeight="1">
      <c r="A895" t="inlineStr">
        <is>
          <t>A 40176-2023</t>
        </is>
      </c>
      <c r="B895" s="1" t="n">
        <v>45169</v>
      </c>
      <c r="C895" s="1" t="n">
        <v>45837</v>
      </c>
      <c r="D895" t="inlineStr">
        <is>
          <t>UPPSALA LÄN</t>
        </is>
      </c>
      <c r="E895" t="inlineStr">
        <is>
          <t>ÖSTHAMMAR</t>
        </is>
      </c>
      <c r="F895" t="inlineStr">
        <is>
          <t>Bergvik skog öst AB</t>
        </is>
      </c>
      <c r="G895" t="n">
        <v>29.9</v>
      </c>
      <c r="H895" t="n">
        <v>0</v>
      </c>
      <c r="I895" t="n">
        <v>0</v>
      </c>
      <c r="J895" t="n">
        <v>0</v>
      </c>
      <c r="K895" t="n">
        <v>0</v>
      </c>
      <c r="L895" t="n">
        <v>0</v>
      </c>
      <c r="M895" t="n">
        <v>0</v>
      </c>
      <c r="N895" t="n">
        <v>0</v>
      </c>
      <c r="O895" t="n">
        <v>0</v>
      </c>
      <c r="P895" t="n">
        <v>0</v>
      </c>
      <c r="Q895" t="n">
        <v>0</v>
      </c>
      <c r="R895" s="2" t="inlineStr"/>
    </row>
    <row r="896" ht="15" customHeight="1">
      <c r="A896" t="inlineStr">
        <is>
          <t>A 40547-2023</t>
        </is>
      </c>
      <c r="B896" s="1" t="n">
        <v>45170</v>
      </c>
      <c r="C896" s="1" t="n">
        <v>45837</v>
      </c>
      <c r="D896" t="inlineStr">
        <is>
          <t>UPPSALA LÄN</t>
        </is>
      </c>
      <c r="E896" t="inlineStr">
        <is>
          <t>ÖSTHAMMAR</t>
        </is>
      </c>
      <c r="G896" t="n">
        <v>2.1</v>
      </c>
      <c r="H896" t="n">
        <v>0</v>
      </c>
      <c r="I896" t="n">
        <v>0</v>
      </c>
      <c r="J896" t="n">
        <v>0</v>
      </c>
      <c r="K896" t="n">
        <v>0</v>
      </c>
      <c r="L896" t="n">
        <v>0</v>
      </c>
      <c r="M896" t="n">
        <v>0</v>
      </c>
      <c r="N896" t="n">
        <v>0</v>
      </c>
      <c r="O896" t="n">
        <v>0</v>
      </c>
      <c r="P896" t="n">
        <v>0</v>
      </c>
      <c r="Q896" t="n">
        <v>0</v>
      </c>
      <c r="R896" s="2" t="inlineStr"/>
    </row>
    <row r="897" ht="15" customHeight="1">
      <c r="A897" t="inlineStr">
        <is>
          <t>A 40837-2023</t>
        </is>
      </c>
      <c r="B897" s="1" t="n">
        <v>45172</v>
      </c>
      <c r="C897" s="1" t="n">
        <v>45837</v>
      </c>
      <c r="D897" t="inlineStr">
        <is>
          <t>UPPSALA LÄN</t>
        </is>
      </c>
      <c r="E897" t="inlineStr">
        <is>
          <t>ÖSTHAMMAR</t>
        </is>
      </c>
      <c r="G897" t="n">
        <v>1.3</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45837</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45837</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45837</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45837</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45837</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45837</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45837</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45837</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45837</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45837</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45837</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45837</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45837</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45837</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45837</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45837</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45837</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45837</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45837</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45837</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45837</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45837</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45837</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45837</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45837</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45837</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45837</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45837</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45837</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45837</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45837</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45837</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45837</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45837</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45837</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45837</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45837</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45837</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45837</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45837</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45837</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45837</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45837</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45837</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45837</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45837</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45837</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45837</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45837</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45837</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45837</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45837</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45837</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45837</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45837</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45837</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45837</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45837</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45837</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45837</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45837</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45837</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45837</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45837</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45837</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45837</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45837</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45837</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45837</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45837</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45837</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45837</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45837</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45837</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45837</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45837</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45837</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45837</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45837</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45837</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45837</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45837</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45837</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45837</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45837</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45837</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45837</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45837</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45837</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45837</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45837</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45837</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45837</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45837</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45837</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45837</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45837</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45837</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45837</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45837</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45837</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45837</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45837</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45837</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45837</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45837</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45837</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45837</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45837</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45837</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45837</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45837</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45837</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45837</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45837</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45837</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45837</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45837</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45837</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45837</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45837</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45837</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45837</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45837</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45837</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45837</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45837</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45837</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45837</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45837</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45837</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45837</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45837</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45837</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45837</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45837</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45837</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45837</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45837</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45837</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45837</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45837</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45837</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45837</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45837</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45837</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45837</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45837</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45837</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45837</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45837</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45837</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45837</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45837</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45837</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45837</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45837</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45837</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45837</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45837</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45837</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45837</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45837</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45837</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45837</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45837</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45837</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45837</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45837</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45837</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45837</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45837</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45837</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45837</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45837</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45837</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45837</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45837</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45837</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45837</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45837</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45837</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45837</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45837</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45837</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45837</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45837</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45837</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45837</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45837</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45837</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45837</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45837</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45837</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45837</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45837</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45837</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45837</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45837</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45837</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45837</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45837</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45837</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45837</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45837</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45837</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45837</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45837</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45837</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45837</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45837</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45837</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45837</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45837</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45837</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45837</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45837</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45837</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45837</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45837</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45837</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45837</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45837</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45837</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45837</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45837</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45837</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45837</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45837</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45837</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45837</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45837</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45837</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45837</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45837</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45837</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45837</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45837</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45837</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45837</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45837</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45837</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45837</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45837</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45837</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45837</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45837</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45837</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45837</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45837</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45837</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45837</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45837</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45837</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45837</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45837</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45837</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45837</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45837</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45837</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45837</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45837</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45837</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45837</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45837</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45837</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45837</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45837</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45837</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45837</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45837</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45837</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45837</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45837</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45837</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45837</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45837</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45837</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45837</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45837</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45837</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45837</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45837</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45837</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45837</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45837</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45837</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45837</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45837</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45837</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45837</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45837</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45837</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45837</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45837</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45837</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45837</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45837</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45837</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45837</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45837</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45837</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45837</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45837</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45837</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45837</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45837</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45837</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45837</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45837</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45837</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45837</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45837</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45837</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45837</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45837</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45837</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45837</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45837</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45837</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45837</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45837</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45837</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45837</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45837</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45837</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45837</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45837</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45837</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45837</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45837</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45837</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45837</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45837</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45837</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45837</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45837</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45837</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45837</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45837</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45837</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45837</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45837</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45837</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45837</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45837</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45837</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45837</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45837</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45837</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45837</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45837</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45837</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45837</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45837</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45837</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45837</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45837</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45837</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45837</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45837</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45837</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45837</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45837</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45837</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45837</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45837</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45837</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45837</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45837</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45837</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45837</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45837</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45837</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45837</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45837</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45837</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45837</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45837</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45837</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45837</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45837</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45837</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45837</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45837</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45837</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45837</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45837</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45837</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45837</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45837</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45837</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45837</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45837</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45837</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45837</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45837</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45837</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45837</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45837</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45837</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45837</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45837</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45837</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45837</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45837</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45837</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45837</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45837</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45837</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45837</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45837</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45837</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45837</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45837</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45837</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45837</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45837</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45837</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45837</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45837</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45837</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45837</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45837</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45837</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45837</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45837</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45837</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45837</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45837</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45837</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45837</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45837</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45837</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45837</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45837</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45837</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45837</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45837</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45837</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45837</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45837</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45837</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45837</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45837</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45837</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45837</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45837</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45837</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45837</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45837</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45837</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45837</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45837</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45837</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45837</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45837</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45837</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45837</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45837</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45837</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45837</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45837</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45837</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45837</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45837</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45837</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45837</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45837</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45837</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45837</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45837</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45837</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45837</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45837</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45837</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45837</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45837</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45837</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45837</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45837</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45837</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45837</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45837</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45837</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45837</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45837</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45837</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45837</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45837</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45837</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45837</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45837</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45837</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45837</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45837</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45837</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45837</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45837</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45837</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45837</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45837</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45837</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45837</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45837</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45837</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45837</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45837</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45837</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45837</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45837</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45837</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45837</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45837</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45837</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45837</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45837</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45837</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45837</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45837</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45837</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45837</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45837</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45837</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45837</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45837</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45837</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45837</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45837</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45837</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45837</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45837</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45837</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45837</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45837</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45837</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45837</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45837</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45837</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45837</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45837</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45837</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45837</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45837</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45837</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45837</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45837</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45837</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45837</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45837</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45837</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45837</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45837</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45837</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45837</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45837</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45837</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45837</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45837</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45837</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45837</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45837</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45837</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45837</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45837</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45837</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45837</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45837</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45837</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45837</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45837</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45837</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45837</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45837</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45837</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45837</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45837</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45837</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45837</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45837</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45837</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45837</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45837</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45837</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45837</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45837</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45837</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45837</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45837</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45837</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45837</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45837</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45837</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45837</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45837</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45837</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45837</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26319-2025</t>
        </is>
      </c>
      <c r="B1495" s="1" t="n">
        <v>45805</v>
      </c>
      <c r="C1495" s="1" t="n">
        <v>45837</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45837</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26330-2025</t>
        </is>
      </c>
      <c r="B1497" s="1" t="n">
        <v>45805</v>
      </c>
      <c r="C1497" s="1" t="n">
        <v>45837</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45837</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45837</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45837</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45837</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27058-2025</t>
        </is>
      </c>
      <c r="B1502" s="1" t="n">
        <v>45811</v>
      </c>
      <c r="C1502" s="1" t="n">
        <v>45837</v>
      </c>
      <c r="D1502" t="inlineStr">
        <is>
          <t>UPPSALA LÄN</t>
        </is>
      </c>
      <c r="E1502" t="inlineStr">
        <is>
          <t>ÖSTHAMMAR</t>
        </is>
      </c>
      <c r="F1502" t="inlineStr">
        <is>
          <t>Bergvik skog öst AB</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45837</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45837</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27347-2025</t>
        </is>
      </c>
      <c r="B1505" s="1" t="n">
        <v>45812</v>
      </c>
      <c r="C1505" s="1" t="n">
        <v>45837</v>
      </c>
      <c r="D1505" t="inlineStr">
        <is>
          <t>UPPSALA LÄN</t>
        </is>
      </c>
      <c r="E1505" t="inlineStr">
        <is>
          <t>ÖSTHAMMAR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27352-2025</t>
        </is>
      </c>
      <c r="B1506" s="1" t="n">
        <v>45812</v>
      </c>
      <c r="C1506" s="1" t="n">
        <v>45837</v>
      </c>
      <c r="D1506" t="inlineStr">
        <is>
          <t>UPPSALA LÄN</t>
        </is>
      </c>
      <c r="E1506" t="inlineStr">
        <is>
          <t>ÖSTHAMMAR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45837</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27392-2025</t>
        </is>
      </c>
      <c r="B1508" s="1" t="n">
        <v>45812</v>
      </c>
      <c r="C1508" s="1" t="n">
        <v>45837</v>
      </c>
      <c r="D1508" t="inlineStr">
        <is>
          <t>UPPSALA LÄN</t>
        </is>
      </c>
      <c r="E1508" t="inlineStr">
        <is>
          <t>ÖSTHAMMAR</t>
        </is>
      </c>
      <c r="F1508" t="inlineStr">
        <is>
          <t>Bergvik skog öst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45837</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45837</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45837</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45837</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27494-2025</t>
        </is>
      </c>
      <c r="B1513" s="1" t="n">
        <v>45813</v>
      </c>
      <c r="C1513" s="1" t="n">
        <v>45837</v>
      </c>
      <c r="D1513" t="inlineStr">
        <is>
          <t>UPPSALA LÄN</t>
        </is>
      </c>
      <c r="E1513" t="inlineStr">
        <is>
          <t>ÖSTHAMMAR</t>
        </is>
      </c>
      <c r="F1513" t="inlineStr">
        <is>
          <t>Bergvik skog öst AB</t>
        </is>
      </c>
      <c r="G1513" t="n">
        <v>23.4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45837</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45837</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27676-2025</t>
        </is>
      </c>
      <c r="B1516" s="1" t="n">
        <v>45813</v>
      </c>
      <c r="C1516" s="1" t="n">
        <v>45837</v>
      </c>
      <c r="D1516" t="inlineStr">
        <is>
          <t>UPPSALA LÄN</t>
        </is>
      </c>
      <c r="E1516" t="inlineStr">
        <is>
          <t>ÖSTHAMMAR</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27490-2025</t>
        </is>
      </c>
      <c r="B1517" s="1" t="n">
        <v>45813</v>
      </c>
      <c r="C1517" s="1" t="n">
        <v>45837</v>
      </c>
      <c r="D1517" t="inlineStr">
        <is>
          <t>UPPSALA LÄN</t>
        </is>
      </c>
      <c r="E1517" t="inlineStr">
        <is>
          <t>ÖSTHAMMAR</t>
        </is>
      </c>
      <c r="F1517" t="inlineStr">
        <is>
          <t>Bergvik skog öst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45837</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27563-2025</t>
        </is>
      </c>
      <c r="B1519" s="1" t="n">
        <v>45813</v>
      </c>
      <c r="C1519" s="1" t="n">
        <v>45837</v>
      </c>
      <c r="D1519" t="inlineStr">
        <is>
          <t>UPPSALA LÄN</t>
        </is>
      </c>
      <c r="E1519" t="inlineStr">
        <is>
          <t>ÖSTHAMMAR</t>
        </is>
      </c>
      <c r="F1519" t="inlineStr">
        <is>
          <t>Bergvik skog öst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27919-2025</t>
        </is>
      </c>
      <c r="B1520" s="1" t="n">
        <v>45817</v>
      </c>
      <c r="C1520" s="1" t="n">
        <v>45837</v>
      </c>
      <c r="D1520" t="inlineStr">
        <is>
          <t>UPPSALA LÄN</t>
        </is>
      </c>
      <c r="E1520" t="inlineStr">
        <is>
          <t>ÖSTHAMMAR</t>
        </is>
      </c>
      <c r="F1520" t="inlineStr">
        <is>
          <t>Bergvik skog öst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27920-2025</t>
        </is>
      </c>
      <c r="B1521" s="1" t="n">
        <v>45817</v>
      </c>
      <c r="C1521" s="1" t="n">
        <v>45837</v>
      </c>
      <c r="D1521" t="inlineStr">
        <is>
          <t>UPPSALA LÄN</t>
        </is>
      </c>
      <c r="E1521" t="inlineStr">
        <is>
          <t>ÖSTHAMMAR</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28100-2025</t>
        </is>
      </c>
      <c r="B1522" s="1" t="n">
        <v>45817</v>
      </c>
      <c r="C1522" s="1" t="n">
        <v>45837</v>
      </c>
      <c r="D1522" t="inlineStr">
        <is>
          <t>UPPSALA LÄN</t>
        </is>
      </c>
      <c r="E1522" t="inlineStr">
        <is>
          <t>ÖSTHAMMAR</t>
        </is>
      </c>
      <c r="F1522" t="inlineStr">
        <is>
          <t>Bergvik skog öst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28101-2025</t>
        </is>
      </c>
      <c r="B1523" s="1" t="n">
        <v>45817</v>
      </c>
      <c r="C1523" s="1" t="n">
        <v>45837</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27812-2025</t>
        </is>
      </c>
      <c r="B1524" s="1" t="n">
        <v>45817</v>
      </c>
      <c r="C1524" s="1" t="n">
        <v>45837</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28099-2025</t>
        </is>
      </c>
      <c r="B1525" s="1" t="n">
        <v>45817</v>
      </c>
      <c r="C1525" s="1" t="n">
        <v>45837</v>
      </c>
      <c r="D1525" t="inlineStr">
        <is>
          <t>UPPSALA LÄN</t>
        </is>
      </c>
      <c r="E1525" t="inlineStr">
        <is>
          <t>ÖSTHAMMAR</t>
        </is>
      </c>
      <c r="F1525" t="inlineStr">
        <is>
          <t>Bergvik skog öst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45837</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45837</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45837</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45837</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29031-2025</t>
        </is>
      </c>
      <c r="B1530" s="1" t="n">
        <v>45821</v>
      </c>
      <c r="C1530" s="1" t="n">
        <v>45837</v>
      </c>
      <c r="D1530" t="inlineStr">
        <is>
          <t>UPPSALA LÄN</t>
        </is>
      </c>
      <c r="E1530" t="inlineStr">
        <is>
          <t>ÖSTHAMMAR</t>
        </is>
      </c>
      <c r="F1530" t="inlineStr">
        <is>
          <t>Bergvik skog öst AB</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45837</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29029-2025</t>
        </is>
      </c>
      <c r="B1532" s="1" t="n">
        <v>45821</v>
      </c>
      <c r="C1532" s="1" t="n">
        <v>45837</v>
      </c>
      <c r="D1532" t="inlineStr">
        <is>
          <t>UPPSALA LÄN</t>
        </is>
      </c>
      <c r="E1532" t="inlineStr">
        <is>
          <t>ÖSTHAMMAR</t>
        </is>
      </c>
      <c r="F1532" t="inlineStr">
        <is>
          <t>Bergvik skog öst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29024-2025</t>
        </is>
      </c>
      <c r="B1533" s="1" t="n">
        <v>45821</v>
      </c>
      <c r="C1533" s="1" t="n">
        <v>45837</v>
      </c>
      <c r="D1533" t="inlineStr">
        <is>
          <t>UPPSALA LÄN</t>
        </is>
      </c>
      <c r="E1533" t="inlineStr">
        <is>
          <t>ÖSTHAMMAR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45837</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45837</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30243-2025</t>
        </is>
      </c>
      <c r="B1536" s="1" t="n">
        <v>45827</v>
      </c>
      <c r="C1536" s="1" t="n">
        <v>45837</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45837</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30504-2025</t>
        </is>
      </c>
      <c r="B1538" s="1" t="n">
        <v>45830</v>
      </c>
      <c r="C1538" s="1" t="n">
        <v>45837</v>
      </c>
      <c r="D1538" t="inlineStr">
        <is>
          <t>UPPSALA LÄN</t>
        </is>
      </c>
      <c r="E1538" t="inlineStr">
        <is>
          <t>ÖSTHAMMAR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45837</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30610-2025</t>
        </is>
      </c>
      <c r="B1540" s="1" t="n">
        <v>45831</v>
      </c>
      <c r="C1540" s="1" t="n">
        <v>45837</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31249-2025</t>
        </is>
      </c>
      <c r="B1541" s="1" t="n">
        <v>45832</v>
      </c>
      <c r="C1541" s="1" t="n">
        <v>45837</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31360-2025</t>
        </is>
      </c>
      <c r="B1542" s="1" t="n">
        <v>45833</v>
      </c>
      <c r="C1542" s="1" t="n">
        <v>45837</v>
      </c>
      <c r="D1542" t="inlineStr">
        <is>
          <t>UPPSALA LÄN</t>
        </is>
      </c>
      <c r="E1542" t="inlineStr">
        <is>
          <t>ÖSTHAMMAR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31579-2025</t>
        </is>
      </c>
      <c r="B1543" s="1" t="n">
        <v>45833</v>
      </c>
      <c r="C1543" s="1" t="n">
        <v>45837</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31896-2025</t>
        </is>
      </c>
      <c r="B1544" s="1" t="n">
        <v>45834</v>
      </c>
      <c r="C1544" s="1" t="n">
        <v>45837</v>
      </c>
      <c r="D1544" t="inlineStr">
        <is>
          <t>UPPSALA LÄN</t>
        </is>
      </c>
      <c r="E1544" t="inlineStr">
        <is>
          <t>ÖSTHAMMAR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31956-2025</t>
        </is>
      </c>
      <c r="B1545" s="1" t="n">
        <v>45835</v>
      </c>
      <c r="C1545" s="1" t="n">
        <v>45837</v>
      </c>
      <c r="D1545" t="inlineStr">
        <is>
          <t>UPPSALA LÄN</t>
        </is>
      </c>
      <c r="E1545" t="inlineStr">
        <is>
          <t>ÖSTHAMMAR</t>
        </is>
      </c>
      <c r="F1545" t="inlineStr">
        <is>
          <t>Övriga Aktiebolag</t>
        </is>
      </c>
      <c r="G1545" t="n">
        <v>4.2</v>
      </c>
      <c r="H1545" t="n">
        <v>0</v>
      </c>
      <c r="I1545" t="n">
        <v>0</v>
      </c>
      <c r="J1545" t="n">
        <v>0</v>
      </c>
      <c r="K1545" t="n">
        <v>0</v>
      </c>
      <c r="L1545" t="n">
        <v>0</v>
      </c>
      <c r="M1545" t="n">
        <v>0</v>
      </c>
      <c r="N1545" t="n">
        <v>0</v>
      </c>
      <c r="O1545" t="n">
        <v>0</v>
      </c>
      <c r="P1545" t="n">
        <v>0</v>
      </c>
      <c r="Q1545" t="n">
        <v>0</v>
      </c>
      <c r="R1545" s="2" t="inlineStr"/>
    </row>
    <row r="1546">
      <c r="A1546" t="inlineStr">
        <is>
          <t>A 31977-2025</t>
        </is>
      </c>
      <c r="B1546" s="1" t="n">
        <v>45835</v>
      </c>
      <c r="C1546" s="1" t="n">
        <v>45837</v>
      </c>
      <c r="D1546" t="inlineStr">
        <is>
          <t>UPPSALA LÄN</t>
        </is>
      </c>
      <c r="E1546" t="inlineStr">
        <is>
          <t>ÖSTHAMMAR</t>
        </is>
      </c>
      <c r="F1546" t="inlineStr">
        <is>
          <t>Övriga Aktiebolag</t>
        </is>
      </c>
      <c r="G1546" t="n">
        <v>35.3</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2025-06-29T19:18:53Z</dcterms:created>
  <dcterms:modified xmlns:dcterms="http://purl.org/dc/terms/" xmlns:xsi="http://www.w3.org/2001/XMLSchema-instance" xsi:type="dcterms:W3CDTF">2025-06-29T19:18:54Z</dcterms:modified>
</cp:coreProperties>
</file>