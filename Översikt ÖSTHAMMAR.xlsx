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45927</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45927</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45927</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21006-2024</t>
        </is>
      </c>
      <c r="B5" s="1" t="n">
        <v>45439</v>
      </c>
      <c r="C5" s="1" t="n">
        <v>45927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45927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45927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45927</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45927</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45927</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45927</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45927</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45927</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45927</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45927</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45927</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45927</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45927</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48277-2023</t>
        </is>
      </c>
      <c r="B21" s="1" t="n">
        <v>45205</v>
      </c>
      <c r="C21" s="1" t="n">
        <v>45927</v>
      </c>
      <c r="D21" t="inlineStr">
        <is>
          <t>UPPSALA LÄN</t>
        </is>
      </c>
      <c r="E21" t="inlineStr">
        <is>
          <t>ÖSTHAMMAR</t>
        </is>
      </c>
      <c r="G21" t="n">
        <v>4.2</v>
      </c>
      <c r="H21" t="n">
        <v>1</v>
      </c>
      <c r="I21" t="n">
        <v>3</v>
      </c>
      <c r="J21" t="n">
        <v>2</v>
      </c>
      <c r="K21" t="n">
        <v>1</v>
      </c>
      <c r="L21" t="n">
        <v>0</v>
      </c>
      <c r="M21" t="n">
        <v>0</v>
      </c>
      <c r="N21" t="n">
        <v>0</v>
      </c>
      <c r="O21" t="n">
        <v>3</v>
      </c>
      <c r="P21" t="n">
        <v>1</v>
      </c>
      <c r="Q21" t="n">
        <v>6</v>
      </c>
      <c r="R21" s="2" t="inlineStr">
        <is>
          <t>Gul lammticka
Odörspindling
Svart taggsvamp
Nästrot
Sårläka
Zontaggsvamp</t>
        </is>
      </c>
      <c r="S21">
        <f>HYPERLINK("https://klasma.github.io/Logging_0382/artfynd/A 48277-2023 artfynd.xlsx", "A 48277-2023")</f>
        <v/>
      </c>
      <c r="T21">
        <f>HYPERLINK("https://klasma.github.io/Logging_0382/kartor/A 48277-2023 karta.png", "A 48277-2023")</f>
        <v/>
      </c>
      <c r="V21">
        <f>HYPERLINK("https://klasma.github.io/Logging_0382/klagomål/A 48277-2023 FSC-klagomål.docx", "A 48277-2023")</f>
        <v/>
      </c>
      <c r="W21">
        <f>HYPERLINK("https://klasma.github.io/Logging_0382/klagomålsmail/A 48277-2023 FSC-klagomål mail.docx", "A 48277-2023")</f>
        <v/>
      </c>
      <c r="X21">
        <f>HYPERLINK("https://klasma.github.io/Logging_0382/tillsyn/A 48277-2023 tillsynsbegäran.docx", "A 48277-2023")</f>
        <v/>
      </c>
      <c r="Y21">
        <f>HYPERLINK("https://klasma.github.io/Logging_0382/tillsynsmail/A 48277-2023 tillsynsbegäran mail.docx", "A 48277-2023")</f>
        <v/>
      </c>
    </row>
    <row r="22" ht="15" customHeight="1">
      <c r="A22" t="inlineStr">
        <is>
          <t>A 23496-2023</t>
        </is>
      </c>
      <c r="B22" s="1" t="n">
        <v>45076</v>
      </c>
      <c r="C22" s="1" t="n">
        <v>45927</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39834-2025</t>
        </is>
      </c>
      <c r="B23" s="1" t="n">
        <v>45891.56333333333</v>
      </c>
      <c r="C23" s="1" t="n">
        <v>45927</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45927</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45927</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45927</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45927</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23498-2023</t>
        </is>
      </c>
      <c r="B28" s="1" t="n">
        <v>45076</v>
      </c>
      <c r="C28" s="1" t="n">
        <v>45927</v>
      </c>
      <c r="D28" t="inlineStr">
        <is>
          <t>UPPSALA LÄN</t>
        </is>
      </c>
      <c r="E28" t="inlineStr">
        <is>
          <t>ÖSTHAMMAR</t>
        </is>
      </c>
      <c r="F28" t="inlineStr">
        <is>
          <t>Sveaskog</t>
        </is>
      </c>
      <c r="G28" t="n">
        <v>1.4</v>
      </c>
      <c r="H28" t="n">
        <v>5</v>
      </c>
      <c r="I28" t="n">
        <v>0</v>
      </c>
      <c r="J28" t="n">
        <v>3</v>
      </c>
      <c r="K28" t="n">
        <v>1</v>
      </c>
      <c r="L28" t="n">
        <v>1</v>
      </c>
      <c r="M28" t="n">
        <v>0</v>
      </c>
      <c r="N28" t="n">
        <v>0</v>
      </c>
      <c r="O28" t="n">
        <v>5</v>
      </c>
      <c r="P28" t="n">
        <v>2</v>
      </c>
      <c r="Q28" t="n">
        <v>5</v>
      </c>
      <c r="R28" s="2" t="inlineStr">
        <is>
          <t>Grönfink
Gråtrut
Gulsparv
Svartvit flugsnappare
Talltita</t>
        </is>
      </c>
      <c r="S28">
        <f>HYPERLINK("https://klasma.github.io/Logging_0382/artfynd/A 23498-2023 artfynd.xlsx", "A 23498-2023")</f>
        <v/>
      </c>
      <c r="T28">
        <f>HYPERLINK("https://klasma.github.io/Logging_0382/kartor/A 23498-2023 karta.png", "A 23498-2023")</f>
        <v/>
      </c>
      <c r="V28">
        <f>HYPERLINK("https://klasma.github.io/Logging_0382/klagomål/A 23498-2023 FSC-klagomål.docx", "A 23498-2023")</f>
        <v/>
      </c>
      <c r="W28">
        <f>HYPERLINK("https://klasma.github.io/Logging_0382/klagomålsmail/A 23498-2023 FSC-klagomål mail.docx", "A 23498-2023")</f>
        <v/>
      </c>
      <c r="X28">
        <f>HYPERLINK("https://klasma.github.io/Logging_0382/tillsyn/A 23498-2023 tillsynsbegäran.docx", "A 23498-2023")</f>
        <v/>
      </c>
      <c r="Y28">
        <f>HYPERLINK("https://klasma.github.io/Logging_0382/tillsynsmail/A 23498-2023 tillsynsbegäran mail.docx", "A 23498-2023")</f>
        <v/>
      </c>
      <c r="Z28">
        <f>HYPERLINK("https://klasma.github.io/Logging_0382/fåglar/A 23498-2023 prioriterade fågelarter.docx", "A 23498-2023")</f>
        <v/>
      </c>
    </row>
    <row r="29" ht="15" customHeight="1">
      <c r="A29" t="inlineStr">
        <is>
          <t>A 26056-2025</t>
        </is>
      </c>
      <c r="B29" s="1" t="n">
        <v>45804.79280092593</v>
      </c>
      <c r="C29" s="1" t="n">
        <v>45927</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15556-2022</t>
        </is>
      </c>
      <c r="B30" s="1" t="n">
        <v>44662</v>
      </c>
      <c r="C30" s="1" t="n">
        <v>45927</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40395-2025</t>
        </is>
      </c>
      <c r="B31" s="1" t="n">
        <v>45895.55805555556</v>
      </c>
      <c r="C31" s="1" t="n">
        <v>45927</v>
      </c>
      <c r="D31" t="inlineStr">
        <is>
          <t>UPPSALA LÄN</t>
        </is>
      </c>
      <c r="E31" t="inlineStr">
        <is>
          <t>ÖSTHAMMAR</t>
        </is>
      </c>
      <c r="G31" t="n">
        <v>1.8</v>
      </c>
      <c r="H31" t="n">
        <v>3</v>
      </c>
      <c r="I31" t="n">
        <v>2</v>
      </c>
      <c r="J31" t="n">
        <v>3</v>
      </c>
      <c r="K31" t="n">
        <v>0</v>
      </c>
      <c r="L31" t="n">
        <v>0</v>
      </c>
      <c r="M31" t="n">
        <v>0</v>
      </c>
      <c r="N31" t="n">
        <v>0</v>
      </c>
      <c r="O31" t="n">
        <v>3</v>
      </c>
      <c r="P31" t="n">
        <v>0</v>
      </c>
      <c r="Q31" t="n">
        <v>5</v>
      </c>
      <c r="R31" s="2" t="inlineStr">
        <is>
          <t>Järpe
Spillkråka
Talltita
Brandticka
Stor aspticka</t>
        </is>
      </c>
      <c r="S31">
        <f>HYPERLINK("https://klasma.github.io/Logging_0382/artfynd/A 40395-2025 artfynd.xlsx", "A 40395-2025")</f>
        <v/>
      </c>
      <c r="T31">
        <f>HYPERLINK("https://klasma.github.io/Logging_0382/kartor/A 40395-2025 karta.png", "A 40395-2025")</f>
        <v/>
      </c>
      <c r="V31">
        <f>HYPERLINK("https://klasma.github.io/Logging_0382/klagomål/A 40395-2025 FSC-klagomål.docx", "A 40395-2025")</f>
        <v/>
      </c>
      <c r="W31">
        <f>HYPERLINK("https://klasma.github.io/Logging_0382/klagomålsmail/A 40395-2025 FSC-klagomål mail.docx", "A 40395-2025")</f>
        <v/>
      </c>
      <c r="X31">
        <f>HYPERLINK("https://klasma.github.io/Logging_0382/tillsyn/A 40395-2025 tillsynsbegäran.docx", "A 40395-2025")</f>
        <v/>
      </c>
      <c r="Y31">
        <f>HYPERLINK("https://klasma.github.io/Logging_0382/tillsynsmail/A 40395-2025 tillsynsbegäran mail.docx", "A 40395-2025")</f>
        <v/>
      </c>
      <c r="Z31">
        <f>HYPERLINK("https://klasma.github.io/Logging_0382/fåglar/A 40395-2025 prioriterade fågelarter.docx", "A 40395-2025")</f>
        <v/>
      </c>
    </row>
    <row r="32" ht="15" customHeight="1">
      <c r="A32" t="inlineStr">
        <is>
          <t>A 24563-2022</t>
        </is>
      </c>
      <c r="B32" s="1" t="n">
        <v>44727</v>
      </c>
      <c r="C32" s="1" t="n">
        <v>45927</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43992-2022</t>
        </is>
      </c>
      <c r="B33" s="1" t="n">
        <v>44837</v>
      </c>
      <c r="C33" s="1" t="n">
        <v>45927</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52808-2022</t>
        </is>
      </c>
      <c r="B34" s="1" t="n">
        <v>44875</v>
      </c>
      <c r="C34" s="1" t="n">
        <v>45927</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45927</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45927</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221-2025</t>
        </is>
      </c>
      <c r="B37" s="1" t="n">
        <v>45660</v>
      </c>
      <c r="C37" s="1" t="n">
        <v>45927</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26279-2024</t>
        </is>
      </c>
      <c r="B38" s="1" t="n">
        <v>45468</v>
      </c>
      <c r="C38" s="1" t="n">
        <v>45927</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45927</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45927</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45927</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55051-2021</t>
        </is>
      </c>
      <c r="B42" s="1" t="n">
        <v>44474</v>
      </c>
      <c r="C42" s="1" t="n">
        <v>45927</v>
      </c>
      <c r="D42" t="inlineStr">
        <is>
          <t>UPPSALA LÄN</t>
        </is>
      </c>
      <c r="E42" t="inlineStr">
        <is>
          <t>ÖSTHAMMAR</t>
        </is>
      </c>
      <c r="F42" t="inlineStr">
        <is>
          <t>Bergvik skog öst AB</t>
        </is>
      </c>
      <c r="G42" t="n">
        <v>6.5</v>
      </c>
      <c r="H42" t="n">
        <v>1</v>
      </c>
      <c r="I42" t="n">
        <v>2</v>
      </c>
      <c r="J42" t="n">
        <v>0</v>
      </c>
      <c r="K42" t="n">
        <v>0</v>
      </c>
      <c r="L42" t="n">
        <v>0</v>
      </c>
      <c r="M42" t="n">
        <v>0</v>
      </c>
      <c r="N42" t="n">
        <v>0</v>
      </c>
      <c r="O42" t="n">
        <v>0</v>
      </c>
      <c r="P42" t="n">
        <v>0</v>
      </c>
      <c r="Q42" t="n">
        <v>3</v>
      </c>
      <c r="R42" s="2" t="inlineStr">
        <is>
          <t>Svart trolldruva
Tibast
Blåsippa</t>
        </is>
      </c>
      <c r="S42">
        <f>HYPERLINK("https://klasma.github.io/Logging_0382/artfynd/A 55051-2021 artfynd.xlsx", "A 55051-2021")</f>
        <v/>
      </c>
      <c r="T42">
        <f>HYPERLINK("https://klasma.github.io/Logging_0382/kartor/A 55051-2021 karta.png", "A 55051-2021")</f>
        <v/>
      </c>
      <c r="V42">
        <f>HYPERLINK("https://klasma.github.io/Logging_0382/klagomål/A 55051-2021 FSC-klagomål.docx", "A 55051-2021")</f>
        <v/>
      </c>
      <c r="W42">
        <f>HYPERLINK("https://klasma.github.io/Logging_0382/klagomålsmail/A 55051-2021 FSC-klagomål mail.docx", "A 55051-2021")</f>
        <v/>
      </c>
      <c r="X42">
        <f>HYPERLINK("https://klasma.github.io/Logging_0382/tillsyn/A 55051-2021 tillsynsbegäran.docx", "A 55051-2021")</f>
        <v/>
      </c>
      <c r="Y42">
        <f>HYPERLINK("https://klasma.github.io/Logging_0382/tillsynsmail/A 55051-2021 tillsynsbegäran mail.docx", "A 55051-2021")</f>
        <v/>
      </c>
    </row>
    <row r="43" ht="15" customHeight="1">
      <c r="A43" t="inlineStr">
        <is>
          <t>A 25044-2025</t>
        </is>
      </c>
      <c r="B43" s="1" t="n">
        <v>45799.66607638889</v>
      </c>
      <c r="C43" s="1" t="n">
        <v>45927</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45927</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26557-2022</t>
        </is>
      </c>
      <c r="B45" s="1" t="n">
        <v>44739</v>
      </c>
      <c r="C45" s="1" t="n">
        <v>45927</v>
      </c>
      <c r="D45" t="inlineStr">
        <is>
          <t>UPPSALA LÄN</t>
        </is>
      </c>
      <c r="E45" t="inlineStr">
        <is>
          <t>ÖSTHAMMAR</t>
        </is>
      </c>
      <c r="F45" t="inlineStr">
        <is>
          <t>Övriga statliga verk och myndigheter</t>
        </is>
      </c>
      <c r="G45" t="n">
        <v>1.7</v>
      </c>
      <c r="H45" t="n">
        <v>3</v>
      </c>
      <c r="I45" t="n">
        <v>0</v>
      </c>
      <c r="J45" t="n">
        <v>3</v>
      </c>
      <c r="K45" t="n">
        <v>0</v>
      </c>
      <c r="L45" t="n">
        <v>0</v>
      </c>
      <c r="M45" t="n">
        <v>0</v>
      </c>
      <c r="N45" t="n">
        <v>0</v>
      </c>
      <c r="O45" t="n">
        <v>3</v>
      </c>
      <c r="P45" t="n">
        <v>0</v>
      </c>
      <c r="Q45" t="n">
        <v>3</v>
      </c>
      <c r="R45" s="2" t="inlineStr">
        <is>
          <t>Järpe
Mindre hackspett
Spillkråka</t>
        </is>
      </c>
      <c r="S45">
        <f>HYPERLINK("https://klasma.github.io/Logging_0382/artfynd/A 26557-2022 artfynd.xlsx", "A 26557-2022")</f>
        <v/>
      </c>
      <c r="T45">
        <f>HYPERLINK("https://klasma.github.io/Logging_0382/kartor/A 26557-2022 karta.png", "A 26557-2022")</f>
        <v/>
      </c>
      <c r="V45">
        <f>HYPERLINK("https://klasma.github.io/Logging_0382/klagomål/A 26557-2022 FSC-klagomål.docx", "A 26557-2022")</f>
        <v/>
      </c>
      <c r="W45">
        <f>HYPERLINK("https://klasma.github.io/Logging_0382/klagomålsmail/A 26557-2022 FSC-klagomål mail.docx", "A 26557-2022")</f>
        <v/>
      </c>
      <c r="X45">
        <f>HYPERLINK("https://klasma.github.io/Logging_0382/tillsyn/A 26557-2022 tillsynsbegäran.docx", "A 26557-2022")</f>
        <v/>
      </c>
      <c r="Y45">
        <f>HYPERLINK("https://klasma.github.io/Logging_0382/tillsynsmail/A 26557-2022 tillsynsbegäran mail.docx", "A 26557-2022")</f>
        <v/>
      </c>
      <c r="Z45">
        <f>HYPERLINK("https://klasma.github.io/Logging_0382/fåglar/A 26557-2022 prioriterade fågelarter.docx", "A 26557-2022")</f>
        <v/>
      </c>
    </row>
    <row r="46" ht="15" customHeight="1">
      <c r="A46" t="inlineStr">
        <is>
          <t>A 9683-2023</t>
        </is>
      </c>
      <c r="B46" s="1" t="n">
        <v>44984.43856481482</v>
      </c>
      <c r="C46" s="1" t="n">
        <v>45927</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45927</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9715-2024</t>
        </is>
      </c>
      <c r="B48" s="1" t="n">
        <v>45362.53928240741</v>
      </c>
      <c r="C48" s="1" t="n">
        <v>45927</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45927</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60078-2021</t>
        </is>
      </c>
      <c r="B50" s="1" t="n">
        <v>44495</v>
      </c>
      <c r="C50" s="1" t="n">
        <v>45927</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45927</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45927</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2916-2025</t>
        </is>
      </c>
      <c r="B53" s="1" t="n">
        <v>45677</v>
      </c>
      <c r="C53" s="1" t="n">
        <v>45927</v>
      </c>
      <c r="D53" t="inlineStr">
        <is>
          <t>UPPSALA LÄN</t>
        </is>
      </c>
      <c r="E53" t="inlineStr">
        <is>
          <t>ÖSTHAMMAR</t>
        </is>
      </c>
      <c r="F53" t="inlineStr">
        <is>
          <t>Allmännings- och besparingsskogar</t>
        </is>
      </c>
      <c r="G53" t="n">
        <v>10.5</v>
      </c>
      <c r="H53" t="n">
        <v>2</v>
      </c>
      <c r="I53" t="n">
        <v>0</v>
      </c>
      <c r="J53" t="n">
        <v>0</v>
      </c>
      <c r="K53" t="n">
        <v>0</v>
      </c>
      <c r="L53" t="n">
        <v>0</v>
      </c>
      <c r="M53" t="n">
        <v>0</v>
      </c>
      <c r="N53" t="n">
        <v>0</v>
      </c>
      <c r="O53" t="n">
        <v>0</v>
      </c>
      <c r="P53" t="n">
        <v>0</v>
      </c>
      <c r="Q53" t="n">
        <v>2</v>
      </c>
      <c r="R53" s="2" t="inlineStr">
        <is>
          <t>Grönvit nattviol
Ängsnycklar × fläcknycklar</t>
        </is>
      </c>
      <c r="S53">
        <f>HYPERLINK("https://klasma.github.io/Logging_0382/artfynd/A 2916-2025 artfynd.xlsx", "A 2916-2025")</f>
        <v/>
      </c>
      <c r="T53">
        <f>HYPERLINK("https://klasma.github.io/Logging_0382/kartor/A 2916-2025 karta.png", "A 2916-2025")</f>
        <v/>
      </c>
      <c r="V53">
        <f>HYPERLINK("https://klasma.github.io/Logging_0382/klagomål/A 2916-2025 FSC-klagomål.docx", "A 2916-2025")</f>
        <v/>
      </c>
      <c r="W53">
        <f>HYPERLINK("https://klasma.github.io/Logging_0382/klagomålsmail/A 2916-2025 FSC-klagomål mail.docx", "A 2916-2025")</f>
        <v/>
      </c>
      <c r="X53">
        <f>HYPERLINK("https://klasma.github.io/Logging_0382/tillsyn/A 2916-2025 tillsynsbegäran.docx", "A 2916-2025")</f>
        <v/>
      </c>
      <c r="Y53">
        <f>HYPERLINK("https://klasma.github.io/Logging_0382/tillsynsmail/A 2916-2025 tillsynsbegäran mail.docx", "A 2916-2025")</f>
        <v/>
      </c>
    </row>
    <row r="54" ht="15" customHeight="1">
      <c r="A54" t="inlineStr">
        <is>
          <t>A 18539-2024</t>
        </is>
      </c>
      <c r="B54" s="1" t="n">
        <v>45425.63697916667</v>
      </c>
      <c r="C54" s="1" t="n">
        <v>45927</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26277-2024</t>
        </is>
      </c>
      <c r="B55" s="1" t="n">
        <v>45468</v>
      </c>
      <c r="C55" s="1" t="n">
        <v>45927</v>
      </c>
      <c r="D55" t="inlineStr">
        <is>
          <t>UPPSALA LÄN</t>
        </is>
      </c>
      <c r="E55" t="inlineStr">
        <is>
          <t>ÖSTHAMMAR</t>
        </is>
      </c>
      <c r="G55" t="n">
        <v>3.5</v>
      </c>
      <c r="H55" t="n">
        <v>1</v>
      </c>
      <c r="I55" t="n">
        <v>2</v>
      </c>
      <c r="J55" t="n">
        <v>0</v>
      </c>
      <c r="K55" t="n">
        <v>0</v>
      </c>
      <c r="L55" t="n">
        <v>0</v>
      </c>
      <c r="M55" t="n">
        <v>0</v>
      </c>
      <c r="N55" t="n">
        <v>0</v>
      </c>
      <c r="O55" t="n">
        <v>0</v>
      </c>
      <c r="P55" t="n">
        <v>0</v>
      </c>
      <c r="Q55" t="n">
        <v>2</v>
      </c>
      <c r="R55" s="2" t="inlineStr">
        <is>
          <t>Nästrot
Sårläka</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67855-2021</t>
        </is>
      </c>
      <c r="B56" s="1" t="n">
        <v>44525</v>
      </c>
      <c r="C56" s="1" t="n">
        <v>45927</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21453-2023</t>
        </is>
      </c>
      <c r="B57" s="1" t="n">
        <v>45063</v>
      </c>
      <c r="C57" s="1" t="n">
        <v>45927</v>
      </c>
      <c r="D57" t="inlineStr">
        <is>
          <t>UPPSALA LÄN</t>
        </is>
      </c>
      <c r="E57" t="inlineStr">
        <is>
          <t>ÖSTHAMMAR</t>
        </is>
      </c>
      <c r="F57" t="inlineStr">
        <is>
          <t>Bergvik skog väst AB</t>
        </is>
      </c>
      <c r="G57" t="n">
        <v>6.1</v>
      </c>
      <c r="H57" t="n">
        <v>1</v>
      </c>
      <c r="I57" t="n">
        <v>1</v>
      </c>
      <c r="J57" t="n">
        <v>0</v>
      </c>
      <c r="K57" t="n">
        <v>0</v>
      </c>
      <c r="L57" t="n">
        <v>0</v>
      </c>
      <c r="M57" t="n">
        <v>0</v>
      </c>
      <c r="N57" t="n">
        <v>0</v>
      </c>
      <c r="O57" t="n">
        <v>0</v>
      </c>
      <c r="P57" t="n">
        <v>0</v>
      </c>
      <c r="Q57" t="n">
        <v>2</v>
      </c>
      <c r="R57" s="2" t="inlineStr">
        <is>
          <t>Fransig jordstjärna
Blåsippa</t>
        </is>
      </c>
      <c r="S57">
        <f>HYPERLINK("https://klasma.github.io/Logging_0382/artfynd/A 21453-2023 artfynd.xlsx", "A 21453-2023")</f>
        <v/>
      </c>
      <c r="T57">
        <f>HYPERLINK("https://klasma.github.io/Logging_0382/kartor/A 21453-2023 karta.png", "A 21453-2023")</f>
        <v/>
      </c>
      <c r="V57">
        <f>HYPERLINK("https://klasma.github.io/Logging_0382/klagomål/A 21453-2023 FSC-klagomål.docx", "A 21453-2023")</f>
        <v/>
      </c>
      <c r="W57">
        <f>HYPERLINK("https://klasma.github.io/Logging_0382/klagomålsmail/A 21453-2023 FSC-klagomål mail.docx", "A 21453-2023")</f>
        <v/>
      </c>
      <c r="X57">
        <f>HYPERLINK("https://klasma.github.io/Logging_0382/tillsyn/A 21453-2023 tillsynsbegäran.docx", "A 21453-2023")</f>
        <v/>
      </c>
      <c r="Y57">
        <f>HYPERLINK("https://klasma.github.io/Logging_0382/tillsynsmail/A 21453-2023 tillsynsbegäran mail.docx", "A 21453-2023")</f>
        <v/>
      </c>
    </row>
    <row r="58" ht="15" customHeight="1">
      <c r="A58" t="inlineStr">
        <is>
          <t>A 73981-2021</t>
        </is>
      </c>
      <c r="B58" s="1" t="n">
        <v>44555</v>
      </c>
      <c r="C58" s="1" t="n">
        <v>45927</v>
      </c>
      <c r="D58" t="inlineStr">
        <is>
          <t>UPPSALA LÄN</t>
        </is>
      </c>
      <c r="E58" t="inlineStr">
        <is>
          <t>ÖSTHAMMAR</t>
        </is>
      </c>
      <c r="G58" t="n">
        <v>2.4</v>
      </c>
      <c r="H58" t="n">
        <v>0</v>
      </c>
      <c r="I58" t="n">
        <v>1</v>
      </c>
      <c r="J58" t="n">
        <v>1</v>
      </c>
      <c r="K58" t="n">
        <v>0</v>
      </c>
      <c r="L58" t="n">
        <v>0</v>
      </c>
      <c r="M58" t="n">
        <v>0</v>
      </c>
      <c r="N58" t="n">
        <v>0</v>
      </c>
      <c r="O58" t="n">
        <v>1</v>
      </c>
      <c r="P58" t="n">
        <v>0</v>
      </c>
      <c r="Q58" t="n">
        <v>2</v>
      </c>
      <c r="R58" s="2" t="inlineStr">
        <is>
          <t>Skogsklocka
Vårärt</t>
        </is>
      </c>
      <c r="S58">
        <f>HYPERLINK("https://klasma.github.io/Logging_0382/artfynd/A 73981-2021 artfynd.xlsx", "A 73981-2021")</f>
        <v/>
      </c>
      <c r="T58">
        <f>HYPERLINK("https://klasma.github.io/Logging_0382/kartor/A 73981-2021 karta.png", "A 73981-2021")</f>
        <v/>
      </c>
      <c r="V58">
        <f>HYPERLINK("https://klasma.github.io/Logging_0382/klagomål/A 73981-2021 FSC-klagomål.docx", "A 73981-2021")</f>
        <v/>
      </c>
      <c r="W58">
        <f>HYPERLINK("https://klasma.github.io/Logging_0382/klagomålsmail/A 73981-2021 FSC-klagomål mail.docx", "A 73981-2021")</f>
        <v/>
      </c>
      <c r="X58">
        <f>HYPERLINK("https://klasma.github.io/Logging_0382/tillsyn/A 73981-2021 tillsynsbegäran.docx", "A 73981-2021")</f>
        <v/>
      </c>
      <c r="Y58">
        <f>HYPERLINK("https://klasma.github.io/Logging_0382/tillsynsmail/A 73981-2021 tillsynsbegäran mail.docx", "A 73981-2021")</f>
        <v/>
      </c>
    </row>
    <row r="59" ht="15" customHeight="1">
      <c r="A59" t="inlineStr">
        <is>
          <t>A 21422-2023</t>
        </is>
      </c>
      <c r="B59" s="1" t="n">
        <v>45063</v>
      </c>
      <c r="C59" s="1" t="n">
        <v>45927</v>
      </c>
      <c r="D59" t="inlineStr">
        <is>
          <t>UPPSALA LÄN</t>
        </is>
      </c>
      <c r="E59" t="inlineStr">
        <is>
          <t>ÖSTHAMMAR</t>
        </is>
      </c>
      <c r="F59" t="inlineStr">
        <is>
          <t>Sveaskog</t>
        </is>
      </c>
      <c r="G59" t="n">
        <v>2.8</v>
      </c>
      <c r="H59" t="n">
        <v>2</v>
      </c>
      <c r="I59" t="n">
        <v>0</v>
      </c>
      <c r="J59" t="n">
        <v>1</v>
      </c>
      <c r="K59" t="n">
        <v>0</v>
      </c>
      <c r="L59" t="n">
        <v>0</v>
      </c>
      <c r="M59" t="n">
        <v>0</v>
      </c>
      <c r="N59" t="n">
        <v>0</v>
      </c>
      <c r="O59" t="n">
        <v>1</v>
      </c>
      <c r="P59" t="n">
        <v>0</v>
      </c>
      <c r="Q59" t="n">
        <v>2</v>
      </c>
      <c r="R59" s="2" t="inlineStr">
        <is>
          <t>Nordfladdermus
Dvärgpipistrell</t>
        </is>
      </c>
      <c r="S59">
        <f>HYPERLINK("https://klasma.github.io/Logging_0382/artfynd/A 21422-2023 artfynd.xlsx", "A 21422-2023")</f>
        <v/>
      </c>
      <c r="T59">
        <f>HYPERLINK("https://klasma.github.io/Logging_0382/kartor/A 21422-2023 karta.png", "A 21422-2023")</f>
        <v/>
      </c>
      <c r="V59">
        <f>HYPERLINK("https://klasma.github.io/Logging_0382/klagomål/A 21422-2023 FSC-klagomål.docx", "A 21422-2023")</f>
        <v/>
      </c>
      <c r="W59">
        <f>HYPERLINK("https://klasma.github.io/Logging_0382/klagomålsmail/A 21422-2023 FSC-klagomål mail.docx", "A 21422-2023")</f>
        <v/>
      </c>
      <c r="X59">
        <f>HYPERLINK("https://klasma.github.io/Logging_0382/tillsyn/A 21422-2023 tillsynsbegäran.docx", "A 21422-2023")</f>
        <v/>
      </c>
      <c r="Y59">
        <f>HYPERLINK("https://klasma.github.io/Logging_0382/tillsynsmail/A 21422-2023 tillsynsbegäran mail.docx", "A 21422-2023")</f>
        <v/>
      </c>
    </row>
    <row r="60" ht="15" customHeight="1">
      <c r="A60" t="inlineStr">
        <is>
          <t>A 20553-2025</t>
        </is>
      </c>
      <c r="B60" s="1" t="n">
        <v>45775.63983796296</v>
      </c>
      <c r="C60" s="1" t="n">
        <v>45927</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25098-2022</t>
        </is>
      </c>
      <c r="B61" s="1" t="n">
        <v>44729.44149305556</v>
      </c>
      <c r="C61" s="1" t="n">
        <v>45927</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33269-2025</t>
        </is>
      </c>
      <c r="B62" s="1" t="n">
        <v>45840.68208333333</v>
      </c>
      <c r="C62" s="1" t="n">
        <v>45927</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41303-2025</t>
        </is>
      </c>
      <c r="B63" s="1" t="n">
        <v>45898.69215277778</v>
      </c>
      <c r="C63" s="1" t="n">
        <v>45927</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13287-2022</t>
        </is>
      </c>
      <c r="B64" s="1" t="n">
        <v>44644</v>
      </c>
      <c r="C64" s="1" t="n">
        <v>45927</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30943-2024</t>
        </is>
      </c>
      <c r="B65" s="1" t="n">
        <v>45499</v>
      </c>
      <c r="C65" s="1" t="n">
        <v>45927</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45927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6223-2021</t>
        </is>
      </c>
      <c r="B67" s="1" t="n">
        <v>44235</v>
      </c>
      <c r="C67" s="1" t="n">
        <v>45927</v>
      </c>
      <c r="D67" t="inlineStr">
        <is>
          <t>UPPSALA LÄN</t>
        </is>
      </c>
      <c r="E67" t="inlineStr">
        <is>
          <t>ÖSTHAMMAR</t>
        </is>
      </c>
      <c r="G67" t="n">
        <v>0.5</v>
      </c>
      <c r="H67" t="n">
        <v>2</v>
      </c>
      <c r="I67" t="n">
        <v>0</v>
      </c>
      <c r="J67" t="n">
        <v>0</v>
      </c>
      <c r="K67" t="n">
        <v>0</v>
      </c>
      <c r="L67" t="n">
        <v>0</v>
      </c>
      <c r="M67" t="n">
        <v>0</v>
      </c>
      <c r="N67" t="n">
        <v>0</v>
      </c>
      <c r="O67" t="n">
        <v>0</v>
      </c>
      <c r="P67" t="n">
        <v>0</v>
      </c>
      <c r="Q67" t="n">
        <v>2</v>
      </c>
      <c r="R67" s="2" t="inlineStr">
        <is>
          <t>Blåsippa
Gullviva</t>
        </is>
      </c>
      <c r="S67">
        <f>HYPERLINK("https://klasma.github.io/Logging_0382/artfynd/A 6223-2021 artfynd.xlsx", "A 6223-2021")</f>
        <v/>
      </c>
      <c r="T67">
        <f>HYPERLINK("https://klasma.github.io/Logging_0382/kartor/A 6223-2021 karta.png", "A 6223-2021")</f>
        <v/>
      </c>
      <c r="V67">
        <f>HYPERLINK("https://klasma.github.io/Logging_0382/klagomål/A 6223-2021 FSC-klagomål.docx", "A 6223-2021")</f>
        <v/>
      </c>
      <c r="W67">
        <f>HYPERLINK("https://klasma.github.io/Logging_0382/klagomålsmail/A 6223-2021 FSC-klagomål mail.docx", "A 6223-2021")</f>
        <v/>
      </c>
      <c r="X67">
        <f>HYPERLINK("https://klasma.github.io/Logging_0382/tillsyn/A 6223-2021 tillsynsbegäran.docx", "A 6223-2021")</f>
        <v/>
      </c>
      <c r="Y67">
        <f>HYPERLINK("https://klasma.github.io/Logging_0382/tillsynsmail/A 6223-2021 tillsynsbegäran mail.docx", "A 6223-2021")</f>
        <v/>
      </c>
    </row>
    <row r="68" ht="15" customHeight="1">
      <c r="A68" t="inlineStr">
        <is>
          <t>A 37768-2025</t>
        </is>
      </c>
      <c r="B68" s="1" t="n">
        <v>45880</v>
      </c>
      <c r="C68" s="1" t="n">
        <v>45927</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38442-2022</t>
        </is>
      </c>
      <c r="B69" s="1" t="n">
        <v>44813</v>
      </c>
      <c r="C69" s="1" t="n">
        <v>45927</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45927</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52651-2022</t>
        </is>
      </c>
      <c r="B71" s="1" t="n">
        <v>44874</v>
      </c>
      <c r="C71" s="1" t="n">
        <v>45927</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61536-2021</t>
        </is>
      </c>
      <c r="B72" s="1" t="n">
        <v>44501</v>
      </c>
      <c r="C72" s="1" t="n">
        <v>45927</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49839-2021</t>
        </is>
      </c>
      <c r="B73" s="1" t="n">
        <v>44455</v>
      </c>
      <c r="C73" s="1" t="n">
        <v>45927</v>
      </c>
      <c r="D73" t="inlineStr">
        <is>
          <t>UPPSALA LÄN</t>
        </is>
      </c>
      <c r="E73" t="inlineStr">
        <is>
          <t>ÖSTHAMMAR</t>
        </is>
      </c>
      <c r="G73" t="n">
        <v>3.6</v>
      </c>
      <c r="H73" t="n">
        <v>0</v>
      </c>
      <c r="I73" t="n">
        <v>0</v>
      </c>
      <c r="J73" t="n">
        <v>0</v>
      </c>
      <c r="K73" t="n">
        <v>1</v>
      </c>
      <c r="L73" t="n">
        <v>0</v>
      </c>
      <c r="M73" t="n">
        <v>0</v>
      </c>
      <c r="N73" t="n">
        <v>0</v>
      </c>
      <c r="O73" t="n">
        <v>1</v>
      </c>
      <c r="P73" t="n">
        <v>1</v>
      </c>
      <c r="Q73" t="n">
        <v>1</v>
      </c>
      <c r="R73" s="2" t="inlineStr">
        <is>
          <t>Violgubbe</t>
        </is>
      </c>
      <c r="S73">
        <f>HYPERLINK("https://klasma.github.io/Logging_0382/artfynd/A 49839-2021 artfynd.xlsx", "A 49839-2021")</f>
        <v/>
      </c>
      <c r="T73">
        <f>HYPERLINK("https://klasma.github.io/Logging_0382/kartor/A 49839-2021 karta.png", "A 49839-2021")</f>
        <v/>
      </c>
      <c r="V73">
        <f>HYPERLINK("https://klasma.github.io/Logging_0382/klagomål/A 49839-2021 FSC-klagomål.docx", "A 49839-2021")</f>
        <v/>
      </c>
      <c r="W73">
        <f>HYPERLINK("https://klasma.github.io/Logging_0382/klagomålsmail/A 49839-2021 FSC-klagomål mail.docx", "A 49839-2021")</f>
        <v/>
      </c>
      <c r="X73">
        <f>HYPERLINK("https://klasma.github.io/Logging_0382/tillsyn/A 49839-2021 tillsynsbegäran.docx", "A 49839-2021")</f>
        <v/>
      </c>
      <c r="Y73">
        <f>HYPERLINK("https://klasma.github.io/Logging_0382/tillsynsmail/A 49839-2021 tillsynsbegäran mail.docx", "A 49839-2021")</f>
        <v/>
      </c>
    </row>
    <row r="74" ht="15" customHeight="1">
      <c r="A74" t="inlineStr">
        <is>
          <t>A 25179-2023</t>
        </is>
      </c>
      <c r="B74" s="1" t="n">
        <v>45078</v>
      </c>
      <c r="C74" s="1" t="n">
        <v>45927</v>
      </c>
      <c r="D74" t="inlineStr">
        <is>
          <t>UPPSALA LÄN</t>
        </is>
      </c>
      <c r="E74" t="inlineStr">
        <is>
          <t>ÖSTHAMMAR</t>
        </is>
      </c>
      <c r="G74" t="n">
        <v>3.2</v>
      </c>
      <c r="H74" t="n">
        <v>0</v>
      </c>
      <c r="I74" t="n">
        <v>0</v>
      </c>
      <c r="J74" t="n">
        <v>1</v>
      </c>
      <c r="K74" t="n">
        <v>0</v>
      </c>
      <c r="L74" t="n">
        <v>0</v>
      </c>
      <c r="M74" t="n">
        <v>0</v>
      </c>
      <c r="N74" t="n">
        <v>0</v>
      </c>
      <c r="O74" t="n">
        <v>1</v>
      </c>
      <c r="P74" t="n">
        <v>0</v>
      </c>
      <c r="Q74" t="n">
        <v>1</v>
      </c>
      <c r="R74" s="2" t="inlineStr">
        <is>
          <t>Grantaggsvamp</t>
        </is>
      </c>
      <c r="S74">
        <f>HYPERLINK("https://klasma.github.io/Logging_0382/artfynd/A 25179-2023 artfynd.xlsx", "A 25179-2023")</f>
        <v/>
      </c>
      <c r="T74">
        <f>HYPERLINK("https://klasma.github.io/Logging_0382/kartor/A 25179-2023 karta.png", "A 25179-2023")</f>
        <v/>
      </c>
      <c r="V74">
        <f>HYPERLINK("https://klasma.github.io/Logging_0382/klagomål/A 25179-2023 FSC-klagomål.docx", "A 25179-2023")</f>
        <v/>
      </c>
      <c r="W74">
        <f>HYPERLINK("https://klasma.github.io/Logging_0382/klagomålsmail/A 25179-2023 FSC-klagomål mail.docx", "A 25179-2023")</f>
        <v/>
      </c>
      <c r="X74">
        <f>HYPERLINK("https://klasma.github.io/Logging_0382/tillsyn/A 25179-2023 tillsynsbegäran.docx", "A 25179-2023")</f>
        <v/>
      </c>
      <c r="Y74">
        <f>HYPERLINK("https://klasma.github.io/Logging_0382/tillsynsmail/A 25179-2023 tillsynsbegäran mail.docx", "A 25179-2023")</f>
        <v/>
      </c>
    </row>
    <row r="75" ht="15" customHeight="1">
      <c r="A75" t="inlineStr">
        <is>
          <t>A 63615-2021</t>
        </is>
      </c>
      <c r="B75" s="1" t="n">
        <v>44509</v>
      </c>
      <c r="C75" s="1" t="n">
        <v>45927</v>
      </c>
      <c r="D75" t="inlineStr">
        <is>
          <t>UPPSALA LÄN</t>
        </is>
      </c>
      <c r="E75" t="inlineStr">
        <is>
          <t>ÖSTHAMMAR</t>
        </is>
      </c>
      <c r="G75" t="n">
        <v>1.9</v>
      </c>
      <c r="H75" t="n">
        <v>0</v>
      </c>
      <c r="I75" t="n">
        <v>0</v>
      </c>
      <c r="J75" t="n">
        <v>1</v>
      </c>
      <c r="K75" t="n">
        <v>0</v>
      </c>
      <c r="L75" t="n">
        <v>0</v>
      </c>
      <c r="M75" t="n">
        <v>0</v>
      </c>
      <c r="N75" t="n">
        <v>0</v>
      </c>
      <c r="O75" t="n">
        <v>1</v>
      </c>
      <c r="P75" t="n">
        <v>0</v>
      </c>
      <c r="Q75" t="n">
        <v>1</v>
      </c>
      <c r="R75" s="2" t="inlineStr">
        <is>
          <t>Gul taggsvamp</t>
        </is>
      </c>
      <c r="S75">
        <f>HYPERLINK("https://klasma.github.io/Logging_0382/artfynd/A 63615-2021 artfynd.xlsx", "A 63615-2021")</f>
        <v/>
      </c>
      <c r="T75">
        <f>HYPERLINK("https://klasma.github.io/Logging_0382/kartor/A 63615-2021 karta.png", "A 63615-2021")</f>
        <v/>
      </c>
      <c r="V75">
        <f>HYPERLINK("https://klasma.github.io/Logging_0382/klagomål/A 63615-2021 FSC-klagomål.docx", "A 63615-2021")</f>
        <v/>
      </c>
      <c r="W75">
        <f>HYPERLINK("https://klasma.github.io/Logging_0382/klagomålsmail/A 63615-2021 FSC-klagomål mail.docx", "A 63615-2021")</f>
        <v/>
      </c>
      <c r="X75">
        <f>HYPERLINK("https://klasma.github.io/Logging_0382/tillsyn/A 63615-2021 tillsynsbegäran.docx", "A 63615-2021")</f>
        <v/>
      </c>
      <c r="Y75">
        <f>HYPERLINK("https://klasma.github.io/Logging_0382/tillsynsmail/A 63615-2021 tillsynsbegäran mail.docx", "A 63615-2021")</f>
        <v/>
      </c>
    </row>
    <row r="76" ht="15" customHeight="1">
      <c r="A76" t="inlineStr">
        <is>
          <t>A 33800-2024</t>
        </is>
      </c>
      <c r="B76" s="1" t="n">
        <v>45520</v>
      </c>
      <c r="C76" s="1" t="n">
        <v>45927</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14203-2024</t>
        </is>
      </c>
      <c r="B77" s="1" t="n">
        <v>45393</v>
      </c>
      <c r="C77" s="1" t="n">
        <v>45927</v>
      </c>
      <c r="D77" t="inlineStr">
        <is>
          <t>UPPSALA LÄN</t>
        </is>
      </c>
      <c r="E77" t="inlineStr">
        <is>
          <t>ÖSTHAMMAR</t>
        </is>
      </c>
      <c r="G77" t="n">
        <v>1.4</v>
      </c>
      <c r="H77" t="n">
        <v>0</v>
      </c>
      <c r="I77" t="n">
        <v>0</v>
      </c>
      <c r="J77" t="n">
        <v>1</v>
      </c>
      <c r="K77" t="n">
        <v>0</v>
      </c>
      <c r="L77" t="n">
        <v>0</v>
      </c>
      <c r="M77" t="n">
        <v>0</v>
      </c>
      <c r="N77" t="n">
        <v>0</v>
      </c>
      <c r="O77" t="n">
        <v>1</v>
      </c>
      <c r="P77" t="n">
        <v>0</v>
      </c>
      <c r="Q77" t="n">
        <v>1</v>
      </c>
      <c r="R77" s="2" t="inlineStr">
        <is>
          <t>Scharlakansvaxing</t>
        </is>
      </c>
      <c r="S77">
        <f>HYPERLINK("https://klasma.github.io/Logging_0382/artfynd/A 14203-2024 artfynd.xlsx", "A 14203-2024")</f>
        <v/>
      </c>
      <c r="T77">
        <f>HYPERLINK("https://klasma.github.io/Logging_0382/kartor/A 14203-2024 karta.png", "A 14203-2024")</f>
        <v/>
      </c>
      <c r="V77">
        <f>HYPERLINK("https://klasma.github.io/Logging_0382/klagomål/A 14203-2024 FSC-klagomål.docx", "A 14203-2024")</f>
        <v/>
      </c>
      <c r="W77">
        <f>HYPERLINK("https://klasma.github.io/Logging_0382/klagomålsmail/A 14203-2024 FSC-klagomål mail.docx", "A 14203-2024")</f>
        <v/>
      </c>
      <c r="X77">
        <f>HYPERLINK("https://klasma.github.io/Logging_0382/tillsyn/A 14203-2024 tillsynsbegäran.docx", "A 14203-2024")</f>
        <v/>
      </c>
      <c r="Y77">
        <f>HYPERLINK("https://klasma.github.io/Logging_0382/tillsynsmail/A 14203-2024 tillsynsbegäran mail.docx", "A 14203-2024")</f>
        <v/>
      </c>
    </row>
    <row r="78" ht="15" customHeight="1">
      <c r="A78" t="inlineStr">
        <is>
          <t>A 14706-2023</t>
        </is>
      </c>
      <c r="B78" s="1" t="n">
        <v>45013</v>
      </c>
      <c r="C78" s="1" t="n">
        <v>45927</v>
      </c>
      <c r="D78" t="inlineStr">
        <is>
          <t>UPPSALA LÄN</t>
        </is>
      </c>
      <c r="E78" t="inlineStr">
        <is>
          <t>ÖSTHAMMAR</t>
        </is>
      </c>
      <c r="G78" t="n">
        <v>0.9</v>
      </c>
      <c r="H78" t="n">
        <v>0</v>
      </c>
      <c r="I78" t="n">
        <v>1</v>
      </c>
      <c r="J78" t="n">
        <v>0</v>
      </c>
      <c r="K78" t="n">
        <v>0</v>
      </c>
      <c r="L78" t="n">
        <v>0</v>
      </c>
      <c r="M78" t="n">
        <v>0</v>
      </c>
      <c r="N78" t="n">
        <v>0</v>
      </c>
      <c r="O78" t="n">
        <v>0</v>
      </c>
      <c r="P78" t="n">
        <v>0</v>
      </c>
      <c r="Q78" t="n">
        <v>1</v>
      </c>
      <c r="R78" s="2" t="inlineStr">
        <is>
          <t>Olivspindling</t>
        </is>
      </c>
      <c r="S78">
        <f>HYPERLINK("https://klasma.github.io/Logging_0382/artfynd/A 14706-2023 artfynd.xlsx", "A 14706-2023")</f>
        <v/>
      </c>
      <c r="T78">
        <f>HYPERLINK("https://klasma.github.io/Logging_0382/kartor/A 14706-2023 karta.png", "A 14706-2023")</f>
        <v/>
      </c>
      <c r="V78">
        <f>HYPERLINK("https://klasma.github.io/Logging_0382/klagomål/A 14706-2023 FSC-klagomål.docx", "A 14706-2023")</f>
        <v/>
      </c>
      <c r="W78">
        <f>HYPERLINK("https://klasma.github.io/Logging_0382/klagomålsmail/A 14706-2023 FSC-klagomål mail.docx", "A 14706-2023")</f>
        <v/>
      </c>
      <c r="X78">
        <f>HYPERLINK("https://klasma.github.io/Logging_0382/tillsyn/A 14706-2023 tillsynsbegäran.docx", "A 14706-2023")</f>
        <v/>
      </c>
      <c r="Y78">
        <f>HYPERLINK("https://klasma.github.io/Logging_0382/tillsynsmail/A 14706-2023 tillsynsbegäran mail.docx", "A 14706-2023")</f>
        <v/>
      </c>
    </row>
    <row r="79" ht="15" customHeight="1">
      <c r="A79" t="inlineStr">
        <is>
          <t>A 7446-2022</t>
        </is>
      </c>
      <c r="B79" s="1" t="n">
        <v>44606</v>
      </c>
      <c r="C79" s="1" t="n">
        <v>45927</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1227-2022</t>
        </is>
      </c>
      <c r="B80" s="1" t="n">
        <v>44572.57641203704</v>
      </c>
      <c r="C80" s="1" t="n">
        <v>45927</v>
      </c>
      <c r="D80" t="inlineStr">
        <is>
          <t>UPPSALA LÄN</t>
        </is>
      </c>
      <c r="E80" t="inlineStr">
        <is>
          <t>ÖSTHAMMAR</t>
        </is>
      </c>
      <c r="G80" t="n">
        <v>1.7</v>
      </c>
      <c r="H80" t="n">
        <v>0</v>
      </c>
      <c r="I80" t="n">
        <v>1</v>
      </c>
      <c r="J80" t="n">
        <v>0</v>
      </c>
      <c r="K80" t="n">
        <v>0</v>
      </c>
      <c r="L80" t="n">
        <v>0</v>
      </c>
      <c r="M80" t="n">
        <v>0</v>
      </c>
      <c r="N80" t="n">
        <v>0</v>
      </c>
      <c r="O80" t="n">
        <v>0</v>
      </c>
      <c r="P80" t="n">
        <v>0</v>
      </c>
      <c r="Q80" t="n">
        <v>1</v>
      </c>
      <c r="R80" s="2" t="inlineStr">
        <is>
          <t>Guldkremla</t>
        </is>
      </c>
      <c r="S80">
        <f>HYPERLINK("https://klasma.github.io/Logging_0382/artfynd/A 1227-2022 artfynd.xlsx", "A 1227-2022")</f>
        <v/>
      </c>
      <c r="T80">
        <f>HYPERLINK("https://klasma.github.io/Logging_0382/kartor/A 1227-2022 karta.png", "A 1227-2022")</f>
        <v/>
      </c>
      <c r="V80">
        <f>HYPERLINK("https://klasma.github.io/Logging_0382/klagomål/A 1227-2022 FSC-klagomål.docx", "A 1227-2022")</f>
        <v/>
      </c>
      <c r="W80">
        <f>HYPERLINK("https://klasma.github.io/Logging_0382/klagomålsmail/A 1227-2022 FSC-klagomål mail.docx", "A 1227-2022")</f>
        <v/>
      </c>
      <c r="X80">
        <f>HYPERLINK("https://klasma.github.io/Logging_0382/tillsyn/A 1227-2022 tillsynsbegäran.docx", "A 1227-2022")</f>
        <v/>
      </c>
      <c r="Y80">
        <f>HYPERLINK("https://klasma.github.io/Logging_0382/tillsynsmail/A 1227-2022 tillsynsbegäran mail.docx", "A 1227-2022")</f>
        <v/>
      </c>
    </row>
    <row r="81" ht="15" customHeight="1">
      <c r="A81" t="inlineStr">
        <is>
          <t>A 34090-2023</t>
        </is>
      </c>
      <c r="B81" s="1" t="n">
        <v>45135</v>
      </c>
      <c r="C81" s="1" t="n">
        <v>45927</v>
      </c>
      <c r="D81" t="inlineStr">
        <is>
          <t>UPPSALA LÄN</t>
        </is>
      </c>
      <c r="E81" t="inlineStr">
        <is>
          <t>ÖSTHAMMAR</t>
        </is>
      </c>
      <c r="F81" t="inlineStr">
        <is>
          <t>Bergvik skog öst AB</t>
        </is>
      </c>
      <c r="G81" t="n">
        <v>5.7</v>
      </c>
      <c r="H81" t="n">
        <v>1</v>
      </c>
      <c r="I81" t="n">
        <v>0</v>
      </c>
      <c r="J81" t="n">
        <v>1</v>
      </c>
      <c r="K81" t="n">
        <v>0</v>
      </c>
      <c r="L81" t="n">
        <v>0</v>
      </c>
      <c r="M81" t="n">
        <v>0</v>
      </c>
      <c r="N81" t="n">
        <v>0</v>
      </c>
      <c r="O81" t="n">
        <v>1</v>
      </c>
      <c r="P81" t="n">
        <v>0</v>
      </c>
      <c r="Q81" t="n">
        <v>1</v>
      </c>
      <c r="R81" s="2" t="inlineStr">
        <is>
          <t>Spillkråka</t>
        </is>
      </c>
      <c r="S81">
        <f>HYPERLINK("https://klasma.github.io/Logging_0382/artfynd/A 34090-2023 artfynd.xlsx", "A 34090-2023")</f>
        <v/>
      </c>
      <c r="T81">
        <f>HYPERLINK("https://klasma.github.io/Logging_0382/kartor/A 34090-2023 karta.png", "A 34090-2023")</f>
        <v/>
      </c>
      <c r="V81">
        <f>HYPERLINK("https://klasma.github.io/Logging_0382/klagomål/A 34090-2023 FSC-klagomål.docx", "A 34090-2023")</f>
        <v/>
      </c>
      <c r="W81">
        <f>HYPERLINK("https://klasma.github.io/Logging_0382/klagomålsmail/A 34090-2023 FSC-klagomål mail.docx", "A 34090-2023")</f>
        <v/>
      </c>
      <c r="X81">
        <f>HYPERLINK("https://klasma.github.io/Logging_0382/tillsyn/A 34090-2023 tillsynsbegäran.docx", "A 34090-2023")</f>
        <v/>
      </c>
      <c r="Y81">
        <f>HYPERLINK("https://klasma.github.io/Logging_0382/tillsynsmail/A 34090-2023 tillsynsbegäran mail.docx", "A 34090-2023")</f>
        <v/>
      </c>
      <c r="Z81">
        <f>HYPERLINK("https://klasma.github.io/Logging_0382/fåglar/A 34090-2023 prioriterade fågelarter.docx", "A 34090-2023")</f>
        <v/>
      </c>
    </row>
    <row r="82" ht="15" customHeight="1">
      <c r="A82" t="inlineStr">
        <is>
          <t>A 11017-2023</t>
        </is>
      </c>
      <c r="B82" s="1" t="n">
        <v>44991</v>
      </c>
      <c r="C82" s="1" t="n">
        <v>45927</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52818-2022</t>
        </is>
      </c>
      <c r="B83" s="1" t="n">
        <v>44875</v>
      </c>
      <c r="C83" s="1" t="n">
        <v>45927</v>
      </c>
      <c r="D83" t="inlineStr">
        <is>
          <t>UPPSALA LÄN</t>
        </is>
      </c>
      <c r="E83" t="inlineStr">
        <is>
          <t>ÖSTHAMMAR</t>
        </is>
      </c>
      <c r="G83" t="n">
        <v>0.9</v>
      </c>
      <c r="H83" t="n">
        <v>1</v>
      </c>
      <c r="I83" t="n">
        <v>1</v>
      </c>
      <c r="J83" t="n">
        <v>0</v>
      </c>
      <c r="K83" t="n">
        <v>0</v>
      </c>
      <c r="L83" t="n">
        <v>0</v>
      </c>
      <c r="M83" t="n">
        <v>0</v>
      </c>
      <c r="N83" t="n">
        <v>0</v>
      </c>
      <c r="O83" t="n">
        <v>0</v>
      </c>
      <c r="P83" t="n">
        <v>0</v>
      </c>
      <c r="Q83" t="n">
        <v>1</v>
      </c>
      <c r="R83" s="2" t="inlineStr">
        <is>
          <t>Guckusko</t>
        </is>
      </c>
      <c r="S83">
        <f>HYPERLINK("https://klasma.github.io/Logging_0382/artfynd/A 52818-2022 artfynd.xlsx", "A 52818-2022")</f>
        <v/>
      </c>
      <c r="T83">
        <f>HYPERLINK("https://klasma.github.io/Logging_0382/kartor/A 52818-2022 karta.png", "A 52818-2022")</f>
        <v/>
      </c>
      <c r="V83">
        <f>HYPERLINK("https://klasma.github.io/Logging_0382/klagomål/A 52818-2022 FSC-klagomål.docx", "A 52818-2022")</f>
        <v/>
      </c>
      <c r="W83">
        <f>HYPERLINK("https://klasma.github.io/Logging_0382/klagomålsmail/A 52818-2022 FSC-klagomål mail.docx", "A 52818-2022")</f>
        <v/>
      </c>
      <c r="X83">
        <f>HYPERLINK("https://klasma.github.io/Logging_0382/tillsyn/A 52818-2022 tillsynsbegäran.docx", "A 52818-2022")</f>
        <v/>
      </c>
      <c r="Y83">
        <f>HYPERLINK("https://klasma.github.io/Logging_0382/tillsynsmail/A 52818-2022 tillsynsbegäran mail.docx", "A 52818-2022")</f>
        <v/>
      </c>
    </row>
    <row r="84" ht="15" customHeight="1">
      <c r="A84" t="inlineStr">
        <is>
          <t>A 29564-2023</t>
        </is>
      </c>
      <c r="B84" s="1" t="n">
        <v>45106</v>
      </c>
      <c r="C84" s="1" t="n">
        <v>45927</v>
      </c>
      <c r="D84" t="inlineStr">
        <is>
          <t>UPPSALA LÄN</t>
        </is>
      </c>
      <c r="E84" t="inlineStr">
        <is>
          <t>ÖSTHAMMAR</t>
        </is>
      </c>
      <c r="F84" t="inlineStr">
        <is>
          <t>Naturvårdsverket</t>
        </is>
      </c>
      <c r="G84" t="n">
        <v>1.2</v>
      </c>
      <c r="H84" t="n">
        <v>1</v>
      </c>
      <c r="I84" t="n">
        <v>0</v>
      </c>
      <c r="J84" t="n">
        <v>0</v>
      </c>
      <c r="K84" t="n">
        <v>0</v>
      </c>
      <c r="L84" t="n">
        <v>0</v>
      </c>
      <c r="M84" t="n">
        <v>0</v>
      </c>
      <c r="N84" t="n">
        <v>0</v>
      </c>
      <c r="O84" t="n">
        <v>0</v>
      </c>
      <c r="P84" t="n">
        <v>0</v>
      </c>
      <c r="Q84" t="n">
        <v>1</v>
      </c>
      <c r="R84" s="2" t="inlineStr">
        <is>
          <t>Blåsippa</t>
        </is>
      </c>
      <c r="S84">
        <f>HYPERLINK("https://klasma.github.io/Logging_0382/artfynd/A 29564-2023 artfynd.xlsx", "A 29564-2023")</f>
        <v/>
      </c>
      <c r="T84">
        <f>HYPERLINK("https://klasma.github.io/Logging_0382/kartor/A 29564-2023 karta.png", "A 29564-2023")</f>
        <v/>
      </c>
      <c r="V84">
        <f>HYPERLINK("https://klasma.github.io/Logging_0382/klagomål/A 29564-2023 FSC-klagomål.docx", "A 29564-2023")</f>
        <v/>
      </c>
      <c r="W84">
        <f>HYPERLINK("https://klasma.github.io/Logging_0382/klagomålsmail/A 29564-2023 FSC-klagomål mail.docx", "A 29564-2023")</f>
        <v/>
      </c>
      <c r="X84">
        <f>HYPERLINK("https://klasma.github.io/Logging_0382/tillsyn/A 29564-2023 tillsynsbegäran.docx", "A 29564-2023")</f>
        <v/>
      </c>
      <c r="Y84">
        <f>HYPERLINK("https://klasma.github.io/Logging_0382/tillsynsmail/A 29564-2023 tillsynsbegäran mail.docx", "A 29564-2023")</f>
        <v/>
      </c>
    </row>
    <row r="85" ht="15" customHeight="1">
      <c r="A85" t="inlineStr">
        <is>
          <t>A 22287-2023</t>
        </is>
      </c>
      <c r="B85" s="1" t="n">
        <v>45070</v>
      </c>
      <c r="C85" s="1" t="n">
        <v>45927</v>
      </c>
      <c r="D85" t="inlineStr">
        <is>
          <t>UPPSALA LÄN</t>
        </is>
      </c>
      <c r="E85" t="inlineStr">
        <is>
          <t>ÖSTHAMMAR</t>
        </is>
      </c>
      <c r="G85" t="n">
        <v>6.3</v>
      </c>
      <c r="H85" t="n">
        <v>1</v>
      </c>
      <c r="I85" t="n">
        <v>1</v>
      </c>
      <c r="J85" t="n">
        <v>0</v>
      </c>
      <c r="K85" t="n">
        <v>0</v>
      </c>
      <c r="L85" t="n">
        <v>0</v>
      </c>
      <c r="M85" t="n">
        <v>0</v>
      </c>
      <c r="N85" t="n">
        <v>0</v>
      </c>
      <c r="O85" t="n">
        <v>0</v>
      </c>
      <c r="P85" t="n">
        <v>0</v>
      </c>
      <c r="Q85" t="n">
        <v>1</v>
      </c>
      <c r="R85" s="2" t="inlineStr">
        <is>
          <t>Guckusko</t>
        </is>
      </c>
      <c r="S85">
        <f>HYPERLINK("https://klasma.github.io/Logging_0382/artfynd/A 22287-2023 artfynd.xlsx", "A 22287-2023")</f>
        <v/>
      </c>
      <c r="T85">
        <f>HYPERLINK("https://klasma.github.io/Logging_0382/kartor/A 22287-2023 karta.png", "A 22287-2023")</f>
        <v/>
      </c>
      <c r="V85">
        <f>HYPERLINK("https://klasma.github.io/Logging_0382/klagomål/A 22287-2023 FSC-klagomål.docx", "A 22287-2023")</f>
        <v/>
      </c>
      <c r="W85">
        <f>HYPERLINK("https://klasma.github.io/Logging_0382/klagomålsmail/A 22287-2023 FSC-klagomål mail.docx", "A 22287-2023")</f>
        <v/>
      </c>
      <c r="X85">
        <f>HYPERLINK("https://klasma.github.io/Logging_0382/tillsyn/A 22287-2023 tillsynsbegäran.docx", "A 22287-2023")</f>
        <v/>
      </c>
      <c r="Y85">
        <f>HYPERLINK("https://klasma.github.io/Logging_0382/tillsynsmail/A 22287-2023 tillsynsbegäran mail.docx", "A 22287-2023")</f>
        <v/>
      </c>
    </row>
    <row r="86" ht="15" customHeight="1">
      <c r="A86" t="inlineStr">
        <is>
          <t>A 37296-2023</t>
        </is>
      </c>
      <c r="B86" s="1" t="n">
        <v>45156</v>
      </c>
      <c r="C86" s="1" t="n">
        <v>45927</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6143-2025</t>
        </is>
      </c>
      <c r="B87" s="1" t="n">
        <v>45698.38697916667</v>
      </c>
      <c r="C87" s="1" t="n">
        <v>45927</v>
      </c>
      <c r="D87" t="inlineStr">
        <is>
          <t>UPPSALA LÄN</t>
        </is>
      </c>
      <c r="E87" t="inlineStr">
        <is>
          <t>ÖSTHAMMAR</t>
        </is>
      </c>
      <c r="F87" t="inlineStr">
        <is>
          <t>Bergvik skog öst AB</t>
        </is>
      </c>
      <c r="G87" t="n">
        <v>3.6</v>
      </c>
      <c r="H87" t="n">
        <v>0</v>
      </c>
      <c r="I87" t="n">
        <v>1</v>
      </c>
      <c r="J87" t="n">
        <v>0</v>
      </c>
      <c r="K87" t="n">
        <v>0</v>
      </c>
      <c r="L87" t="n">
        <v>0</v>
      </c>
      <c r="M87" t="n">
        <v>0</v>
      </c>
      <c r="N87" t="n">
        <v>0</v>
      </c>
      <c r="O87" t="n">
        <v>0</v>
      </c>
      <c r="P87" t="n">
        <v>0</v>
      </c>
      <c r="Q87" t="n">
        <v>1</v>
      </c>
      <c r="R87" s="2" t="inlineStr">
        <is>
          <t>Svavelriska</t>
        </is>
      </c>
      <c r="S87">
        <f>HYPERLINK("https://klasma.github.io/Logging_0382/artfynd/A 6143-2025 artfynd.xlsx", "A 6143-2025")</f>
        <v/>
      </c>
      <c r="T87">
        <f>HYPERLINK("https://klasma.github.io/Logging_0382/kartor/A 6143-2025 karta.png", "A 6143-2025")</f>
        <v/>
      </c>
      <c r="V87">
        <f>HYPERLINK("https://klasma.github.io/Logging_0382/klagomål/A 6143-2025 FSC-klagomål.docx", "A 6143-2025")</f>
        <v/>
      </c>
      <c r="W87">
        <f>HYPERLINK("https://klasma.github.io/Logging_0382/klagomålsmail/A 6143-2025 FSC-klagomål mail.docx", "A 6143-2025")</f>
        <v/>
      </c>
      <c r="X87">
        <f>HYPERLINK("https://klasma.github.io/Logging_0382/tillsyn/A 6143-2025 tillsynsbegäran.docx", "A 6143-2025")</f>
        <v/>
      </c>
      <c r="Y87">
        <f>HYPERLINK("https://klasma.github.io/Logging_0382/tillsynsmail/A 6143-2025 tillsynsbegäran mail.docx", "A 6143-2025")</f>
        <v/>
      </c>
    </row>
    <row r="88" ht="15" customHeight="1">
      <c r="A88" t="inlineStr">
        <is>
          <t>A 65989-2021</t>
        </is>
      </c>
      <c r="B88" s="1" t="n">
        <v>44517</v>
      </c>
      <c r="C88" s="1" t="n">
        <v>45927</v>
      </c>
      <c r="D88" t="inlineStr">
        <is>
          <t>UPPSALA LÄN</t>
        </is>
      </c>
      <c r="E88" t="inlineStr">
        <is>
          <t>ÖSTHAMMAR</t>
        </is>
      </c>
      <c r="G88" t="n">
        <v>6.9</v>
      </c>
      <c r="H88" t="n">
        <v>1</v>
      </c>
      <c r="I88" t="n">
        <v>1</v>
      </c>
      <c r="J88" t="n">
        <v>0</v>
      </c>
      <c r="K88" t="n">
        <v>0</v>
      </c>
      <c r="L88" t="n">
        <v>0</v>
      </c>
      <c r="M88" t="n">
        <v>0</v>
      </c>
      <c r="N88" t="n">
        <v>0</v>
      </c>
      <c r="O88" t="n">
        <v>0</v>
      </c>
      <c r="P88" t="n">
        <v>0</v>
      </c>
      <c r="Q88" t="n">
        <v>1</v>
      </c>
      <c r="R88" s="2" t="inlineStr">
        <is>
          <t>Skogsknipprot</t>
        </is>
      </c>
      <c r="S88">
        <f>HYPERLINK("https://klasma.github.io/Logging_0382/artfynd/A 65989-2021 artfynd.xlsx", "A 65989-2021")</f>
        <v/>
      </c>
      <c r="T88">
        <f>HYPERLINK("https://klasma.github.io/Logging_0382/kartor/A 65989-2021 karta.png", "A 65989-2021")</f>
        <v/>
      </c>
      <c r="V88">
        <f>HYPERLINK("https://klasma.github.io/Logging_0382/klagomål/A 65989-2021 FSC-klagomål.docx", "A 65989-2021")</f>
        <v/>
      </c>
      <c r="W88">
        <f>HYPERLINK("https://klasma.github.io/Logging_0382/klagomålsmail/A 65989-2021 FSC-klagomål mail.docx", "A 65989-2021")</f>
        <v/>
      </c>
      <c r="X88">
        <f>HYPERLINK("https://klasma.github.io/Logging_0382/tillsyn/A 65989-2021 tillsynsbegäran.docx", "A 65989-2021")</f>
        <v/>
      </c>
      <c r="Y88">
        <f>HYPERLINK("https://klasma.github.io/Logging_0382/tillsynsmail/A 65989-2021 tillsynsbegäran mail.docx", "A 65989-2021")</f>
        <v/>
      </c>
    </row>
    <row r="89" ht="15" customHeight="1">
      <c r="A89" t="inlineStr">
        <is>
          <t>A 46629-2024</t>
        </is>
      </c>
      <c r="B89" s="1" t="n">
        <v>45583.33221064815</v>
      </c>
      <c r="C89" s="1" t="n">
        <v>45927</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45927</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10034-2023</t>
        </is>
      </c>
      <c r="B91" s="1" t="n">
        <v>44985</v>
      </c>
      <c r="C91" s="1" t="n">
        <v>45927</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22375-2024</t>
        </is>
      </c>
      <c r="B92" s="1" t="n">
        <v>45446</v>
      </c>
      <c r="C92" s="1" t="n">
        <v>45927</v>
      </c>
      <c r="D92" t="inlineStr">
        <is>
          <t>UPPSALA LÄN</t>
        </is>
      </c>
      <c r="E92" t="inlineStr">
        <is>
          <t>ÖSTHAMMAR</t>
        </is>
      </c>
      <c r="F92" t="inlineStr">
        <is>
          <t>Bergvik skog öst AB</t>
        </is>
      </c>
      <c r="G92" t="n">
        <v>2.2</v>
      </c>
      <c r="H92" t="n">
        <v>0</v>
      </c>
      <c r="I92" t="n">
        <v>0</v>
      </c>
      <c r="J92" t="n">
        <v>1</v>
      </c>
      <c r="K92" t="n">
        <v>0</v>
      </c>
      <c r="L92" t="n">
        <v>0</v>
      </c>
      <c r="M92" t="n">
        <v>0</v>
      </c>
      <c r="N92" t="n">
        <v>0</v>
      </c>
      <c r="O92" t="n">
        <v>1</v>
      </c>
      <c r="P92" t="n">
        <v>0</v>
      </c>
      <c r="Q92" t="n">
        <v>1</v>
      </c>
      <c r="R92" s="2" t="inlineStr">
        <is>
          <t>Slåtterfibbla</t>
        </is>
      </c>
      <c r="S92">
        <f>HYPERLINK("https://klasma.github.io/Logging_0382/artfynd/A 22375-2024 artfynd.xlsx", "A 22375-2024")</f>
        <v/>
      </c>
      <c r="T92">
        <f>HYPERLINK("https://klasma.github.io/Logging_0382/kartor/A 22375-2024 karta.png", "A 22375-2024")</f>
        <v/>
      </c>
      <c r="V92">
        <f>HYPERLINK("https://klasma.github.io/Logging_0382/klagomål/A 22375-2024 FSC-klagomål.docx", "A 22375-2024")</f>
        <v/>
      </c>
      <c r="W92">
        <f>HYPERLINK("https://klasma.github.io/Logging_0382/klagomålsmail/A 22375-2024 FSC-klagomål mail.docx", "A 22375-2024")</f>
        <v/>
      </c>
      <c r="X92">
        <f>HYPERLINK("https://klasma.github.io/Logging_0382/tillsyn/A 22375-2024 tillsynsbegäran.docx", "A 22375-2024")</f>
        <v/>
      </c>
      <c r="Y92">
        <f>HYPERLINK("https://klasma.github.io/Logging_0382/tillsynsmail/A 22375-2024 tillsynsbegäran mail.docx", "A 22375-2024")</f>
        <v/>
      </c>
    </row>
    <row r="93" ht="15" customHeight="1">
      <c r="A93" t="inlineStr">
        <is>
          <t>A 7470-2022</t>
        </is>
      </c>
      <c r="B93" s="1" t="n">
        <v>44607</v>
      </c>
      <c r="C93" s="1" t="n">
        <v>45927</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70495-2021</t>
        </is>
      </c>
      <c r="B94" s="1" t="n">
        <v>44536</v>
      </c>
      <c r="C94" s="1" t="n">
        <v>45927</v>
      </c>
      <c r="D94" t="inlineStr">
        <is>
          <t>UPPSALA LÄN</t>
        </is>
      </c>
      <c r="E94" t="inlineStr">
        <is>
          <t>ÖSTHAMMAR</t>
        </is>
      </c>
      <c r="G94" t="n">
        <v>1</v>
      </c>
      <c r="H94" t="n">
        <v>1</v>
      </c>
      <c r="I94" t="n">
        <v>0</v>
      </c>
      <c r="J94" t="n">
        <v>1</v>
      </c>
      <c r="K94" t="n">
        <v>0</v>
      </c>
      <c r="L94" t="n">
        <v>0</v>
      </c>
      <c r="M94" t="n">
        <v>0</v>
      </c>
      <c r="N94" t="n">
        <v>0</v>
      </c>
      <c r="O94" t="n">
        <v>1</v>
      </c>
      <c r="P94" t="n">
        <v>0</v>
      </c>
      <c r="Q94" t="n">
        <v>1</v>
      </c>
      <c r="R94" s="2" t="inlineStr">
        <is>
          <t>Slaguggla</t>
        </is>
      </c>
      <c r="S94">
        <f>HYPERLINK("https://klasma.github.io/Logging_0382/artfynd/A 70495-2021 artfynd.xlsx", "A 70495-2021")</f>
        <v/>
      </c>
      <c r="T94">
        <f>HYPERLINK("https://klasma.github.io/Logging_0382/kartor/A 70495-2021 karta.png", "A 70495-2021")</f>
        <v/>
      </c>
      <c r="V94">
        <f>HYPERLINK("https://klasma.github.io/Logging_0382/klagomål/A 70495-2021 FSC-klagomål.docx", "A 70495-2021")</f>
        <v/>
      </c>
      <c r="W94">
        <f>HYPERLINK("https://klasma.github.io/Logging_0382/klagomålsmail/A 70495-2021 FSC-klagomål mail.docx", "A 70495-2021")</f>
        <v/>
      </c>
      <c r="X94">
        <f>HYPERLINK("https://klasma.github.io/Logging_0382/tillsyn/A 70495-2021 tillsynsbegäran.docx", "A 70495-2021")</f>
        <v/>
      </c>
      <c r="Y94">
        <f>HYPERLINK("https://klasma.github.io/Logging_0382/tillsynsmail/A 70495-2021 tillsynsbegäran mail.docx", "A 70495-2021")</f>
        <v/>
      </c>
      <c r="Z94">
        <f>HYPERLINK("https://klasma.github.io/Logging_0382/fåglar/A 70495-2021 prioriterade fågelarter.docx", "A 70495-2021")</f>
        <v/>
      </c>
    </row>
    <row r="95" ht="15" customHeight="1">
      <c r="A95" t="inlineStr">
        <is>
          <t>A 41220-2025</t>
        </is>
      </c>
      <c r="B95" s="1" t="n">
        <v>45898.58630787037</v>
      </c>
      <c r="C95" s="1" t="n">
        <v>45927</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22209-2022</t>
        </is>
      </c>
      <c r="B96" s="1" t="n">
        <v>44712</v>
      </c>
      <c r="C96" s="1" t="n">
        <v>45927</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12753-2024</t>
        </is>
      </c>
      <c r="B97" s="1" t="n">
        <v>45384</v>
      </c>
      <c r="C97" s="1" t="n">
        <v>45927</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45927</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61479-2020</t>
        </is>
      </c>
      <c r="B99" s="1" t="n">
        <v>44154</v>
      </c>
      <c r="C99" s="1" t="n">
        <v>45927</v>
      </c>
      <c r="D99" t="inlineStr">
        <is>
          <t>UPPSALA LÄN</t>
        </is>
      </c>
      <c r="E99" t="inlineStr">
        <is>
          <t>ÖSTHAMMAR</t>
        </is>
      </c>
      <c r="G99" t="n">
        <v>2.5</v>
      </c>
      <c r="H99" t="n">
        <v>0</v>
      </c>
      <c r="I99" t="n">
        <v>1</v>
      </c>
      <c r="J99" t="n">
        <v>0</v>
      </c>
      <c r="K99" t="n">
        <v>0</v>
      </c>
      <c r="L99" t="n">
        <v>0</v>
      </c>
      <c r="M99" t="n">
        <v>0</v>
      </c>
      <c r="N99" t="n">
        <v>0</v>
      </c>
      <c r="O99" t="n">
        <v>0</v>
      </c>
      <c r="P99" t="n">
        <v>0</v>
      </c>
      <c r="Q99" t="n">
        <v>1</v>
      </c>
      <c r="R99" s="2" t="inlineStr">
        <is>
          <t>Olivspindling</t>
        </is>
      </c>
      <c r="S99">
        <f>HYPERLINK("https://klasma.github.io/Logging_0382/artfynd/A 61479-2020 artfynd.xlsx", "A 61479-2020")</f>
        <v/>
      </c>
      <c r="T99">
        <f>HYPERLINK("https://klasma.github.io/Logging_0382/kartor/A 61479-2020 karta.png", "A 61479-2020")</f>
        <v/>
      </c>
      <c r="V99">
        <f>HYPERLINK("https://klasma.github.io/Logging_0382/klagomål/A 61479-2020 FSC-klagomål.docx", "A 61479-2020")</f>
        <v/>
      </c>
      <c r="W99">
        <f>HYPERLINK("https://klasma.github.io/Logging_0382/klagomålsmail/A 61479-2020 FSC-klagomål mail.docx", "A 61479-2020")</f>
        <v/>
      </c>
      <c r="X99">
        <f>HYPERLINK("https://klasma.github.io/Logging_0382/tillsyn/A 61479-2020 tillsynsbegäran.docx", "A 61479-2020")</f>
        <v/>
      </c>
      <c r="Y99">
        <f>HYPERLINK("https://klasma.github.io/Logging_0382/tillsynsmail/A 61479-2020 tillsynsbegäran mail.docx", "A 61479-2020")</f>
        <v/>
      </c>
    </row>
    <row r="100" ht="15" customHeight="1">
      <c r="A100" t="inlineStr">
        <is>
          <t>A 29679-2023</t>
        </is>
      </c>
      <c r="B100" s="1" t="n">
        <v>45107</v>
      </c>
      <c r="C100" s="1" t="n">
        <v>45927</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3693-2021</t>
        </is>
      </c>
      <c r="B101" s="1" t="n">
        <v>44221</v>
      </c>
      <c r="C101" s="1" t="n">
        <v>45927</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45927</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45927</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45927</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45927</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45927</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45927</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45927</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45927</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45927</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45927</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45927</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45927</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45927</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45927</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45927</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45927</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45927</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45927</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45927</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45927</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45927</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45927</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31263-2021</t>
        </is>
      </c>
      <c r="B124" s="1" t="n">
        <v>44368</v>
      </c>
      <c r="C124" s="1" t="n">
        <v>45927</v>
      </c>
      <c r="D124" t="inlineStr">
        <is>
          <t>UPPSALA LÄN</t>
        </is>
      </c>
      <c r="E124" t="inlineStr">
        <is>
          <t>ÖSTHAMMAR</t>
        </is>
      </c>
      <c r="G124" t="n">
        <v>1.9</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45927</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45927</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45927</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45927</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45927</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45927</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45927</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45927</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45927</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45927</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45927</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45927</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45927</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45927</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45927</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45927</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45927</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45927</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45927</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45927</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45927</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45927</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45927</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45927</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45927</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45927</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45927</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45927</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45927</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45927</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45927</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51906-2022</t>
        </is>
      </c>
      <c r="B156" s="1" t="n">
        <v>44872.62109953703</v>
      </c>
      <c r="C156" s="1" t="n">
        <v>45927</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45927</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6221-2021</t>
        </is>
      </c>
      <c r="B158" s="1" t="n">
        <v>44235</v>
      </c>
      <c r="C158" s="1" t="n">
        <v>45927</v>
      </c>
      <c r="D158" t="inlineStr">
        <is>
          <t>UPPSALA LÄN</t>
        </is>
      </c>
      <c r="E158" t="inlineStr">
        <is>
          <t>ÖSTHAMMAR</t>
        </is>
      </c>
      <c r="G158" t="n">
        <v>0.8</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45927</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11987-2022</t>
        </is>
      </c>
      <c r="B160" s="1" t="n">
        <v>44635.68695601852</v>
      </c>
      <c r="C160" s="1" t="n">
        <v>45927</v>
      </c>
      <c r="D160" t="inlineStr">
        <is>
          <t>UPPSALA LÄN</t>
        </is>
      </c>
      <c r="E160" t="inlineStr">
        <is>
          <t>ÖSTHAMMAR</t>
        </is>
      </c>
      <c r="F160" t="inlineStr">
        <is>
          <t>Bergvik skog öst AB</t>
        </is>
      </c>
      <c r="G160" t="n">
        <v>0.3</v>
      </c>
      <c r="H160" t="n">
        <v>0</v>
      </c>
      <c r="I160" t="n">
        <v>0</v>
      </c>
      <c r="J160" t="n">
        <v>0</v>
      </c>
      <c r="K160" t="n">
        <v>0</v>
      </c>
      <c r="L160" t="n">
        <v>0</v>
      </c>
      <c r="M160" t="n">
        <v>0</v>
      </c>
      <c r="N160" t="n">
        <v>0</v>
      </c>
      <c r="O160" t="n">
        <v>0</v>
      </c>
      <c r="P160" t="n">
        <v>0</v>
      </c>
      <c r="Q160" t="n">
        <v>0</v>
      </c>
      <c r="R160" s="2" t="inlineStr"/>
    </row>
    <row r="161" ht="15" customHeight="1">
      <c r="A161" t="inlineStr">
        <is>
          <t>A 22207-2022</t>
        </is>
      </c>
      <c r="B161" s="1" t="n">
        <v>44712.51509259259</v>
      </c>
      <c r="C161" s="1" t="n">
        <v>45927</v>
      </c>
      <c r="D161" t="inlineStr">
        <is>
          <t>UPPSALA LÄN</t>
        </is>
      </c>
      <c r="E161" t="inlineStr">
        <is>
          <t>ÖSTHAMMAR</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31182-2022</t>
        </is>
      </c>
      <c r="B162" s="1" t="n">
        <v>44770</v>
      </c>
      <c r="C162" s="1" t="n">
        <v>45927</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26534-2022</t>
        </is>
      </c>
      <c r="B163" s="1" t="n">
        <v>44739</v>
      </c>
      <c r="C163" s="1" t="n">
        <v>45927</v>
      </c>
      <c r="D163" t="inlineStr">
        <is>
          <t>UPPSALA LÄN</t>
        </is>
      </c>
      <c r="E163" t="inlineStr">
        <is>
          <t>ÖSTHAMMAR</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45927</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52432-2020</t>
        </is>
      </c>
      <c r="B165" s="1" t="n">
        <v>44118</v>
      </c>
      <c r="C165" s="1" t="n">
        <v>45927</v>
      </c>
      <c r="D165" t="inlineStr">
        <is>
          <t>UPPSALA LÄN</t>
        </is>
      </c>
      <c r="E165" t="inlineStr">
        <is>
          <t>ÖSTHAMMAR</t>
        </is>
      </c>
      <c r="G165" t="n">
        <v>2.7</v>
      </c>
      <c r="H165" t="n">
        <v>0</v>
      </c>
      <c r="I165" t="n">
        <v>0</v>
      </c>
      <c r="J165" t="n">
        <v>0</v>
      </c>
      <c r="K165" t="n">
        <v>0</v>
      </c>
      <c r="L165" t="n">
        <v>0</v>
      </c>
      <c r="M165" t="n">
        <v>0</v>
      </c>
      <c r="N165" t="n">
        <v>0</v>
      </c>
      <c r="O165" t="n">
        <v>0</v>
      </c>
      <c r="P165" t="n">
        <v>0</v>
      </c>
      <c r="Q165" t="n">
        <v>0</v>
      </c>
      <c r="R165" s="2" t="inlineStr"/>
    </row>
    <row r="166" ht="15" customHeight="1">
      <c r="A166" t="inlineStr">
        <is>
          <t>A 52434-2020</t>
        </is>
      </c>
      <c r="B166" s="1" t="n">
        <v>44118</v>
      </c>
      <c r="C166" s="1" t="n">
        <v>45927</v>
      </c>
      <c r="D166" t="inlineStr">
        <is>
          <t>UPPSALA LÄN</t>
        </is>
      </c>
      <c r="E166" t="inlineStr">
        <is>
          <t>ÖSTHAMMAR</t>
        </is>
      </c>
      <c r="G166" t="n">
        <v>2.8</v>
      </c>
      <c r="H166" t="n">
        <v>0</v>
      </c>
      <c r="I166" t="n">
        <v>0</v>
      </c>
      <c r="J166" t="n">
        <v>0</v>
      </c>
      <c r="K166" t="n">
        <v>0</v>
      </c>
      <c r="L166" t="n">
        <v>0</v>
      </c>
      <c r="M166" t="n">
        <v>0</v>
      </c>
      <c r="N166" t="n">
        <v>0</v>
      </c>
      <c r="O166" t="n">
        <v>0</v>
      </c>
      <c r="P166" t="n">
        <v>0</v>
      </c>
      <c r="Q166" t="n">
        <v>0</v>
      </c>
      <c r="R166" s="2" t="inlineStr"/>
    </row>
    <row r="167" ht="15" customHeight="1">
      <c r="A167" t="inlineStr">
        <is>
          <t>A 16184-2022</t>
        </is>
      </c>
      <c r="B167" s="1" t="n">
        <v>44669.36354166667</v>
      </c>
      <c r="C167" s="1" t="n">
        <v>45927</v>
      </c>
      <c r="D167" t="inlineStr">
        <is>
          <t>UPPSALA LÄN</t>
        </is>
      </c>
      <c r="E167" t="inlineStr">
        <is>
          <t>ÖSTHAMMAR</t>
        </is>
      </c>
      <c r="F167" t="inlineStr">
        <is>
          <t>Bergvik skog öst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45927</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45927</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59432-2020</t>
        </is>
      </c>
      <c r="B170" s="1" t="n">
        <v>44148</v>
      </c>
      <c r="C170" s="1" t="n">
        <v>45927</v>
      </c>
      <c r="D170" t="inlineStr">
        <is>
          <t>UPPSALA LÄN</t>
        </is>
      </c>
      <c r="E170" t="inlineStr">
        <is>
          <t>ÖSTHAMMAR</t>
        </is>
      </c>
      <c r="F170" t="inlineStr">
        <is>
          <t>Sveaskog</t>
        </is>
      </c>
      <c r="G170" t="n">
        <v>3.4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45927</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45927</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52898-2021</t>
        </is>
      </c>
      <c r="B173" s="1" t="n">
        <v>44467</v>
      </c>
      <c r="C173" s="1" t="n">
        <v>45927</v>
      </c>
      <c r="D173" t="inlineStr">
        <is>
          <t>UPPSALA LÄN</t>
        </is>
      </c>
      <c r="E173" t="inlineStr">
        <is>
          <t>ÖSTHAMMAR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19214-2021</t>
        </is>
      </c>
      <c r="B174" s="1" t="n">
        <v>44309.28576388889</v>
      </c>
      <c r="C174" s="1" t="n">
        <v>45927</v>
      </c>
      <c r="D174" t="inlineStr">
        <is>
          <t>UPPSALA LÄN</t>
        </is>
      </c>
      <c r="E174" t="inlineStr">
        <is>
          <t>ÖSTHAMMAR</t>
        </is>
      </c>
      <c r="F174" t="inlineStr">
        <is>
          <t>Bergvik skog öst AB</t>
        </is>
      </c>
      <c r="G174" t="n">
        <v>6</v>
      </c>
      <c r="H174" t="n">
        <v>0</v>
      </c>
      <c r="I174" t="n">
        <v>0</v>
      </c>
      <c r="J174" t="n">
        <v>0</v>
      </c>
      <c r="K174" t="n">
        <v>0</v>
      </c>
      <c r="L174" t="n">
        <v>0</v>
      </c>
      <c r="M174" t="n">
        <v>0</v>
      </c>
      <c r="N174" t="n">
        <v>0</v>
      </c>
      <c r="O174" t="n">
        <v>0</v>
      </c>
      <c r="P174" t="n">
        <v>0</v>
      </c>
      <c r="Q174" t="n">
        <v>0</v>
      </c>
      <c r="R174" s="2" t="inlineStr"/>
    </row>
    <row r="175" ht="15" customHeight="1">
      <c r="A175" t="inlineStr">
        <is>
          <t>A 17013-2022</t>
        </is>
      </c>
      <c r="B175" s="1" t="n">
        <v>44676</v>
      </c>
      <c r="C175" s="1" t="n">
        <v>45927</v>
      </c>
      <c r="D175" t="inlineStr">
        <is>
          <t>UPPSALA LÄN</t>
        </is>
      </c>
      <c r="E175" t="inlineStr">
        <is>
          <t>ÖSTHAMMAR</t>
        </is>
      </c>
      <c r="F175" t="inlineStr">
        <is>
          <t>Bergvik skog öst AB</t>
        </is>
      </c>
      <c r="G175" t="n">
        <v>0.2</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45927</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45927</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61193-2020</t>
        </is>
      </c>
      <c r="B178" s="1" t="n">
        <v>44155</v>
      </c>
      <c r="C178" s="1" t="n">
        <v>45927</v>
      </c>
      <c r="D178" t="inlineStr">
        <is>
          <t>UPPSALA LÄN</t>
        </is>
      </c>
      <c r="E178" t="inlineStr">
        <is>
          <t>ÖSTHAMMAR</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9789-2022</t>
        </is>
      </c>
      <c r="B179" s="1" t="n">
        <v>44620.35590277778</v>
      </c>
      <c r="C179" s="1" t="n">
        <v>45927</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45927</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45927</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45927</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11884-2022</t>
        </is>
      </c>
      <c r="B183" s="1" t="n">
        <v>44635.39946759259</v>
      </c>
      <c r="C183" s="1" t="n">
        <v>45927</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45927</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45927</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7871-2022</t>
        </is>
      </c>
      <c r="B186" s="1" t="n">
        <v>44608</v>
      </c>
      <c r="C186" s="1" t="n">
        <v>45927</v>
      </c>
      <c r="D186" t="inlineStr">
        <is>
          <t>UPPSALA LÄN</t>
        </is>
      </c>
      <c r="E186" t="inlineStr">
        <is>
          <t>ÖSTHAMMAR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24817-2022</t>
        </is>
      </c>
      <c r="B187" s="1" t="n">
        <v>44728</v>
      </c>
      <c r="C187" s="1" t="n">
        <v>45927</v>
      </c>
      <c r="D187" t="inlineStr">
        <is>
          <t>UPPSALA LÄN</t>
        </is>
      </c>
      <c r="E187" t="inlineStr">
        <is>
          <t>ÖSTHAMMAR</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38501-2022</t>
        </is>
      </c>
      <c r="B188" s="1" t="n">
        <v>44813</v>
      </c>
      <c r="C188" s="1" t="n">
        <v>45927</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37813-2022</t>
        </is>
      </c>
      <c r="B189" s="1" t="n">
        <v>44810</v>
      </c>
      <c r="C189" s="1" t="n">
        <v>45927</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17651-2025</t>
        </is>
      </c>
      <c r="B190" s="1" t="n">
        <v>45758.33304398148</v>
      </c>
      <c r="C190" s="1" t="n">
        <v>45927</v>
      </c>
      <c r="D190" t="inlineStr">
        <is>
          <t>UPPSALA LÄN</t>
        </is>
      </c>
      <c r="E190" t="inlineStr">
        <is>
          <t>ÖSTHAMMAR</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20634-2024</t>
        </is>
      </c>
      <c r="B191" s="1" t="n">
        <v>45436</v>
      </c>
      <c r="C191" s="1" t="n">
        <v>45927</v>
      </c>
      <c r="D191" t="inlineStr">
        <is>
          <t>UPPSALA LÄN</t>
        </is>
      </c>
      <c r="E191" t="inlineStr">
        <is>
          <t>ÖSTHAMMAR</t>
        </is>
      </c>
      <c r="G191" t="n">
        <v>6.5</v>
      </c>
      <c r="H191" t="n">
        <v>0</v>
      </c>
      <c r="I191" t="n">
        <v>0</v>
      </c>
      <c r="J191" t="n">
        <v>0</v>
      </c>
      <c r="K191" t="n">
        <v>0</v>
      </c>
      <c r="L191" t="n">
        <v>0</v>
      </c>
      <c r="M191" t="n">
        <v>0</v>
      </c>
      <c r="N191" t="n">
        <v>0</v>
      </c>
      <c r="O191" t="n">
        <v>0</v>
      </c>
      <c r="P191" t="n">
        <v>0</v>
      </c>
      <c r="Q191" t="n">
        <v>0</v>
      </c>
      <c r="R191" s="2" t="inlineStr"/>
    </row>
    <row r="192" ht="15" customHeight="1">
      <c r="A192" t="inlineStr">
        <is>
          <t>A 48719-2023</t>
        </is>
      </c>
      <c r="B192" s="1" t="n">
        <v>45208.70452546296</v>
      </c>
      <c r="C192" s="1" t="n">
        <v>45927</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31574-2022</t>
        </is>
      </c>
      <c r="B193" s="1" t="n">
        <v>44775</v>
      </c>
      <c r="C193" s="1" t="n">
        <v>45927</v>
      </c>
      <c r="D193" t="inlineStr">
        <is>
          <t>UPPSALA LÄN</t>
        </is>
      </c>
      <c r="E193" t="inlineStr">
        <is>
          <t>ÖSTHAMMAR</t>
        </is>
      </c>
      <c r="G193" t="n">
        <v>29.7</v>
      </c>
      <c r="H193" t="n">
        <v>0</v>
      </c>
      <c r="I193" t="n">
        <v>0</v>
      </c>
      <c r="J193" t="n">
        <v>0</v>
      </c>
      <c r="K193" t="n">
        <v>0</v>
      </c>
      <c r="L193" t="n">
        <v>0</v>
      </c>
      <c r="M193" t="n">
        <v>0</v>
      </c>
      <c r="N193" t="n">
        <v>0</v>
      </c>
      <c r="O193" t="n">
        <v>0</v>
      </c>
      <c r="P193" t="n">
        <v>0</v>
      </c>
      <c r="Q193" t="n">
        <v>0</v>
      </c>
      <c r="R193" s="2" t="inlineStr"/>
    </row>
    <row r="194" ht="15" customHeight="1">
      <c r="A194" t="inlineStr">
        <is>
          <t>A 21862-2023</t>
        </is>
      </c>
      <c r="B194" s="1" t="n">
        <v>45068</v>
      </c>
      <c r="C194" s="1" t="n">
        <v>45927</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55086-2024</t>
        </is>
      </c>
      <c r="B195" s="1" t="n">
        <v>45621.43098379629</v>
      </c>
      <c r="C195" s="1" t="n">
        <v>45927</v>
      </c>
      <c r="D195" t="inlineStr">
        <is>
          <t>UPPSALA LÄN</t>
        </is>
      </c>
      <c r="E195" t="inlineStr">
        <is>
          <t>ÖSTHAMMAR</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62695-2023</t>
        </is>
      </c>
      <c r="B196" s="1" t="n">
        <v>45271</v>
      </c>
      <c r="C196" s="1" t="n">
        <v>45927</v>
      </c>
      <c r="D196" t="inlineStr">
        <is>
          <t>UPPSALA LÄN</t>
        </is>
      </c>
      <c r="E196" t="inlineStr">
        <is>
          <t>ÖSTHAMMAR</t>
        </is>
      </c>
      <c r="G196" t="n">
        <v>5.3</v>
      </c>
      <c r="H196" t="n">
        <v>0</v>
      </c>
      <c r="I196" t="n">
        <v>0</v>
      </c>
      <c r="J196" t="n">
        <v>0</v>
      </c>
      <c r="K196" t="n">
        <v>0</v>
      </c>
      <c r="L196" t="n">
        <v>0</v>
      </c>
      <c r="M196" t="n">
        <v>0</v>
      </c>
      <c r="N196" t="n">
        <v>0</v>
      </c>
      <c r="O196" t="n">
        <v>0</v>
      </c>
      <c r="P196" t="n">
        <v>0</v>
      </c>
      <c r="Q196" t="n">
        <v>0</v>
      </c>
      <c r="R196" s="2" t="inlineStr"/>
    </row>
    <row r="197" ht="15" customHeight="1">
      <c r="A197" t="inlineStr">
        <is>
          <t>A 7100-2025</t>
        </is>
      </c>
      <c r="B197" s="1" t="n">
        <v>45701.83930555556</v>
      </c>
      <c r="C197" s="1" t="n">
        <v>45927</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18088-2025</t>
        </is>
      </c>
      <c r="B198" s="1" t="n">
        <v>45761.53104166667</v>
      </c>
      <c r="C198" s="1" t="n">
        <v>45927</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18095-2025</t>
        </is>
      </c>
      <c r="B199" s="1" t="n">
        <v>45761.54925925926</v>
      </c>
      <c r="C199" s="1" t="n">
        <v>45927</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4559-2022</t>
        </is>
      </c>
      <c r="B200" s="1" t="n">
        <v>44591.51854166666</v>
      </c>
      <c r="C200" s="1" t="n">
        <v>45927</v>
      </c>
      <c r="D200" t="inlineStr">
        <is>
          <t>UPPSALA LÄN</t>
        </is>
      </c>
      <c r="E200" t="inlineStr">
        <is>
          <t>ÖSTHAMMAR</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60577-2021</t>
        </is>
      </c>
      <c r="B201" s="1" t="n">
        <v>44496.57019675926</v>
      </c>
      <c r="C201" s="1" t="n">
        <v>45927</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61257-2022</t>
        </is>
      </c>
      <c r="B202" s="1" t="n">
        <v>44915.59418981482</v>
      </c>
      <c r="C202" s="1" t="n">
        <v>45927</v>
      </c>
      <c r="D202" t="inlineStr">
        <is>
          <t>UPPSALA LÄN</t>
        </is>
      </c>
      <c r="E202" t="inlineStr">
        <is>
          <t>ÖSTHAMMAR</t>
        </is>
      </c>
      <c r="G202" t="n">
        <v>1</v>
      </c>
      <c r="H202" t="n">
        <v>0</v>
      </c>
      <c r="I202" t="n">
        <v>0</v>
      </c>
      <c r="J202" t="n">
        <v>0</v>
      </c>
      <c r="K202" t="n">
        <v>0</v>
      </c>
      <c r="L202" t="n">
        <v>0</v>
      </c>
      <c r="M202" t="n">
        <v>0</v>
      </c>
      <c r="N202" t="n">
        <v>0</v>
      </c>
      <c r="O202" t="n">
        <v>0</v>
      </c>
      <c r="P202" t="n">
        <v>0</v>
      </c>
      <c r="Q202" t="n">
        <v>0</v>
      </c>
      <c r="R202" s="2" t="inlineStr"/>
    </row>
    <row r="203" ht="15" customHeight="1">
      <c r="A203" t="inlineStr">
        <is>
          <t>A 29824-2023</t>
        </is>
      </c>
      <c r="B203" s="1" t="n">
        <v>45107</v>
      </c>
      <c r="C203" s="1" t="n">
        <v>45927</v>
      </c>
      <c r="D203" t="inlineStr">
        <is>
          <t>UPPSALA LÄN</t>
        </is>
      </c>
      <c r="E203" t="inlineStr">
        <is>
          <t>ÖSTHAMMAR</t>
        </is>
      </c>
      <c r="F203" t="inlineStr">
        <is>
          <t>Naturvårdsverket</t>
        </is>
      </c>
      <c r="G203" t="n">
        <v>1.6</v>
      </c>
      <c r="H203" t="n">
        <v>0</v>
      </c>
      <c r="I203" t="n">
        <v>0</v>
      </c>
      <c r="J203" t="n">
        <v>0</v>
      </c>
      <c r="K203" t="n">
        <v>0</v>
      </c>
      <c r="L203" t="n">
        <v>0</v>
      </c>
      <c r="M203" t="n">
        <v>0</v>
      </c>
      <c r="N203" t="n">
        <v>0</v>
      </c>
      <c r="O203" t="n">
        <v>0</v>
      </c>
      <c r="P203" t="n">
        <v>0</v>
      </c>
      <c r="Q203" t="n">
        <v>0</v>
      </c>
      <c r="R203" s="2" t="inlineStr"/>
    </row>
    <row r="204" ht="15" customHeight="1">
      <c r="A204" t="inlineStr">
        <is>
          <t>A 10495-2025</t>
        </is>
      </c>
      <c r="B204" s="1" t="n">
        <v>45721</v>
      </c>
      <c r="C204" s="1" t="n">
        <v>45927</v>
      </c>
      <c r="D204" t="inlineStr">
        <is>
          <t>UPPSALA LÄN</t>
        </is>
      </c>
      <c r="E204" t="inlineStr">
        <is>
          <t>ÖSTHAMMAR</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1791-2023</t>
        </is>
      </c>
      <c r="B205" s="1" t="n">
        <v>44938</v>
      </c>
      <c r="C205" s="1" t="n">
        <v>45927</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45927</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20046-2023</t>
        </is>
      </c>
      <c r="B207" s="1" t="n">
        <v>45054</v>
      </c>
      <c r="C207" s="1" t="n">
        <v>45927</v>
      </c>
      <c r="D207" t="inlineStr">
        <is>
          <t>UPPSALA LÄN</t>
        </is>
      </c>
      <c r="E207" t="inlineStr">
        <is>
          <t>ÖSTHAMMAR</t>
        </is>
      </c>
      <c r="G207" t="n">
        <v>0.4</v>
      </c>
      <c r="H207" t="n">
        <v>0</v>
      </c>
      <c r="I207" t="n">
        <v>0</v>
      </c>
      <c r="J207" t="n">
        <v>0</v>
      </c>
      <c r="K207" t="n">
        <v>0</v>
      </c>
      <c r="L207" t="n">
        <v>0</v>
      </c>
      <c r="M207" t="n">
        <v>0</v>
      </c>
      <c r="N207" t="n">
        <v>0</v>
      </c>
      <c r="O207" t="n">
        <v>0</v>
      </c>
      <c r="P207" t="n">
        <v>0</v>
      </c>
      <c r="Q207" t="n">
        <v>0</v>
      </c>
      <c r="R207" s="2" t="inlineStr"/>
    </row>
    <row r="208" ht="15" customHeight="1">
      <c r="A208" t="inlineStr">
        <is>
          <t>A 49796-2024</t>
        </is>
      </c>
      <c r="B208" s="1" t="n">
        <v>45597</v>
      </c>
      <c r="C208" s="1" t="n">
        <v>45927</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30086-2023</t>
        </is>
      </c>
      <c r="B209" s="1" t="n">
        <v>45110.43907407407</v>
      </c>
      <c r="C209" s="1" t="n">
        <v>45927</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21133-2025</t>
        </is>
      </c>
      <c r="B210" s="1" t="n">
        <v>45778.415625</v>
      </c>
      <c r="C210" s="1" t="n">
        <v>45927</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22884-2024</t>
        </is>
      </c>
      <c r="B211" s="1" t="n">
        <v>45448</v>
      </c>
      <c r="C211" s="1" t="n">
        <v>45927</v>
      </c>
      <c r="D211" t="inlineStr">
        <is>
          <t>UPPSALA LÄN</t>
        </is>
      </c>
      <c r="E211" t="inlineStr">
        <is>
          <t>ÖSTHAMMAR</t>
        </is>
      </c>
      <c r="G211" t="n">
        <v>3.3</v>
      </c>
      <c r="H211" t="n">
        <v>0</v>
      </c>
      <c r="I211" t="n">
        <v>0</v>
      </c>
      <c r="J211" t="n">
        <v>0</v>
      </c>
      <c r="K211" t="n">
        <v>0</v>
      </c>
      <c r="L211" t="n">
        <v>0</v>
      </c>
      <c r="M211" t="n">
        <v>0</v>
      </c>
      <c r="N211" t="n">
        <v>0</v>
      </c>
      <c r="O211" t="n">
        <v>0</v>
      </c>
      <c r="P211" t="n">
        <v>0</v>
      </c>
      <c r="Q211" t="n">
        <v>0</v>
      </c>
      <c r="R211" s="2" t="inlineStr"/>
    </row>
    <row r="212" ht="15" customHeight="1">
      <c r="A212" t="inlineStr">
        <is>
          <t>A 20385-2025</t>
        </is>
      </c>
      <c r="B212" s="1" t="n">
        <v>45775.44483796296</v>
      </c>
      <c r="C212" s="1" t="n">
        <v>45927</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21132-2025</t>
        </is>
      </c>
      <c r="B213" s="1" t="n">
        <v>45778.4108912037</v>
      </c>
      <c r="C213" s="1" t="n">
        <v>45927</v>
      </c>
      <c r="D213" t="inlineStr">
        <is>
          <t>UPPSALA LÄN</t>
        </is>
      </c>
      <c r="E213" t="inlineStr">
        <is>
          <t>ÖSTHAMMAR</t>
        </is>
      </c>
      <c r="G213" t="n">
        <v>10.1</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45927</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45927</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42262-2024</t>
        </is>
      </c>
      <c r="B216" s="1" t="n">
        <v>45562</v>
      </c>
      <c r="C216" s="1" t="n">
        <v>45927</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32742-2022</t>
        </is>
      </c>
      <c r="B217" s="1" t="n">
        <v>44783.69886574074</v>
      </c>
      <c r="C217" s="1" t="n">
        <v>45927</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49833-2023</t>
        </is>
      </c>
      <c r="B218" s="1" t="n">
        <v>45212.71481481481</v>
      </c>
      <c r="C218" s="1" t="n">
        <v>45927</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45307-2023</t>
        </is>
      </c>
      <c r="B219" s="1" t="n">
        <v>45191</v>
      </c>
      <c r="C219" s="1" t="n">
        <v>45927</v>
      </c>
      <c r="D219" t="inlineStr">
        <is>
          <t>UPPSALA LÄN</t>
        </is>
      </c>
      <c r="E219" t="inlineStr">
        <is>
          <t>ÖSTHAMMAR</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32778-2023</t>
        </is>
      </c>
      <c r="B220" s="1" t="n">
        <v>45123.88789351852</v>
      </c>
      <c r="C220" s="1" t="n">
        <v>45927</v>
      </c>
      <c r="D220" t="inlineStr">
        <is>
          <t>UPPSALA LÄN</t>
        </is>
      </c>
      <c r="E220" t="inlineStr">
        <is>
          <t>ÖSTHAMMAR</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61261-2022</t>
        </is>
      </c>
      <c r="B221" s="1" t="n">
        <v>44915.59645833333</v>
      </c>
      <c r="C221" s="1" t="n">
        <v>45927</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1436-2025</t>
        </is>
      </c>
      <c r="B222" s="1" t="n">
        <v>45669.67625</v>
      </c>
      <c r="C222" s="1" t="n">
        <v>45927</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1525-2025</t>
        </is>
      </c>
      <c r="B223" s="1" t="n">
        <v>45670.47300925926</v>
      </c>
      <c r="C223" s="1" t="n">
        <v>45927</v>
      </c>
      <c r="D223" t="inlineStr">
        <is>
          <t>UPPSALA LÄN</t>
        </is>
      </c>
      <c r="E223" t="inlineStr">
        <is>
          <t>ÖSTHAMMAR</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14187-2022</t>
        </is>
      </c>
      <c r="B224" s="1" t="n">
        <v>44651.5625</v>
      </c>
      <c r="C224" s="1" t="n">
        <v>45927</v>
      </c>
      <c r="D224" t="inlineStr">
        <is>
          <t>UPPSALA LÄN</t>
        </is>
      </c>
      <c r="E224" t="inlineStr">
        <is>
          <t>ÖSTHAMMAR</t>
        </is>
      </c>
      <c r="F224" t="inlineStr">
        <is>
          <t>Övriga Aktiebolag</t>
        </is>
      </c>
      <c r="G224" t="n">
        <v>14.1</v>
      </c>
      <c r="H224" t="n">
        <v>0</v>
      </c>
      <c r="I224" t="n">
        <v>0</v>
      </c>
      <c r="J224" t="n">
        <v>0</v>
      </c>
      <c r="K224" t="n">
        <v>0</v>
      </c>
      <c r="L224" t="n">
        <v>0</v>
      </c>
      <c r="M224" t="n">
        <v>0</v>
      </c>
      <c r="N224" t="n">
        <v>0</v>
      </c>
      <c r="O224" t="n">
        <v>0</v>
      </c>
      <c r="P224" t="n">
        <v>0</v>
      </c>
      <c r="Q224" t="n">
        <v>0</v>
      </c>
      <c r="R224" s="2" t="inlineStr"/>
    </row>
    <row r="225" ht="15" customHeight="1">
      <c r="A225" t="inlineStr">
        <is>
          <t>A 24367-2022</t>
        </is>
      </c>
      <c r="B225" s="1" t="n">
        <v>44726.42716435185</v>
      </c>
      <c r="C225" s="1" t="n">
        <v>45927</v>
      </c>
      <c r="D225" t="inlineStr">
        <is>
          <t>UPPSALA LÄN</t>
        </is>
      </c>
      <c r="E225" t="inlineStr">
        <is>
          <t>ÖSTHAMMAR</t>
        </is>
      </c>
      <c r="G225" t="n">
        <v>2.7</v>
      </c>
      <c r="H225" t="n">
        <v>0</v>
      </c>
      <c r="I225" t="n">
        <v>0</v>
      </c>
      <c r="J225" t="n">
        <v>0</v>
      </c>
      <c r="K225" t="n">
        <v>0</v>
      </c>
      <c r="L225" t="n">
        <v>0</v>
      </c>
      <c r="M225" t="n">
        <v>0</v>
      </c>
      <c r="N225" t="n">
        <v>0</v>
      </c>
      <c r="O225" t="n">
        <v>0</v>
      </c>
      <c r="P225" t="n">
        <v>0</v>
      </c>
      <c r="Q225" t="n">
        <v>0</v>
      </c>
      <c r="R225" s="2" t="inlineStr"/>
    </row>
    <row r="226" ht="15" customHeight="1">
      <c r="A226" t="inlineStr">
        <is>
          <t>A 5933-2022</t>
        </is>
      </c>
      <c r="B226" s="1" t="n">
        <v>44598.82957175926</v>
      </c>
      <c r="C226" s="1" t="n">
        <v>45927</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36954-2024</t>
        </is>
      </c>
      <c r="B227" s="1" t="n">
        <v>45538.71109953704</v>
      </c>
      <c r="C227" s="1" t="n">
        <v>45927</v>
      </c>
      <c r="D227" t="inlineStr">
        <is>
          <t>UPPSALA LÄN</t>
        </is>
      </c>
      <c r="E227" t="inlineStr">
        <is>
          <t>ÖSTHAMMAR</t>
        </is>
      </c>
      <c r="F227" t="inlineStr">
        <is>
          <t>Bergvik skog öst AB</t>
        </is>
      </c>
      <c r="G227" t="n">
        <v>5.1</v>
      </c>
      <c r="H227" t="n">
        <v>0</v>
      </c>
      <c r="I227" t="n">
        <v>0</v>
      </c>
      <c r="J227" t="n">
        <v>0</v>
      </c>
      <c r="K227" t="n">
        <v>0</v>
      </c>
      <c r="L227" t="n">
        <v>0</v>
      </c>
      <c r="M227" t="n">
        <v>0</v>
      </c>
      <c r="N227" t="n">
        <v>0</v>
      </c>
      <c r="O227" t="n">
        <v>0</v>
      </c>
      <c r="P227" t="n">
        <v>0</v>
      </c>
      <c r="Q227" t="n">
        <v>0</v>
      </c>
      <c r="R227" s="2" t="inlineStr"/>
    </row>
    <row r="228" ht="15" customHeight="1">
      <c r="A228" t="inlineStr">
        <is>
          <t>A 33685-2024</t>
        </is>
      </c>
      <c r="B228" s="1" t="n">
        <v>45520.51063657407</v>
      </c>
      <c r="C228" s="1" t="n">
        <v>45927</v>
      </c>
      <c r="D228" t="inlineStr">
        <is>
          <t>UPPSALA LÄN</t>
        </is>
      </c>
      <c r="E228" t="inlineStr">
        <is>
          <t>ÖSTHAMMAR</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45927</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45927</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64774-2023</t>
        </is>
      </c>
      <c r="B231" s="1" t="n">
        <v>45282</v>
      </c>
      <c r="C231" s="1" t="n">
        <v>45927</v>
      </c>
      <c r="D231" t="inlineStr">
        <is>
          <t>UPPSALA LÄN</t>
        </is>
      </c>
      <c r="E231" t="inlineStr">
        <is>
          <t>ÖSTHAMMAR</t>
        </is>
      </c>
      <c r="F231" t="inlineStr">
        <is>
          <t>Övriga Aktiebolag</t>
        </is>
      </c>
      <c r="G231" t="n">
        <v>3.7</v>
      </c>
      <c r="H231" t="n">
        <v>0</v>
      </c>
      <c r="I231" t="n">
        <v>0</v>
      </c>
      <c r="J231" t="n">
        <v>0</v>
      </c>
      <c r="K231" t="n">
        <v>0</v>
      </c>
      <c r="L231" t="n">
        <v>0</v>
      </c>
      <c r="M231" t="n">
        <v>0</v>
      </c>
      <c r="N231" t="n">
        <v>0</v>
      </c>
      <c r="O231" t="n">
        <v>0</v>
      </c>
      <c r="P231" t="n">
        <v>0</v>
      </c>
      <c r="Q231" t="n">
        <v>0</v>
      </c>
      <c r="R231" s="2" t="inlineStr"/>
    </row>
    <row r="232" ht="15" customHeight="1">
      <c r="A232" t="inlineStr">
        <is>
          <t>A 8624-2025</t>
        </is>
      </c>
      <c r="B232" s="1" t="n">
        <v>45711.52333333333</v>
      </c>
      <c r="C232" s="1" t="n">
        <v>45927</v>
      </c>
      <c r="D232" t="inlineStr">
        <is>
          <t>UPPSALA LÄN</t>
        </is>
      </c>
      <c r="E232" t="inlineStr">
        <is>
          <t>ÖSTHAMMAR</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22488-2025</t>
        </is>
      </c>
      <c r="B233" s="1" t="n">
        <v>45786.64865740741</v>
      </c>
      <c r="C233" s="1" t="n">
        <v>45927</v>
      </c>
      <c r="D233" t="inlineStr">
        <is>
          <t>UPPSALA LÄN</t>
        </is>
      </c>
      <c r="E233" t="inlineStr">
        <is>
          <t>ÖSTHAMMAR</t>
        </is>
      </c>
      <c r="F233" t="inlineStr">
        <is>
          <t>Bergvik skog öst AB</t>
        </is>
      </c>
      <c r="G233" t="n">
        <v>14.9</v>
      </c>
      <c r="H233" t="n">
        <v>0</v>
      </c>
      <c r="I233" t="n">
        <v>0</v>
      </c>
      <c r="J233" t="n">
        <v>0</v>
      </c>
      <c r="K233" t="n">
        <v>0</v>
      </c>
      <c r="L233" t="n">
        <v>0</v>
      </c>
      <c r="M233" t="n">
        <v>0</v>
      </c>
      <c r="N233" t="n">
        <v>0</v>
      </c>
      <c r="O233" t="n">
        <v>0</v>
      </c>
      <c r="P233" t="n">
        <v>0</v>
      </c>
      <c r="Q233" t="n">
        <v>0</v>
      </c>
      <c r="R233" s="2" t="inlineStr"/>
    </row>
    <row r="234" ht="15" customHeight="1">
      <c r="A234" t="inlineStr">
        <is>
          <t>A 14595-2023</t>
        </is>
      </c>
      <c r="B234" s="1" t="n">
        <v>45013.57858796296</v>
      </c>
      <c r="C234" s="1" t="n">
        <v>45927</v>
      </c>
      <c r="D234" t="inlineStr">
        <is>
          <t>UPPSALA LÄN</t>
        </is>
      </c>
      <c r="E234" t="inlineStr">
        <is>
          <t>ÖSTHAMMAR</t>
        </is>
      </c>
      <c r="G234" t="n">
        <v>5</v>
      </c>
      <c r="H234" t="n">
        <v>0</v>
      </c>
      <c r="I234" t="n">
        <v>0</v>
      </c>
      <c r="J234" t="n">
        <v>0</v>
      </c>
      <c r="K234" t="n">
        <v>0</v>
      </c>
      <c r="L234" t="n">
        <v>0</v>
      </c>
      <c r="M234" t="n">
        <v>0</v>
      </c>
      <c r="N234" t="n">
        <v>0</v>
      </c>
      <c r="O234" t="n">
        <v>0</v>
      </c>
      <c r="P234" t="n">
        <v>0</v>
      </c>
      <c r="Q234" t="n">
        <v>0</v>
      </c>
      <c r="R234" s="2" t="inlineStr"/>
    </row>
    <row r="235" ht="15" customHeight="1">
      <c r="A235" t="inlineStr">
        <is>
          <t>A 32483-2024</t>
        </is>
      </c>
      <c r="B235" s="1" t="n">
        <v>45513.36644675926</v>
      </c>
      <c r="C235" s="1" t="n">
        <v>45927</v>
      </c>
      <c r="D235" t="inlineStr">
        <is>
          <t>UPPSALA LÄN</t>
        </is>
      </c>
      <c r="E235" t="inlineStr">
        <is>
          <t>ÖSTHAMMAR</t>
        </is>
      </c>
      <c r="F235" t="inlineStr">
        <is>
          <t>Kyrkan</t>
        </is>
      </c>
      <c r="G235" t="n">
        <v>4.7</v>
      </c>
      <c r="H235" t="n">
        <v>0</v>
      </c>
      <c r="I235" t="n">
        <v>0</v>
      </c>
      <c r="J235" t="n">
        <v>0</v>
      </c>
      <c r="K235" t="n">
        <v>0</v>
      </c>
      <c r="L235" t="n">
        <v>0</v>
      </c>
      <c r="M235" t="n">
        <v>0</v>
      </c>
      <c r="N235" t="n">
        <v>0</v>
      </c>
      <c r="O235" t="n">
        <v>0</v>
      </c>
      <c r="P235" t="n">
        <v>0</v>
      </c>
      <c r="Q235" t="n">
        <v>0</v>
      </c>
      <c r="R235" s="2" t="inlineStr"/>
    </row>
    <row r="236" ht="15" customHeight="1">
      <c r="A236" t="inlineStr">
        <is>
          <t>A 38575-2024</t>
        </is>
      </c>
      <c r="B236" s="1" t="n">
        <v>45546.64221064815</v>
      </c>
      <c r="C236" s="1" t="n">
        <v>45927</v>
      </c>
      <c r="D236" t="inlineStr">
        <is>
          <t>UPPSALA LÄN</t>
        </is>
      </c>
      <c r="E236" t="inlineStr">
        <is>
          <t>ÖSTHAMMAR</t>
        </is>
      </c>
      <c r="F236" t="inlineStr">
        <is>
          <t>Bergvik skog öst AB</t>
        </is>
      </c>
      <c r="G236" t="n">
        <v>5.1</v>
      </c>
      <c r="H236" t="n">
        <v>0</v>
      </c>
      <c r="I236" t="n">
        <v>0</v>
      </c>
      <c r="J236" t="n">
        <v>0</v>
      </c>
      <c r="K236" t="n">
        <v>0</v>
      </c>
      <c r="L236" t="n">
        <v>0</v>
      </c>
      <c r="M236" t="n">
        <v>0</v>
      </c>
      <c r="N236" t="n">
        <v>0</v>
      </c>
      <c r="O236" t="n">
        <v>0</v>
      </c>
      <c r="P236" t="n">
        <v>0</v>
      </c>
      <c r="Q236" t="n">
        <v>0</v>
      </c>
      <c r="R236" s="2" t="inlineStr"/>
    </row>
    <row r="237" ht="15" customHeight="1">
      <c r="A237" t="inlineStr">
        <is>
          <t>A 27308-2023</t>
        </is>
      </c>
      <c r="B237" s="1" t="n">
        <v>45096.65381944444</v>
      </c>
      <c r="C237" s="1" t="n">
        <v>45927</v>
      </c>
      <c r="D237" t="inlineStr">
        <is>
          <t>UPPSALA LÄN</t>
        </is>
      </c>
      <c r="E237" t="inlineStr">
        <is>
          <t>ÖSTHAMMAR</t>
        </is>
      </c>
      <c r="F237" t="inlineStr">
        <is>
          <t>Bergvik skog öst AB</t>
        </is>
      </c>
      <c r="G237" t="n">
        <v>2.4</v>
      </c>
      <c r="H237" t="n">
        <v>0</v>
      </c>
      <c r="I237" t="n">
        <v>0</v>
      </c>
      <c r="J237" t="n">
        <v>0</v>
      </c>
      <c r="K237" t="n">
        <v>0</v>
      </c>
      <c r="L237" t="n">
        <v>0</v>
      </c>
      <c r="M237" t="n">
        <v>0</v>
      </c>
      <c r="N237" t="n">
        <v>0</v>
      </c>
      <c r="O237" t="n">
        <v>0</v>
      </c>
      <c r="P237" t="n">
        <v>0</v>
      </c>
      <c r="Q237" t="n">
        <v>0</v>
      </c>
      <c r="R237" s="2" t="inlineStr"/>
    </row>
    <row r="238" ht="15" customHeight="1">
      <c r="A238" t="inlineStr">
        <is>
          <t>A 43685-2024</t>
        </is>
      </c>
      <c r="B238" s="1" t="n">
        <v>45569</v>
      </c>
      <c r="C238" s="1" t="n">
        <v>45927</v>
      </c>
      <c r="D238" t="inlineStr">
        <is>
          <t>UPPSALA LÄN</t>
        </is>
      </c>
      <c r="E238" t="inlineStr">
        <is>
          <t>ÖSTHAMMAR</t>
        </is>
      </c>
      <c r="G238" t="n">
        <v>1.1</v>
      </c>
      <c r="H238" t="n">
        <v>0</v>
      </c>
      <c r="I238" t="n">
        <v>0</v>
      </c>
      <c r="J238" t="n">
        <v>0</v>
      </c>
      <c r="K238" t="n">
        <v>0</v>
      </c>
      <c r="L238" t="n">
        <v>0</v>
      </c>
      <c r="M238" t="n">
        <v>0</v>
      </c>
      <c r="N238" t="n">
        <v>0</v>
      </c>
      <c r="O238" t="n">
        <v>0</v>
      </c>
      <c r="P238" t="n">
        <v>0</v>
      </c>
      <c r="Q238" t="n">
        <v>0</v>
      </c>
      <c r="R238" s="2" t="inlineStr"/>
    </row>
    <row r="239" ht="15" customHeight="1">
      <c r="A239" t="inlineStr">
        <is>
          <t>A 44796-2024</t>
        </is>
      </c>
      <c r="B239" s="1" t="n">
        <v>45574</v>
      </c>
      <c r="C239" s="1" t="n">
        <v>45927</v>
      </c>
      <c r="D239" t="inlineStr">
        <is>
          <t>UPPSALA LÄN</t>
        </is>
      </c>
      <c r="E239" t="inlineStr">
        <is>
          <t>ÖSTHAMMAR</t>
        </is>
      </c>
      <c r="G239" t="n">
        <v>4.7</v>
      </c>
      <c r="H239" t="n">
        <v>0</v>
      </c>
      <c r="I239" t="n">
        <v>0</v>
      </c>
      <c r="J239" t="n">
        <v>0</v>
      </c>
      <c r="K239" t="n">
        <v>0</v>
      </c>
      <c r="L239" t="n">
        <v>0</v>
      </c>
      <c r="M239" t="n">
        <v>0</v>
      </c>
      <c r="N239" t="n">
        <v>0</v>
      </c>
      <c r="O239" t="n">
        <v>0</v>
      </c>
      <c r="P239" t="n">
        <v>0</v>
      </c>
      <c r="Q239" t="n">
        <v>0</v>
      </c>
      <c r="R239" s="2" t="inlineStr"/>
    </row>
    <row r="240" ht="15" customHeight="1">
      <c r="A240" t="inlineStr">
        <is>
          <t>A 5254-2025</t>
        </is>
      </c>
      <c r="B240" s="1" t="n">
        <v>45692</v>
      </c>
      <c r="C240" s="1" t="n">
        <v>45927</v>
      </c>
      <c r="D240" t="inlineStr">
        <is>
          <t>UPPSALA LÄN</t>
        </is>
      </c>
      <c r="E240" t="inlineStr">
        <is>
          <t>ÖSTHAMMAR</t>
        </is>
      </c>
      <c r="G240" t="n">
        <v>5</v>
      </c>
      <c r="H240" t="n">
        <v>0</v>
      </c>
      <c r="I240" t="n">
        <v>0</v>
      </c>
      <c r="J240" t="n">
        <v>0</v>
      </c>
      <c r="K240" t="n">
        <v>0</v>
      </c>
      <c r="L240" t="n">
        <v>0</v>
      </c>
      <c r="M240" t="n">
        <v>0</v>
      </c>
      <c r="N240" t="n">
        <v>0</v>
      </c>
      <c r="O240" t="n">
        <v>0</v>
      </c>
      <c r="P240" t="n">
        <v>0</v>
      </c>
      <c r="Q240" t="n">
        <v>0</v>
      </c>
      <c r="R240" s="2" t="inlineStr"/>
    </row>
    <row r="241" ht="15" customHeight="1">
      <c r="A241" t="inlineStr">
        <is>
          <t>A 59807-2020</t>
        </is>
      </c>
      <c r="B241" s="1" t="n">
        <v>44151</v>
      </c>
      <c r="C241" s="1" t="n">
        <v>45927</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29873-2023</t>
        </is>
      </c>
      <c r="B242" s="1" t="n">
        <v>45107</v>
      </c>
      <c r="C242" s="1" t="n">
        <v>45927</v>
      </c>
      <c r="D242" t="inlineStr">
        <is>
          <t>UPPSALA LÄN</t>
        </is>
      </c>
      <c r="E242" t="inlineStr">
        <is>
          <t>ÖSTHAMMAR</t>
        </is>
      </c>
      <c r="F242" t="inlineStr">
        <is>
          <t>Naturvårdsverket</t>
        </is>
      </c>
      <c r="G242" t="n">
        <v>7.8</v>
      </c>
      <c r="H242" t="n">
        <v>0</v>
      </c>
      <c r="I242" t="n">
        <v>0</v>
      </c>
      <c r="J242" t="n">
        <v>0</v>
      </c>
      <c r="K242" t="n">
        <v>0</v>
      </c>
      <c r="L242" t="n">
        <v>0</v>
      </c>
      <c r="M242" t="n">
        <v>0</v>
      </c>
      <c r="N242" t="n">
        <v>0</v>
      </c>
      <c r="O242" t="n">
        <v>0</v>
      </c>
      <c r="P242" t="n">
        <v>0</v>
      </c>
      <c r="Q242" t="n">
        <v>0</v>
      </c>
      <c r="R242" s="2" t="inlineStr"/>
    </row>
    <row r="243" ht="15" customHeight="1">
      <c r="A243" t="inlineStr">
        <is>
          <t>A 44027-2024</t>
        </is>
      </c>
      <c r="B243" s="1" t="n">
        <v>45572</v>
      </c>
      <c r="C243" s="1" t="n">
        <v>45927</v>
      </c>
      <c r="D243" t="inlineStr">
        <is>
          <t>UPPSALA LÄN</t>
        </is>
      </c>
      <c r="E243" t="inlineStr">
        <is>
          <t>ÖSTHAMMAR</t>
        </is>
      </c>
      <c r="G243" t="n">
        <v>6</v>
      </c>
      <c r="H243" t="n">
        <v>0</v>
      </c>
      <c r="I243" t="n">
        <v>0</v>
      </c>
      <c r="J243" t="n">
        <v>0</v>
      </c>
      <c r="K243" t="n">
        <v>0</v>
      </c>
      <c r="L243" t="n">
        <v>0</v>
      </c>
      <c r="M243" t="n">
        <v>0</v>
      </c>
      <c r="N243" t="n">
        <v>0</v>
      </c>
      <c r="O243" t="n">
        <v>0</v>
      </c>
      <c r="P243" t="n">
        <v>0</v>
      </c>
      <c r="Q243" t="n">
        <v>0</v>
      </c>
      <c r="R243" s="2" t="inlineStr"/>
    </row>
    <row r="244" ht="15" customHeight="1">
      <c r="A244" t="inlineStr">
        <is>
          <t>A 12999-2022</t>
        </is>
      </c>
      <c r="B244" s="1" t="n">
        <v>44643.4372337963</v>
      </c>
      <c r="C244" s="1" t="n">
        <v>45927</v>
      </c>
      <c r="D244" t="inlineStr">
        <is>
          <t>UPPSALA LÄN</t>
        </is>
      </c>
      <c r="E244" t="inlineStr">
        <is>
          <t>ÖSTHAMMAR</t>
        </is>
      </c>
      <c r="G244" t="n">
        <v>0.5</v>
      </c>
      <c r="H244" t="n">
        <v>0</v>
      </c>
      <c r="I244" t="n">
        <v>0</v>
      </c>
      <c r="J244" t="n">
        <v>0</v>
      </c>
      <c r="K244" t="n">
        <v>0</v>
      </c>
      <c r="L244" t="n">
        <v>0</v>
      </c>
      <c r="M244" t="n">
        <v>0</v>
      </c>
      <c r="N244" t="n">
        <v>0</v>
      </c>
      <c r="O244" t="n">
        <v>0</v>
      </c>
      <c r="P244" t="n">
        <v>0</v>
      </c>
      <c r="Q244" t="n">
        <v>0</v>
      </c>
      <c r="R244" s="2" t="inlineStr"/>
    </row>
    <row r="245" ht="15" customHeight="1">
      <c r="A245" t="inlineStr">
        <is>
          <t>A 61062-2023</t>
        </is>
      </c>
      <c r="B245" s="1" t="n">
        <v>45259</v>
      </c>
      <c r="C245" s="1" t="n">
        <v>45927</v>
      </c>
      <c r="D245" t="inlineStr">
        <is>
          <t>UPPSALA LÄN</t>
        </is>
      </c>
      <c r="E245" t="inlineStr">
        <is>
          <t>ÖSTHAMMAR</t>
        </is>
      </c>
      <c r="G245" t="n">
        <v>5.3</v>
      </c>
      <c r="H245" t="n">
        <v>0</v>
      </c>
      <c r="I245" t="n">
        <v>0</v>
      </c>
      <c r="J245" t="n">
        <v>0</v>
      </c>
      <c r="K245" t="n">
        <v>0</v>
      </c>
      <c r="L245" t="n">
        <v>0</v>
      </c>
      <c r="M245" t="n">
        <v>0</v>
      </c>
      <c r="N245" t="n">
        <v>0</v>
      </c>
      <c r="O245" t="n">
        <v>0</v>
      </c>
      <c r="P245" t="n">
        <v>0</v>
      </c>
      <c r="Q245" t="n">
        <v>0</v>
      </c>
      <c r="R245" s="2" t="inlineStr"/>
    </row>
    <row r="246" ht="15" customHeight="1">
      <c r="A246" t="inlineStr">
        <is>
          <t>A 55100-2024</t>
        </is>
      </c>
      <c r="B246" s="1" t="n">
        <v>45621.4405787037</v>
      </c>
      <c r="C246" s="1" t="n">
        <v>45927</v>
      </c>
      <c r="D246" t="inlineStr">
        <is>
          <t>UPPSALA LÄN</t>
        </is>
      </c>
      <c r="E246" t="inlineStr">
        <is>
          <t>ÖSTHAMMAR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31669-2022</t>
        </is>
      </c>
      <c r="B247" s="1" t="n">
        <v>44775</v>
      </c>
      <c r="C247" s="1" t="n">
        <v>45927</v>
      </c>
      <c r="D247" t="inlineStr">
        <is>
          <t>UPPSALA LÄN</t>
        </is>
      </c>
      <c r="E247" t="inlineStr">
        <is>
          <t>ÖSTHAMMAR</t>
        </is>
      </c>
      <c r="G247" t="n">
        <v>6</v>
      </c>
      <c r="H247" t="n">
        <v>0</v>
      </c>
      <c r="I247" t="n">
        <v>0</v>
      </c>
      <c r="J247" t="n">
        <v>0</v>
      </c>
      <c r="K247" t="n">
        <v>0</v>
      </c>
      <c r="L247" t="n">
        <v>0</v>
      </c>
      <c r="M247" t="n">
        <v>0</v>
      </c>
      <c r="N247" t="n">
        <v>0</v>
      </c>
      <c r="O247" t="n">
        <v>0</v>
      </c>
      <c r="P247" t="n">
        <v>0</v>
      </c>
      <c r="Q247" t="n">
        <v>0</v>
      </c>
      <c r="R247" s="2" t="inlineStr"/>
    </row>
    <row r="248" ht="15" customHeight="1">
      <c r="A248" t="inlineStr">
        <is>
          <t>A 5931-2022</t>
        </is>
      </c>
      <c r="B248" s="1" t="n">
        <v>44598.82700231481</v>
      </c>
      <c r="C248" s="1" t="n">
        <v>45927</v>
      </c>
      <c r="D248" t="inlineStr">
        <is>
          <t>UPPSALA LÄN</t>
        </is>
      </c>
      <c r="E248" t="inlineStr">
        <is>
          <t>ÖSTHAMMAR</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19009-2023</t>
        </is>
      </c>
      <c r="B249" s="1" t="n">
        <v>45045</v>
      </c>
      <c r="C249" s="1" t="n">
        <v>45927</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18094-2025</t>
        </is>
      </c>
      <c r="B250" s="1" t="n">
        <v>45761.54710648148</v>
      </c>
      <c r="C250" s="1" t="n">
        <v>45927</v>
      </c>
      <c r="D250" t="inlineStr">
        <is>
          <t>UPPSALA LÄN</t>
        </is>
      </c>
      <c r="E250" t="inlineStr">
        <is>
          <t>ÖSTHAMMAR</t>
        </is>
      </c>
      <c r="F250" t="inlineStr">
        <is>
          <t>Bergvik skog öst AB</t>
        </is>
      </c>
      <c r="G250" t="n">
        <v>6.5</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45927</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6153-2022</t>
        </is>
      </c>
      <c r="B252" s="1" t="n">
        <v>44599</v>
      </c>
      <c r="C252" s="1" t="n">
        <v>45927</v>
      </c>
      <c r="D252" t="inlineStr">
        <is>
          <t>UPPSALA LÄN</t>
        </is>
      </c>
      <c r="E252" t="inlineStr">
        <is>
          <t>ÖSTHAMMAR</t>
        </is>
      </c>
      <c r="G252" t="n">
        <v>1.2</v>
      </c>
      <c r="H252" t="n">
        <v>0</v>
      </c>
      <c r="I252" t="n">
        <v>0</v>
      </c>
      <c r="J252" t="n">
        <v>0</v>
      </c>
      <c r="K252" t="n">
        <v>0</v>
      </c>
      <c r="L252" t="n">
        <v>0</v>
      </c>
      <c r="M252" t="n">
        <v>0</v>
      </c>
      <c r="N252" t="n">
        <v>0</v>
      </c>
      <c r="O252" t="n">
        <v>0</v>
      </c>
      <c r="P252" t="n">
        <v>0</v>
      </c>
      <c r="Q252" t="n">
        <v>0</v>
      </c>
      <c r="R252" s="2" t="inlineStr"/>
    </row>
    <row r="253" ht="15" customHeight="1">
      <c r="A253" t="inlineStr">
        <is>
          <t>A 43683-2024</t>
        </is>
      </c>
      <c r="B253" s="1" t="n">
        <v>45569.57518518518</v>
      </c>
      <c r="C253" s="1" t="n">
        <v>45927</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43993-2024</t>
        </is>
      </c>
      <c r="B254" s="1" t="n">
        <v>45572.52690972222</v>
      </c>
      <c r="C254" s="1" t="n">
        <v>45927</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67151-2021</t>
        </is>
      </c>
      <c r="B255" s="1" t="n">
        <v>44523</v>
      </c>
      <c r="C255" s="1" t="n">
        <v>45927</v>
      </c>
      <c r="D255" t="inlineStr">
        <is>
          <t>UPPSALA LÄN</t>
        </is>
      </c>
      <c r="E255" t="inlineStr">
        <is>
          <t>ÖSTHAMMAR</t>
        </is>
      </c>
      <c r="G255" t="n">
        <v>2.4</v>
      </c>
      <c r="H255" t="n">
        <v>0</v>
      </c>
      <c r="I255" t="n">
        <v>0</v>
      </c>
      <c r="J255" t="n">
        <v>0</v>
      </c>
      <c r="K255" t="n">
        <v>0</v>
      </c>
      <c r="L255" t="n">
        <v>0</v>
      </c>
      <c r="M255" t="n">
        <v>0</v>
      </c>
      <c r="N255" t="n">
        <v>0</v>
      </c>
      <c r="O255" t="n">
        <v>0</v>
      </c>
      <c r="P255" t="n">
        <v>0</v>
      </c>
      <c r="Q255" t="n">
        <v>0</v>
      </c>
      <c r="R255" s="2" t="inlineStr"/>
    </row>
    <row r="256" ht="15" customHeight="1">
      <c r="A256" t="inlineStr">
        <is>
          <t>A 22492-2025</t>
        </is>
      </c>
      <c r="B256" s="1" t="n">
        <v>45786.65072916666</v>
      </c>
      <c r="C256" s="1" t="n">
        <v>45927</v>
      </c>
      <c r="D256" t="inlineStr">
        <is>
          <t>UPPSALA LÄN</t>
        </is>
      </c>
      <c r="E256" t="inlineStr">
        <is>
          <t>ÖSTHAMMAR</t>
        </is>
      </c>
      <c r="F256" t="inlineStr">
        <is>
          <t>Bergvik skog öst AB</t>
        </is>
      </c>
      <c r="G256" t="n">
        <v>16.6</v>
      </c>
      <c r="H256" t="n">
        <v>0</v>
      </c>
      <c r="I256" t="n">
        <v>0</v>
      </c>
      <c r="J256" t="n">
        <v>0</v>
      </c>
      <c r="K256" t="n">
        <v>0</v>
      </c>
      <c r="L256" t="n">
        <v>0</v>
      </c>
      <c r="M256" t="n">
        <v>0</v>
      </c>
      <c r="N256" t="n">
        <v>0</v>
      </c>
      <c r="O256" t="n">
        <v>0</v>
      </c>
      <c r="P256" t="n">
        <v>0</v>
      </c>
      <c r="Q256" t="n">
        <v>0</v>
      </c>
      <c r="R256" s="2" t="inlineStr"/>
    </row>
    <row r="257" ht="15" customHeight="1">
      <c r="A257" t="inlineStr">
        <is>
          <t>A 22483-2025</t>
        </is>
      </c>
      <c r="B257" s="1" t="n">
        <v>45786.64141203704</v>
      </c>
      <c r="C257" s="1" t="n">
        <v>45927</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59291-2023</t>
        </is>
      </c>
      <c r="B258" s="1" t="n">
        <v>45253.57559027777</v>
      </c>
      <c r="C258" s="1" t="n">
        <v>45927</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9542-2023</t>
        </is>
      </c>
      <c r="B259" s="1" t="n">
        <v>44981</v>
      </c>
      <c r="C259" s="1" t="n">
        <v>45927</v>
      </c>
      <c r="D259" t="inlineStr">
        <is>
          <t>UPPSALA LÄN</t>
        </is>
      </c>
      <c r="E259" t="inlineStr">
        <is>
          <t>ÖSTHAMMAR</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36343-2022</t>
        </is>
      </c>
      <c r="B260" s="1" t="n">
        <v>44803.78524305556</v>
      </c>
      <c r="C260" s="1" t="n">
        <v>45927</v>
      </c>
      <c r="D260" t="inlineStr">
        <is>
          <t>UPPSALA LÄN</t>
        </is>
      </c>
      <c r="E260" t="inlineStr">
        <is>
          <t>ÖSTHAMMAR</t>
        </is>
      </c>
      <c r="F260" t="inlineStr">
        <is>
          <t>Bergvik skog öst AB</t>
        </is>
      </c>
      <c r="G260" t="n">
        <v>1.3</v>
      </c>
      <c r="H260" t="n">
        <v>0</v>
      </c>
      <c r="I260" t="n">
        <v>0</v>
      </c>
      <c r="J260" t="n">
        <v>0</v>
      </c>
      <c r="K260" t="n">
        <v>0</v>
      </c>
      <c r="L260" t="n">
        <v>0</v>
      </c>
      <c r="M260" t="n">
        <v>0</v>
      </c>
      <c r="N260" t="n">
        <v>0</v>
      </c>
      <c r="O260" t="n">
        <v>0</v>
      </c>
      <c r="P260" t="n">
        <v>0</v>
      </c>
      <c r="Q260" t="n">
        <v>0</v>
      </c>
      <c r="R260" s="2" t="inlineStr"/>
    </row>
    <row r="261" ht="15" customHeight="1">
      <c r="A261" t="inlineStr">
        <is>
          <t>A 16933-2022</t>
        </is>
      </c>
      <c r="B261" s="1" t="n">
        <v>44676</v>
      </c>
      <c r="C261" s="1" t="n">
        <v>45927</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8908-2025</t>
        </is>
      </c>
      <c r="B262" s="1" t="n">
        <v>45713.4196875</v>
      </c>
      <c r="C262" s="1" t="n">
        <v>45927</v>
      </c>
      <c r="D262" t="inlineStr">
        <is>
          <t>UPPSALA LÄN</t>
        </is>
      </c>
      <c r="E262" t="inlineStr">
        <is>
          <t>ÖSTHAMMAR</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48083-2024</t>
        </is>
      </c>
      <c r="B263" s="1" t="n">
        <v>45589.58766203704</v>
      </c>
      <c r="C263" s="1" t="n">
        <v>45927</v>
      </c>
      <c r="D263" t="inlineStr">
        <is>
          <t>UPPSALA LÄN</t>
        </is>
      </c>
      <c r="E263" t="inlineStr">
        <is>
          <t>ÖSTHAMMAR</t>
        </is>
      </c>
      <c r="G263" t="n">
        <v>3</v>
      </c>
      <c r="H263" t="n">
        <v>0</v>
      </c>
      <c r="I263" t="n">
        <v>0</v>
      </c>
      <c r="J263" t="n">
        <v>0</v>
      </c>
      <c r="K263" t="n">
        <v>0</v>
      </c>
      <c r="L263" t="n">
        <v>0</v>
      </c>
      <c r="M263" t="n">
        <v>0</v>
      </c>
      <c r="N263" t="n">
        <v>0</v>
      </c>
      <c r="O263" t="n">
        <v>0</v>
      </c>
      <c r="P263" t="n">
        <v>0</v>
      </c>
      <c r="Q263" t="n">
        <v>0</v>
      </c>
      <c r="R263" s="2" t="inlineStr"/>
    </row>
    <row r="264" ht="15" customHeight="1">
      <c r="A264" t="inlineStr">
        <is>
          <t>A 14269-2025</t>
        </is>
      </c>
      <c r="B264" s="1" t="n">
        <v>45740.64078703704</v>
      </c>
      <c r="C264" s="1" t="n">
        <v>45927</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21522-2022</t>
        </is>
      </c>
      <c r="B265" s="1" t="n">
        <v>44706</v>
      </c>
      <c r="C265" s="1" t="n">
        <v>45927</v>
      </c>
      <c r="D265" t="inlineStr">
        <is>
          <t>UPPSALA LÄN</t>
        </is>
      </c>
      <c r="E265" t="inlineStr">
        <is>
          <t>ÖSTHAMMAR</t>
        </is>
      </c>
      <c r="G265" t="n">
        <v>1.8</v>
      </c>
      <c r="H265" t="n">
        <v>0</v>
      </c>
      <c r="I265" t="n">
        <v>0</v>
      </c>
      <c r="J265" t="n">
        <v>0</v>
      </c>
      <c r="K265" t="n">
        <v>0</v>
      </c>
      <c r="L265" t="n">
        <v>0</v>
      </c>
      <c r="M265" t="n">
        <v>0</v>
      </c>
      <c r="N265" t="n">
        <v>0</v>
      </c>
      <c r="O265" t="n">
        <v>0</v>
      </c>
      <c r="P265" t="n">
        <v>0</v>
      </c>
      <c r="Q265" t="n">
        <v>0</v>
      </c>
      <c r="R265" s="2" t="inlineStr"/>
    </row>
    <row r="266" ht="15" customHeight="1">
      <c r="A266" t="inlineStr">
        <is>
          <t>A 5855-2022</t>
        </is>
      </c>
      <c r="B266" s="1" t="n">
        <v>44596.63290509259</v>
      </c>
      <c r="C266" s="1" t="n">
        <v>45927</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13622-2025</t>
        </is>
      </c>
      <c r="B267" s="1" t="n">
        <v>45736</v>
      </c>
      <c r="C267" s="1" t="n">
        <v>45927</v>
      </c>
      <c r="D267" t="inlineStr">
        <is>
          <t>UPPSALA LÄN</t>
        </is>
      </c>
      <c r="E267" t="inlineStr">
        <is>
          <t>ÖSTHAMMAR</t>
        </is>
      </c>
      <c r="G267" t="n">
        <v>2.6</v>
      </c>
      <c r="H267" t="n">
        <v>0</v>
      </c>
      <c r="I267" t="n">
        <v>0</v>
      </c>
      <c r="J267" t="n">
        <v>0</v>
      </c>
      <c r="K267" t="n">
        <v>0</v>
      </c>
      <c r="L267" t="n">
        <v>0</v>
      </c>
      <c r="M267" t="n">
        <v>0</v>
      </c>
      <c r="N267" t="n">
        <v>0</v>
      </c>
      <c r="O267" t="n">
        <v>0</v>
      </c>
      <c r="P267" t="n">
        <v>0</v>
      </c>
      <c r="Q267" t="n">
        <v>0</v>
      </c>
      <c r="R267" s="2" t="inlineStr"/>
    </row>
    <row r="268" ht="15" customHeight="1">
      <c r="A268" t="inlineStr">
        <is>
          <t>A 63577-2020</t>
        </is>
      </c>
      <c r="B268" s="1" t="n">
        <v>44165</v>
      </c>
      <c r="C268" s="1" t="n">
        <v>45927</v>
      </c>
      <c r="D268" t="inlineStr">
        <is>
          <t>UPPSALA LÄN</t>
        </is>
      </c>
      <c r="E268" t="inlineStr">
        <is>
          <t>ÖSTHAMMAR</t>
        </is>
      </c>
      <c r="G268" t="n">
        <v>0.9</v>
      </c>
      <c r="H268" t="n">
        <v>0</v>
      </c>
      <c r="I268" t="n">
        <v>0</v>
      </c>
      <c r="J268" t="n">
        <v>0</v>
      </c>
      <c r="K268" t="n">
        <v>0</v>
      </c>
      <c r="L268" t="n">
        <v>0</v>
      </c>
      <c r="M268" t="n">
        <v>0</v>
      </c>
      <c r="N268" t="n">
        <v>0</v>
      </c>
      <c r="O268" t="n">
        <v>0</v>
      </c>
      <c r="P268" t="n">
        <v>0</v>
      </c>
      <c r="Q268" t="n">
        <v>0</v>
      </c>
      <c r="R268" s="2" t="inlineStr"/>
    </row>
    <row r="269" ht="15" customHeight="1">
      <c r="A269" t="inlineStr">
        <is>
          <t>A 1567-2025</t>
        </is>
      </c>
      <c r="B269" s="1" t="n">
        <v>45670</v>
      </c>
      <c r="C269" s="1" t="n">
        <v>45927</v>
      </c>
      <c r="D269" t="inlineStr">
        <is>
          <t>UPPSALA LÄN</t>
        </is>
      </c>
      <c r="E269" t="inlineStr">
        <is>
          <t>ÖSTHAMMAR</t>
        </is>
      </c>
      <c r="G269" t="n">
        <v>2.8</v>
      </c>
      <c r="H269" t="n">
        <v>0</v>
      </c>
      <c r="I269" t="n">
        <v>0</v>
      </c>
      <c r="J269" t="n">
        <v>0</v>
      </c>
      <c r="K269" t="n">
        <v>0</v>
      </c>
      <c r="L269" t="n">
        <v>0</v>
      </c>
      <c r="M269" t="n">
        <v>0</v>
      </c>
      <c r="N269" t="n">
        <v>0</v>
      </c>
      <c r="O269" t="n">
        <v>0</v>
      </c>
      <c r="P269" t="n">
        <v>0</v>
      </c>
      <c r="Q269" t="n">
        <v>0</v>
      </c>
      <c r="R269" s="2" t="inlineStr"/>
    </row>
    <row r="270" ht="15" customHeight="1">
      <c r="A270" t="inlineStr">
        <is>
          <t>A 53137-2020</t>
        </is>
      </c>
      <c r="B270" s="1" t="n">
        <v>44120</v>
      </c>
      <c r="C270" s="1" t="n">
        <v>45927</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23305-2025</t>
        </is>
      </c>
      <c r="B271" s="1" t="n">
        <v>45791.60127314815</v>
      </c>
      <c r="C271" s="1" t="n">
        <v>45927</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56759-2024</t>
        </is>
      </c>
      <c r="B272" s="1" t="n">
        <v>45628.39877314815</v>
      </c>
      <c r="C272" s="1" t="n">
        <v>45927</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16185-2022</t>
        </is>
      </c>
      <c r="B273" s="1" t="n">
        <v>44669</v>
      </c>
      <c r="C273" s="1" t="n">
        <v>45927</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24316-2021</t>
        </is>
      </c>
      <c r="B274" s="1" t="n">
        <v>44337</v>
      </c>
      <c r="C274" s="1" t="n">
        <v>45927</v>
      </c>
      <c r="D274" t="inlineStr">
        <is>
          <t>UPPSALA LÄN</t>
        </is>
      </c>
      <c r="E274" t="inlineStr">
        <is>
          <t>ÖSTHAMMAR</t>
        </is>
      </c>
      <c r="G274" t="n">
        <v>1.2</v>
      </c>
      <c r="H274" t="n">
        <v>0</v>
      </c>
      <c r="I274" t="n">
        <v>0</v>
      </c>
      <c r="J274" t="n">
        <v>0</v>
      </c>
      <c r="K274" t="n">
        <v>0</v>
      </c>
      <c r="L274" t="n">
        <v>0</v>
      </c>
      <c r="M274" t="n">
        <v>0</v>
      </c>
      <c r="N274" t="n">
        <v>0</v>
      </c>
      <c r="O274" t="n">
        <v>0</v>
      </c>
      <c r="P274" t="n">
        <v>0</v>
      </c>
      <c r="Q274" t="n">
        <v>0</v>
      </c>
      <c r="R274" s="2" t="inlineStr"/>
    </row>
    <row r="275" ht="15" customHeight="1">
      <c r="A275" t="inlineStr">
        <is>
          <t>A 35474-2023</t>
        </is>
      </c>
      <c r="B275" s="1" t="n">
        <v>45146.68921296296</v>
      </c>
      <c r="C275" s="1" t="n">
        <v>45927</v>
      </c>
      <c r="D275" t="inlineStr">
        <is>
          <t>UPPSALA LÄN</t>
        </is>
      </c>
      <c r="E275" t="inlineStr">
        <is>
          <t>ÖSTHAMMAR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10275-2025</t>
        </is>
      </c>
      <c r="B276" s="1" t="n">
        <v>45720.39715277778</v>
      </c>
      <c r="C276" s="1" t="n">
        <v>45927</v>
      </c>
      <c r="D276" t="inlineStr">
        <is>
          <t>UPPSALA LÄN</t>
        </is>
      </c>
      <c r="E276" t="inlineStr">
        <is>
          <t>ÖSTHAMMAR</t>
        </is>
      </c>
      <c r="G276" t="n">
        <v>6.2</v>
      </c>
      <c r="H276" t="n">
        <v>0</v>
      </c>
      <c r="I276" t="n">
        <v>0</v>
      </c>
      <c r="J276" t="n">
        <v>0</v>
      </c>
      <c r="K276" t="n">
        <v>0</v>
      </c>
      <c r="L276" t="n">
        <v>0</v>
      </c>
      <c r="M276" t="n">
        <v>0</v>
      </c>
      <c r="N276" t="n">
        <v>0</v>
      </c>
      <c r="O276" t="n">
        <v>0</v>
      </c>
      <c r="P276" t="n">
        <v>0</v>
      </c>
      <c r="Q276" t="n">
        <v>0</v>
      </c>
      <c r="R276" s="2" t="inlineStr"/>
    </row>
    <row r="277" ht="15" customHeight="1">
      <c r="A277" t="inlineStr">
        <is>
          <t>A 24493-2023</t>
        </is>
      </c>
      <c r="B277" s="1" t="n">
        <v>45082.62603009259</v>
      </c>
      <c r="C277" s="1" t="n">
        <v>45927</v>
      </c>
      <c r="D277" t="inlineStr">
        <is>
          <t>UPPSALA LÄN</t>
        </is>
      </c>
      <c r="E277" t="inlineStr">
        <is>
          <t>ÖSTHAMMAR</t>
        </is>
      </c>
      <c r="G277" t="n">
        <v>1.9</v>
      </c>
      <c r="H277" t="n">
        <v>0</v>
      </c>
      <c r="I277" t="n">
        <v>0</v>
      </c>
      <c r="J277" t="n">
        <v>0</v>
      </c>
      <c r="K277" t="n">
        <v>0</v>
      </c>
      <c r="L277" t="n">
        <v>0</v>
      </c>
      <c r="M277" t="n">
        <v>0</v>
      </c>
      <c r="N277" t="n">
        <v>0</v>
      </c>
      <c r="O277" t="n">
        <v>0</v>
      </c>
      <c r="P277" t="n">
        <v>0</v>
      </c>
      <c r="Q277" t="n">
        <v>0</v>
      </c>
      <c r="R277" s="2" t="inlineStr"/>
    </row>
    <row r="278" ht="15" customHeight="1">
      <c r="A278" t="inlineStr">
        <is>
          <t>A 31035-2022</t>
        </is>
      </c>
      <c r="B278" s="1" t="n">
        <v>44768.88685185185</v>
      </c>
      <c r="C278" s="1" t="n">
        <v>45927</v>
      </c>
      <c r="D278" t="inlineStr">
        <is>
          <t>UPPSALA LÄN</t>
        </is>
      </c>
      <c r="E278" t="inlineStr">
        <is>
          <t>ÖSTHAMMAR</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7560-2023</t>
        </is>
      </c>
      <c r="B279" s="1" t="n">
        <v>44972.34811342593</v>
      </c>
      <c r="C279" s="1" t="n">
        <v>45927</v>
      </c>
      <c r="D279" t="inlineStr">
        <is>
          <t>UPPSALA LÄN</t>
        </is>
      </c>
      <c r="E279" t="inlineStr">
        <is>
          <t>ÖSTHAMMAR</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14124-2022</t>
        </is>
      </c>
      <c r="B280" s="1" t="n">
        <v>44651.40924768519</v>
      </c>
      <c r="C280" s="1" t="n">
        <v>45927</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58324-2023</t>
        </is>
      </c>
      <c r="B281" s="1" t="n">
        <v>45250.58635416667</v>
      </c>
      <c r="C281" s="1" t="n">
        <v>45927</v>
      </c>
      <c r="D281" t="inlineStr">
        <is>
          <t>UPPSALA LÄN</t>
        </is>
      </c>
      <c r="E281" t="inlineStr">
        <is>
          <t>ÖSTHAMMAR</t>
        </is>
      </c>
      <c r="G281" t="n">
        <v>5.1</v>
      </c>
      <c r="H281" t="n">
        <v>0</v>
      </c>
      <c r="I281" t="n">
        <v>0</v>
      </c>
      <c r="J281" t="n">
        <v>0</v>
      </c>
      <c r="K281" t="n">
        <v>0</v>
      </c>
      <c r="L281" t="n">
        <v>0</v>
      </c>
      <c r="M281" t="n">
        <v>0</v>
      </c>
      <c r="N281" t="n">
        <v>0</v>
      </c>
      <c r="O281" t="n">
        <v>0</v>
      </c>
      <c r="P281" t="n">
        <v>0</v>
      </c>
      <c r="Q281" t="n">
        <v>0</v>
      </c>
      <c r="R281" s="2" t="inlineStr"/>
    </row>
    <row r="282" ht="15" customHeight="1">
      <c r="A282" t="inlineStr">
        <is>
          <t>A 19040-2023</t>
        </is>
      </c>
      <c r="B282" s="1" t="n">
        <v>45047</v>
      </c>
      <c r="C282" s="1" t="n">
        <v>45927</v>
      </c>
      <c r="D282" t="inlineStr">
        <is>
          <t>UPPSALA LÄN</t>
        </is>
      </c>
      <c r="E282" t="inlineStr">
        <is>
          <t>ÖSTHAMMAR</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4004-2023</t>
        </is>
      </c>
      <c r="B283" s="1" t="n">
        <v>44952</v>
      </c>
      <c r="C283" s="1" t="n">
        <v>45927</v>
      </c>
      <c r="D283" t="inlineStr">
        <is>
          <t>UPPSALA LÄN</t>
        </is>
      </c>
      <c r="E283" t="inlineStr">
        <is>
          <t>ÖSTHAMMAR</t>
        </is>
      </c>
      <c r="G283" t="n">
        <v>4.1</v>
      </c>
      <c r="H283" t="n">
        <v>0</v>
      </c>
      <c r="I283" t="n">
        <v>0</v>
      </c>
      <c r="J283" t="n">
        <v>0</v>
      </c>
      <c r="K283" t="n">
        <v>0</v>
      </c>
      <c r="L283" t="n">
        <v>0</v>
      </c>
      <c r="M283" t="n">
        <v>0</v>
      </c>
      <c r="N283" t="n">
        <v>0</v>
      </c>
      <c r="O283" t="n">
        <v>0</v>
      </c>
      <c r="P283" t="n">
        <v>0</v>
      </c>
      <c r="Q283" t="n">
        <v>0</v>
      </c>
      <c r="R283" s="2" t="inlineStr"/>
    </row>
    <row r="284" ht="15" customHeight="1">
      <c r="A284" t="inlineStr">
        <is>
          <t>A 1584-2025</t>
        </is>
      </c>
      <c r="B284" s="1" t="n">
        <v>45670</v>
      </c>
      <c r="C284" s="1" t="n">
        <v>45927</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30972-2024</t>
        </is>
      </c>
      <c r="B285" s="1" t="n">
        <v>45499.47106481482</v>
      </c>
      <c r="C285" s="1" t="n">
        <v>45927</v>
      </c>
      <c r="D285" t="inlineStr">
        <is>
          <t>UPPSALA LÄN</t>
        </is>
      </c>
      <c r="E285" t="inlineStr">
        <is>
          <t>ÖSTHAMMAR</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24160-2024</t>
        </is>
      </c>
      <c r="B286" s="1" t="n">
        <v>45456</v>
      </c>
      <c r="C286" s="1" t="n">
        <v>45927</v>
      </c>
      <c r="D286" t="inlineStr">
        <is>
          <t>UPPSALA LÄN</t>
        </is>
      </c>
      <c r="E286" t="inlineStr">
        <is>
          <t>ÖSTHAMMAR</t>
        </is>
      </c>
      <c r="F286" t="inlineStr">
        <is>
          <t>Bergvik skog öst AB</t>
        </is>
      </c>
      <c r="G286" t="n">
        <v>0.7</v>
      </c>
      <c r="H286" t="n">
        <v>0</v>
      </c>
      <c r="I286" t="n">
        <v>0</v>
      </c>
      <c r="J286" t="n">
        <v>0</v>
      </c>
      <c r="K286" t="n">
        <v>0</v>
      </c>
      <c r="L286" t="n">
        <v>0</v>
      </c>
      <c r="M286" t="n">
        <v>0</v>
      </c>
      <c r="N286" t="n">
        <v>0</v>
      </c>
      <c r="O286" t="n">
        <v>0</v>
      </c>
      <c r="P286" t="n">
        <v>0</v>
      </c>
      <c r="Q286" t="n">
        <v>0</v>
      </c>
      <c r="R286" s="2" t="inlineStr"/>
    </row>
    <row r="287" ht="15" customHeight="1">
      <c r="A287" t="inlineStr">
        <is>
          <t>A 4099-2025</t>
        </is>
      </c>
      <c r="B287" s="1" t="n">
        <v>45684</v>
      </c>
      <c r="C287" s="1" t="n">
        <v>45927</v>
      </c>
      <c r="D287" t="inlineStr">
        <is>
          <t>UPPSALA LÄN</t>
        </is>
      </c>
      <c r="E287" t="inlineStr">
        <is>
          <t>ÖSTHAMMAR</t>
        </is>
      </c>
      <c r="G287" t="n">
        <v>0.7</v>
      </c>
      <c r="H287" t="n">
        <v>0</v>
      </c>
      <c r="I287" t="n">
        <v>0</v>
      </c>
      <c r="J287" t="n">
        <v>0</v>
      </c>
      <c r="K287" t="n">
        <v>0</v>
      </c>
      <c r="L287" t="n">
        <v>0</v>
      </c>
      <c r="M287" t="n">
        <v>0</v>
      </c>
      <c r="N287" t="n">
        <v>0</v>
      </c>
      <c r="O287" t="n">
        <v>0</v>
      </c>
      <c r="P287" t="n">
        <v>0</v>
      </c>
      <c r="Q287" t="n">
        <v>0</v>
      </c>
      <c r="R287" s="2" t="inlineStr"/>
    </row>
    <row r="288" ht="15" customHeight="1">
      <c r="A288" t="inlineStr">
        <is>
          <t>A 24415-2025</t>
        </is>
      </c>
      <c r="B288" s="1" t="n">
        <v>45797.67381944445</v>
      </c>
      <c r="C288" s="1" t="n">
        <v>45927</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22887-2022</t>
        </is>
      </c>
      <c r="B289" s="1" t="n">
        <v>44715</v>
      </c>
      <c r="C289" s="1" t="n">
        <v>45927</v>
      </c>
      <c r="D289" t="inlineStr">
        <is>
          <t>UPPSALA LÄN</t>
        </is>
      </c>
      <c r="E289" t="inlineStr">
        <is>
          <t>ÖSTHAMMAR</t>
        </is>
      </c>
      <c r="G289" t="n">
        <v>0.2</v>
      </c>
      <c r="H289" t="n">
        <v>0</v>
      </c>
      <c r="I289" t="n">
        <v>0</v>
      </c>
      <c r="J289" t="n">
        <v>0</v>
      </c>
      <c r="K289" t="n">
        <v>0</v>
      </c>
      <c r="L289" t="n">
        <v>0</v>
      </c>
      <c r="M289" t="n">
        <v>0</v>
      </c>
      <c r="N289" t="n">
        <v>0</v>
      </c>
      <c r="O289" t="n">
        <v>0</v>
      </c>
      <c r="P289" t="n">
        <v>0</v>
      </c>
      <c r="Q289" t="n">
        <v>0</v>
      </c>
      <c r="R289" s="2" t="inlineStr"/>
    </row>
    <row r="290" ht="15" customHeight="1">
      <c r="A290" t="inlineStr">
        <is>
          <t>A 52544-2021</t>
        </is>
      </c>
      <c r="B290" s="1" t="n">
        <v>44466</v>
      </c>
      <c r="C290" s="1" t="n">
        <v>45927</v>
      </c>
      <c r="D290" t="inlineStr">
        <is>
          <t>UPPSALA LÄN</t>
        </is>
      </c>
      <c r="E290" t="inlineStr">
        <is>
          <t>ÖSTHAMMAR</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31549-2022</t>
        </is>
      </c>
      <c r="B291" s="1" t="n">
        <v>44775.400625</v>
      </c>
      <c r="C291" s="1" t="n">
        <v>45927</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24389-2025</t>
        </is>
      </c>
      <c r="B292" s="1" t="n">
        <v>45797.63553240741</v>
      </c>
      <c r="C292" s="1" t="n">
        <v>45927</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24401-2025</t>
        </is>
      </c>
      <c r="B293" s="1" t="n">
        <v>45797.64908564815</v>
      </c>
      <c r="C293" s="1" t="n">
        <v>45927</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23968-2025</t>
        </is>
      </c>
      <c r="B294" s="1" t="n">
        <v>45796</v>
      </c>
      <c r="C294" s="1" t="n">
        <v>45927</v>
      </c>
      <c r="D294" t="inlineStr">
        <is>
          <t>UPPSALA LÄN</t>
        </is>
      </c>
      <c r="E294" t="inlineStr">
        <is>
          <t>ÖSTHAMMAR</t>
        </is>
      </c>
      <c r="F294" t="inlineStr">
        <is>
          <t>Bergvik skog öst AB</t>
        </is>
      </c>
      <c r="G294" t="n">
        <v>7.5</v>
      </c>
      <c r="H294" t="n">
        <v>0</v>
      </c>
      <c r="I294" t="n">
        <v>0</v>
      </c>
      <c r="J294" t="n">
        <v>0</v>
      </c>
      <c r="K294" t="n">
        <v>0</v>
      </c>
      <c r="L294" t="n">
        <v>0</v>
      </c>
      <c r="M294" t="n">
        <v>0</v>
      </c>
      <c r="N294" t="n">
        <v>0</v>
      </c>
      <c r="O294" t="n">
        <v>0</v>
      </c>
      <c r="P294" t="n">
        <v>0</v>
      </c>
      <c r="Q294" t="n">
        <v>0</v>
      </c>
      <c r="R294" s="2" t="inlineStr"/>
    </row>
    <row r="295" ht="15" customHeight="1">
      <c r="A295" t="inlineStr">
        <is>
          <t>A 36857-2023</t>
        </is>
      </c>
      <c r="B295" s="1" t="n">
        <v>45154.55175925926</v>
      </c>
      <c r="C295" s="1" t="n">
        <v>45927</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1800-2023</t>
        </is>
      </c>
      <c r="B296" s="1" t="n">
        <v>44938</v>
      </c>
      <c r="C296" s="1" t="n">
        <v>45927</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8699-2025</t>
        </is>
      </c>
      <c r="B297" s="1" t="n">
        <v>45712.47983796296</v>
      </c>
      <c r="C297" s="1" t="n">
        <v>45927</v>
      </c>
      <c r="D297" t="inlineStr">
        <is>
          <t>UPPSALA LÄN</t>
        </is>
      </c>
      <c r="E297" t="inlineStr">
        <is>
          <t>ÖSTHAMMAR</t>
        </is>
      </c>
      <c r="G297" t="n">
        <v>5.6</v>
      </c>
      <c r="H297" t="n">
        <v>0</v>
      </c>
      <c r="I297" t="n">
        <v>0</v>
      </c>
      <c r="J297" t="n">
        <v>0</v>
      </c>
      <c r="K297" t="n">
        <v>0</v>
      </c>
      <c r="L297" t="n">
        <v>0</v>
      </c>
      <c r="M297" t="n">
        <v>0</v>
      </c>
      <c r="N297" t="n">
        <v>0</v>
      </c>
      <c r="O297" t="n">
        <v>0</v>
      </c>
      <c r="P297" t="n">
        <v>0</v>
      </c>
      <c r="Q297" t="n">
        <v>0</v>
      </c>
      <c r="R297" s="2" t="inlineStr"/>
    </row>
    <row r="298" ht="15" customHeight="1">
      <c r="A298" t="inlineStr">
        <is>
          <t>A 8791-2025</t>
        </is>
      </c>
      <c r="B298" s="1" t="n">
        <v>45712</v>
      </c>
      <c r="C298" s="1" t="n">
        <v>45927</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31485-2023</t>
        </is>
      </c>
      <c r="B299" s="1" t="n">
        <v>45114</v>
      </c>
      <c r="C299" s="1" t="n">
        <v>45927</v>
      </c>
      <c r="D299" t="inlineStr">
        <is>
          <t>UPPSALA LÄN</t>
        </is>
      </c>
      <c r="E299" t="inlineStr">
        <is>
          <t>ÖSTHAMMAR</t>
        </is>
      </c>
      <c r="F299" t="inlineStr">
        <is>
          <t>Bergvik skog öst AB</t>
        </is>
      </c>
      <c r="G299" t="n">
        <v>1</v>
      </c>
      <c r="H299" t="n">
        <v>0</v>
      </c>
      <c r="I299" t="n">
        <v>0</v>
      </c>
      <c r="J299" t="n">
        <v>0</v>
      </c>
      <c r="K299" t="n">
        <v>0</v>
      </c>
      <c r="L299" t="n">
        <v>0</v>
      </c>
      <c r="M299" t="n">
        <v>0</v>
      </c>
      <c r="N299" t="n">
        <v>0</v>
      </c>
      <c r="O299" t="n">
        <v>0</v>
      </c>
      <c r="P299" t="n">
        <v>0</v>
      </c>
      <c r="Q299" t="n">
        <v>0</v>
      </c>
      <c r="R299" s="2" t="inlineStr"/>
    </row>
    <row r="300" ht="15" customHeight="1">
      <c r="A300" t="inlineStr">
        <is>
          <t>A 25897-2023</t>
        </is>
      </c>
      <c r="B300" s="1" t="n">
        <v>45090.63300925926</v>
      </c>
      <c r="C300" s="1" t="n">
        <v>45927</v>
      </c>
      <c r="D300" t="inlineStr">
        <is>
          <t>UPPSALA LÄN</t>
        </is>
      </c>
      <c r="E300" t="inlineStr">
        <is>
          <t>ÖSTHAMMAR</t>
        </is>
      </c>
      <c r="F300" t="inlineStr">
        <is>
          <t>Bergvik skog öst AB</t>
        </is>
      </c>
      <c r="G300" t="n">
        <v>1.6</v>
      </c>
      <c r="H300" t="n">
        <v>0</v>
      </c>
      <c r="I300" t="n">
        <v>0</v>
      </c>
      <c r="J300" t="n">
        <v>0</v>
      </c>
      <c r="K300" t="n">
        <v>0</v>
      </c>
      <c r="L300" t="n">
        <v>0</v>
      </c>
      <c r="M300" t="n">
        <v>0</v>
      </c>
      <c r="N300" t="n">
        <v>0</v>
      </c>
      <c r="O300" t="n">
        <v>0</v>
      </c>
      <c r="P300" t="n">
        <v>0</v>
      </c>
      <c r="Q300" t="n">
        <v>0</v>
      </c>
      <c r="R300" s="2" t="inlineStr"/>
    </row>
    <row r="301" ht="15" customHeight="1">
      <c r="A301" t="inlineStr">
        <is>
          <t>A 49206-2020</t>
        </is>
      </c>
      <c r="B301" s="1" t="n">
        <v>44105</v>
      </c>
      <c r="C301" s="1" t="n">
        <v>45927</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24174-2025</t>
        </is>
      </c>
      <c r="B302" s="1" t="n">
        <v>45796.69207175926</v>
      </c>
      <c r="C302" s="1" t="n">
        <v>45927</v>
      </c>
      <c r="D302" t="inlineStr">
        <is>
          <t>UPPSALA LÄN</t>
        </is>
      </c>
      <c r="E302" t="inlineStr">
        <is>
          <t>ÖSTHAMMAR</t>
        </is>
      </c>
      <c r="G302" t="n">
        <v>4.9</v>
      </c>
      <c r="H302" t="n">
        <v>0</v>
      </c>
      <c r="I302" t="n">
        <v>0</v>
      </c>
      <c r="J302" t="n">
        <v>0</v>
      </c>
      <c r="K302" t="n">
        <v>0</v>
      </c>
      <c r="L302" t="n">
        <v>0</v>
      </c>
      <c r="M302" t="n">
        <v>0</v>
      </c>
      <c r="N302" t="n">
        <v>0</v>
      </c>
      <c r="O302" t="n">
        <v>0</v>
      </c>
      <c r="P302" t="n">
        <v>0</v>
      </c>
      <c r="Q302" t="n">
        <v>0</v>
      </c>
      <c r="R302" s="2" t="inlineStr"/>
    </row>
    <row r="303" ht="15" customHeight="1">
      <c r="A303" t="inlineStr">
        <is>
          <t>A 49097-2022</t>
        </is>
      </c>
      <c r="B303" s="1" t="n">
        <v>44860</v>
      </c>
      <c r="C303" s="1" t="n">
        <v>45927</v>
      </c>
      <c r="D303" t="inlineStr">
        <is>
          <t>UPPSALA LÄN</t>
        </is>
      </c>
      <c r="E303" t="inlineStr">
        <is>
          <t>ÖSTHAMMAR</t>
        </is>
      </c>
      <c r="G303" t="n">
        <v>6.9</v>
      </c>
      <c r="H303" t="n">
        <v>0</v>
      </c>
      <c r="I303" t="n">
        <v>0</v>
      </c>
      <c r="J303" t="n">
        <v>0</v>
      </c>
      <c r="K303" t="n">
        <v>0</v>
      </c>
      <c r="L303" t="n">
        <v>0</v>
      </c>
      <c r="M303" t="n">
        <v>0</v>
      </c>
      <c r="N303" t="n">
        <v>0</v>
      </c>
      <c r="O303" t="n">
        <v>0</v>
      </c>
      <c r="P303" t="n">
        <v>0</v>
      </c>
      <c r="Q303" t="n">
        <v>0</v>
      </c>
      <c r="R303" s="2" t="inlineStr"/>
    </row>
    <row r="304" ht="15" customHeight="1">
      <c r="A304" t="inlineStr">
        <is>
          <t>A 24408-2025</t>
        </is>
      </c>
      <c r="B304" s="1" t="n">
        <v>45797.65774305556</v>
      </c>
      <c r="C304" s="1" t="n">
        <v>45927</v>
      </c>
      <c r="D304" t="inlineStr">
        <is>
          <t>UPPSALA LÄN</t>
        </is>
      </c>
      <c r="E304" t="inlineStr">
        <is>
          <t>ÖSTHAMMAR</t>
        </is>
      </c>
      <c r="G304" t="n">
        <v>1.6</v>
      </c>
      <c r="H304" t="n">
        <v>0</v>
      </c>
      <c r="I304" t="n">
        <v>0</v>
      </c>
      <c r="J304" t="n">
        <v>0</v>
      </c>
      <c r="K304" t="n">
        <v>0</v>
      </c>
      <c r="L304" t="n">
        <v>0</v>
      </c>
      <c r="M304" t="n">
        <v>0</v>
      </c>
      <c r="N304" t="n">
        <v>0</v>
      </c>
      <c r="O304" t="n">
        <v>0</v>
      </c>
      <c r="P304" t="n">
        <v>0</v>
      </c>
      <c r="Q304" t="n">
        <v>0</v>
      </c>
      <c r="R304" s="2" t="inlineStr"/>
    </row>
    <row r="305" ht="15" customHeight="1">
      <c r="A305" t="inlineStr">
        <is>
          <t>A 34418-2022</t>
        </is>
      </c>
      <c r="B305" s="1" t="n">
        <v>44792</v>
      </c>
      <c r="C305" s="1" t="n">
        <v>45927</v>
      </c>
      <c r="D305" t="inlineStr">
        <is>
          <t>UPPSALA LÄN</t>
        </is>
      </c>
      <c r="E305" t="inlineStr">
        <is>
          <t>ÖSTHAMMAR</t>
        </is>
      </c>
      <c r="G305" t="n">
        <v>0.3</v>
      </c>
      <c r="H305" t="n">
        <v>0</v>
      </c>
      <c r="I305" t="n">
        <v>0</v>
      </c>
      <c r="J305" t="n">
        <v>0</v>
      </c>
      <c r="K305" t="n">
        <v>0</v>
      </c>
      <c r="L305" t="n">
        <v>0</v>
      </c>
      <c r="M305" t="n">
        <v>0</v>
      </c>
      <c r="N305" t="n">
        <v>0</v>
      </c>
      <c r="O305" t="n">
        <v>0</v>
      </c>
      <c r="P305" t="n">
        <v>0</v>
      </c>
      <c r="Q305" t="n">
        <v>0</v>
      </c>
      <c r="R305" s="2" t="inlineStr"/>
    </row>
    <row r="306" ht="15" customHeight="1">
      <c r="A306" t="inlineStr">
        <is>
          <t>A 10449-2023</t>
        </is>
      </c>
      <c r="B306" s="1" t="n">
        <v>44987</v>
      </c>
      <c r="C306" s="1" t="n">
        <v>45927</v>
      </c>
      <c r="D306" t="inlineStr">
        <is>
          <t>UPPSALA LÄN</t>
        </is>
      </c>
      <c r="E306" t="inlineStr">
        <is>
          <t>ÖSTHAMMAR</t>
        </is>
      </c>
      <c r="G306" t="n">
        <v>3.1</v>
      </c>
      <c r="H306" t="n">
        <v>0</v>
      </c>
      <c r="I306" t="n">
        <v>0</v>
      </c>
      <c r="J306" t="n">
        <v>0</v>
      </c>
      <c r="K306" t="n">
        <v>0</v>
      </c>
      <c r="L306" t="n">
        <v>0</v>
      </c>
      <c r="M306" t="n">
        <v>0</v>
      </c>
      <c r="N306" t="n">
        <v>0</v>
      </c>
      <c r="O306" t="n">
        <v>0</v>
      </c>
      <c r="P306" t="n">
        <v>0</v>
      </c>
      <c r="Q306" t="n">
        <v>0</v>
      </c>
      <c r="R306" s="2" t="inlineStr"/>
    </row>
    <row r="307" ht="15" customHeight="1">
      <c r="A307" t="inlineStr">
        <is>
          <t>A 4101-2022</t>
        </is>
      </c>
      <c r="B307" s="1" t="n">
        <v>44588</v>
      </c>
      <c r="C307" s="1" t="n">
        <v>45927</v>
      </c>
      <c r="D307" t="inlineStr">
        <is>
          <t>UPPSALA LÄN</t>
        </is>
      </c>
      <c r="E307" t="inlineStr">
        <is>
          <t>ÖSTHAMMAR</t>
        </is>
      </c>
      <c r="G307" t="n">
        <v>4.4</v>
      </c>
      <c r="H307" t="n">
        <v>0</v>
      </c>
      <c r="I307" t="n">
        <v>0</v>
      </c>
      <c r="J307" t="n">
        <v>0</v>
      </c>
      <c r="K307" t="n">
        <v>0</v>
      </c>
      <c r="L307" t="n">
        <v>0</v>
      </c>
      <c r="M307" t="n">
        <v>0</v>
      </c>
      <c r="N307" t="n">
        <v>0</v>
      </c>
      <c r="O307" t="n">
        <v>0</v>
      </c>
      <c r="P307" t="n">
        <v>0</v>
      </c>
      <c r="Q307" t="n">
        <v>0</v>
      </c>
      <c r="R307" s="2" t="inlineStr"/>
    </row>
    <row r="308" ht="15" customHeight="1">
      <c r="A308" t="inlineStr">
        <is>
          <t>A 24606-2024</t>
        </is>
      </c>
      <c r="B308" s="1" t="n">
        <v>45460</v>
      </c>
      <c r="C308" s="1" t="n">
        <v>45927</v>
      </c>
      <c r="D308" t="inlineStr">
        <is>
          <t>UPPSALA LÄN</t>
        </is>
      </c>
      <c r="E308" t="inlineStr">
        <is>
          <t>ÖSTHAMMAR</t>
        </is>
      </c>
      <c r="F308" t="inlineStr">
        <is>
          <t>Bergvik skog öst AB</t>
        </is>
      </c>
      <c r="G308" t="n">
        <v>2.9</v>
      </c>
      <c r="H308" t="n">
        <v>0</v>
      </c>
      <c r="I308" t="n">
        <v>0</v>
      </c>
      <c r="J308" t="n">
        <v>0</v>
      </c>
      <c r="K308" t="n">
        <v>0</v>
      </c>
      <c r="L308" t="n">
        <v>0</v>
      </c>
      <c r="M308" t="n">
        <v>0</v>
      </c>
      <c r="N308" t="n">
        <v>0</v>
      </c>
      <c r="O308" t="n">
        <v>0</v>
      </c>
      <c r="P308" t="n">
        <v>0</v>
      </c>
      <c r="Q308" t="n">
        <v>0</v>
      </c>
      <c r="R308" s="2" t="inlineStr"/>
    </row>
    <row r="309" ht="15" customHeight="1">
      <c r="A309" t="inlineStr">
        <is>
          <t>A 835-2025</t>
        </is>
      </c>
      <c r="B309" s="1" t="n">
        <v>45665.58465277778</v>
      </c>
      <c r="C309" s="1" t="n">
        <v>45927</v>
      </c>
      <c r="D309" t="inlineStr">
        <is>
          <t>UPPSALA LÄN</t>
        </is>
      </c>
      <c r="E309" t="inlineStr">
        <is>
          <t>ÖSTHAMMAR</t>
        </is>
      </c>
      <c r="F309" t="inlineStr">
        <is>
          <t>Övriga Aktiebolag</t>
        </is>
      </c>
      <c r="G309" t="n">
        <v>4.8</v>
      </c>
      <c r="H309" t="n">
        <v>0</v>
      </c>
      <c r="I309" t="n">
        <v>0</v>
      </c>
      <c r="J309" t="n">
        <v>0</v>
      </c>
      <c r="K309" t="n">
        <v>0</v>
      </c>
      <c r="L309" t="n">
        <v>0</v>
      </c>
      <c r="M309" t="n">
        <v>0</v>
      </c>
      <c r="N309" t="n">
        <v>0</v>
      </c>
      <c r="O309" t="n">
        <v>0</v>
      </c>
      <c r="P309" t="n">
        <v>0</v>
      </c>
      <c r="Q309" t="n">
        <v>0</v>
      </c>
      <c r="R309" s="2" t="inlineStr"/>
    </row>
    <row r="310" ht="15" customHeight="1">
      <c r="A310" t="inlineStr">
        <is>
          <t>A 24412-2025</t>
        </is>
      </c>
      <c r="B310" s="1" t="n">
        <v>45797.6671412037</v>
      </c>
      <c r="C310" s="1" t="n">
        <v>45927</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36904-2023</t>
        </is>
      </c>
      <c r="B311" s="1" t="n">
        <v>45154</v>
      </c>
      <c r="C311" s="1" t="n">
        <v>45927</v>
      </c>
      <c r="D311" t="inlineStr">
        <is>
          <t>UPPSALA LÄN</t>
        </is>
      </c>
      <c r="E311" t="inlineStr">
        <is>
          <t>ÖSTHAMMAR</t>
        </is>
      </c>
      <c r="F311" t="inlineStr">
        <is>
          <t>Övriga Aktiebolag</t>
        </is>
      </c>
      <c r="G311" t="n">
        <v>1.5</v>
      </c>
      <c r="H311" t="n">
        <v>0</v>
      </c>
      <c r="I311" t="n">
        <v>0</v>
      </c>
      <c r="J311" t="n">
        <v>0</v>
      </c>
      <c r="K311" t="n">
        <v>0</v>
      </c>
      <c r="L311" t="n">
        <v>0</v>
      </c>
      <c r="M311" t="n">
        <v>0</v>
      </c>
      <c r="N311" t="n">
        <v>0</v>
      </c>
      <c r="O311" t="n">
        <v>0</v>
      </c>
      <c r="P311" t="n">
        <v>0</v>
      </c>
      <c r="Q311" t="n">
        <v>0</v>
      </c>
      <c r="R311" s="2" t="inlineStr"/>
    </row>
    <row r="312" ht="15" customHeight="1">
      <c r="A312" t="inlineStr">
        <is>
          <t>A 13248-2025</t>
        </is>
      </c>
      <c r="B312" s="1" t="n">
        <v>45735</v>
      </c>
      <c r="C312" s="1" t="n">
        <v>45927</v>
      </c>
      <c r="D312" t="inlineStr">
        <is>
          <t>UPPSALA LÄN</t>
        </is>
      </c>
      <c r="E312" t="inlineStr">
        <is>
          <t>ÖSTHAMMAR</t>
        </is>
      </c>
      <c r="F312" t="inlineStr">
        <is>
          <t>Kyrkan</t>
        </is>
      </c>
      <c r="G312" t="n">
        <v>12.2</v>
      </c>
      <c r="H312" t="n">
        <v>0</v>
      </c>
      <c r="I312" t="n">
        <v>0</v>
      </c>
      <c r="J312" t="n">
        <v>0</v>
      </c>
      <c r="K312" t="n">
        <v>0</v>
      </c>
      <c r="L312" t="n">
        <v>0</v>
      </c>
      <c r="M312" t="n">
        <v>0</v>
      </c>
      <c r="N312" t="n">
        <v>0</v>
      </c>
      <c r="O312" t="n">
        <v>0</v>
      </c>
      <c r="P312" t="n">
        <v>0</v>
      </c>
      <c r="Q312" t="n">
        <v>0</v>
      </c>
      <c r="R312" s="2" t="inlineStr"/>
    </row>
    <row r="313" ht="15" customHeight="1">
      <c r="A313" t="inlineStr">
        <is>
          <t>A 1527-2025</t>
        </is>
      </c>
      <c r="B313" s="1" t="n">
        <v>45670</v>
      </c>
      <c r="C313" s="1" t="n">
        <v>45927</v>
      </c>
      <c r="D313" t="inlineStr">
        <is>
          <t>UPPSALA LÄN</t>
        </is>
      </c>
      <c r="E313" t="inlineStr">
        <is>
          <t>ÖSTHAMMAR</t>
        </is>
      </c>
      <c r="F313" t="inlineStr">
        <is>
          <t>Bergvik skog öst AB</t>
        </is>
      </c>
      <c r="G313" t="n">
        <v>7.7</v>
      </c>
      <c r="H313" t="n">
        <v>0</v>
      </c>
      <c r="I313" t="n">
        <v>0</v>
      </c>
      <c r="J313" t="n">
        <v>0</v>
      </c>
      <c r="K313" t="n">
        <v>0</v>
      </c>
      <c r="L313" t="n">
        <v>0</v>
      </c>
      <c r="M313" t="n">
        <v>0</v>
      </c>
      <c r="N313" t="n">
        <v>0</v>
      </c>
      <c r="O313" t="n">
        <v>0</v>
      </c>
      <c r="P313" t="n">
        <v>0</v>
      </c>
      <c r="Q313" t="n">
        <v>0</v>
      </c>
      <c r="R313" s="2" t="inlineStr"/>
    </row>
    <row r="314" ht="15" customHeight="1">
      <c r="A314" t="inlineStr">
        <is>
          <t>A 4304-2025</t>
        </is>
      </c>
      <c r="B314" s="1" t="n">
        <v>45685.68193287037</v>
      </c>
      <c r="C314" s="1" t="n">
        <v>45927</v>
      </c>
      <c r="D314" t="inlineStr">
        <is>
          <t>UPPSALA LÄN</t>
        </is>
      </c>
      <c r="E314" t="inlineStr">
        <is>
          <t>ÖSTHAMMAR</t>
        </is>
      </c>
      <c r="G314" t="n">
        <v>1.2</v>
      </c>
      <c r="H314" t="n">
        <v>0</v>
      </c>
      <c r="I314" t="n">
        <v>0</v>
      </c>
      <c r="J314" t="n">
        <v>0</v>
      </c>
      <c r="K314" t="n">
        <v>0</v>
      </c>
      <c r="L314" t="n">
        <v>0</v>
      </c>
      <c r="M314" t="n">
        <v>0</v>
      </c>
      <c r="N314" t="n">
        <v>0</v>
      </c>
      <c r="O314" t="n">
        <v>0</v>
      </c>
      <c r="P314" t="n">
        <v>0</v>
      </c>
      <c r="Q314" t="n">
        <v>0</v>
      </c>
      <c r="R314" s="2" t="inlineStr"/>
    </row>
    <row r="315" ht="15" customHeight="1">
      <c r="A315" t="inlineStr">
        <is>
          <t>A 2839-2025</t>
        </is>
      </c>
      <c r="B315" s="1" t="n">
        <v>45677</v>
      </c>
      <c r="C315" s="1" t="n">
        <v>45927</v>
      </c>
      <c r="D315" t="inlineStr">
        <is>
          <t>UPPSALA LÄN</t>
        </is>
      </c>
      <c r="E315" t="inlineStr">
        <is>
          <t>ÖSTHAMMAR</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25049-2025</t>
        </is>
      </c>
      <c r="B316" s="1" t="n">
        <v>45799.66876157407</v>
      </c>
      <c r="C316" s="1" t="n">
        <v>45927</v>
      </c>
      <c r="D316" t="inlineStr">
        <is>
          <t>UPPSALA LÄN</t>
        </is>
      </c>
      <c r="E316" t="inlineStr">
        <is>
          <t>ÖSTHAMMAR</t>
        </is>
      </c>
      <c r="F316" t="inlineStr">
        <is>
          <t>Bergvik skog öst AB</t>
        </is>
      </c>
      <c r="G316" t="n">
        <v>3.8</v>
      </c>
      <c r="H316" t="n">
        <v>0</v>
      </c>
      <c r="I316" t="n">
        <v>0</v>
      </c>
      <c r="J316" t="n">
        <v>0</v>
      </c>
      <c r="K316" t="n">
        <v>0</v>
      </c>
      <c r="L316" t="n">
        <v>0</v>
      </c>
      <c r="M316" t="n">
        <v>0</v>
      </c>
      <c r="N316" t="n">
        <v>0</v>
      </c>
      <c r="O316" t="n">
        <v>0</v>
      </c>
      <c r="P316" t="n">
        <v>0</v>
      </c>
      <c r="Q316" t="n">
        <v>0</v>
      </c>
      <c r="R316" s="2" t="inlineStr"/>
    </row>
    <row r="317" ht="15" customHeight="1">
      <c r="A317" t="inlineStr">
        <is>
          <t>A 67848-2021</t>
        </is>
      </c>
      <c r="B317" s="1" t="n">
        <v>44525</v>
      </c>
      <c r="C317" s="1" t="n">
        <v>45927</v>
      </c>
      <c r="D317" t="inlineStr">
        <is>
          <t>UPPSALA LÄN</t>
        </is>
      </c>
      <c r="E317" t="inlineStr">
        <is>
          <t>ÖSTHAMMAR</t>
        </is>
      </c>
      <c r="G317" t="n">
        <v>1</v>
      </c>
      <c r="H317" t="n">
        <v>0</v>
      </c>
      <c r="I317" t="n">
        <v>0</v>
      </c>
      <c r="J317" t="n">
        <v>0</v>
      </c>
      <c r="K317" t="n">
        <v>0</v>
      </c>
      <c r="L317" t="n">
        <v>0</v>
      </c>
      <c r="M317" t="n">
        <v>0</v>
      </c>
      <c r="N317" t="n">
        <v>0</v>
      </c>
      <c r="O317" t="n">
        <v>0</v>
      </c>
      <c r="P317" t="n">
        <v>0</v>
      </c>
      <c r="Q317" t="n">
        <v>0</v>
      </c>
      <c r="R317" s="2" t="inlineStr"/>
    </row>
    <row r="318" ht="15" customHeight="1">
      <c r="A318" t="inlineStr">
        <is>
          <t>A 53735-2023</t>
        </is>
      </c>
      <c r="B318" s="1" t="n">
        <v>45230.77258101852</v>
      </c>
      <c r="C318" s="1" t="n">
        <v>45927</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45927</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38600-2023</t>
        </is>
      </c>
      <c r="B320" s="1" t="n">
        <v>45162</v>
      </c>
      <c r="C320" s="1" t="n">
        <v>45927</v>
      </c>
      <c r="D320" t="inlineStr">
        <is>
          <t>UPPSALA LÄN</t>
        </is>
      </c>
      <c r="E320" t="inlineStr">
        <is>
          <t>ÖSTHAMMAR</t>
        </is>
      </c>
      <c r="F320" t="inlineStr">
        <is>
          <t>Bergvik skog väst AB</t>
        </is>
      </c>
      <c r="G320" t="n">
        <v>0.1</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45927</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45927</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64811-2021</t>
        </is>
      </c>
      <c r="B323" s="1" t="n">
        <v>44512</v>
      </c>
      <c r="C323" s="1" t="n">
        <v>45927</v>
      </c>
      <c r="D323" t="inlineStr">
        <is>
          <t>UPPSALA LÄN</t>
        </is>
      </c>
      <c r="E323" t="inlineStr">
        <is>
          <t>ÖSTHAMMAR</t>
        </is>
      </c>
      <c r="G323" t="n">
        <v>4.2</v>
      </c>
      <c r="H323" t="n">
        <v>0</v>
      </c>
      <c r="I323" t="n">
        <v>0</v>
      </c>
      <c r="J323" t="n">
        <v>0</v>
      </c>
      <c r="K323" t="n">
        <v>0</v>
      </c>
      <c r="L323" t="n">
        <v>0</v>
      </c>
      <c r="M323" t="n">
        <v>0</v>
      </c>
      <c r="N323" t="n">
        <v>0</v>
      </c>
      <c r="O323" t="n">
        <v>0</v>
      </c>
      <c r="P323" t="n">
        <v>0</v>
      </c>
      <c r="Q323" t="n">
        <v>0</v>
      </c>
      <c r="R323" s="2" t="inlineStr"/>
    </row>
    <row r="324" ht="15" customHeight="1">
      <c r="A324" t="inlineStr">
        <is>
          <t>A 24944-2025</t>
        </is>
      </c>
      <c r="B324" s="1" t="n">
        <v>45799.56347222222</v>
      </c>
      <c r="C324" s="1" t="n">
        <v>45927</v>
      </c>
      <c r="D324" t="inlineStr">
        <is>
          <t>UPPSALA LÄN</t>
        </is>
      </c>
      <c r="E324" t="inlineStr">
        <is>
          <t>ÖSTHAMMAR</t>
        </is>
      </c>
      <c r="G324" t="n">
        <v>7.3</v>
      </c>
      <c r="H324" t="n">
        <v>0</v>
      </c>
      <c r="I324" t="n">
        <v>0</v>
      </c>
      <c r="J324" t="n">
        <v>0</v>
      </c>
      <c r="K324" t="n">
        <v>0</v>
      </c>
      <c r="L324" t="n">
        <v>0</v>
      </c>
      <c r="M324" t="n">
        <v>0</v>
      </c>
      <c r="N324" t="n">
        <v>0</v>
      </c>
      <c r="O324" t="n">
        <v>0</v>
      </c>
      <c r="P324" t="n">
        <v>0</v>
      </c>
      <c r="Q324" t="n">
        <v>0</v>
      </c>
      <c r="R324" s="2" t="inlineStr"/>
    </row>
    <row r="325" ht="15" customHeight="1">
      <c r="A325" t="inlineStr">
        <is>
          <t>A 65361-2020</t>
        </is>
      </c>
      <c r="B325" s="1" t="n">
        <v>44173</v>
      </c>
      <c r="C325" s="1" t="n">
        <v>45927</v>
      </c>
      <c r="D325" t="inlineStr">
        <is>
          <t>UPPSALA LÄN</t>
        </is>
      </c>
      <c r="E325" t="inlineStr">
        <is>
          <t>ÖSTHAMMAR</t>
        </is>
      </c>
      <c r="G325" t="n">
        <v>3.6</v>
      </c>
      <c r="H325" t="n">
        <v>0</v>
      </c>
      <c r="I325" t="n">
        <v>0</v>
      </c>
      <c r="J325" t="n">
        <v>0</v>
      </c>
      <c r="K325" t="n">
        <v>0</v>
      </c>
      <c r="L325" t="n">
        <v>0</v>
      </c>
      <c r="M325" t="n">
        <v>0</v>
      </c>
      <c r="N325" t="n">
        <v>0</v>
      </c>
      <c r="O325" t="n">
        <v>0</v>
      </c>
      <c r="P325" t="n">
        <v>0</v>
      </c>
      <c r="Q325" t="n">
        <v>0</v>
      </c>
      <c r="R325" s="2" t="inlineStr"/>
    </row>
    <row r="326" ht="15" customHeight="1">
      <c r="A326" t="inlineStr">
        <is>
          <t>A 56382-2022</t>
        </is>
      </c>
      <c r="B326" s="1" t="n">
        <v>44890.75795138889</v>
      </c>
      <c r="C326" s="1" t="n">
        <v>45927</v>
      </c>
      <c r="D326" t="inlineStr">
        <is>
          <t>UPPSALA LÄN</t>
        </is>
      </c>
      <c r="E326" t="inlineStr">
        <is>
          <t>ÖSTHAMMAR</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57043-2022</t>
        </is>
      </c>
      <c r="B327" s="1" t="n">
        <v>44895.36748842592</v>
      </c>
      <c r="C327" s="1" t="n">
        <v>45927</v>
      </c>
      <c r="D327" t="inlineStr">
        <is>
          <t>UPPSALA LÄN</t>
        </is>
      </c>
      <c r="E327" t="inlineStr">
        <is>
          <t>ÖSTHAMMAR</t>
        </is>
      </c>
      <c r="F327" t="inlineStr">
        <is>
          <t>Bergvik skog öst AB</t>
        </is>
      </c>
      <c r="G327" t="n">
        <v>5.7</v>
      </c>
      <c r="H327" t="n">
        <v>0</v>
      </c>
      <c r="I327" t="n">
        <v>0</v>
      </c>
      <c r="J327" t="n">
        <v>0</v>
      </c>
      <c r="K327" t="n">
        <v>0</v>
      </c>
      <c r="L327" t="n">
        <v>0</v>
      </c>
      <c r="M327" t="n">
        <v>0</v>
      </c>
      <c r="N327" t="n">
        <v>0</v>
      </c>
      <c r="O327" t="n">
        <v>0</v>
      </c>
      <c r="P327" t="n">
        <v>0</v>
      </c>
      <c r="Q327" t="n">
        <v>0</v>
      </c>
      <c r="R327" s="2" t="inlineStr"/>
    </row>
    <row r="328" ht="15" customHeight="1">
      <c r="A328" t="inlineStr">
        <is>
          <t>A 12945-2025</t>
        </is>
      </c>
      <c r="B328" s="1" t="n">
        <v>45734.38159722222</v>
      </c>
      <c r="C328" s="1" t="n">
        <v>45927</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34185-2024</t>
        </is>
      </c>
      <c r="B329" s="1" t="n">
        <v>45524</v>
      </c>
      <c r="C329" s="1" t="n">
        <v>45927</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59880-2022</t>
        </is>
      </c>
      <c r="B330" s="1" t="n">
        <v>44908.69575231482</v>
      </c>
      <c r="C330" s="1" t="n">
        <v>45927</v>
      </c>
      <c r="D330" t="inlineStr">
        <is>
          <t>UPPSALA LÄN</t>
        </is>
      </c>
      <c r="E330" t="inlineStr">
        <is>
          <t>ÖSTHAMMAR</t>
        </is>
      </c>
      <c r="G330" t="n">
        <v>1.4</v>
      </c>
      <c r="H330" t="n">
        <v>0</v>
      </c>
      <c r="I330" t="n">
        <v>0</v>
      </c>
      <c r="J330" t="n">
        <v>0</v>
      </c>
      <c r="K330" t="n">
        <v>0</v>
      </c>
      <c r="L330" t="n">
        <v>0</v>
      </c>
      <c r="M330" t="n">
        <v>0</v>
      </c>
      <c r="N330" t="n">
        <v>0</v>
      </c>
      <c r="O330" t="n">
        <v>0</v>
      </c>
      <c r="P330" t="n">
        <v>0</v>
      </c>
      <c r="Q330" t="n">
        <v>0</v>
      </c>
      <c r="R330" s="2" t="inlineStr"/>
    </row>
    <row r="331" ht="15" customHeight="1">
      <c r="A331" t="inlineStr">
        <is>
          <t>A 16089-2025</t>
        </is>
      </c>
      <c r="B331" s="1" t="n">
        <v>45749.84232638889</v>
      </c>
      <c r="C331" s="1" t="n">
        <v>45927</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7944-2023</t>
        </is>
      </c>
      <c r="B332" s="1" t="n">
        <v>44973.66458333333</v>
      </c>
      <c r="C332" s="1" t="n">
        <v>45927</v>
      </c>
      <c r="D332" t="inlineStr">
        <is>
          <t>UPPSALA LÄN</t>
        </is>
      </c>
      <c r="E332" t="inlineStr">
        <is>
          <t>ÖSTHAMMAR</t>
        </is>
      </c>
      <c r="G332" t="n">
        <v>4.6</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45927</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57003-2021</t>
        </is>
      </c>
      <c r="B334" s="1" t="n">
        <v>44482.47577546296</v>
      </c>
      <c r="C334" s="1" t="n">
        <v>45927</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14170-2025</t>
        </is>
      </c>
      <c r="B335" s="1" t="n">
        <v>45740.51895833333</v>
      </c>
      <c r="C335" s="1" t="n">
        <v>45927</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58297-2024</t>
        </is>
      </c>
      <c r="B336" s="1" t="n">
        <v>45632.59780092593</v>
      </c>
      <c r="C336" s="1" t="n">
        <v>45927</v>
      </c>
      <c r="D336" t="inlineStr">
        <is>
          <t>UPPSALA LÄN</t>
        </is>
      </c>
      <c r="E336" t="inlineStr">
        <is>
          <t>ÖSTHAMMAR</t>
        </is>
      </c>
      <c r="G336" t="n">
        <v>5.1</v>
      </c>
      <c r="H336" t="n">
        <v>0</v>
      </c>
      <c r="I336" t="n">
        <v>0</v>
      </c>
      <c r="J336" t="n">
        <v>0</v>
      </c>
      <c r="K336" t="n">
        <v>0</v>
      </c>
      <c r="L336" t="n">
        <v>0</v>
      </c>
      <c r="M336" t="n">
        <v>0</v>
      </c>
      <c r="N336" t="n">
        <v>0</v>
      </c>
      <c r="O336" t="n">
        <v>0</v>
      </c>
      <c r="P336" t="n">
        <v>0</v>
      </c>
      <c r="Q336" t="n">
        <v>0</v>
      </c>
      <c r="R336" s="2" t="inlineStr"/>
    </row>
    <row r="337" ht="15" customHeight="1">
      <c r="A337" t="inlineStr">
        <is>
          <t>A 7216-2025</t>
        </is>
      </c>
      <c r="B337" s="1" t="n">
        <v>45702.47630787037</v>
      </c>
      <c r="C337" s="1" t="n">
        <v>45927</v>
      </c>
      <c r="D337" t="inlineStr">
        <is>
          <t>UPPSALA LÄN</t>
        </is>
      </c>
      <c r="E337" t="inlineStr">
        <is>
          <t>ÖSTHAMMAR</t>
        </is>
      </c>
      <c r="F337" t="inlineStr">
        <is>
          <t>Övriga Aktiebolag</t>
        </is>
      </c>
      <c r="G337" t="n">
        <v>12.5</v>
      </c>
      <c r="H337" t="n">
        <v>0</v>
      </c>
      <c r="I337" t="n">
        <v>0</v>
      </c>
      <c r="J337" t="n">
        <v>0</v>
      </c>
      <c r="K337" t="n">
        <v>0</v>
      </c>
      <c r="L337" t="n">
        <v>0</v>
      </c>
      <c r="M337" t="n">
        <v>0</v>
      </c>
      <c r="N337" t="n">
        <v>0</v>
      </c>
      <c r="O337" t="n">
        <v>0</v>
      </c>
      <c r="P337" t="n">
        <v>0</v>
      </c>
      <c r="Q337" t="n">
        <v>0</v>
      </c>
      <c r="R337" s="2" t="inlineStr"/>
    </row>
    <row r="338" ht="15" customHeight="1">
      <c r="A338" t="inlineStr">
        <is>
          <t>A 38571-2023</t>
        </is>
      </c>
      <c r="B338" s="1" t="n">
        <v>45162.6177662037</v>
      </c>
      <c r="C338" s="1" t="n">
        <v>45927</v>
      </c>
      <c r="D338" t="inlineStr">
        <is>
          <t>UPPSALA LÄN</t>
        </is>
      </c>
      <c r="E338" t="inlineStr">
        <is>
          <t>ÖSTHAMMAR</t>
        </is>
      </c>
      <c r="F338" t="inlineStr">
        <is>
          <t>Bergvik skog öst AB</t>
        </is>
      </c>
      <c r="G338" t="n">
        <v>1.1</v>
      </c>
      <c r="H338" t="n">
        <v>0</v>
      </c>
      <c r="I338" t="n">
        <v>0</v>
      </c>
      <c r="J338" t="n">
        <v>0</v>
      </c>
      <c r="K338" t="n">
        <v>0</v>
      </c>
      <c r="L338" t="n">
        <v>0</v>
      </c>
      <c r="M338" t="n">
        <v>0</v>
      </c>
      <c r="N338" t="n">
        <v>0</v>
      </c>
      <c r="O338" t="n">
        <v>0</v>
      </c>
      <c r="P338" t="n">
        <v>0</v>
      </c>
      <c r="Q338" t="n">
        <v>0</v>
      </c>
      <c r="R338" s="2" t="inlineStr"/>
    </row>
    <row r="339" ht="15" customHeight="1">
      <c r="A339" t="inlineStr">
        <is>
          <t>A 5884-2023</t>
        </is>
      </c>
      <c r="B339" s="1" t="n">
        <v>44963</v>
      </c>
      <c r="C339" s="1" t="n">
        <v>45927</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26330-2025</t>
        </is>
      </c>
      <c r="B340" s="1" t="n">
        <v>45805.68263888889</v>
      </c>
      <c r="C340" s="1" t="n">
        <v>45927</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12654-2025</t>
        </is>
      </c>
      <c r="B341" s="1" t="n">
        <v>45733.41601851852</v>
      </c>
      <c r="C341" s="1" t="n">
        <v>45927</v>
      </c>
      <c r="D341" t="inlineStr">
        <is>
          <t>UPPSALA LÄN</t>
        </is>
      </c>
      <c r="E341" t="inlineStr">
        <is>
          <t>ÖSTHAMMAR</t>
        </is>
      </c>
      <c r="G341" t="n">
        <v>9.9</v>
      </c>
      <c r="H341" t="n">
        <v>0</v>
      </c>
      <c r="I341" t="n">
        <v>0</v>
      </c>
      <c r="J341" t="n">
        <v>0</v>
      </c>
      <c r="K341" t="n">
        <v>0</v>
      </c>
      <c r="L341" t="n">
        <v>0</v>
      </c>
      <c r="M341" t="n">
        <v>0</v>
      </c>
      <c r="N341" t="n">
        <v>0</v>
      </c>
      <c r="O341" t="n">
        <v>0</v>
      </c>
      <c r="P341" t="n">
        <v>0</v>
      </c>
      <c r="Q341" t="n">
        <v>0</v>
      </c>
      <c r="R341" s="2" t="inlineStr"/>
    </row>
    <row r="342" ht="15" customHeight="1">
      <c r="A342" t="inlineStr">
        <is>
          <t>A 26319-2025</t>
        </is>
      </c>
      <c r="B342" s="1" t="n">
        <v>45805.65960648148</v>
      </c>
      <c r="C342" s="1" t="n">
        <v>45927</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73965-2021</t>
        </is>
      </c>
      <c r="B343" s="1" t="n">
        <v>44553.80824074074</v>
      </c>
      <c r="C343" s="1" t="n">
        <v>45927</v>
      </c>
      <c r="D343" t="inlineStr">
        <is>
          <t>UPPSALA LÄN</t>
        </is>
      </c>
      <c r="E343" t="inlineStr">
        <is>
          <t>ÖSTHAMMAR</t>
        </is>
      </c>
      <c r="F343" t="inlineStr">
        <is>
          <t>Bergvik skog öst AB</t>
        </is>
      </c>
      <c r="G343" t="n">
        <v>1.3</v>
      </c>
      <c r="H343" t="n">
        <v>0</v>
      </c>
      <c r="I343" t="n">
        <v>0</v>
      </c>
      <c r="J343" t="n">
        <v>0</v>
      </c>
      <c r="K343" t="n">
        <v>0</v>
      </c>
      <c r="L343" t="n">
        <v>0</v>
      </c>
      <c r="M343" t="n">
        <v>0</v>
      </c>
      <c r="N343" t="n">
        <v>0</v>
      </c>
      <c r="O343" t="n">
        <v>0</v>
      </c>
      <c r="P343" t="n">
        <v>0</v>
      </c>
      <c r="Q343" t="n">
        <v>0</v>
      </c>
      <c r="R343" s="2" t="inlineStr"/>
    </row>
    <row r="344" ht="15" customHeight="1">
      <c r="A344" t="inlineStr">
        <is>
          <t>A 3418-2025</t>
        </is>
      </c>
      <c r="B344" s="1" t="n">
        <v>45680</v>
      </c>
      <c r="C344" s="1" t="n">
        <v>45927</v>
      </c>
      <c r="D344" t="inlineStr">
        <is>
          <t>UPPSALA LÄN</t>
        </is>
      </c>
      <c r="E344" t="inlineStr">
        <is>
          <t>ÖSTHAMMAR</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3420-2025</t>
        </is>
      </c>
      <c r="B345" s="1" t="n">
        <v>45680</v>
      </c>
      <c r="C345" s="1" t="n">
        <v>45927</v>
      </c>
      <c r="D345" t="inlineStr">
        <is>
          <t>UPPSALA LÄN</t>
        </is>
      </c>
      <c r="E345" t="inlineStr">
        <is>
          <t>ÖSTHAMMAR</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52650-2022</t>
        </is>
      </c>
      <c r="B346" s="1" t="n">
        <v>44874</v>
      </c>
      <c r="C346" s="1" t="n">
        <v>45927</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26328-2025</t>
        </is>
      </c>
      <c r="B347" s="1" t="n">
        <v>45805.67305555556</v>
      </c>
      <c r="C347" s="1" t="n">
        <v>45927</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5303-2025</t>
        </is>
      </c>
      <c r="B348" s="1" t="n">
        <v>45692</v>
      </c>
      <c r="C348" s="1" t="n">
        <v>45927</v>
      </c>
      <c r="D348" t="inlineStr">
        <is>
          <t>UPPSALA LÄN</t>
        </is>
      </c>
      <c r="E348" t="inlineStr">
        <is>
          <t>ÖSTHAMMAR</t>
        </is>
      </c>
      <c r="G348" t="n">
        <v>5</v>
      </c>
      <c r="H348" t="n">
        <v>0</v>
      </c>
      <c r="I348" t="n">
        <v>0</v>
      </c>
      <c r="J348" t="n">
        <v>0</v>
      </c>
      <c r="K348" t="n">
        <v>0</v>
      </c>
      <c r="L348" t="n">
        <v>0</v>
      </c>
      <c r="M348" t="n">
        <v>0</v>
      </c>
      <c r="N348" t="n">
        <v>0</v>
      </c>
      <c r="O348" t="n">
        <v>0</v>
      </c>
      <c r="P348" t="n">
        <v>0</v>
      </c>
      <c r="Q348" t="n">
        <v>0</v>
      </c>
      <c r="R348" s="2" t="inlineStr"/>
    </row>
    <row r="349" ht="15" customHeight="1">
      <c r="A349" t="inlineStr">
        <is>
          <t>A 26055-2025</t>
        </is>
      </c>
      <c r="B349" s="1" t="n">
        <v>45804.77559027778</v>
      </c>
      <c r="C349" s="1" t="n">
        <v>45927</v>
      </c>
      <c r="D349" t="inlineStr">
        <is>
          <t>UPPSALA LÄN</t>
        </is>
      </c>
      <c r="E349" t="inlineStr">
        <is>
          <t>ÖSTHAMMAR</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45927</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44807-2024</t>
        </is>
      </c>
      <c r="B351" s="1" t="n">
        <v>45574.65427083334</v>
      </c>
      <c r="C351" s="1" t="n">
        <v>45927</v>
      </c>
      <c r="D351" t="inlineStr">
        <is>
          <t>UPPSALA LÄN</t>
        </is>
      </c>
      <c r="E351" t="inlineStr">
        <is>
          <t>ÖSTHAMMAR</t>
        </is>
      </c>
      <c r="G351" t="n">
        <v>2.9</v>
      </c>
      <c r="H351" t="n">
        <v>0</v>
      </c>
      <c r="I351" t="n">
        <v>0</v>
      </c>
      <c r="J351" t="n">
        <v>0</v>
      </c>
      <c r="K351" t="n">
        <v>0</v>
      </c>
      <c r="L351" t="n">
        <v>0</v>
      </c>
      <c r="M351" t="n">
        <v>0</v>
      </c>
      <c r="N351" t="n">
        <v>0</v>
      </c>
      <c r="O351" t="n">
        <v>0</v>
      </c>
      <c r="P351" t="n">
        <v>0</v>
      </c>
      <c r="Q351" t="n">
        <v>0</v>
      </c>
      <c r="R351" s="2" t="inlineStr"/>
    </row>
    <row r="352" ht="15" customHeight="1">
      <c r="A352" t="inlineStr">
        <is>
          <t>A 26521-2025</t>
        </is>
      </c>
      <c r="B352" s="1" t="n">
        <v>45807.56275462963</v>
      </c>
      <c r="C352" s="1" t="n">
        <v>45927</v>
      </c>
      <c r="D352" t="inlineStr">
        <is>
          <t>UPPSALA LÄN</t>
        </is>
      </c>
      <c r="E352" t="inlineStr">
        <is>
          <t>ÖSTHAMMAR</t>
        </is>
      </c>
      <c r="G352" t="n">
        <v>1.1</v>
      </c>
      <c r="H352" t="n">
        <v>0</v>
      </c>
      <c r="I352" t="n">
        <v>0</v>
      </c>
      <c r="J352" t="n">
        <v>0</v>
      </c>
      <c r="K352" t="n">
        <v>0</v>
      </c>
      <c r="L352" t="n">
        <v>0</v>
      </c>
      <c r="M352" t="n">
        <v>0</v>
      </c>
      <c r="N352" t="n">
        <v>0</v>
      </c>
      <c r="O352" t="n">
        <v>0</v>
      </c>
      <c r="P352" t="n">
        <v>0</v>
      </c>
      <c r="Q352" t="n">
        <v>0</v>
      </c>
      <c r="R352" s="2" t="inlineStr"/>
    </row>
    <row r="353" ht="15" customHeight="1">
      <c r="A353" t="inlineStr">
        <is>
          <t>A 26526-2025</t>
        </is>
      </c>
      <c r="B353" s="1" t="n">
        <v>45807.56612268519</v>
      </c>
      <c r="C353" s="1" t="n">
        <v>45927</v>
      </c>
      <c r="D353" t="inlineStr">
        <is>
          <t>UPPSALA LÄN</t>
        </is>
      </c>
      <c r="E353" t="inlineStr">
        <is>
          <t>ÖSTHAMMAR</t>
        </is>
      </c>
      <c r="G353" t="n">
        <v>0.7</v>
      </c>
      <c r="H353" t="n">
        <v>0</v>
      </c>
      <c r="I353" t="n">
        <v>0</v>
      </c>
      <c r="J353" t="n">
        <v>0</v>
      </c>
      <c r="K353" t="n">
        <v>0</v>
      </c>
      <c r="L353" t="n">
        <v>0</v>
      </c>
      <c r="M353" t="n">
        <v>0</v>
      </c>
      <c r="N353" t="n">
        <v>0</v>
      </c>
      <c r="O353" t="n">
        <v>0</v>
      </c>
      <c r="P353" t="n">
        <v>0</v>
      </c>
      <c r="Q353" t="n">
        <v>0</v>
      </c>
      <c r="R353" s="2" t="inlineStr"/>
    </row>
    <row r="354" ht="15" customHeight="1">
      <c r="A354" t="inlineStr">
        <is>
          <t>A 59731-2023</t>
        </is>
      </c>
      <c r="B354" s="1" t="n">
        <v>45257</v>
      </c>
      <c r="C354" s="1" t="n">
        <v>45927</v>
      </c>
      <c r="D354" t="inlineStr">
        <is>
          <t>UPPSALA LÄN</t>
        </is>
      </c>
      <c r="E354" t="inlineStr">
        <is>
          <t>ÖSTHAMMAR</t>
        </is>
      </c>
      <c r="G354" t="n">
        <v>0.7</v>
      </c>
      <c r="H354" t="n">
        <v>0</v>
      </c>
      <c r="I354" t="n">
        <v>0</v>
      </c>
      <c r="J354" t="n">
        <v>0</v>
      </c>
      <c r="K354" t="n">
        <v>0</v>
      </c>
      <c r="L354" t="n">
        <v>0</v>
      </c>
      <c r="M354" t="n">
        <v>0</v>
      </c>
      <c r="N354" t="n">
        <v>0</v>
      </c>
      <c r="O354" t="n">
        <v>0</v>
      </c>
      <c r="P354" t="n">
        <v>0</v>
      </c>
      <c r="Q354" t="n">
        <v>0</v>
      </c>
      <c r="R354" s="2" t="inlineStr"/>
    </row>
    <row r="355" ht="15" customHeight="1">
      <c r="A355" t="inlineStr">
        <is>
          <t>A 8904-2025</t>
        </is>
      </c>
      <c r="B355" s="1" t="n">
        <v>45713.41577546296</v>
      </c>
      <c r="C355" s="1" t="n">
        <v>45927</v>
      </c>
      <c r="D355" t="inlineStr">
        <is>
          <t>UPPSALA LÄN</t>
        </is>
      </c>
      <c r="E355" t="inlineStr">
        <is>
          <t>ÖSTHAMMAR</t>
        </is>
      </c>
      <c r="F355" t="inlineStr">
        <is>
          <t>Bergvik skog öst AB</t>
        </is>
      </c>
      <c r="G355" t="n">
        <v>3.1</v>
      </c>
      <c r="H355" t="n">
        <v>0</v>
      </c>
      <c r="I355" t="n">
        <v>0</v>
      </c>
      <c r="J355" t="n">
        <v>0</v>
      </c>
      <c r="K355" t="n">
        <v>0</v>
      </c>
      <c r="L355" t="n">
        <v>0</v>
      </c>
      <c r="M355" t="n">
        <v>0</v>
      </c>
      <c r="N355" t="n">
        <v>0</v>
      </c>
      <c r="O355" t="n">
        <v>0</v>
      </c>
      <c r="P355" t="n">
        <v>0</v>
      </c>
      <c r="Q355" t="n">
        <v>0</v>
      </c>
      <c r="R355" s="2" t="inlineStr"/>
    </row>
    <row r="356" ht="15" customHeight="1">
      <c r="A356" t="inlineStr">
        <is>
          <t>A 65028-2021</t>
        </is>
      </c>
      <c r="B356" s="1" t="n">
        <v>44515</v>
      </c>
      <c r="C356" s="1" t="n">
        <v>45927</v>
      </c>
      <c r="D356" t="inlineStr">
        <is>
          <t>UPPSALA LÄN</t>
        </is>
      </c>
      <c r="E356" t="inlineStr">
        <is>
          <t>ÖSTHAMMAR</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28228-2022</t>
        </is>
      </c>
      <c r="B357" s="1" t="n">
        <v>44746.65873842593</v>
      </c>
      <c r="C357" s="1" t="n">
        <v>45927</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40547-2023</t>
        </is>
      </c>
      <c r="B358" s="1" t="n">
        <v>45170.45050925926</v>
      </c>
      <c r="C358" s="1" t="n">
        <v>45927</v>
      </c>
      <c r="D358" t="inlineStr">
        <is>
          <t>UPPSALA LÄN</t>
        </is>
      </c>
      <c r="E358" t="inlineStr">
        <is>
          <t>ÖSTHAMMAR</t>
        </is>
      </c>
      <c r="G358" t="n">
        <v>2.1</v>
      </c>
      <c r="H358" t="n">
        <v>0</v>
      </c>
      <c r="I358" t="n">
        <v>0</v>
      </c>
      <c r="J358" t="n">
        <v>0</v>
      </c>
      <c r="K358" t="n">
        <v>0</v>
      </c>
      <c r="L358" t="n">
        <v>0</v>
      </c>
      <c r="M358" t="n">
        <v>0</v>
      </c>
      <c r="N358" t="n">
        <v>0</v>
      </c>
      <c r="O358" t="n">
        <v>0</v>
      </c>
      <c r="P358" t="n">
        <v>0</v>
      </c>
      <c r="Q358" t="n">
        <v>0</v>
      </c>
      <c r="R358" s="2" t="inlineStr"/>
    </row>
    <row r="359" ht="15" customHeight="1">
      <c r="A359" t="inlineStr">
        <is>
          <t>A 8874-2025</t>
        </is>
      </c>
      <c r="B359" s="1" t="n">
        <v>45713</v>
      </c>
      <c r="C359" s="1" t="n">
        <v>45927</v>
      </c>
      <c r="D359" t="inlineStr">
        <is>
          <t>UPPSALA LÄN</t>
        </is>
      </c>
      <c r="E359" t="inlineStr">
        <is>
          <t>ÖSTHAMMAR</t>
        </is>
      </c>
      <c r="G359" t="n">
        <v>6.3</v>
      </c>
      <c r="H359" t="n">
        <v>0</v>
      </c>
      <c r="I359" t="n">
        <v>0</v>
      </c>
      <c r="J359" t="n">
        <v>0</v>
      </c>
      <c r="K359" t="n">
        <v>0</v>
      </c>
      <c r="L359" t="n">
        <v>0</v>
      </c>
      <c r="M359" t="n">
        <v>0</v>
      </c>
      <c r="N359" t="n">
        <v>0</v>
      </c>
      <c r="O359" t="n">
        <v>0</v>
      </c>
      <c r="P359" t="n">
        <v>0</v>
      </c>
      <c r="Q359" t="n">
        <v>0</v>
      </c>
      <c r="R359" s="2" t="inlineStr"/>
    </row>
    <row r="360" ht="15" customHeight="1">
      <c r="A360" t="inlineStr">
        <is>
          <t>A 27131-2025</t>
        </is>
      </c>
      <c r="B360" s="1" t="n">
        <v>45811</v>
      </c>
      <c r="C360" s="1" t="n">
        <v>45927</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49831-2023</t>
        </is>
      </c>
      <c r="B361" s="1" t="n">
        <v>45212.71241898148</v>
      </c>
      <c r="C361" s="1" t="n">
        <v>45927</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35316-2024</t>
        </is>
      </c>
      <c r="B362" s="1" t="n">
        <v>45530.68873842592</v>
      </c>
      <c r="C362" s="1" t="n">
        <v>45927</v>
      </c>
      <c r="D362" t="inlineStr">
        <is>
          <t>UPPSALA LÄN</t>
        </is>
      </c>
      <c r="E362" t="inlineStr">
        <is>
          <t>ÖSTHAMMAR</t>
        </is>
      </c>
      <c r="F362" t="inlineStr">
        <is>
          <t>Bergvik skog öst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20072-2025</t>
        </is>
      </c>
      <c r="B363" s="1" t="n">
        <v>45772</v>
      </c>
      <c r="C363" s="1" t="n">
        <v>45927</v>
      </c>
      <c r="D363" t="inlineStr">
        <is>
          <t>UPPSALA LÄN</t>
        </is>
      </c>
      <c r="E363" t="inlineStr">
        <is>
          <t>ÖSTHAMMAR</t>
        </is>
      </c>
      <c r="G363" t="n">
        <v>3.1</v>
      </c>
      <c r="H363" t="n">
        <v>0</v>
      </c>
      <c r="I363" t="n">
        <v>0</v>
      </c>
      <c r="J363" t="n">
        <v>0</v>
      </c>
      <c r="K363" t="n">
        <v>0</v>
      </c>
      <c r="L363" t="n">
        <v>0</v>
      </c>
      <c r="M363" t="n">
        <v>0</v>
      </c>
      <c r="N363" t="n">
        <v>0</v>
      </c>
      <c r="O363" t="n">
        <v>0</v>
      </c>
      <c r="P363" t="n">
        <v>0</v>
      </c>
      <c r="Q363" t="n">
        <v>0</v>
      </c>
      <c r="R363" s="2" t="inlineStr"/>
    </row>
    <row r="364" ht="15" customHeight="1">
      <c r="A364" t="inlineStr">
        <is>
          <t>A 14505-2023</t>
        </is>
      </c>
      <c r="B364" s="1" t="n">
        <v>45012.7975</v>
      </c>
      <c r="C364" s="1" t="n">
        <v>45927</v>
      </c>
      <c r="D364" t="inlineStr">
        <is>
          <t>UPPSALA LÄN</t>
        </is>
      </c>
      <c r="E364" t="inlineStr">
        <is>
          <t>ÖSTHAMMAR</t>
        </is>
      </c>
      <c r="F364" t="inlineStr">
        <is>
          <t>Bergvik skog öst AB</t>
        </is>
      </c>
      <c r="G364" t="n">
        <v>1.1</v>
      </c>
      <c r="H364" t="n">
        <v>0</v>
      </c>
      <c r="I364" t="n">
        <v>0</v>
      </c>
      <c r="J364" t="n">
        <v>0</v>
      </c>
      <c r="K364" t="n">
        <v>0</v>
      </c>
      <c r="L364" t="n">
        <v>0</v>
      </c>
      <c r="M364" t="n">
        <v>0</v>
      </c>
      <c r="N364" t="n">
        <v>0</v>
      </c>
      <c r="O364" t="n">
        <v>0</v>
      </c>
      <c r="P364" t="n">
        <v>0</v>
      </c>
      <c r="Q364" t="n">
        <v>0</v>
      </c>
      <c r="R364" s="2" t="inlineStr"/>
    </row>
    <row r="365" ht="15" customHeight="1">
      <c r="A365" t="inlineStr">
        <is>
          <t>A 45561-2023</t>
        </is>
      </c>
      <c r="B365" s="1" t="n">
        <v>45194.59335648148</v>
      </c>
      <c r="C365" s="1" t="n">
        <v>45927</v>
      </c>
      <c r="D365" t="inlineStr">
        <is>
          <t>UPPSALA LÄN</t>
        </is>
      </c>
      <c r="E365" t="inlineStr">
        <is>
          <t>ÖSTHAMMAR</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27132-2025</t>
        </is>
      </c>
      <c r="B366" s="1" t="n">
        <v>45811</v>
      </c>
      <c r="C366" s="1" t="n">
        <v>45927</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16212-2021</t>
        </is>
      </c>
      <c r="B367" s="1" t="n">
        <v>44287</v>
      </c>
      <c r="C367" s="1" t="n">
        <v>45927</v>
      </c>
      <c r="D367" t="inlineStr">
        <is>
          <t>UPPSALA LÄN</t>
        </is>
      </c>
      <c r="E367" t="inlineStr">
        <is>
          <t>ÖSTHAMMAR</t>
        </is>
      </c>
      <c r="G367" t="n">
        <v>1.6</v>
      </c>
      <c r="H367" t="n">
        <v>0</v>
      </c>
      <c r="I367" t="n">
        <v>0</v>
      </c>
      <c r="J367" t="n">
        <v>0</v>
      </c>
      <c r="K367" t="n">
        <v>0</v>
      </c>
      <c r="L367" t="n">
        <v>0</v>
      </c>
      <c r="M367" t="n">
        <v>0</v>
      </c>
      <c r="N367" t="n">
        <v>0</v>
      </c>
      <c r="O367" t="n">
        <v>0</v>
      </c>
      <c r="P367" t="n">
        <v>0</v>
      </c>
      <c r="Q367" t="n">
        <v>0</v>
      </c>
      <c r="R367" s="2" t="inlineStr"/>
    </row>
    <row r="368" ht="15" customHeight="1">
      <c r="A368" t="inlineStr">
        <is>
          <t>A 27058-2025</t>
        </is>
      </c>
      <c r="B368" s="1" t="n">
        <v>45811.63436342592</v>
      </c>
      <c r="C368" s="1" t="n">
        <v>45927</v>
      </c>
      <c r="D368" t="inlineStr">
        <is>
          <t>UPPSALA LÄN</t>
        </is>
      </c>
      <c r="E368" t="inlineStr">
        <is>
          <t>ÖSTHAMMAR</t>
        </is>
      </c>
      <c r="F368" t="inlineStr">
        <is>
          <t>Bergvik skog öst AB</t>
        </is>
      </c>
      <c r="G368" t="n">
        <v>5.7</v>
      </c>
      <c r="H368" t="n">
        <v>0</v>
      </c>
      <c r="I368" t="n">
        <v>0</v>
      </c>
      <c r="J368" t="n">
        <v>0</v>
      </c>
      <c r="K368" t="n">
        <v>0</v>
      </c>
      <c r="L368" t="n">
        <v>0</v>
      </c>
      <c r="M368" t="n">
        <v>0</v>
      </c>
      <c r="N368" t="n">
        <v>0</v>
      </c>
      <c r="O368" t="n">
        <v>0</v>
      </c>
      <c r="P368" t="n">
        <v>0</v>
      </c>
      <c r="Q368" t="n">
        <v>0</v>
      </c>
      <c r="R368" s="2" t="inlineStr"/>
    </row>
    <row r="369" ht="15" customHeight="1">
      <c r="A369" t="inlineStr">
        <is>
          <t>A 27347-2025</t>
        </is>
      </c>
      <c r="B369" s="1" t="n">
        <v>45812.62390046296</v>
      </c>
      <c r="C369" s="1" t="n">
        <v>45927</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27392-2025</t>
        </is>
      </c>
      <c r="B370" s="1" t="n">
        <v>45812.68268518519</v>
      </c>
      <c r="C370" s="1" t="n">
        <v>45927</v>
      </c>
      <c r="D370" t="inlineStr">
        <is>
          <t>UPPSALA LÄN</t>
        </is>
      </c>
      <c r="E370" t="inlineStr">
        <is>
          <t>ÖSTHAMMAR</t>
        </is>
      </c>
      <c r="F370" t="inlineStr">
        <is>
          <t>Bergvik skog öst AB</t>
        </is>
      </c>
      <c r="G370" t="n">
        <v>2.1</v>
      </c>
      <c r="H370" t="n">
        <v>0</v>
      </c>
      <c r="I370" t="n">
        <v>0</v>
      </c>
      <c r="J370" t="n">
        <v>0</v>
      </c>
      <c r="K370" t="n">
        <v>0</v>
      </c>
      <c r="L370" t="n">
        <v>0</v>
      </c>
      <c r="M370" t="n">
        <v>0</v>
      </c>
      <c r="N370" t="n">
        <v>0</v>
      </c>
      <c r="O370" t="n">
        <v>0</v>
      </c>
      <c r="P370" t="n">
        <v>0</v>
      </c>
      <c r="Q370" t="n">
        <v>0</v>
      </c>
      <c r="R370" s="2" t="inlineStr"/>
    </row>
    <row r="371" ht="15" customHeight="1">
      <c r="A371" t="inlineStr">
        <is>
          <t>A 47341-2023</t>
        </is>
      </c>
      <c r="B371" s="1" t="n">
        <v>45202.55721064815</v>
      </c>
      <c r="C371" s="1" t="n">
        <v>45927</v>
      </c>
      <c r="D371" t="inlineStr">
        <is>
          <t>UPPSALA LÄN</t>
        </is>
      </c>
      <c r="E371" t="inlineStr">
        <is>
          <t>ÖSTHAMMAR</t>
        </is>
      </c>
      <c r="G371" t="n">
        <v>4.9</v>
      </c>
      <c r="H371" t="n">
        <v>0</v>
      </c>
      <c r="I371" t="n">
        <v>0</v>
      </c>
      <c r="J371" t="n">
        <v>0</v>
      </c>
      <c r="K371" t="n">
        <v>0</v>
      </c>
      <c r="L371" t="n">
        <v>0</v>
      </c>
      <c r="M371" t="n">
        <v>0</v>
      </c>
      <c r="N371" t="n">
        <v>0</v>
      </c>
      <c r="O371" t="n">
        <v>0</v>
      </c>
      <c r="P371" t="n">
        <v>0</v>
      </c>
      <c r="Q371" t="n">
        <v>0</v>
      </c>
      <c r="R371" s="2" t="inlineStr"/>
    </row>
    <row r="372" ht="15" customHeight="1">
      <c r="A372" t="inlineStr">
        <is>
          <t>A 11036-2023</t>
        </is>
      </c>
      <c r="B372" s="1" t="n">
        <v>44991.9321412037</v>
      </c>
      <c r="C372" s="1" t="n">
        <v>45927</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3732-2022</t>
        </is>
      </c>
      <c r="B373" s="1" t="n">
        <v>44586.64851851852</v>
      </c>
      <c r="C373" s="1" t="n">
        <v>45927</v>
      </c>
      <c r="D373" t="inlineStr">
        <is>
          <t>UPPSALA LÄN</t>
        </is>
      </c>
      <c r="E373" t="inlineStr">
        <is>
          <t>ÖSTHAMMAR</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27352-2025</t>
        </is>
      </c>
      <c r="B374" s="1" t="n">
        <v>45812.62694444445</v>
      </c>
      <c r="C374" s="1" t="n">
        <v>45927</v>
      </c>
      <c r="D374" t="inlineStr">
        <is>
          <t>UPPSALA LÄN</t>
        </is>
      </c>
      <c r="E374" t="inlineStr">
        <is>
          <t>ÖSTHAMMAR</t>
        </is>
      </c>
      <c r="G374" t="n">
        <v>2.5</v>
      </c>
      <c r="H374" t="n">
        <v>0</v>
      </c>
      <c r="I374" t="n">
        <v>0</v>
      </c>
      <c r="J374" t="n">
        <v>0</v>
      </c>
      <c r="K374" t="n">
        <v>0</v>
      </c>
      <c r="L374" t="n">
        <v>0</v>
      </c>
      <c r="M374" t="n">
        <v>0</v>
      </c>
      <c r="N374" t="n">
        <v>0</v>
      </c>
      <c r="O374" t="n">
        <v>0</v>
      </c>
      <c r="P374" t="n">
        <v>0</v>
      </c>
      <c r="Q374" t="n">
        <v>0</v>
      </c>
      <c r="R374" s="2" t="inlineStr"/>
    </row>
    <row r="375" ht="15" customHeight="1">
      <c r="A375" t="inlineStr">
        <is>
          <t>A 27350-2025</t>
        </is>
      </c>
      <c r="B375" s="1" t="n">
        <v>45812.62571759259</v>
      </c>
      <c r="C375" s="1" t="n">
        <v>45927</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27384-2025</t>
        </is>
      </c>
      <c r="B376" s="1" t="n">
        <v>45812.6672337963</v>
      </c>
      <c r="C376" s="1" t="n">
        <v>45927</v>
      </c>
      <c r="D376" t="inlineStr">
        <is>
          <t>UPPSALA LÄN</t>
        </is>
      </c>
      <c r="E376" t="inlineStr">
        <is>
          <t>ÖSTHAMMAR</t>
        </is>
      </c>
      <c r="G376" t="n">
        <v>1.6</v>
      </c>
      <c r="H376" t="n">
        <v>0</v>
      </c>
      <c r="I376" t="n">
        <v>0</v>
      </c>
      <c r="J376" t="n">
        <v>0</v>
      </c>
      <c r="K376" t="n">
        <v>0</v>
      </c>
      <c r="L376" t="n">
        <v>0</v>
      </c>
      <c r="M376" t="n">
        <v>0</v>
      </c>
      <c r="N376" t="n">
        <v>0</v>
      </c>
      <c r="O376" t="n">
        <v>0</v>
      </c>
      <c r="P376" t="n">
        <v>0</v>
      </c>
      <c r="Q376" t="n">
        <v>0</v>
      </c>
      <c r="R376" s="2" t="inlineStr"/>
    </row>
    <row r="377" ht="15" customHeight="1">
      <c r="A377" t="inlineStr">
        <is>
          <t>A 27383-2025</t>
        </is>
      </c>
      <c r="B377" s="1" t="n">
        <v>45812.66628472223</v>
      </c>
      <c r="C377" s="1" t="n">
        <v>45927</v>
      </c>
      <c r="D377" t="inlineStr">
        <is>
          <t>UPPSALA LÄN</t>
        </is>
      </c>
      <c r="E377" t="inlineStr">
        <is>
          <t>ÖSTHAMMAR</t>
        </is>
      </c>
      <c r="G377" t="n">
        <v>0.7</v>
      </c>
      <c r="H377" t="n">
        <v>0</v>
      </c>
      <c r="I377" t="n">
        <v>0</v>
      </c>
      <c r="J377" t="n">
        <v>0</v>
      </c>
      <c r="K377" t="n">
        <v>0</v>
      </c>
      <c r="L377" t="n">
        <v>0</v>
      </c>
      <c r="M377" t="n">
        <v>0</v>
      </c>
      <c r="N377" t="n">
        <v>0</v>
      </c>
      <c r="O377" t="n">
        <v>0</v>
      </c>
      <c r="P377" t="n">
        <v>0</v>
      </c>
      <c r="Q377" t="n">
        <v>0</v>
      </c>
      <c r="R377" s="2" t="inlineStr"/>
    </row>
    <row r="378" ht="15" customHeight="1">
      <c r="A378" t="inlineStr">
        <is>
          <t>A 27385-2025</t>
        </is>
      </c>
      <c r="B378" s="1" t="n">
        <v>45812.66829861111</v>
      </c>
      <c r="C378" s="1" t="n">
        <v>45927</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27395-2025</t>
        </is>
      </c>
      <c r="B379" s="1" t="n">
        <v>45812.6850462963</v>
      </c>
      <c r="C379" s="1" t="n">
        <v>45927</v>
      </c>
      <c r="D379" t="inlineStr">
        <is>
          <t>UPPSALA LÄN</t>
        </is>
      </c>
      <c r="E379" t="inlineStr">
        <is>
          <t>ÖSTHAMMAR</t>
        </is>
      </c>
      <c r="F379" t="inlineStr">
        <is>
          <t>Bergvik skog öst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27563-2025</t>
        </is>
      </c>
      <c r="B380" s="1" t="n">
        <v>45813.48471064815</v>
      </c>
      <c r="C380" s="1" t="n">
        <v>45927</v>
      </c>
      <c r="D380" t="inlineStr">
        <is>
          <t>UPPSALA LÄN</t>
        </is>
      </c>
      <c r="E380" t="inlineStr">
        <is>
          <t>ÖSTHAMMAR</t>
        </is>
      </c>
      <c r="F380" t="inlineStr">
        <is>
          <t>Bergvik skog öst AB</t>
        </is>
      </c>
      <c r="G380" t="n">
        <v>4</v>
      </c>
      <c r="H380" t="n">
        <v>0</v>
      </c>
      <c r="I380" t="n">
        <v>0</v>
      </c>
      <c r="J380" t="n">
        <v>0</v>
      </c>
      <c r="K380" t="n">
        <v>0</v>
      </c>
      <c r="L380" t="n">
        <v>0</v>
      </c>
      <c r="M380" t="n">
        <v>0</v>
      </c>
      <c r="N380" t="n">
        <v>0</v>
      </c>
      <c r="O380" t="n">
        <v>0</v>
      </c>
      <c r="P380" t="n">
        <v>0</v>
      </c>
      <c r="Q380" t="n">
        <v>0</v>
      </c>
      <c r="R380" s="2" t="inlineStr"/>
    </row>
    <row r="381" ht="15" customHeight="1">
      <c r="A381" t="inlineStr">
        <is>
          <t>A 33056-2021</t>
        </is>
      </c>
      <c r="B381" s="1" t="n">
        <v>44376.52438657408</v>
      </c>
      <c r="C381" s="1" t="n">
        <v>45927</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32884-2024</t>
        </is>
      </c>
      <c r="B382" s="1" t="n">
        <v>45516.72097222223</v>
      </c>
      <c r="C382" s="1" t="n">
        <v>45927</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45927</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6206-2022</t>
        </is>
      </c>
      <c r="B384" s="1" t="n">
        <v>44600.35755787037</v>
      </c>
      <c r="C384" s="1" t="n">
        <v>45927</v>
      </c>
      <c r="D384" t="inlineStr">
        <is>
          <t>UPPSALA LÄN</t>
        </is>
      </c>
      <c r="E384" t="inlineStr">
        <is>
          <t>ÖSTHAMMAR</t>
        </is>
      </c>
      <c r="G384" t="n">
        <v>7.4</v>
      </c>
      <c r="H384" t="n">
        <v>0</v>
      </c>
      <c r="I384" t="n">
        <v>0</v>
      </c>
      <c r="J384" t="n">
        <v>0</v>
      </c>
      <c r="K384" t="n">
        <v>0</v>
      </c>
      <c r="L384" t="n">
        <v>0</v>
      </c>
      <c r="M384" t="n">
        <v>0</v>
      </c>
      <c r="N384" t="n">
        <v>0</v>
      </c>
      <c r="O384" t="n">
        <v>0</v>
      </c>
      <c r="P384" t="n">
        <v>0</v>
      </c>
      <c r="Q384" t="n">
        <v>0</v>
      </c>
      <c r="R384" s="2" t="inlineStr"/>
    </row>
    <row r="385" ht="15" customHeight="1">
      <c r="A385" t="inlineStr">
        <is>
          <t>A 27919-2025</t>
        </is>
      </c>
      <c r="B385" s="1" t="n">
        <v>45817.48384259259</v>
      </c>
      <c r="C385" s="1" t="n">
        <v>45927</v>
      </c>
      <c r="D385" t="inlineStr">
        <is>
          <t>UPPSALA LÄN</t>
        </is>
      </c>
      <c r="E385" t="inlineStr">
        <is>
          <t>ÖSTHAMMAR</t>
        </is>
      </c>
      <c r="F385" t="inlineStr">
        <is>
          <t>Bergvik skog öst AB</t>
        </is>
      </c>
      <c r="G385" t="n">
        <v>3.5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44533.44887731481</v>
      </c>
      <c r="C386" s="1" t="n">
        <v>45927</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73982-2021</t>
        </is>
      </c>
      <c r="B387" s="1" t="n">
        <v>44555.80339120371</v>
      </c>
      <c r="C387" s="1" t="n">
        <v>45927</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27853-2025</t>
        </is>
      </c>
      <c r="B388" s="1" t="n">
        <v>45817.40178240741</v>
      </c>
      <c r="C388" s="1" t="n">
        <v>45927</v>
      </c>
      <c r="D388" t="inlineStr">
        <is>
          <t>UPPSALA LÄN</t>
        </is>
      </c>
      <c r="E388" t="inlineStr">
        <is>
          <t>ÖSTHAMMAR</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27812-2025</t>
        </is>
      </c>
      <c r="B389" s="1" t="n">
        <v>45817.32150462963</v>
      </c>
      <c r="C389" s="1" t="n">
        <v>45927</v>
      </c>
      <c r="D389" t="inlineStr">
        <is>
          <t>UPPSALA LÄN</t>
        </is>
      </c>
      <c r="E389" t="inlineStr">
        <is>
          <t>ÖSTHAMMAR</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27920-2025</t>
        </is>
      </c>
      <c r="B390" s="1" t="n">
        <v>45817.48454861111</v>
      </c>
      <c r="C390" s="1" t="n">
        <v>45927</v>
      </c>
      <c r="D390" t="inlineStr">
        <is>
          <t>UPPSALA LÄN</t>
        </is>
      </c>
      <c r="E390" t="inlineStr">
        <is>
          <t>ÖSTHAMMAR</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25269-2024</t>
        </is>
      </c>
      <c r="B391" s="1" t="n">
        <v>45462</v>
      </c>
      <c r="C391" s="1" t="n">
        <v>45927</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8330-2025</t>
        </is>
      </c>
      <c r="B392" s="1" t="n">
        <v>45708</v>
      </c>
      <c r="C392" s="1" t="n">
        <v>45927</v>
      </c>
      <c r="D392" t="inlineStr">
        <is>
          <t>UPPSALA LÄN</t>
        </is>
      </c>
      <c r="E392" t="inlineStr">
        <is>
          <t>ÖSTHAMMAR</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4984-2024</t>
        </is>
      </c>
      <c r="B393" s="1" t="n">
        <v>45329</v>
      </c>
      <c r="C393" s="1" t="n">
        <v>45927</v>
      </c>
      <c r="D393" t="inlineStr">
        <is>
          <t>UPPSALA LÄN</t>
        </is>
      </c>
      <c r="E393" t="inlineStr">
        <is>
          <t>ÖSTHAMMAR</t>
        </is>
      </c>
      <c r="G393" t="n">
        <v>2.2</v>
      </c>
      <c r="H393" t="n">
        <v>0</v>
      </c>
      <c r="I393" t="n">
        <v>0</v>
      </c>
      <c r="J393" t="n">
        <v>0</v>
      </c>
      <c r="K393" t="n">
        <v>0</v>
      </c>
      <c r="L393" t="n">
        <v>0</v>
      </c>
      <c r="M393" t="n">
        <v>0</v>
      </c>
      <c r="N393" t="n">
        <v>0</v>
      </c>
      <c r="O393" t="n">
        <v>0</v>
      </c>
      <c r="P393" t="n">
        <v>0</v>
      </c>
      <c r="Q393" t="n">
        <v>0</v>
      </c>
      <c r="R393" s="2" t="inlineStr"/>
    </row>
    <row r="394" ht="15" customHeight="1">
      <c r="A394" t="inlineStr">
        <is>
          <t>A 13352-2023</t>
        </is>
      </c>
      <c r="B394" s="1" t="n">
        <v>45005</v>
      </c>
      <c r="C394" s="1" t="n">
        <v>45927</v>
      </c>
      <c r="D394" t="inlineStr">
        <is>
          <t>UPPSALA LÄN</t>
        </is>
      </c>
      <c r="E394" t="inlineStr">
        <is>
          <t>ÖSTHAMMAR</t>
        </is>
      </c>
      <c r="G394" t="n">
        <v>1.8</v>
      </c>
      <c r="H394" t="n">
        <v>0</v>
      </c>
      <c r="I394" t="n">
        <v>0</v>
      </c>
      <c r="J394" t="n">
        <v>0</v>
      </c>
      <c r="K394" t="n">
        <v>0</v>
      </c>
      <c r="L394" t="n">
        <v>0</v>
      </c>
      <c r="M394" t="n">
        <v>0</v>
      </c>
      <c r="N394" t="n">
        <v>0</v>
      </c>
      <c r="O394" t="n">
        <v>0</v>
      </c>
      <c r="P394" t="n">
        <v>0</v>
      </c>
      <c r="Q394" t="n">
        <v>0</v>
      </c>
      <c r="R394" s="2" t="inlineStr"/>
    </row>
    <row r="395" ht="15" customHeight="1">
      <c r="A395" t="inlineStr">
        <is>
          <t>A 27509-2025</t>
        </is>
      </c>
      <c r="B395" s="1" t="n">
        <v>45813.4278125</v>
      </c>
      <c r="C395" s="1" t="n">
        <v>45927</v>
      </c>
      <c r="D395" t="inlineStr">
        <is>
          <t>UPPSALA LÄN</t>
        </is>
      </c>
      <c r="E395" t="inlineStr">
        <is>
          <t>ÖSTHAMMAR</t>
        </is>
      </c>
      <c r="F395" t="inlineStr">
        <is>
          <t>Bergvik skog öst AB</t>
        </is>
      </c>
      <c r="G395" t="n">
        <v>3.3</v>
      </c>
      <c r="H395" t="n">
        <v>0</v>
      </c>
      <c r="I395" t="n">
        <v>0</v>
      </c>
      <c r="J395" t="n">
        <v>0</v>
      </c>
      <c r="K395" t="n">
        <v>0</v>
      </c>
      <c r="L395" t="n">
        <v>0</v>
      </c>
      <c r="M395" t="n">
        <v>0</v>
      </c>
      <c r="N395" t="n">
        <v>0</v>
      </c>
      <c r="O395" t="n">
        <v>0</v>
      </c>
      <c r="P395" t="n">
        <v>0</v>
      </c>
      <c r="Q395" t="n">
        <v>0</v>
      </c>
      <c r="R395" s="2" t="inlineStr"/>
    </row>
    <row r="396" ht="15" customHeight="1">
      <c r="A396" t="inlineStr">
        <is>
          <t>A 22804-2022</t>
        </is>
      </c>
      <c r="B396" s="1" t="n">
        <v>44715</v>
      </c>
      <c r="C396" s="1" t="n">
        <v>45927</v>
      </c>
      <c r="D396" t="inlineStr">
        <is>
          <t>UPPSALA LÄN</t>
        </is>
      </c>
      <c r="E396" t="inlineStr">
        <is>
          <t>ÖSTHAMMAR</t>
        </is>
      </c>
      <c r="G396" t="n">
        <v>2.7</v>
      </c>
      <c r="H396" t="n">
        <v>0</v>
      </c>
      <c r="I396" t="n">
        <v>0</v>
      </c>
      <c r="J396" t="n">
        <v>0</v>
      </c>
      <c r="K396" t="n">
        <v>0</v>
      </c>
      <c r="L396" t="n">
        <v>0</v>
      </c>
      <c r="M396" t="n">
        <v>0</v>
      </c>
      <c r="N396" t="n">
        <v>0</v>
      </c>
      <c r="O396" t="n">
        <v>0</v>
      </c>
      <c r="P396" t="n">
        <v>0</v>
      </c>
      <c r="Q396" t="n">
        <v>0</v>
      </c>
      <c r="R396" s="2" t="inlineStr"/>
    </row>
    <row r="397" ht="15" customHeight="1">
      <c r="A397" t="inlineStr">
        <is>
          <t>A 21624-2023</t>
        </is>
      </c>
      <c r="B397" s="1" t="n">
        <v>45063.65543981481</v>
      </c>
      <c r="C397" s="1" t="n">
        <v>45927</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41996-2024</t>
        </is>
      </c>
      <c r="B398" s="1" t="n">
        <v>45561</v>
      </c>
      <c r="C398" s="1" t="n">
        <v>45927</v>
      </c>
      <c r="D398" t="inlineStr">
        <is>
          <t>UPPSALA LÄN</t>
        </is>
      </c>
      <c r="E398" t="inlineStr">
        <is>
          <t>ÖSTHAMMAR</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45795-2023</t>
        </is>
      </c>
      <c r="B399" s="1" t="n">
        <v>45195</v>
      </c>
      <c r="C399" s="1" t="n">
        <v>45927</v>
      </c>
      <c r="D399" t="inlineStr">
        <is>
          <t>UPPSALA LÄN</t>
        </is>
      </c>
      <c r="E399" t="inlineStr">
        <is>
          <t>ÖSTHAMMAR</t>
        </is>
      </c>
      <c r="G399" t="n">
        <v>4</v>
      </c>
      <c r="H399" t="n">
        <v>0</v>
      </c>
      <c r="I399" t="n">
        <v>0</v>
      </c>
      <c r="J399" t="n">
        <v>0</v>
      </c>
      <c r="K399" t="n">
        <v>0</v>
      </c>
      <c r="L399" t="n">
        <v>0</v>
      </c>
      <c r="M399" t="n">
        <v>0</v>
      </c>
      <c r="N399" t="n">
        <v>0</v>
      </c>
      <c r="O399" t="n">
        <v>0</v>
      </c>
      <c r="P399" t="n">
        <v>0</v>
      </c>
      <c r="Q399" t="n">
        <v>0</v>
      </c>
      <c r="R399" s="2" t="inlineStr"/>
    </row>
    <row r="400" ht="15" customHeight="1">
      <c r="A400" t="inlineStr">
        <is>
          <t>A 20326-2021</t>
        </is>
      </c>
      <c r="B400" s="1" t="n">
        <v>44308</v>
      </c>
      <c r="C400" s="1" t="n">
        <v>45927</v>
      </c>
      <c r="D400" t="inlineStr">
        <is>
          <t>UPPSALA LÄN</t>
        </is>
      </c>
      <c r="E400" t="inlineStr">
        <is>
          <t>ÖSTHAMMAR</t>
        </is>
      </c>
      <c r="G400" t="n">
        <v>7</v>
      </c>
      <c r="H400" t="n">
        <v>0</v>
      </c>
      <c r="I400" t="n">
        <v>0</v>
      </c>
      <c r="J400" t="n">
        <v>0</v>
      </c>
      <c r="K400" t="n">
        <v>0</v>
      </c>
      <c r="L400" t="n">
        <v>0</v>
      </c>
      <c r="M400" t="n">
        <v>0</v>
      </c>
      <c r="N400" t="n">
        <v>0</v>
      </c>
      <c r="O400" t="n">
        <v>0</v>
      </c>
      <c r="P400" t="n">
        <v>0</v>
      </c>
      <c r="Q400" t="n">
        <v>0</v>
      </c>
      <c r="R400" s="2" t="inlineStr"/>
    </row>
    <row r="401" ht="15" customHeight="1">
      <c r="A401" t="inlineStr">
        <is>
          <t>A 28442-2025</t>
        </is>
      </c>
      <c r="B401" s="1" t="n">
        <v>45819</v>
      </c>
      <c r="C401" s="1" t="n">
        <v>45927</v>
      </c>
      <c r="D401" t="inlineStr">
        <is>
          <t>UPPSALA LÄN</t>
        </is>
      </c>
      <c r="E401" t="inlineStr">
        <is>
          <t>ÖSTHAMMAR</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23742-2024</t>
        </is>
      </c>
      <c r="B402" s="1" t="n">
        <v>45455</v>
      </c>
      <c r="C402" s="1" t="n">
        <v>45927</v>
      </c>
      <c r="D402" t="inlineStr">
        <is>
          <t>UPPSALA LÄN</t>
        </is>
      </c>
      <c r="E402" t="inlineStr">
        <is>
          <t>ÖSTHAMMAR</t>
        </is>
      </c>
      <c r="F402" t="inlineStr">
        <is>
          <t>Bergvik skog öst AB</t>
        </is>
      </c>
      <c r="G402" t="n">
        <v>2.2</v>
      </c>
      <c r="H402" t="n">
        <v>0</v>
      </c>
      <c r="I402" t="n">
        <v>0</v>
      </c>
      <c r="J402" t="n">
        <v>0</v>
      </c>
      <c r="K402" t="n">
        <v>0</v>
      </c>
      <c r="L402" t="n">
        <v>0</v>
      </c>
      <c r="M402" t="n">
        <v>0</v>
      </c>
      <c r="N402" t="n">
        <v>0</v>
      </c>
      <c r="O402" t="n">
        <v>0</v>
      </c>
      <c r="P402" t="n">
        <v>0</v>
      </c>
      <c r="Q402" t="n">
        <v>0</v>
      </c>
      <c r="R402" s="2" t="inlineStr"/>
    </row>
    <row r="403" ht="15" customHeight="1">
      <c r="A403" t="inlineStr">
        <is>
          <t>A 28101-2025</t>
        </is>
      </c>
      <c r="B403" s="1" t="n">
        <v>45817.83736111111</v>
      </c>
      <c r="C403" s="1" t="n">
        <v>45927</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28100-2025</t>
        </is>
      </c>
      <c r="B404" s="1" t="n">
        <v>45817.83487268518</v>
      </c>
      <c r="C404" s="1" t="n">
        <v>45927</v>
      </c>
      <c r="D404" t="inlineStr">
        <is>
          <t>UPPSALA LÄN</t>
        </is>
      </c>
      <c r="E404" t="inlineStr">
        <is>
          <t>ÖSTHAMMAR</t>
        </is>
      </c>
      <c r="F404" t="inlineStr">
        <is>
          <t>Bergvik skog öst AB</t>
        </is>
      </c>
      <c r="G404" t="n">
        <v>3.2</v>
      </c>
      <c r="H404" t="n">
        <v>0</v>
      </c>
      <c r="I404" t="n">
        <v>0</v>
      </c>
      <c r="J404" t="n">
        <v>0</v>
      </c>
      <c r="K404" t="n">
        <v>0</v>
      </c>
      <c r="L404" t="n">
        <v>0</v>
      </c>
      <c r="M404" t="n">
        <v>0</v>
      </c>
      <c r="N404" t="n">
        <v>0</v>
      </c>
      <c r="O404" t="n">
        <v>0</v>
      </c>
      <c r="P404" t="n">
        <v>0</v>
      </c>
      <c r="Q404" t="n">
        <v>0</v>
      </c>
      <c r="R404" s="2" t="inlineStr"/>
    </row>
    <row r="405" ht="15" customHeight="1">
      <c r="A405" t="inlineStr">
        <is>
          <t>A 28099-2025</t>
        </is>
      </c>
      <c r="B405" s="1" t="n">
        <v>45817.82967592592</v>
      </c>
      <c r="C405" s="1" t="n">
        <v>45927</v>
      </c>
      <c r="D405" t="inlineStr">
        <is>
          <t>UPPSALA LÄN</t>
        </is>
      </c>
      <c r="E405" t="inlineStr">
        <is>
          <t>ÖSTHAMMAR</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23728-2025</t>
        </is>
      </c>
      <c r="B406" s="1" t="n">
        <v>45793.41719907407</v>
      </c>
      <c r="C406" s="1" t="n">
        <v>45927</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6106-2024</t>
        </is>
      </c>
      <c r="B407" s="1" t="n">
        <v>45337.36831018519</v>
      </c>
      <c r="C407" s="1" t="n">
        <v>45927</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45927</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21478-2023</t>
        </is>
      </c>
      <c r="B409" s="1" t="n">
        <v>45063.47773148148</v>
      </c>
      <c r="C409" s="1" t="n">
        <v>45927</v>
      </c>
      <c r="D409" t="inlineStr">
        <is>
          <t>UPPSALA LÄN</t>
        </is>
      </c>
      <c r="E409" t="inlineStr">
        <is>
          <t>ÖSTHAMMAR</t>
        </is>
      </c>
      <c r="G409" t="n">
        <v>0.4</v>
      </c>
      <c r="H409" t="n">
        <v>0</v>
      </c>
      <c r="I409" t="n">
        <v>0</v>
      </c>
      <c r="J409" t="n">
        <v>0</v>
      </c>
      <c r="K409" t="n">
        <v>0</v>
      </c>
      <c r="L409" t="n">
        <v>0</v>
      </c>
      <c r="M409" t="n">
        <v>0</v>
      </c>
      <c r="N409" t="n">
        <v>0</v>
      </c>
      <c r="O409" t="n">
        <v>0</v>
      </c>
      <c r="P409" t="n">
        <v>0</v>
      </c>
      <c r="Q409" t="n">
        <v>0</v>
      </c>
      <c r="R409" s="2" t="inlineStr"/>
    </row>
    <row r="410" ht="15" customHeight="1">
      <c r="A410" t="inlineStr">
        <is>
          <t>A 28745-2025</t>
        </is>
      </c>
      <c r="B410" s="1" t="n">
        <v>45820.39076388889</v>
      </c>
      <c r="C410" s="1" t="n">
        <v>45927</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28748-2025</t>
        </is>
      </c>
      <c r="B411" s="1" t="n">
        <v>45820.39540509259</v>
      </c>
      <c r="C411" s="1" t="n">
        <v>45927</v>
      </c>
      <c r="D411" t="inlineStr">
        <is>
          <t>UPPSALA LÄN</t>
        </is>
      </c>
      <c r="E411" t="inlineStr">
        <is>
          <t>ÖSTHAMMAR</t>
        </is>
      </c>
      <c r="G411" t="n">
        <v>2</v>
      </c>
      <c r="H411" t="n">
        <v>0</v>
      </c>
      <c r="I411" t="n">
        <v>0</v>
      </c>
      <c r="J411" t="n">
        <v>0</v>
      </c>
      <c r="K411" t="n">
        <v>0</v>
      </c>
      <c r="L411" t="n">
        <v>0</v>
      </c>
      <c r="M411" t="n">
        <v>0</v>
      </c>
      <c r="N411" t="n">
        <v>0</v>
      </c>
      <c r="O411" t="n">
        <v>0</v>
      </c>
      <c r="P411" t="n">
        <v>0</v>
      </c>
      <c r="Q411" t="n">
        <v>0</v>
      </c>
      <c r="R411" s="2" t="inlineStr"/>
    </row>
    <row r="412" ht="15" customHeight="1">
      <c r="A412" t="inlineStr">
        <is>
          <t>A 65020-2021</t>
        </is>
      </c>
      <c r="B412" s="1" t="n">
        <v>44515</v>
      </c>
      <c r="C412" s="1" t="n">
        <v>45927</v>
      </c>
      <c r="D412" t="inlineStr">
        <is>
          <t>UPPSALA LÄN</t>
        </is>
      </c>
      <c r="E412" t="inlineStr">
        <is>
          <t>ÖSTHAMMAR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37568-2022</t>
        </is>
      </c>
      <c r="B413" s="1" t="n">
        <v>44809</v>
      </c>
      <c r="C413" s="1" t="n">
        <v>45927</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67199-2021</t>
        </is>
      </c>
      <c r="B414" s="1" t="n">
        <v>44523.46197916667</v>
      </c>
      <c r="C414" s="1" t="n">
        <v>45927</v>
      </c>
      <c r="D414" t="inlineStr">
        <is>
          <t>UPPSALA LÄN</t>
        </is>
      </c>
      <c r="E414" t="inlineStr">
        <is>
          <t>ÖSTHAMMAR</t>
        </is>
      </c>
      <c r="G414" t="n">
        <v>2.3</v>
      </c>
      <c r="H414" t="n">
        <v>0</v>
      </c>
      <c r="I414" t="n">
        <v>0</v>
      </c>
      <c r="J414" t="n">
        <v>0</v>
      </c>
      <c r="K414" t="n">
        <v>0</v>
      </c>
      <c r="L414" t="n">
        <v>0</v>
      </c>
      <c r="M414" t="n">
        <v>0</v>
      </c>
      <c r="N414" t="n">
        <v>0</v>
      </c>
      <c r="O414" t="n">
        <v>0</v>
      </c>
      <c r="P414" t="n">
        <v>0</v>
      </c>
      <c r="Q414" t="n">
        <v>0</v>
      </c>
      <c r="R414" s="2" t="inlineStr"/>
    </row>
    <row r="415" ht="15" customHeight="1">
      <c r="A415" t="inlineStr">
        <is>
          <t>A 2085-2022</t>
        </is>
      </c>
      <c r="B415" s="1" t="n">
        <v>44576.78626157407</v>
      </c>
      <c r="C415" s="1" t="n">
        <v>45927</v>
      </c>
      <c r="D415" t="inlineStr">
        <is>
          <t>UPPSALA LÄN</t>
        </is>
      </c>
      <c r="E415" t="inlineStr">
        <is>
          <t>ÖSTHAMMAR</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15449-2022</t>
        </is>
      </c>
      <c r="B416" s="1" t="n">
        <v>44660.91659722223</v>
      </c>
      <c r="C416" s="1" t="n">
        <v>45927</v>
      </c>
      <c r="D416" t="inlineStr">
        <is>
          <t>UPPSALA LÄN</t>
        </is>
      </c>
      <c r="E416" t="inlineStr">
        <is>
          <t>ÖSTHAMMAR</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31479-2023</t>
        </is>
      </c>
      <c r="B417" s="1" t="n">
        <v>45114.79793981482</v>
      </c>
      <c r="C417" s="1" t="n">
        <v>45927</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29024-2025</t>
        </is>
      </c>
      <c r="B418" s="1" t="n">
        <v>45821.43233796296</v>
      </c>
      <c r="C418" s="1" t="n">
        <v>45927</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29031-2025</t>
        </is>
      </c>
      <c r="B419" s="1" t="n">
        <v>45821.44159722222</v>
      </c>
      <c r="C419" s="1" t="n">
        <v>45927</v>
      </c>
      <c r="D419" t="inlineStr">
        <is>
          <t>UPPSALA LÄN</t>
        </is>
      </c>
      <c r="E419" t="inlineStr">
        <is>
          <t>ÖSTHAMMAR</t>
        </is>
      </c>
      <c r="F419" t="inlineStr">
        <is>
          <t>Bergvik skog öst AB</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74436-2021</t>
        </is>
      </c>
      <c r="B420" s="1" t="n">
        <v>44560.4502199074</v>
      </c>
      <c r="C420" s="1" t="n">
        <v>45927</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18183-2022</t>
        </is>
      </c>
      <c r="B421" s="1" t="n">
        <v>44684</v>
      </c>
      <c r="C421" s="1" t="n">
        <v>45927</v>
      </c>
      <c r="D421" t="inlineStr">
        <is>
          <t>UPPSALA LÄN</t>
        </is>
      </c>
      <c r="E421" t="inlineStr">
        <is>
          <t>ÖSTHAMMAR</t>
        </is>
      </c>
      <c r="G421" t="n">
        <v>0.2</v>
      </c>
      <c r="H421" t="n">
        <v>0</v>
      </c>
      <c r="I421" t="n">
        <v>0</v>
      </c>
      <c r="J421" t="n">
        <v>0</v>
      </c>
      <c r="K421" t="n">
        <v>0</v>
      </c>
      <c r="L421" t="n">
        <v>0</v>
      </c>
      <c r="M421" t="n">
        <v>0</v>
      </c>
      <c r="N421" t="n">
        <v>0</v>
      </c>
      <c r="O421" t="n">
        <v>0</v>
      </c>
      <c r="P421" t="n">
        <v>0</v>
      </c>
      <c r="Q421" t="n">
        <v>0</v>
      </c>
      <c r="R421" s="2" t="inlineStr"/>
    </row>
    <row r="422" ht="15" customHeight="1">
      <c r="A422" t="inlineStr">
        <is>
          <t>A 28739-2025</t>
        </is>
      </c>
      <c r="B422" s="1" t="n">
        <v>45820</v>
      </c>
      <c r="C422" s="1" t="n">
        <v>45927</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55389-2020</t>
        </is>
      </c>
      <c r="B423" s="1" t="n">
        <v>44131.38030092593</v>
      </c>
      <c r="C423" s="1" t="n">
        <v>45927</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6892-2022</t>
        </is>
      </c>
      <c r="B424" s="1" t="n">
        <v>44602</v>
      </c>
      <c r="C424" s="1" t="n">
        <v>45927</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62295-2022</t>
        </is>
      </c>
      <c r="B425" s="1" t="n">
        <v>44916</v>
      </c>
      <c r="C425" s="1" t="n">
        <v>45927</v>
      </c>
      <c r="D425" t="inlineStr">
        <is>
          <t>UPPSALA LÄN</t>
        </is>
      </c>
      <c r="E425" t="inlineStr">
        <is>
          <t>ÖSTHAMMAR</t>
        </is>
      </c>
      <c r="G425" t="n">
        <v>3.3</v>
      </c>
      <c r="H425" t="n">
        <v>0</v>
      </c>
      <c r="I425" t="n">
        <v>0</v>
      </c>
      <c r="J425" t="n">
        <v>0</v>
      </c>
      <c r="K425" t="n">
        <v>0</v>
      </c>
      <c r="L425" t="n">
        <v>0</v>
      </c>
      <c r="M425" t="n">
        <v>0</v>
      </c>
      <c r="N425" t="n">
        <v>0</v>
      </c>
      <c r="O425" t="n">
        <v>0</v>
      </c>
      <c r="P425" t="n">
        <v>0</v>
      </c>
      <c r="Q425" t="n">
        <v>0</v>
      </c>
      <c r="R425" s="2" t="inlineStr"/>
    </row>
    <row r="426" ht="15" customHeight="1">
      <c r="A426" t="inlineStr">
        <is>
          <t>A 8830-2023</t>
        </is>
      </c>
      <c r="B426" s="1" t="n">
        <v>44978</v>
      </c>
      <c r="C426" s="1" t="n">
        <v>45927</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1238-2022</t>
        </is>
      </c>
      <c r="B427" s="1" t="n">
        <v>44572.5827662037</v>
      </c>
      <c r="C427" s="1" t="n">
        <v>45927</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29028-2025</t>
        </is>
      </c>
      <c r="B428" s="1" t="n">
        <v>45821.4384375</v>
      </c>
      <c r="C428" s="1" t="n">
        <v>45927</v>
      </c>
      <c r="D428" t="inlineStr">
        <is>
          <t>UPPSALA LÄN</t>
        </is>
      </c>
      <c r="E428" t="inlineStr">
        <is>
          <t>ÖSTHAMMAR</t>
        </is>
      </c>
      <c r="F428" t="inlineStr">
        <is>
          <t>Bergvik skog öst AB</t>
        </is>
      </c>
      <c r="G428" t="n">
        <v>1.7</v>
      </c>
      <c r="H428" t="n">
        <v>0</v>
      </c>
      <c r="I428" t="n">
        <v>0</v>
      </c>
      <c r="J428" t="n">
        <v>0</v>
      </c>
      <c r="K428" t="n">
        <v>0</v>
      </c>
      <c r="L428" t="n">
        <v>0</v>
      </c>
      <c r="M428" t="n">
        <v>0</v>
      </c>
      <c r="N428" t="n">
        <v>0</v>
      </c>
      <c r="O428" t="n">
        <v>0</v>
      </c>
      <c r="P428" t="n">
        <v>0</v>
      </c>
      <c r="Q428" t="n">
        <v>0</v>
      </c>
      <c r="R428" s="2" t="inlineStr"/>
    </row>
    <row r="429" ht="15" customHeight="1">
      <c r="A429" t="inlineStr">
        <is>
          <t>A 38003-2024</t>
        </is>
      </c>
      <c r="B429" s="1" t="n">
        <v>45544</v>
      </c>
      <c r="C429" s="1" t="n">
        <v>45927</v>
      </c>
      <c r="D429" t="inlineStr">
        <is>
          <t>UPPSALA LÄN</t>
        </is>
      </c>
      <c r="E429" t="inlineStr">
        <is>
          <t>ÖSTHAMMAR</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25252-2024</t>
        </is>
      </c>
      <c r="B430" s="1" t="n">
        <v>45462</v>
      </c>
      <c r="C430" s="1" t="n">
        <v>45927</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16531-2025</t>
        </is>
      </c>
      <c r="B431" s="1" t="n">
        <v>45751</v>
      </c>
      <c r="C431" s="1" t="n">
        <v>45927</v>
      </c>
      <c r="D431" t="inlineStr">
        <is>
          <t>UPPSALA LÄN</t>
        </is>
      </c>
      <c r="E431" t="inlineStr">
        <is>
          <t>ÖSTHAMMAR</t>
        </is>
      </c>
      <c r="G431" t="n">
        <v>3.3</v>
      </c>
      <c r="H431" t="n">
        <v>0</v>
      </c>
      <c r="I431" t="n">
        <v>0</v>
      </c>
      <c r="J431" t="n">
        <v>0</v>
      </c>
      <c r="K431" t="n">
        <v>0</v>
      </c>
      <c r="L431" t="n">
        <v>0</v>
      </c>
      <c r="M431" t="n">
        <v>0</v>
      </c>
      <c r="N431" t="n">
        <v>0</v>
      </c>
      <c r="O431" t="n">
        <v>0</v>
      </c>
      <c r="P431" t="n">
        <v>0</v>
      </c>
      <c r="Q431" t="n">
        <v>0</v>
      </c>
      <c r="R431" s="2" t="inlineStr"/>
    </row>
    <row r="432" ht="15" customHeight="1">
      <c r="A432" t="inlineStr">
        <is>
          <t>A 18091-2023</t>
        </is>
      </c>
      <c r="B432" s="1" t="n">
        <v>45040</v>
      </c>
      <c r="C432" s="1" t="n">
        <v>45927</v>
      </c>
      <c r="D432" t="inlineStr">
        <is>
          <t>UPPSALA LÄN</t>
        </is>
      </c>
      <c r="E432" t="inlineStr">
        <is>
          <t>ÖSTHAMMAR</t>
        </is>
      </c>
      <c r="G432" t="n">
        <v>2.4</v>
      </c>
      <c r="H432" t="n">
        <v>0</v>
      </c>
      <c r="I432" t="n">
        <v>0</v>
      </c>
      <c r="J432" t="n">
        <v>0</v>
      </c>
      <c r="K432" t="n">
        <v>0</v>
      </c>
      <c r="L432" t="n">
        <v>0</v>
      </c>
      <c r="M432" t="n">
        <v>0</v>
      </c>
      <c r="N432" t="n">
        <v>0</v>
      </c>
      <c r="O432" t="n">
        <v>0</v>
      </c>
      <c r="P432" t="n">
        <v>0</v>
      </c>
      <c r="Q432" t="n">
        <v>0</v>
      </c>
      <c r="R432" s="2" t="inlineStr"/>
    </row>
    <row r="433" ht="15" customHeight="1">
      <c r="A433" t="inlineStr">
        <is>
          <t>A 47522-2023</t>
        </is>
      </c>
      <c r="B433" s="1" t="n">
        <v>45203</v>
      </c>
      <c r="C433" s="1" t="n">
        <v>45927</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13358-2024</t>
        </is>
      </c>
      <c r="B434" s="1" t="n">
        <v>45387.3503125</v>
      </c>
      <c r="C434" s="1" t="n">
        <v>45927</v>
      </c>
      <c r="D434" t="inlineStr">
        <is>
          <t>UPPSALA LÄN</t>
        </is>
      </c>
      <c r="E434" t="inlineStr">
        <is>
          <t>ÖSTHAMMAR</t>
        </is>
      </c>
      <c r="G434" t="n">
        <v>2.2</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45927</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54366-2023</t>
        </is>
      </c>
      <c r="B436" s="1" t="n">
        <v>45233</v>
      </c>
      <c r="C436" s="1" t="n">
        <v>45927</v>
      </c>
      <c r="D436" t="inlineStr">
        <is>
          <t>UPPSALA LÄN</t>
        </is>
      </c>
      <c r="E436" t="inlineStr">
        <is>
          <t>ÖSTHAMMAR</t>
        </is>
      </c>
      <c r="F436" t="inlineStr">
        <is>
          <t>Bergvik skog öst AB</t>
        </is>
      </c>
      <c r="G436" t="n">
        <v>2.9</v>
      </c>
      <c r="H436" t="n">
        <v>0</v>
      </c>
      <c r="I436" t="n">
        <v>0</v>
      </c>
      <c r="J436" t="n">
        <v>0</v>
      </c>
      <c r="K436" t="n">
        <v>0</v>
      </c>
      <c r="L436" t="n">
        <v>0</v>
      </c>
      <c r="M436" t="n">
        <v>0</v>
      </c>
      <c r="N436" t="n">
        <v>0</v>
      </c>
      <c r="O436" t="n">
        <v>0</v>
      </c>
      <c r="P436" t="n">
        <v>0</v>
      </c>
      <c r="Q436" t="n">
        <v>0</v>
      </c>
      <c r="R436" s="2" t="inlineStr"/>
    </row>
    <row r="437" ht="15" customHeight="1">
      <c r="A437" t="inlineStr">
        <is>
          <t>A 29029-2025</t>
        </is>
      </c>
      <c r="B437" s="1" t="n">
        <v>45821.43973379629</v>
      </c>
      <c r="C437" s="1" t="n">
        <v>45927</v>
      </c>
      <c r="D437" t="inlineStr">
        <is>
          <t>UPPSALA LÄN</t>
        </is>
      </c>
      <c r="E437" t="inlineStr">
        <is>
          <t>ÖSTHAMMAR</t>
        </is>
      </c>
      <c r="F437" t="inlineStr">
        <is>
          <t>Bergvik skog öst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31137-2022</t>
        </is>
      </c>
      <c r="B438" s="1" t="n">
        <v>44770.42166666667</v>
      </c>
      <c r="C438" s="1" t="n">
        <v>45927</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52694-2023</t>
        </is>
      </c>
      <c r="B439" s="1" t="n">
        <v>45225.76836805556</v>
      </c>
      <c r="C439" s="1" t="n">
        <v>45927</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23120-2021</t>
        </is>
      </c>
      <c r="B440" s="1" t="n">
        <v>44330</v>
      </c>
      <c r="C440" s="1" t="n">
        <v>45927</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74429-2021</t>
        </is>
      </c>
      <c r="B441" s="1" t="n">
        <v>44560.43136574074</v>
      </c>
      <c r="C441" s="1" t="n">
        <v>45927</v>
      </c>
      <c r="D441" t="inlineStr">
        <is>
          <t>UPPSALA LÄN</t>
        </is>
      </c>
      <c r="E441" t="inlineStr">
        <is>
          <t>ÖSTHAMMAR</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30931-2021</t>
        </is>
      </c>
      <c r="B442" s="1" t="n">
        <v>44365</v>
      </c>
      <c r="C442" s="1" t="n">
        <v>45927</v>
      </c>
      <c r="D442" t="inlineStr">
        <is>
          <t>UPPSALA LÄN</t>
        </is>
      </c>
      <c r="E442" t="inlineStr">
        <is>
          <t>ÖSTHAMMAR</t>
        </is>
      </c>
      <c r="F442" t="inlineStr">
        <is>
          <t>Bergvik skog öst AB</t>
        </is>
      </c>
      <c r="G442" t="n">
        <v>2.3</v>
      </c>
      <c r="H442" t="n">
        <v>0</v>
      </c>
      <c r="I442" t="n">
        <v>0</v>
      </c>
      <c r="J442" t="n">
        <v>0</v>
      </c>
      <c r="K442" t="n">
        <v>0</v>
      </c>
      <c r="L442" t="n">
        <v>0</v>
      </c>
      <c r="M442" t="n">
        <v>0</v>
      </c>
      <c r="N442" t="n">
        <v>0</v>
      </c>
      <c r="O442" t="n">
        <v>0</v>
      </c>
      <c r="P442" t="n">
        <v>0</v>
      </c>
      <c r="Q442" t="n">
        <v>0</v>
      </c>
      <c r="R442" s="2" t="inlineStr"/>
    </row>
    <row r="443" ht="15" customHeight="1">
      <c r="A443" t="inlineStr">
        <is>
          <t>A 17867-2024</t>
        </is>
      </c>
      <c r="B443" s="1" t="n">
        <v>45419.44106481481</v>
      </c>
      <c r="C443" s="1" t="n">
        <v>45927</v>
      </c>
      <c r="D443" t="inlineStr">
        <is>
          <t>UPPSALA LÄN</t>
        </is>
      </c>
      <c r="E443" t="inlineStr">
        <is>
          <t>ÖSTHAMMAR</t>
        </is>
      </c>
      <c r="G443" t="n">
        <v>7.2</v>
      </c>
      <c r="H443" t="n">
        <v>0</v>
      </c>
      <c r="I443" t="n">
        <v>0</v>
      </c>
      <c r="J443" t="n">
        <v>0</v>
      </c>
      <c r="K443" t="n">
        <v>0</v>
      </c>
      <c r="L443" t="n">
        <v>0</v>
      </c>
      <c r="M443" t="n">
        <v>0</v>
      </c>
      <c r="N443" t="n">
        <v>0</v>
      </c>
      <c r="O443" t="n">
        <v>0</v>
      </c>
      <c r="P443" t="n">
        <v>0</v>
      </c>
      <c r="Q443" t="n">
        <v>0</v>
      </c>
      <c r="R443" s="2" t="inlineStr"/>
    </row>
    <row r="444" ht="15" customHeight="1">
      <c r="A444" t="inlineStr">
        <is>
          <t>A 4228-2023</t>
        </is>
      </c>
      <c r="B444" s="1" t="n">
        <v>44953.48179398148</v>
      </c>
      <c r="C444" s="1" t="n">
        <v>45927</v>
      </c>
      <c r="D444" t="inlineStr">
        <is>
          <t>UPPSALA LÄN</t>
        </is>
      </c>
      <c r="E444" t="inlineStr">
        <is>
          <t>ÖSTHAMMAR</t>
        </is>
      </c>
      <c r="G444" t="n">
        <v>1</v>
      </c>
      <c r="H444" t="n">
        <v>0</v>
      </c>
      <c r="I444" t="n">
        <v>0</v>
      </c>
      <c r="J444" t="n">
        <v>0</v>
      </c>
      <c r="K444" t="n">
        <v>0</v>
      </c>
      <c r="L444" t="n">
        <v>0</v>
      </c>
      <c r="M444" t="n">
        <v>0</v>
      </c>
      <c r="N444" t="n">
        <v>0</v>
      </c>
      <c r="O444" t="n">
        <v>0</v>
      </c>
      <c r="P444" t="n">
        <v>0</v>
      </c>
      <c r="Q444" t="n">
        <v>0</v>
      </c>
      <c r="R444" s="2" t="inlineStr"/>
    </row>
    <row r="445" ht="15" customHeight="1">
      <c r="A445" t="inlineStr">
        <is>
          <t>A 36301-2023</t>
        </is>
      </c>
      <c r="B445" s="1" t="n">
        <v>45152.37296296296</v>
      </c>
      <c r="C445" s="1" t="n">
        <v>45927</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7195-2023</t>
        </is>
      </c>
      <c r="B446" s="1" t="n">
        <v>44970</v>
      </c>
      <c r="C446" s="1" t="n">
        <v>45927</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26774-2023</t>
        </is>
      </c>
      <c r="B447" s="1" t="n">
        <v>45093.47947916666</v>
      </c>
      <c r="C447" s="1" t="n">
        <v>45927</v>
      </c>
      <c r="D447" t="inlineStr">
        <is>
          <t>UPPSALA LÄN</t>
        </is>
      </c>
      <c r="E447" t="inlineStr">
        <is>
          <t>ÖSTHAMMAR</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36873-2022</t>
        </is>
      </c>
      <c r="B448" s="1" t="n">
        <v>44805.63708333333</v>
      </c>
      <c r="C448" s="1" t="n">
        <v>45927</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5076-2025</t>
        </is>
      </c>
      <c r="B449" s="1" t="n">
        <v>45691</v>
      </c>
      <c r="C449" s="1" t="n">
        <v>45927</v>
      </c>
      <c r="D449" t="inlineStr">
        <is>
          <t>UPPSALA LÄN</t>
        </is>
      </c>
      <c r="E449" t="inlineStr">
        <is>
          <t>ÖSTHAMMAR</t>
        </is>
      </c>
      <c r="G449" t="n">
        <v>5.8</v>
      </c>
      <c r="H449" t="n">
        <v>0</v>
      </c>
      <c r="I449" t="n">
        <v>0</v>
      </c>
      <c r="J449" t="n">
        <v>0</v>
      </c>
      <c r="K449" t="n">
        <v>0</v>
      </c>
      <c r="L449" t="n">
        <v>0</v>
      </c>
      <c r="M449" t="n">
        <v>0</v>
      </c>
      <c r="N449" t="n">
        <v>0</v>
      </c>
      <c r="O449" t="n">
        <v>0</v>
      </c>
      <c r="P449" t="n">
        <v>0</v>
      </c>
      <c r="Q449" t="n">
        <v>0</v>
      </c>
      <c r="R449" s="2" t="inlineStr"/>
    </row>
    <row r="450" ht="15" customHeight="1">
      <c r="A450" t="inlineStr">
        <is>
          <t>A 54666-2022</t>
        </is>
      </c>
      <c r="B450" s="1" t="n">
        <v>44883</v>
      </c>
      <c r="C450" s="1" t="n">
        <v>45927</v>
      </c>
      <c r="D450" t="inlineStr">
        <is>
          <t>UPPSALA LÄN</t>
        </is>
      </c>
      <c r="E450" t="inlineStr">
        <is>
          <t>ÖSTHAMMAR</t>
        </is>
      </c>
      <c r="G450" t="n">
        <v>14.3</v>
      </c>
      <c r="H450" t="n">
        <v>0</v>
      </c>
      <c r="I450" t="n">
        <v>0</v>
      </c>
      <c r="J450" t="n">
        <v>0</v>
      </c>
      <c r="K450" t="n">
        <v>0</v>
      </c>
      <c r="L450" t="n">
        <v>0</v>
      </c>
      <c r="M450" t="n">
        <v>0</v>
      </c>
      <c r="N450" t="n">
        <v>0</v>
      </c>
      <c r="O450" t="n">
        <v>0</v>
      </c>
      <c r="P450" t="n">
        <v>0</v>
      </c>
      <c r="Q450" t="n">
        <v>0</v>
      </c>
      <c r="R450" s="2" t="inlineStr"/>
    </row>
    <row r="451" ht="15" customHeight="1">
      <c r="A451" t="inlineStr">
        <is>
          <t>A 17644-2025</t>
        </is>
      </c>
      <c r="B451" s="1" t="n">
        <v>45758.32645833334</v>
      </c>
      <c r="C451" s="1" t="n">
        <v>45927</v>
      </c>
      <c r="D451" t="inlineStr">
        <is>
          <t>UPPSALA LÄN</t>
        </is>
      </c>
      <c r="E451" t="inlineStr">
        <is>
          <t>ÖSTHAMMAR</t>
        </is>
      </c>
      <c r="F451" t="inlineStr">
        <is>
          <t>Bergvik skog väst AB</t>
        </is>
      </c>
      <c r="G451" t="n">
        <v>6.1</v>
      </c>
      <c r="H451" t="n">
        <v>0</v>
      </c>
      <c r="I451" t="n">
        <v>0</v>
      </c>
      <c r="J451" t="n">
        <v>0</v>
      </c>
      <c r="K451" t="n">
        <v>0</v>
      </c>
      <c r="L451" t="n">
        <v>0</v>
      </c>
      <c r="M451" t="n">
        <v>0</v>
      </c>
      <c r="N451" t="n">
        <v>0</v>
      </c>
      <c r="O451" t="n">
        <v>0</v>
      </c>
      <c r="P451" t="n">
        <v>0</v>
      </c>
      <c r="Q451" t="n">
        <v>0</v>
      </c>
      <c r="R451" s="2" t="inlineStr"/>
    </row>
    <row r="452" ht="15" customHeight="1">
      <c r="A452" t="inlineStr">
        <is>
          <t>A 20324-2021</t>
        </is>
      </c>
      <c r="B452" s="1" t="n">
        <v>44308</v>
      </c>
      <c r="C452" s="1" t="n">
        <v>45927</v>
      </c>
      <c r="D452" t="inlineStr">
        <is>
          <t>UPPSALA LÄN</t>
        </is>
      </c>
      <c r="E452" t="inlineStr">
        <is>
          <t>ÖSTHAMMAR</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61817-2021</t>
        </is>
      </c>
      <c r="B453" s="1" t="n">
        <v>44501.76855324074</v>
      </c>
      <c r="C453" s="1" t="n">
        <v>45927</v>
      </c>
      <c r="D453" t="inlineStr">
        <is>
          <t>UPPSALA LÄN</t>
        </is>
      </c>
      <c r="E453" t="inlineStr">
        <is>
          <t>ÖSTHAMMAR</t>
        </is>
      </c>
      <c r="F453" t="inlineStr">
        <is>
          <t>Bergvik skog öst AB</t>
        </is>
      </c>
      <c r="G453" t="n">
        <v>2.3</v>
      </c>
      <c r="H453" t="n">
        <v>0</v>
      </c>
      <c r="I453" t="n">
        <v>0</v>
      </c>
      <c r="J453" t="n">
        <v>0</v>
      </c>
      <c r="K453" t="n">
        <v>0</v>
      </c>
      <c r="L453" t="n">
        <v>0</v>
      </c>
      <c r="M453" t="n">
        <v>0</v>
      </c>
      <c r="N453" t="n">
        <v>0</v>
      </c>
      <c r="O453" t="n">
        <v>0</v>
      </c>
      <c r="P453" t="n">
        <v>0</v>
      </c>
      <c r="Q453" t="n">
        <v>0</v>
      </c>
      <c r="R453" s="2" t="inlineStr"/>
    </row>
    <row r="454" ht="15" customHeight="1">
      <c r="A454" t="inlineStr">
        <is>
          <t>A 17652-2025</t>
        </is>
      </c>
      <c r="B454" s="1" t="n">
        <v>45758.33583333333</v>
      </c>
      <c r="C454" s="1" t="n">
        <v>45927</v>
      </c>
      <c r="D454" t="inlineStr">
        <is>
          <t>UPPSALA LÄN</t>
        </is>
      </c>
      <c r="E454" t="inlineStr">
        <is>
          <t>ÖSTHAMMAR</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6120-2024</t>
        </is>
      </c>
      <c r="B455" s="1" t="n">
        <v>45337.41784722222</v>
      </c>
      <c r="C455" s="1" t="n">
        <v>45927</v>
      </c>
      <c r="D455" t="inlineStr">
        <is>
          <t>UPPSALA LÄN</t>
        </is>
      </c>
      <c r="E455" t="inlineStr">
        <is>
          <t>ÖSTHAMMAR</t>
        </is>
      </c>
      <c r="G455" t="n">
        <v>0.7</v>
      </c>
      <c r="H455" t="n">
        <v>0</v>
      </c>
      <c r="I455" t="n">
        <v>0</v>
      </c>
      <c r="J455" t="n">
        <v>0</v>
      </c>
      <c r="K455" t="n">
        <v>0</v>
      </c>
      <c r="L455" t="n">
        <v>0</v>
      </c>
      <c r="M455" t="n">
        <v>0</v>
      </c>
      <c r="N455" t="n">
        <v>0</v>
      </c>
      <c r="O455" t="n">
        <v>0</v>
      </c>
      <c r="P455" t="n">
        <v>0</v>
      </c>
      <c r="Q455" t="n">
        <v>0</v>
      </c>
      <c r="R455" s="2" t="inlineStr"/>
    </row>
    <row r="456" ht="15" customHeight="1">
      <c r="A456" t="inlineStr">
        <is>
          <t>A 12528-2024</t>
        </is>
      </c>
      <c r="B456" s="1" t="n">
        <v>45379.61878472222</v>
      </c>
      <c r="C456" s="1" t="n">
        <v>45927</v>
      </c>
      <c r="D456" t="inlineStr">
        <is>
          <t>UPPSALA LÄN</t>
        </is>
      </c>
      <c r="E456" t="inlineStr">
        <is>
          <t>ÖSTHAMMAR</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54437-2024</t>
        </is>
      </c>
      <c r="B457" s="1" t="n">
        <v>45617</v>
      </c>
      <c r="C457" s="1" t="n">
        <v>45927</v>
      </c>
      <c r="D457" t="inlineStr">
        <is>
          <t>UPPSALA LÄN</t>
        </is>
      </c>
      <c r="E457" t="inlineStr">
        <is>
          <t>ÖSTHAMMAR</t>
        </is>
      </c>
      <c r="G457" t="n">
        <v>2.1</v>
      </c>
      <c r="H457" t="n">
        <v>0</v>
      </c>
      <c r="I457" t="n">
        <v>0</v>
      </c>
      <c r="J457" t="n">
        <v>0</v>
      </c>
      <c r="K457" t="n">
        <v>0</v>
      </c>
      <c r="L457" t="n">
        <v>0</v>
      </c>
      <c r="M457" t="n">
        <v>0</v>
      </c>
      <c r="N457" t="n">
        <v>0</v>
      </c>
      <c r="O457" t="n">
        <v>0</v>
      </c>
      <c r="P457" t="n">
        <v>0</v>
      </c>
      <c r="Q457" t="n">
        <v>0</v>
      </c>
      <c r="R457" s="2" t="inlineStr"/>
    </row>
    <row r="458" ht="15" customHeight="1">
      <c r="A458" t="inlineStr">
        <is>
          <t>A 9052-2023</t>
        </is>
      </c>
      <c r="B458" s="1" t="n">
        <v>44979</v>
      </c>
      <c r="C458" s="1" t="n">
        <v>45927</v>
      </c>
      <c r="D458" t="inlineStr">
        <is>
          <t>UPPSALA LÄN</t>
        </is>
      </c>
      <c r="E458" t="inlineStr">
        <is>
          <t>ÖSTHAMMAR</t>
        </is>
      </c>
      <c r="F458" t="inlineStr">
        <is>
          <t>Kyrkan</t>
        </is>
      </c>
      <c r="G458" t="n">
        <v>0.2</v>
      </c>
      <c r="H458" t="n">
        <v>0</v>
      </c>
      <c r="I458" t="n">
        <v>0</v>
      </c>
      <c r="J458" t="n">
        <v>0</v>
      </c>
      <c r="K458" t="n">
        <v>0</v>
      </c>
      <c r="L458" t="n">
        <v>0</v>
      </c>
      <c r="M458" t="n">
        <v>0</v>
      </c>
      <c r="N458" t="n">
        <v>0</v>
      </c>
      <c r="O458" t="n">
        <v>0</v>
      </c>
      <c r="P458" t="n">
        <v>0</v>
      </c>
      <c r="Q458" t="n">
        <v>0</v>
      </c>
      <c r="R458" s="2" t="inlineStr"/>
    </row>
    <row r="459" ht="15" customHeight="1">
      <c r="A459" t="inlineStr">
        <is>
          <t>A 28152-2024</t>
        </is>
      </c>
      <c r="B459" s="1" t="n">
        <v>45476.77056712963</v>
      </c>
      <c r="C459" s="1" t="n">
        <v>45927</v>
      </c>
      <c r="D459" t="inlineStr">
        <is>
          <t>UPPSALA LÄN</t>
        </is>
      </c>
      <c r="E459" t="inlineStr">
        <is>
          <t>ÖSTHAMMAR</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357-2025</t>
        </is>
      </c>
      <c r="B460" s="1" t="n">
        <v>45659</v>
      </c>
      <c r="C460" s="1" t="n">
        <v>45927</v>
      </c>
      <c r="D460" t="inlineStr">
        <is>
          <t>UPPSALA LÄN</t>
        </is>
      </c>
      <c r="E460" t="inlineStr">
        <is>
          <t>ÖSTHAMMAR</t>
        </is>
      </c>
      <c r="G460" t="n">
        <v>15.8</v>
      </c>
      <c r="H460" t="n">
        <v>0</v>
      </c>
      <c r="I460" t="n">
        <v>0</v>
      </c>
      <c r="J460" t="n">
        <v>0</v>
      </c>
      <c r="K460" t="n">
        <v>0</v>
      </c>
      <c r="L460" t="n">
        <v>0</v>
      </c>
      <c r="M460" t="n">
        <v>0</v>
      </c>
      <c r="N460" t="n">
        <v>0</v>
      </c>
      <c r="O460" t="n">
        <v>0</v>
      </c>
      <c r="P460" t="n">
        <v>0</v>
      </c>
      <c r="Q460" t="n">
        <v>0</v>
      </c>
      <c r="R460" s="2" t="inlineStr"/>
    </row>
    <row r="461" ht="15" customHeight="1">
      <c r="A461" t="inlineStr">
        <is>
          <t>A 9267-2024</t>
        </is>
      </c>
      <c r="B461" s="1" t="n">
        <v>45358</v>
      </c>
      <c r="C461" s="1" t="n">
        <v>45927</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33601-2024</t>
        </is>
      </c>
      <c r="B462" s="1" t="n">
        <v>45520</v>
      </c>
      <c r="C462" s="1" t="n">
        <v>45927</v>
      </c>
      <c r="D462" t="inlineStr">
        <is>
          <t>UPPSALA LÄN</t>
        </is>
      </c>
      <c r="E462" t="inlineStr">
        <is>
          <t>ÖSTHAMMAR</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20326-2021</t>
        </is>
      </c>
      <c r="B463" s="1" t="n">
        <v>44308</v>
      </c>
      <c r="C463" s="1" t="n">
        <v>45927</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27494-2025</t>
        </is>
      </c>
      <c r="B464" s="1" t="n">
        <v>45813.39756944445</v>
      </c>
      <c r="C464" s="1" t="n">
        <v>45927</v>
      </c>
      <c r="D464" t="inlineStr">
        <is>
          <t>UPPSALA LÄN</t>
        </is>
      </c>
      <c r="E464" t="inlineStr">
        <is>
          <t>ÖSTHAMMAR</t>
        </is>
      </c>
      <c r="F464" t="inlineStr">
        <is>
          <t>Bergvik skog öst AB</t>
        </is>
      </c>
      <c r="G464" t="n">
        <v>23.4</v>
      </c>
      <c r="H464" t="n">
        <v>0</v>
      </c>
      <c r="I464" t="n">
        <v>0</v>
      </c>
      <c r="J464" t="n">
        <v>0</v>
      </c>
      <c r="K464" t="n">
        <v>0</v>
      </c>
      <c r="L464" t="n">
        <v>0</v>
      </c>
      <c r="M464" t="n">
        <v>0</v>
      </c>
      <c r="N464" t="n">
        <v>0</v>
      </c>
      <c r="O464" t="n">
        <v>0</v>
      </c>
      <c r="P464" t="n">
        <v>0</v>
      </c>
      <c r="Q464" t="n">
        <v>0</v>
      </c>
      <c r="R464" s="2" t="inlineStr"/>
    </row>
    <row r="465" ht="15" customHeight="1">
      <c r="A465" t="inlineStr">
        <is>
          <t>A 29384-2025</t>
        </is>
      </c>
      <c r="B465" s="1" t="n">
        <v>45824</v>
      </c>
      <c r="C465" s="1" t="n">
        <v>45927</v>
      </c>
      <c r="D465" t="inlineStr">
        <is>
          <t>UPPSALA LÄN</t>
        </is>
      </c>
      <c r="E465" t="inlineStr">
        <is>
          <t>ÖSTHAMMAR</t>
        </is>
      </c>
      <c r="G465" t="n">
        <v>3.1</v>
      </c>
      <c r="H465" t="n">
        <v>0</v>
      </c>
      <c r="I465" t="n">
        <v>0</v>
      </c>
      <c r="J465" t="n">
        <v>0</v>
      </c>
      <c r="K465" t="n">
        <v>0</v>
      </c>
      <c r="L465" t="n">
        <v>0</v>
      </c>
      <c r="M465" t="n">
        <v>0</v>
      </c>
      <c r="N465" t="n">
        <v>0</v>
      </c>
      <c r="O465" t="n">
        <v>0</v>
      </c>
      <c r="P465" t="n">
        <v>0</v>
      </c>
      <c r="Q465" t="n">
        <v>0</v>
      </c>
      <c r="R465" s="2" t="inlineStr"/>
    </row>
    <row r="466" ht="15" customHeight="1">
      <c r="A466" t="inlineStr">
        <is>
          <t>A 17643-2025</t>
        </is>
      </c>
      <c r="B466" s="1" t="n">
        <v>45758.32454861111</v>
      </c>
      <c r="C466" s="1" t="n">
        <v>45927</v>
      </c>
      <c r="D466" t="inlineStr">
        <is>
          <t>UPPSALA LÄN</t>
        </is>
      </c>
      <c r="E466" t="inlineStr">
        <is>
          <t>ÖSTHAMMAR</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12262-2023</t>
        </is>
      </c>
      <c r="B467" s="1" t="n">
        <v>44998.66662037037</v>
      </c>
      <c r="C467" s="1" t="n">
        <v>45927</v>
      </c>
      <c r="D467" t="inlineStr">
        <is>
          <t>UPPSALA LÄN</t>
        </is>
      </c>
      <c r="E467" t="inlineStr">
        <is>
          <t>ÖSTHAMMAR</t>
        </is>
      </c>
      <c r="G467" t="n">
        <v>4.1</v>
      </c>
      <c r="H467" t="n">
        <v>0</v>
      </c>
      <c r="I467" t="n">
        <v>0</v>
      </c>
      <c r="J467" t="n">
        <v>0</v>
      </c>
      <c r="K467" t="n">
        <v>0</v>
      </c>
      <c r="L467" t="n">
        <v>0</v>
      </c>
      <c r="M467" t="n">
        <v>0</v>
      </c>
      <c r="N467" t="n">
        <v>0</v>
      </c>
      <c r="O467" t="n">
        <v>0</v>
      </c>
      <c r="P467" t="n">
        <v>0</v>
      </c>
      <c r="Q467" t="n">
        <v>0</v>
      </c>
      <c r="R467" s="2" t="inlineStr"/>
    </row>
    <row r="468" ht="15" customHeight="1">
      <c r="A468" t="inlineStr">
        <is>
          <t>A 23197-2023</t>
        </is>
      </c>
      <c r="B468" s="1" t="n">
        <v>45075</v>
      </c>
      <c r="C468" s="1" t="n">
        <v>45927</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52478-2024</t>
        </is>
      </c>
      <c r="B469" s="1" t="n">
        <v>45609.55065972222</v>
      </c>
      <c r="C469" s="1" t="n">
        <v>45927</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45927</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41478-2024</t>
        </is>
      </c>
      <c r="B471" s="1" t="n">
        <v>45560.44158564815</v>
      </c>
      <c r="C471" s="1" t="n">
        <v>45927</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2947-2025</t>
        </is>
      </c>
      <c r="B472" s="1" t="n">
        <v>45678</v>
      </c>
      <c r="C472" s="1" t="n">
        <v>45927</v>
      </c>
      <c r="D472" t="inlineStr">
        <is>
          <t>UPPSALA LÄN</t>
        </is>
      </c>
      <c r="E472" t="inlineStr">
        <is>
          <t>ÖSTHAMMAR</t>
        </is>
      </c>
      <c r="G472" t="n">
        <v>3.6</v>
      </c>
      <c r="H472" t="n">
        <v>0</v>
      </c>
      <c r="I472" t="n">
        <v>0</v>
      </c>
      <c r="J472" t="n">
        <v>0</v>
      </c>
      <c r="K472" t="n">
        <v>0</v>
      </c>
      <c r="L472" t="n">
        <v>0</v>
      </c>
      <c r="M472" t="n">
        <v>0</v>
      </c>
      <c r="N472" t="n">
        <v>0</v>
      </c>
      <c r="O472" t="n">
        <v>0</v>
      </c>
      <c r="P472" t="n">
        <v>0</v>
      </c>
      <c r="Q472" t="n">
        <v>0</v>
      </c>
      <c r="R472" s="2" t="inlineStr"/>
    </row>
    <row r="473" ht="15" customHeight="1">
      <c r="A473" t="inlineStr">
        <is>
          <t>A 17433-2025</t>
        </is>
      </c>
      <c r="B473" s="1" t="n">
        <v>45757.40733796296</v>
      </c>
      <c r="C473" s="1" t="n">
        <v>45927</v>
      </c>
      <c r="D473" t="inlineStr">
        <is>
          <t>UPPSALA LÄN</t>
        </is>
      </c>
      <c r="E473" t="inlineStr">
        <is>
          <t>ÖSTHAMMAR</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16141-2022</t>
        </is>
      </c>
      <c r="B474" s="1" t="n">
        <v>44665</v>
      </c>
      <c r="C474" s="1" t="n">
        <v>45927</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12756-2024</t>
        </is>
      </c>
      <c r="B475" s="1" t="n">
        <v>45384</v>
      </c>
      <c r="C475" s="1" t="n">
        <v>45927</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27490-2025</t>
        </is>
      </c>
      <c r="B476" s="1" t="n">
        <v>45813.39273148148</v>
      </c>
      <c r="C476" s="1" t="n">
        <v>45927</v>
      </c>
      <c r="D476" t="inlineStr">
        <is>
          <t>UPPSALA LÄN</t>
        </is>
      </c>
      <c r="E476" t="inlineStr">
        <is>
          <t>ÖSTHAMMAR</t>
        </is>
      </c>
      <c r="F476" t="inlineStr">
        <is>
          <t>Bergvik skog öst AB</t>
        </is>
      </c>
      <c r="G476" t="n">
        <v>6.1</v>
      </c>
      <c r="H476" t="n">
        <v>0</v>
      </c>
      <c r="I476" t="n">
        <v>0</v>
      </c>
      <c r="J476" t="n">
        <v>0</v>
      </c>
      <c r="K476" t="n">
        <v>0</v>
      </c>
      <c r="L476" t="n">
        <v>0</v>
      </c>
      <c r="M476" t="n">
        <v>0</v>
      </c>
      <c r="N476" t="n">
        <v>0</v>
      </c>
      <c r="O476" t="n">
        <v>0</v>
      </c>
      <c r="P476" t="n">
        <v>0</v>
      </c>
      <c r="Q476" t="n">
        <v>0</v>
      </c>
      <c r="R476" s="2" t="inlineStr"/>
    </row>
    <row r="477" ht="15" customHeight="1">
      <c r="A477" t="inlineStr">
        <is>
          <t>A 34922-2023</t>
        </is>
      </c>
      <c r="B477" s="1" t="n">
        <v>45142.48359953704</v>
      </c>
      <c r="C477" s="1" t="n">
        <v>45927</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15928-2022</t>
        </is>
      </c>
      <c r="B478" s="1" t="n">
        <v>44664</v>
      </c>
      <c r="C478" s="1" t="n">
        <v>45927</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8708-2022</t>
        </is>
      </c>
      <c r="B479" s="1" t="n">
        <v>44613.77238425926</v>
      </c>
      <c r="C479" s="1" t="n">
        <v>45927</v>
      </c>
      <c r="D479" t="inlineStr">
        <is>
          <t>UPPSALA LÄN</t>
        </is>
      </c>
      <c r="E479" t="inlineStr">
        <is>
          <t>ÖSTHAMMAR</t>
        </is>
      </c>
      <c r="G479" t="n">
        <v>4.3</v>
      </c>
      <c r="H479" t="n">
        <v>0</v>
      </c>
      <c r="I479" t="n">
        <v>0</v>
      </c>
      <c r="J479" t="n">
        <v>0</v>
      </c>
      <c r="K479" t="n">
        <v>0</v>
      </c>
      <c r="L479" t="n">
        <v>0</v>
      </c>
      <c r="M479" t="n">
        <v>0</v>
      </c>
      <c r="N479" t="n">
        <v>0</v>
      </c>
      <c r="O479" t="n">
        <v>0</v>
      </c>
      <c r="P479" t="n">
        <v>0</v>
      </c>
      <c r="Q479" t="n">
        <v>0</v>
      </c>
      <c r="R479" s="2" t="inlineStr"/>
    </row>
    <row r="480" ht="15" customHeight="1">
      <c r="A480" t="inlineStr">
        <is>
          <t>A 29775-2025</t>
        </is>
      </c>
      <c r="B480" s="1" t="n">
        <v>45825.63803240741</v>
      </c>
      <c r="C480" s="1" t="n">
        <v>45927</v>
      </c>
      <c r="D480" t="inlineStr">
        <is>
          <t>UPPSALA LÄN</t>
        </is>
      </c>
      <c r="E480" t="inlineStr">
        <is>
          <t>ÖSTHAMMAR</t>
        </is>
      </c>
      <c r="G480" t="n">
        <v>0.9</v>
      </c>
      <c r="H480" t="n">
        <v>0</v>
      </c>
      <c r="I480" t="n">
        <v>0</v>
      </c>
      <c r="J480" t="n">
        <v>0</v>
      </c>
      <c r="K480" t="n">
        <v>0</v>
      </c>
      <c r="L480" t="n">
        <v>0</v>
      </c>
      <c r="M480" t="n">
        <v>0</v>
      </c>
      <c r="N480" t="n">
        <v>0</v>
      </c>
      <c r="O480" t="n">
        <v>0</v>
      </c>
      <c r="P480" t="n">
        <v>0</v>
      </c>
      <c r="Q480" t="n">
        <v>0</v>
      </c>
      <c r="R480" s="2" t="inlineStr"/>
    </row>
    <row r="481" ht="15" customHeight="1">
      <c r="A481" t="inlineStr">
        <is>
          <t>A 1063-2025</t>
        </is>
      </c>
      <c r="B481" s="1" t="n">
        <v>45666</v>
      </c>
      <c r="C481" s="1" t="n">
        <v>45927</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33760-2024</t>
        </is>
      </c>
      <c r="B482" s="1" t="n">
        <v>45520</v>
      </c>
      <c r="C482" s="1" t="n">
        <v>45927</v>
      </c>
      <c r="D482" t="inlineStr">
        <is>
          <t>UPPSALA LÄN</t>
        </is>
      </c>
      <c r="E482" t="inlineStr">
        <is>
          <t>ÖSTHAMMAR</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8592-2022</t>
        </is>
      </c>
      <c r="B483" s="1" t="n">
        <v>44613</v>
      </c>
      <c r="C483" s="1" t="n">
        <v>45927</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52629-2023</t>
        </is>
      </c>
      <c r="B484" s="1" t="n">
        <v>45225</v>
      </c>
      <c r="C484" s="1" t="n">
        <v>45927</v>
      </c>
      <c r="D484" t="inlineStr">
        <is>
          <t>UPPSALA LÄN</t>
        </is>
      </c>
      <c r="E484" t="inlineStr">
        <is>
          <t>ÖSTHAMMAR</t>
        </is>
      </c>
      <c r="G484" t="n">
        <v>1.2</v>
      </c>
      <c r="H484" t="n">
        <v>0</v>
      </c>
      <c r="I484" t="n">
        <v>0</v>
      </c>
      <c r="J484" t="n">
        <v>0</v>
      </c>
      <c r="K484" t="n">
        <v>0</v>
      </c>
      <c r="L484" t="n">
        <v>0</v>
      </c>
      <c r="M484" t="n">
        <v>0</v>
      </c>
      <c r="N484" t="n">
        <v>0</v>
      </c>
      <c r="O484" t="n">
        <v>0</v>
      </c>
      <c r="P484" t="n">
        <v>0</v>
      </c>
      <c r="Q484" t="n">
        <v>0</v>
      </c>
      <c r="R484" s="2" t="inlineStr"/>
    </row>
    <row r="485" ht="15" customHeight="1">
      <c r="A485" t="inlineStr">
        <is>
          <t>A 35918-2023</t>
        </is>
      </c>
      <c r="B485" s="1" t="n">
        <v>45148.64976851852</v>
      </c>
      <c r="C485" s="1" t="n">
        <v>45927</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23495-2023</t>
        </is>
      </c>
      <c r="B486" s="1" t="n">
        <v>45076.71652777777</v>
      </c>
      <c r="C486" s="1" t="n">
        <v>45927</v>
      </c>
      <c r="D486" t="inlineStr">
        <is>
          <t>UPPSALA LÄN</t>
        </is>
      </c>
      <c r="E486" t="inlineStr">
        <is>
          <t>ÖSTHAMMAR</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4292-2025</t>
        </is>
      </c>
      <c r="B487" s="1" t="n">
        <v>45685.66459490741</v>
      </c>
      <c r="C487" s="1" t="n">
        <v>45927</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4356-2025</t>
        </is>
      </c>
      <c r="B488" s="1" t="n">
        <v>45686</v>
      </c>
      <c r="C488" s="1" t="n">
        <v>45927</v>
      </c>
      <c r="D488" t="inlineStr">
        <is>
          <t>UPPSALA LÄN</t>
        </is>
      </c>
      <c r="E488" t="inlineStr">
        <is>
          <t>ÖSTHAMMAR</t>
        </is>
      </c>
      <c r="F488" t="inlineStr">
        <is>
          <t>Övriga Aktiebolag</t>
        </is>
      </c>
      <c r="G488" t="n">
        <v>24.6</v>
      </c>
      <c r="H488" t="n">
        <v>0</v>
      </c>
      <c r="I488" t="n">
        <v>0</v>
      </c>
      <c r="J488" t="n">
        <v>0</v>
      </c>
      <c r="K488" t="n">
        <v>0</v>
      </c>
      <c r="L488" t="n">
        <v>0</v>
      </c>
      <c r="M488" t="n">
        <v>0</v>
      </c>
      <c r="N488" t="n">
        <v>0</v>
      </c>
      <c r="O488" t="n">
        <v>0</v>
      </c>
      <c r="P488" t="n">
        <v>0</v>
      </c>
      <c r="Q488" t="n">
        <v>0</v>
      </c>
      <c r="R488" s="2" t="inlineStr"/>
    </row>
    <row r="489" ht="15" customHeight="1">
      <c r="A489" t="inlineStr">
        <is>
          <t>A 6661-2024</t>
        </is>
      </c>
      <c r="B489" s="1" t="n">
        <v>45341.70582175926</v>
      </c>
      <c r="C489" s="1" t="n">
        <v>45927</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17646-2025</t>
        </is>
      </c>
      <c r="B490" s="1" t="n">
        <v>45758.32872685185</v>
      </c>
      <c r="C490" s="1" t="n">
        <v>45927</v>
      </c>
      <c r="D490" t="inlineStr">
        <is>
          <t>UPPSALA LÄN</t>
        </is>
      </c>
      <c r="E490" t="inlineStr">
        <is>
          <t>ÖSTHAMMAR</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17648-2025</t>
        </is>
      </c>
      <c r="B491" s="1" t="n">
        <v>45758.33064814815</v>
      </c>
      <c r="C491" s="1" t="n">
        <v>45927</v>
      </c>
      <c r="D491" t="inlineStr">
        <is>
          <t>UPPSALA LÄN</t>
        </is>
      </c>
      <c r="E491" t="inlineStr">
        <is>
          <t>ÖSTHAMMAR</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56903-2023</t>
        </is>
      </c>
      <c r="B492" s="1" t="n">
        <v>45244.56943287037</v>
      </c>
      <c r="C492" s="1" t="n">
        <v>45927</v>
      </c>
      <c r="D492" t="inlineStr">
        <is>
          <t>UPPSALA LÄN</t>
        </is>
      </c>
      <c r="E492" t="inlineStr">
        <is>
          <t>ÖSTHAMMAR</t>
        </is>
      </c>
      <c r="G492" t="n">
        <v>3.1</v>
      </c>
      <c r="H492" t="n">
        <v>0</v>
      </c>
      <c r="I492" t="n">
        <v>0</v>
      </c>
      <c r="J492" t="n">
        <v>0</v>
      </c>
      <c r="K492" t="n">
        <v>0</v>
      </c>
      <c r="L492" t="n">
        <v>0</v>
      </c>
      <c r="M492" t="n">
        <v>0</v>
      </c>
      <c r="N492" t="n">
        <v>0</v>
      </c>
      <c r="O492" t="n">
        <v>0</v>
      </c>
      <c r="P492" t="n">
        <v>0</v>
      </c>
      <c r="Q492" t="n">
        <v>0</v>
      </c>
      <c r="R492" s="2" t="inlineStr"/>
    </row>
    <row r="493" ht="15" customHeight="1">
      <c r="A493" t="inlineStr">
        <is>
          <t>A 38233-2024</t>
        </is>
      </c>
      <c r="B493" s="1" t="n">
        <v>45545</v>
      </c>
      <c r="C493" s="1" t="n">
        <v>45927</v>
      </c>
      <c r="D493" t="inlineStr">
        <is>
          <t>UPPSALA LÄN</t>
        </is>
      </c>
      <c r="E493" t="inlineStr">
        <is>
          <t>ÖSTHAMMAR</t>
        </is>
      </c>
      <c r="G493" t="n">
        <v>3.4</v>
      </c>
      <c r="H493" t="n">
        <v>0</v>
      </c>
      <c r="I493" t="n">
        <v>0</v>
      </c>
      <c r="J493" t="n">
        <v>0</v>
      </c>
      <c r="K493" t="n">
        <v>0</v>
      </c>
      <c r="L493" t="n">
        <v>0</v>
      </c>
      <c r="M493" t="n">
        <v>0</v>
      </c>
      <c r="N493" t="n">
        <v>0</v>
      </c>
      <c r="O493" t="n">
        <v>0</v>
      </c>
      <c r="P493" t="n">
        <v>0</v>
      </c>
      <c r="Q493" t="n">
        <v>0</v>
      </c>
      <c r="R493" s="2" t="inlineStr"/>
    </row>
    <row r="494" ht="15" customHeight="1">
      <c r="A494" t="inlineStr">
        <is>
          <t>A 28420-2023</t>
        </is>
      </c>
      <c r="B494" s="1" t="n">
        <v>45102.33054398148</v>
      </c>
      <c r="C494" s="1" t="n">
        <v>45927</v>
      </c>
      <c r="D494" t="inlineStr">
        <is>
          <t>UPPSALA LÄN</t>
        </is>
      </c>
      <c r="E494" t="inlineStr">
        <is>
          <t>ÖSTHAMMAR</t>
        </is>
      </c>
      <c r="F494" t="inlineStr">
        <is>
          <t>Bergvik skog öst AB</t>
        </is>
      </c>
      <c r="G494" t="n">
        <v>3.2</v>
      </c>
      <c r="H494" t="n">
        <v>0</v>
      </c>
      <c r="I494" t="n">
        <v>0</v>
      </c>
      <c r="J494" t="n">
        <v>0</v>
      </c>
      <c r="K494" t="n">
        <v>0</v>
      </c>
      <c r="L494" t="n">
        <v>0</v>
      </c>
      <c r="M494" t="n">
        <v>0</v>
      </c>
      <c r="N494" t="n">
        <v>0</v>
      </c>
      <c r="O494" t="n">
        <v>0</v>
      </c>
      <c r="P494" t="n">
        <v>0</v>
      </c>
      <c r="Q494" t="n">
        <v>0</v>
      </c>
      <c r="R494" s="2" t="inlineStr"/>
    </row>
    <row r="495" ht="15" customHeight="1">
      <c r="A495" t="inlineStr">
        <is>
          <t>A 28432-2023</t>
        </is>
      </c>
      <c r="B495" s="1" t="n">
        <v>45102.59896990741</v>
      </c>
      <c r="C495" s="1" t="n">
        <v>45927</v>
      </c>
      <c r="D495" t="inlineStr">
        <is>
          <t>UPPSALA LÄN</t>
        </is>
      </c>
      <c r="E495" t="inlineStr">
        <is>
          <t>ÖSTHAMMAR</t>
        </is>
      </c>
      <c r="F495" t="inlineStr">
        <is>
          <t>Bergvik skog öst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56969-2022</t>
        </is>
      </c>
      <c r="B496" s="1" t="n">
        <v>44894.68043981482</v>
      </c>
      <c r="C496" s="1" t="n">
        <v>45927</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45927</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27486-2025</t>
        </is>
      </c>
      <c r="B498" s="1" t="n">
        <v>45813.38521990741</v>
      </c>
      <c r="C498" s="1" t="n">
        <v>45927</v>
      </c>
      <c r="D498" t="inlineStr">
        <is>
          <t>UPPSALA LÄN</t>
        </is>
      </c>
      <c r="E498" t="inlineStr">
        <is>
          <t>ÖSTHAMMAR</t>
        </is>
      </c>
      <c r="F498" t="inlineStr">
        <is>
          <t>Bergvik skog öst AB</t>
        </is>
      </c>
      <c r="G498" t="n">
        <v>1.7</v>
      </c>
      <c r="H498" t="n">
        <v>0</v>
      </c>
      <c r="I498" t="n">
        <v>0</v>
      </c>
      <c r="J498" t="n">
        <v>0</v>
      </c>
      <c r="K498" t="n">
        <v>0</v>
      </c>
      <c r="L498" t="n">
        <v>0</v>
      </c>
      <c r="M498" t="n">
        <v>0</v>
      </c>
      <c r="N498" t="n">
        <v>0</v>
      </c>
      <c r="O498" t="n">
        <v>0</v>
      </c>
      <c r="P498" t="n">
        <v>0</v>
      </c>
      <c r="Q498" t="n">
        <v>0</v>
      </c>
      <c r="R498" s="2" t="inlineStr"/>
    </row>
    <row r="499" ht="15" customHeight="1">
      <c r="A499" t="inlineStr">
        <is>
          <t>A 22798-2023</t>
        </is>
      </c>
      <c r="B499" s="1" t="n">
        <v>45072</v>
      </c>
      <c r="C499" s="1" t="n">
        <v>45927</v>
      </c>
      <c r="D499" t="inlineStr">
        <is>
          <t>UPPSALA LÄN</t>
        </is>
      </c>
      <c r="E499" t="inlineStr">
        <is>
          <t>ÖSTHAMMAR</t>
        </is>
      </c>
      <c r="G499" t="n">
        <v>1</v>
      </c>
      <c r="H499" t="n">
        <v>0</v>
      </c>
      <c r="I499" t="n">
        <v>0</v>
      </c>
      <c r="J499" t="n">
        <v>0</v>
      </c>
      <c r="K499" t="n">
        <v>0</v>
      </c>
      <c r="L499" t="n">
        <v>0</v>
      </c>
      <c r="M499" t="n">
        <v>0</v>
      </c>
      <c r="N499" t="n">
        <v>0</v>
      </c>
      <c r="O499" t="n">
        <v>0</v>
      </c>
      <c r="P499" t="n">
        <v>0</v>
      </c>
      <c r="Q499" t="n">
        <v>0</v>
      </c>
      <c r="R499" s="2" t="inlineStr"/>
    </row>
    <row r="500" ht="15" customHeight="1">
      <c r="A500" t="inlineStr">
        <is>
          <t>A 11547-2022</t>
        </is>
      </c>
      <c r="B500" s="1" t="n">
        <v>44631.43116898148</v>
      </c>
      <c r="C500" s="1" t="n">
        <v>45927</v>
      </c>
      <c r="D500" t="inlineStr">
        <is>
          <t>UPPSALA LÄN</t>
        </is>
      </c>
      <c r="E500" t="inlineStr">
        <is>
          <t>ÖSTHAMMAR</t>
        </is>
      </c>
      <c r="G500" t="n">
        <v>4.4</v>
      </c>
      <c r="H500" t="n">
        <v>0</v>
      </c>
      <c r="I500" t="n">
        <v>0</v>
      </c>
      <c r="J500" t="n">
        <v>0</v>
      </c>
      <c r="K500" t="n">
        <v>0</v>
      </c>
      <c r="L500" t="n">
        <v>0</v>
      </c>
      <c r="M500" t="n">
        <v>0</v>
      </c>
      <c r="N500" t="n">
        <v>0</v>
      </c>
      <c r="O500" t="n">
        <v>0</v>
      </c>
      <c r="P500" t="n">
        <v>0</v>
      </c>
      <c r="Q500" t="n">
        <v>0</v>
      </c>
      <c r="R500" s="2" t="inlineStr"/>
    </row>
    <row r="501" ht="15" customHeight="1">
      <c r="A501" t="inlineStr">
        <is>
          <t>A 4561-2022</t>
        </is>
      </c>
      <c r="B501" s="1" t="n">
        <v>44591.59170138889</v>
      </c>
      <c r="C501" s="1" t="n">
        <v>45927</v>
      </c>
      <c r="D501" t="inlineStr">
        <is>
          <t>UPPSALA LÄN</t>
        </is>
      </c>
      <c r="E501" t="inlineStr">
        <is>
          <t>ÖSTHAMMAR</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60584-2021</t>
        </is>
      </c>
      <c r="B502" s="1" t="n">
        <v>44496</v>
      </c>
      <c r="C502" s="1" t="n">
        <v>45927</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23741-2024</t>
        </is>
      </c>
      <c r="B503" s="1" t="n">
        <v>45455</v>
      </c>
      <c r="C503" s="1" t="n">
        <v>45927</v>
      </c>
      <c r="D503" t="inlineStr">
        <is>
          <t>UPPSALA LÄN</t>
        </is>
      </c>
      <c r="E503" t="inlineStr">
        <is>
          <t>ÖSTHAMMAR</t>
        </is>
      </c>
      <c r="F503" t="inlineStr">
        <is>
          <t>Bergvik skog öst AB</t>
        </is>
      </c>
      <c r="G503" t="n">
        <v>1.9</v>
      </c>
      <c r="H503" t="n">
        <v>0</v>
      </c>
      <c r="I503" t="n">
        <v>0</v>
      </c>
      <c r="J503" t="n">
        <v>0</v>
      </c>
      <c r="K503" t="n">
        <v>0</v>
      </c>
      <c r="L503" t="n">
        <v>0</v>
      </c>
      <c r="M503" t="n">
        <v>0</v>
      </c>
      <c r="N503" t="n">
        <v>0</v>
      </c>
      <c r="O503" t="n">
        <v>0</v>
      </c>
      <c r="P503" t="n">
        <v>0</v>
      </c>
      <c r="Q503" t="n">
        <v>0</v>
      </c>
      <c r="R503" s="2" t="inlineStr"/>
    </row>
    <row r="504" ht="15" customHeight="1">
      <c r="A504" t="inlineStr">
        <is>
          <t>A 44152-2024</t>
        </is>
      </c>
      <c r="B504" s="1" t="n">
        <v>45572</v>
      </c>
      <c r="C504" s="1" t="n">
        <v>45927</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48856-2024</t>
        </is>
      </c>
      <c r="B505" s="1" t="n">
        <v>45593</v>
      </c>
      <c r="C505" s="1" t="n">
        <v>45927</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26612-2023</t>
        </is>
      </c>
      <c r="B506" s="1" t="n">
        <v>45089</v>
      </c>
      <c r="C506" s="1" t="n">
        <v>45927</v>
      </c>
      <c r="D506" t="inlineStr">
        <is>
          <t>UPPSALA LÄN</t>
        </is>
      </c>
      <c r="E506" t="inlineStr">
        <is>
          <t>ÖSTHAMMAR</t>
        </is>
      </c>
      <c r="G506" t="n">
        <v>2.1</v>
      </c>
      <c r="H506" t="n">
        <v>0</v>
      </c>
      <c r="I506" t="n">
        <v>0</v>
      </c>
      <c r="J506" t="n">
        <v>0</v>
      </c>
      <c r="K506" t="n">
        <v>0</v>
      </c>
      <c r="L506" t="n">
        <v>0</v>
      </c>
      <c r="M506" t="n">
        <v>0</v>
      </c>
      <c r="N506" t="n">
        <v>0</v>
      </c>
      <c r="O506" t="n">
        <v>0</v>
      </c>
      <c r="P506" t="n">
        <v>0</v>
      </c>
      <c r="Q506" t="n">
        <v>0</v>
      </c>
      <c r="R506" s="2" t="inlineStr"/>
    </row>
    <row r="507" ht="15" customHeight="1">
      <c r="A507" t="inlineStr">
        <is>
          <t>A 30244-2025</t>
        </is>
      </c>
      <c r="B507" s="1" t="n">
        <v>45827.40902777778</v>
      </c>
      <c r="C507" s="1" t="n">
        <v>45927</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32244-2021</t>
        </is>
      </c>
      <c r="B508" s="1" t="n">
        <v>44371.45335648148</v>
      </c>
      <c r="C508" s="1" t="n">
        <v>45927</v>
      </c>
      <c r="D508" t="inlineStr">
        <is>
          <t>UPPSALA LÄN</t>
        </is>
      </c>
      <c r="E508" t="inlineStr">
        <is>
          <t>ÖSTHAMMAR</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47390-2023</t>
        </is>
      </c>
      <c r="B509" s="1" t="n">
        <v>45202</v>
      </c>
      <c r="C509" s="1" t="n">
        <v>45927</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5877-2023</t>
        </is>
      </c>
      <c r="B510" s="1" t="n">
        <v>44963.62001157407</v>
      </c>
      <c r="C510" s="1" t="n">
        <v>45927</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52389-2022</t>
        </is>
      </c>
      <c r="B511" s="1" t="n">
        <v>44874.38325231482</v>
      </c>
      <c r="C511" s="1" t="n">
        <v>45927</v>
      </c>
      <c r="D511" t="inlineStr">
        <is>
          <t>UPPSALA LÄN</t>
        </is>
      </c>
      <c r="E511" t="inlineStr">
        <is>
          <t>ÖSTHAMMAR</t>
        </is>
      </c>
      <c r="G511" t="n">
        <v>3.1</v>
      </c>
      <c r="H511" t="n">
        <v>0</v>
      </c>
      <c r="I511" t="n">
        <v>0</v>
      </c>
      <c r="J511" t="n">
        <v>0</v>
      </c>
      <c r="K511" t="n">
        <v>0</v>
      </c>
      <c r="L511" t="n">
        <v>0</v>
      </c>
      <c r="M511" t="n">
        <v>0</v>
      </c>
      <c r="N511" t="n">
        <v>0</v>
      </c>
      <c r="O511" t="n">
        <v>0</v>
      </c>
      <c r="P511" t="n">
        <v>0</v>
      </c>
      <c r="Q511" t="n">
        <v>0</v>
      </c>
      <c r="R511" s="2" t="inlineStr"/>
    </row>
    <row r="512" ht="15" customHeight="1">
      <c r="A512" t="inlineStr">
        <is>
          <t>A 25033-2021</t>
        </is>
      </c>
      <c r="B512" s="1" t="n">
        <v>44341.590625</v>
      </c>
      <c r="C512" s="1" t="n">
        <v>45927</v>
      </c>
      <c r="D512" t="inlineStr">
        <is>
          <t>UPPSALA LÄN</t>
        </is>
      </c>
      <c r="E512" t="inlineStr">
        <is>
          <t>ÖSTHAMMAR</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45927</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45927</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60079-2022</t>
        </is>
      </c>
      <c r="B515" s="1" t="n">
        <v>44909</v>
      </c>
      <c r="C515" s="1" t="n">
        <v>45927</v>
      </c>
      <c r="D515" t="inlineStr">
        <is>
          <t>UPPSALA LÄN</t>
        </is>
      </c>
      <c r="E515" t="inlineStr">
        <is>
          <t>ÖSTHAMMAR</t>
        </is>
      </c>
      <c r="G515" t="n">
        <v>9.6</v>
      </c>
      <c r="H515" t="n">
        <v>0</v>
      </c>
      <c r="I515" t="n">
        <v>0</v>
      </c>
      <c r="J515" t="n">
        <v>0</v>
      </c>
      <c r="K515" t="n">
        <v>0</v>
      </c>
      <c r="L515" t="n">
        <v>0</v>
      </c>
      <c r="M515" t="n">
        <v>0</v>
      </c>
      <c r="N515" t="n">
        <v>0</v>
      </c>
      <c r="O515" t="n">
        <v>0</v>
      </c>
      <c r="P515" t="n">
        <v>0</v>
      </c>
      <c r="Q515" t="n">
        <v>0</v>
      </c>
      <c r="R515" s="2" t="inlineStr"/>
    </row>
    <row r="516" ht="15" customHeight="1">
      <c r="A516" t="inlineStr">
        <is>
          <t>A 6039-2025</t>
        </is>
      </c>
      <c r="B516" s="1" t="n">
        <v>45695</v>
      </c>
      <c r="C516" s="1" t="n">
        <v>45927</v>
      </c>
      <c r="D516" t="inlineStr">
        <is>
          <t>UPPSALA LÄN</t>
        </is>
      </c>
      <c r="E516" t="inlineStr">
        <is>
          <t>ÖSTHAMMAR</t>
        </is>
      </c>
      <c r="G516" t="n">
        <v>2.3</v>
      </c>
      <c r="H516" t="n">
        <v>0</v>
      </c>
      <c r="I516" t="n">
        <v>0</v>
      </c>
      <c r="J516" t="n">
        <v>0</v>
      </c>
      <c r="K516" t="n">
        <v>0</v>
      </c>
      <c r="L516" t="n">
        <v>0</v>
      </c>
      <c r="M516" t="n">
        <v>0</v>
      </c>
      <c r="N516" t="n">
        <v>0</v>
      </c>
      <c r="O516" t="n">
        <v>0</v>
      </c>
      <c r="P516" t="n">
        <v>0</v>
      </c>
      <c r="Q516" t="n">
        <v>0</v>
      </c>
      <c r="R516" s="2" t="inlineStr"/>
    </row>
    <row r="517" ht="15" customHeight="1">
      <c r="A517" t="inlineStr">
        <is>
          <t>A 51364-2021</t>
        </is>
      </c>
      <c r="B517" s="1" t="n">
        <v>44461</v>
      </c>
      <c r="C517" s="1" t="n">
        <v>45927</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40637-2022</t>
        </is>
      </c>
      <c r="B518" s="1" t="n">
        <v>44824</v>
      </c>
      <c r="C518" s="1" t="n">
        <v>45927</v>
      </c>
      <c r="D518" t="inlineStr">
        <is>
          <t>UPPSALA LÄN</t>
        </is>
      </c>
      <c r="E518" t="inlineStr">
        <is>
          <t>ÖSTHAMMAR</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43915-2023</t>
        </is>
      </c>
      <c r="B519" s="1" t="n">
        <v>45187.71274305556</v>
      </c>
      <c r="C519" s="1" t="n">
        <v>45927</v>
      </c>
      <c r="D519" t="inlineStr">
        <is>
          <t>UPPSALA LÄN</t>
        </is>
      </c>
      <c r="E519" t="inlineStr">
        <is>
          <t>ÖSTHAMMAR</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19501-2025</t>
        </is>
      </c>
      <c r="B520" s="1" t="n">
        <v>45770.4015625</v>
      </c>
      <c r="C520" s="1" t="n">
        <v>45927</v>
      </c>
      <c r="D520" t="inlineStr">
        <is>
          <t>UPPSALA LÄN</t>
        </is>
      </c>
      <c r="E520" t="inlineStr">
        <is>
          <t>ÖSTHAMMAR</t>
        </is>
      </c>
      <c r="F520" t="inlineStr">
        <is>
          <t>Övriga Aktiebolag</t>
        </is>
      </c>
      <c r="G520" t="n">
        <v>17.3</v>
      </c>
      <c r="H520" t="n">
        <v>0</v>
      </c>
      <c r="I520" t="n">
        <v>0</v>
      </c>
      <c r="J520" t="n">
        <v>0</v>
      </c>
      <c r="K520" t="n">
        <v>0</v>
      </c>
      <c r="L520" t="n">
        <v>0</v>
      </c>
      <c r="M520" t="n">
        <v>0</v>
      </c>
      <c r="N520" t="n">
        <v>0</v>
      </c>
      <c r="O520" t="n">
        <v>0</v>
      </c>
      <c r="P520" t="n">
        <v>0</v>
      </c>
      <c r="Q520" t="n">
        <v>0</v>
      </c>
      <c r="R520" s="2" t="inlineStr"/>
    </row>
    <row r="521" ht="15" customHeight="1">
      <c r="A521" t="inlineStr">
        <is>
          <t>A 56260-2022</t>
        </is>
      </c>
      <c r="B521" s="1" t="n">
        <v>44890</v>
      </c>
      <c r="C521" s="1" t="n">
        <v>45927</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30610-2025</t>
        </is>
      </c>
      <c r="B522" s="1" t="n">
        <v>45831.45965277778</v>
      </c>
      <c r="C522" s="1" t="n">
        <v>45927</v>
      </c>
      <c r="D522" t="inlineStr">
        <is>
          <t>UPPSALA LÄN</t>
        </is>
      </c>
      <c r="E522" t="inlineStr">
        <is>
          <t>ÖSTHAMMAR</t>
        </is>
      </c>
      <c r="G522" t="n">
        <v>0.2</v>
      </c>
      <c r="H522" t="n">
        <v>0</v>
      </c>
      <c r="I522" t="n">
        <v>0</v>
      </c>
      <c r="J522" t="n">
        <v>0</v>
      </c>
      <c r="K522" t="n">
        <v>0</v>
      </c>
      <c r="L522" t="n">
        <v>0</v>
      </c>
      <c r="M522" t="n">
        <v>0</v>
      </c>
      <c r="N522" t="n">
        <v>0</v>
      </c>
      <c r="O522" t="n">
        <v>0</v>
      </c>
      <c r="P522" t="n">
        <v>0</v>
      </c>
      <c r="Q522" t="n">
        <v>0</v>
      </c>
      <c r="R522" s="2" t="inlineStr"/>
    </row>
    <row r="523" ht="15" customHeight="1">
      <c r="A523" t="inlineStr">
        <is>
          <t>A 3119-2025</t>
        </is>
      </c>
      <c r="B523" s="1" t="n">
        <v>45678</v>
      </c>
      <c r="C523" s="1" t="n">
        <v>45927</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30504-2025</t>
        </is>
      </c>
      <c r="B524" s="1" t="n">
        <v>45830.8558912037</v>
      </c>
      <c r="C524" s="1" t="n">
        <v>45927</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30503-2025</t>
        </is>
      </c>
      <c r="B525" s="1" t="n">
        <v>45830.8500462963</v>
      </c>
      <c r="C525" s="1" t="n">
        <v>45927</v>
      </c>
      <c r="D525" t="inlineStr">
        <is>
          <t>UPPSALA LÄN</t>
        </is>
      </c>
      <c r="E525" t="inlineStr">
        <is>
          <t>ÖSTHAMMAR</t>
        </is>
      </c>
      <c r="G525" t="n">
        <v>0.8</v>
      </c>
      <c r="H525" t="n">
        <v>0</v>
      </c>
      <c r="I525" t="n">
        <v>0</v>
      </c>
      <c r="J525" t="n">
        <v>0</v>
      </c>
      <c r="K525" t="n">
        <v>0</v>
      </c>
      <c r="L525" t="n">
        <v>0</v>
      </c>
      <c r="M525" t="n">
        <v>0</v>
      </c>
      <c r="N525" t="n">
        <v>0</v>
      </c>
      <c r="O525" t="n">
        <v>0</v>
      </c>
      <c r="P525" t="n">
        <v>0</v>
      </c>
      <c r="Q525" t="n">
        <v>0</v>
      </c>
      <c r="R525" s="2" t="inlineStr"/>
    </row>
    <row r="526" ht="15" customHeight="1">
      <c r="A526" t="inlineStr">
        <is>
          <t>A 62394-2022</t>
        </is>
      </c>
      <c r="B526" s="1" t="n">
        <v>44923.82017361111</v>
      </c>
      <c r="C526" s="1" t="n">
        <v>45927</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28421-2023</t>
        </is>
      </c>
      <c r="B527" s="1" t="n">
        <v>45102</v>
      </c>
      <c r="C527" s="1" t="n">
        <v>45927</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22709-2021</t>
        </is>
      </c>
      <c r="B528" s="1" t="n">
        <v>44327.61518518518</v>
      </c>
      <c r="C528" s="1" t="n">
        <v>45927</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17931-2025</t>
        </is>
      </c>
      <c r="B529" s="1" t="n">
        <v>45759.56894675926</v>
      </c>
      <c r="C529" s="1" t="n">
        <v>45927</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17938-2025</t>
        </is>
      </c>
      <c r="B530" s="1" t="n">
        <v>45760.55626157407</v>
      </c>
      <c r="C530" s="1" t="n">
        <v>45927</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8616-2023</t>
        </is>
      </c>
      <c r="B531" s="1" t="n">
        <v>44977</v>
      </c>
      <c r="C531" s="1" t="n">
        <v>45927</v>
      </c>
      <c r="D531" t="inlineStr">
        <is>
          <t>UPPSALA LÄN</t>
        </is>
      </c>
      <c r="E531" t="inlineStr">
        <is>
          <t>ÖSTHAMMAR</t>
        </is>
      </c>
      <c r="F531" t="inlineStr">
        <is>
          <t>Bergvik skog öst AB</t>
        </is>
      </c>
      <c r="G531" t="n">
        <v>0.2</v>
      </c>
      <c r="H531" t="n">
        <v>0</v>
      </c>
      <c r="I531" t="n">
        <v>0</v>
      </c>
      <c r="J531" t="n">
        <v>0</v>
      </c>
      <c r="K531" t="n">
        <v>0</v>
      </c>
      <c r="L531" t="n">
        <v>0</v>
      </c>
      <c r="M531" t="n">
        <v>0</v>
      </c>
      <c r="N531" t="n">
        <v>0</v>
      </c>
      <c r="O531" t="n">
        <v>0</v>
      </c>
      <c r="P531" t="n">
        <v>0</v>
      </c>
      <c r="Q531" t="n">
        <v>0</v>
      </c>
      <c r="R531" s="2" t="inlineStr"/>
    </row>
    <row r="532" ht="15" customHeight="1">
      <c r="A532" t="inlineStr">
        <is>
          <t>A 50927-2024</t>
        </is>
      </c>
      <c r="B532" s="1" t="n">
        <v>45602</v>
      </c>
      <c r="C532" s="1" t="n">
        <v>45927</v>
      </c>
      <c r="D532" t="inlineStr">
        <is>
          <t>UPPSALA LÄN</t>
        </is>
      </c>
      <c r="E532" t="inlineStr">
        <is>
          <t>ÖSTHAMMAR</t>
        </is>
      </c>
      <c r="F532" t="inlineStr">
        <is>
          <t>Bergvik skog öst AB</t>
        </is>
      </c>
      <c r="G532" t="n">
        <v>45.4</v>
      </c>
      <c r="H532" t="n">
        <v>0</v>
      </c>
      <c r="I532" t="n">
        <v>0</v>
      </c>
      <c r="J532" t="n">
        <v>0</v>
      </c>
      <c r="K532" t="n">
        <v>0</v>
      </c>
      <c r="L532" t="n">
        <v>0</v>
      </c>
      <c r="M532" t="n">
        <v>0</v>
      </c>
      <c r="N532" t="n">
        <v>0</v>
      </c>
      <c r="O532" t="n">
        <v>0</v>
      </c>
      <c r="P532" t="n">
        <v>0</v>
      </c>
      <c r="Q532" t="n">
        <v>0</v>
      </c>
      <c r="R532" s="2" t="inlineStr"/>
    </row>
    <row r="533" ht="15" customHeight="1">
      <c r="A533" t="inlineStr">
        <is>
          <t>A 8763-2025</t>
        </is>
      </c>
      <c r="B533" s="1" t="n">
        <v>45712.57872685185</v>
      </c>
      <c r="C533" s="1" t="n">
        <v>45927</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54368-2023</t>
        </is>
      </c>
      <c r="B534" s="1" t="n">
        <v>45233.33221064815</v>
      </c>
      <c r="C534" s="1" t="n">
        <v>45927</v>
      </c>
      <c r="D534" t="inlineStr">
        <is>
          <t>UPPSALA LÄN</t>
        </is>
      </c>
      <c r="E534" t="inlineStr">
        <is>
          <t>ÖSTHAMMAR</t>
        </is>
      </c>
      <c r="F534" t="inlineStr">
        <is>
          <t>Bergvik skog öst AB</t>
        </is>
      </c>
      <c r="G534" t="n">
        <v>3</v>
      </c>
      <c r="H534" t="n">
        <v>0</v>
      </c>
      <c r="I534" t="n">
        <v>0</v>
      </c>
      <c r="J534" t="n">
        <v>0</v>
      </c>
      <c r="K534" t="n">
        <v>0</v>
      </c>
      <c r="L534" t="n">
        <v>0</v>
      </c>
      <c r="M534" t="n">
        <v>0</v>
      </c>
      <c r="N534" t="n">
        <v>0</v>
      </c>
      <c r="O534" t="n">
        <v>0</v>
      </c>
      <c r="P534" t="n">
        <v>0</v>
      </c>
      <c r="Q534" t="n">
        <v>0</v>
      </c>
      <c r="R534" s="2" t="inlineStr"/>
    </row>
    <row r="535" ht="15" customHeight="1">
      <c r="A535" t="inlineStr">
        <is>
          <t>A 32815-2024</t>
        </is>
      </c>
      <c r="B535" s="1" t="n">
        <v>45516.57682870371</v>
      </c>
      <c r="C535" s="1" t="n">
        <v>45927</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41538-2021</t>
        </is>
      </c>
      <c r="B536" s="1" t="n">
        <v>44425.35016203704</v>
      </c>
      <c r="C536" s="1" t="n">
        <v>45927</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44795.61990740741</v>
      </c>
      <c r="C537" s="1" t="n">
        <v>45927</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4096-2025</t>
        </is>
      </c>
      <c r="B538" s="1" t="n">
        <v>45684</v>
      </c>
      <c r="C538" s="1" t="n">
        <v>45927</v>
      </c>
      <c r="D538" t="inlineStr">
        <is>
          <t>UPPSALA LÄN</t>
        </is>
      </c>
      <c r="E538" t="inlineStr">
        <is>
          <t>ÖSTHAMMAR</t>
        </is>
      </c>
      <c r="G538" t="n">
        <v>2</v>
      </c>
      <c r="H538" t="n">
        <v>0</v>
      </c>
      <c r="I538" t="n">
        <v>0</v>
      </c>
      <c r="J538" t="n">
        <v>0</v>
      </c>
      <c r="K538" t="n">
        <v>0</v>
      </c>
      <c r="L538" t="n">
        <v>0</v>
      </c>
      <c r="M538" t="n">
        <v>0</v>
      </c>
      <c r="N538" t="n">
        <v>0</v>
      </c>
      <c r="O538" t="n">
        <v>0</v>
      </c>
      <c r="P538" t="n">
        <v>0</v>
      </c>
      <c r="Q538" t="n">
        <v>0</v>
      </c>
      <c r="R538" s="2" t="inlineStr"/>
    </row>
    <row r="539" ht="15" customHeight="1">
      <c r="A539" t="inlineStr">
        <is>
          <t>A 31249-2025</t>
        </is>
      </c>
      <c r="B539" s="1" t="n">
        <v>45832.89476851852</v>
      </c>
      <c r="C539" s="1" t="n">
        <v>45927</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31579-2025</t>
        </is>
      </c>
      <c r="B540" s="1" t="n">
        <v>45833.68211805556</v>
      </c>
      <c r="C540" s="1" t="n">
        <v>45927</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5429-2023</t>
        </is>
      </c>
      <c r="B541" s="1" t="n">
        <v>44959.83037037037</v>
      </c>
      <c r="C541" s="1" t="n">
        <v>45927</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11008-2023</t>
        </is>
      </c>
      <c r="B542" s="1" t="n">
        <v>44991</v>
      </c>
      <c r="C542" s="1" t="n">
        <v>45927</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31360-2025</t>
        </is>
      </c>
      <c r="B543" s="1" t="n">
        <v>45833.43527777777</v>
      </c>
      <c r="C543" s="1" t="n">
        <v>45927</v>
      </c>
      <c r="D543" t="inlineStr">
        <is>
          <t>UPPSALA LÄN</t>
        </is>
      </c>
      <c r="E543" t="inlineStr">
        <is>
          <t>ÖSTHAMMAR</t>
        </is>
      </c>
      <c r="G543" t="n">
        <v>1.1</v>
      </c>
      <c r="H543" t="n">
        <v>0</v>
      </c>
      <c r="I543" t="n">
        <v>0</v>
      </c>
      <c r="J543" t="n">
        <v>0</v>
      </c>
      <c r="K543" t="n">
        <v>0</v>
      </c>
      <c r="L543" t="n">
        <v>0</v>
      </c>
      <c r="M543" t="n">
        <v>0</v>
      </c>
      <c r="N543" t="n">
        <v>0</v>
      </c>
      <c r="O543" t="n">
        <v>0</v>
      </c>
      <c r="P543" t="n">
        <v>0</v>
      </c>
      <c r="Q543" t="n">
        <v>0</v>
      </c>
      <c r="R543" s="2" t="inlineStr"/>
    </row>
    <row r="544" ht="15" customHeight="1">
      <c r="A544" t="inlineStr">
        <is>
          <t>A 55090-2024</t>
        </is>
      </c>
      <c r="B544" s="1" t="n">
        <v>45621.4350462963</v>
      </c>
      <c r="C544" s="1" t="n">
        <v>45927</v>
      </c>
      <c r="D544" t="inlineStr">
        <is>
          <t>UPPSALA LÄN</t>
        </is>
      </c>
      <c r="E544" t="inlineStr">
        <is>
          <t>ÖSTHAMMAR</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55093-2024</t>
        </is>
      </c>
      <c r="B545" s="1" t="n">
        <v>45621.43712962963</v>
      </c>
      <c r="C545" s="1" t="n">
        <v>45927</v>
      </c>
      <c r="D545" t="inlineStr">
        <is>
          <t>UPPSALA LÄN</t>
        </is>
      </c>
      <c r="E545" t="inlineStr">
        <is>
          <t>ÖSTHAMMAR</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55097-2024</t>
        </is>
      </c>
      <c r="B546" s="1" t="n">
        <v>45621.43855324074</v>
      </c>
      <c r="C546" s="1" t="n">
        <v>45927</v>
      </c>
      <c r="D546" t="inlineStr">
        <is>
          <t>UPPSALA LÄN</t>
        </is>
      </c>
      <c r="E546" t="inlineStr">
        <is>
          <t>ÖSTHAMMAR</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60047-2021</t>
        </is>
      </c>
      <c r="B547" s="1" t="n">
        <v>44495</v>
      </c>
      <c r="C547" s="1" t="n">
        <v>45927</v>
      </c>
      <c r="D547" t="inlineStr">
        <is>
          <t>UPPSALA LÄN</t>
        </is>
      </c>
      <c r="E547" t="inlineStr">
        <is>
          <t>ÖSTHAMMAR</t>
        </is>
      </c>
      <c r="F547" t="inlineStr">
        <is>
          <t>Övriga Aktiebolag</t>
        </is>
      </c>
      <c r="G547" t="n">
        <v>1.8</v>
      </c>
      <c r="H547" t="n">
        <v>0</v>
      </c>
      <c r="I547" t="n">
        <v>0</v>
      </c>
      <c r="J547" t="n">
        <v>0</v>
      </c>
      <c r="K547" t="n">
        <v>0</v>
      </c>
      <c r="L547" t="n">
        <v>0</v>
      </c>
      <c r="M547" t="n">
        <v>0</v>
      </c>
      <c r="N547" t="n">
        <v>0</v>
      </c>
      <c r="O547" t="n">
        <v>0</v>
      </c>
      <c r="P547" t="n">
        <v>0</v>
      </c>
      <c r="Q547" t="n">
        <v>0</v>
      </c>
      <c r="R547" s="2" t="inlineStr"/>
    </row>
    <row r="548" ht="15" customHeight="1">
      <c r="A548" t="inlineStr">
        <is>
          <t>A 8623-2025</t>
        </is>
      </c>
      <c r="B548" s="1" t="n">
        <v>45711.51902777778</v>
      </c>
      <c r="C548" s="1" t="n">
        <v>45927</v>
      </c>
      <c r="D548" t="inlineStr">
        <is>
          <t>UPPSALA LÄN</t>
        </is>
      </c>
      <c r="E548" t="inlineStr">
        <is>
          <t>ÖSTHAMMAR</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8626-2025</t>
        </is>
      </c>
      <c r="B549" s="1" t="n">
        <v>45711.53565972222</v>
      </c>
      <c r="C549" s="1" t="n">
        <v>45927</v>
      </c>
      <c r="D549" t="inlineStr">
        <is>
          <t>UPPSALA LÄN</t>
        </is>
      </c>
      <c r="E549" t="inlineStr">
        <is>
          <t>ÖSTHAMMAR</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31896-2025</t>
        </is>
      </c>
      <c r="B550" s="1" t="n">
        <v>45834.67556712963</v>
      </c>
      <c r="C550" s="1" t="n">
        <v>45927</v>
      </c>
      <c r="D550" t="inlineStr">
        <is>
          <t>UPPSALA LÄN</t>
        </is>
      </c>
      <c r="E550" t="inlineStr">
        <is>
          <t>ÖSTHAMMAR</t>
        </is>
      </c>
      <c r="G550" t="n">
        <v>4.1</v>
      </c>
      <c r="H550" t="n">
        <v>0</v>
      </c>
      <c r="I550" t="n">
        <v>0</v>
      </c>
      <c r="J550" t="n">
        <v>0</v>
      </c>
      <c r="K550" t="n">
        <v>0</v>
      </c>
      <c r="L550" t="n">
        <v>0</v>
      </c>
      <c r="M550" t="n">
        <v>0</v>
      </c>
      <c r="N550" t="n">
        <v>0</v>
      </c>
      <c r="O550" t="n">
        <v>0</v>
      </c>
      <c r="P550" t="n">
        <v>0</v>
      </c>
      <c r="Q550" t="n">
        <v>0</v>
      </c>
      <c r="R550" s="2" t="inlineStr"/>
    </row>
    <row r="551" ht="15" customHeight="1">
      <c r="A551" t="inlineStr">
        <is>
          <t>A 3514-2023</t>
        </is>
      </c>
      <c r="B551" s="1" t="n">
        <v>44950</v>
      </c>
      <c r="C551" s="1" t="n">
        <v>45927</v>
      </c>
      <c r="D551" t="inlineStr">
        <is>
          <t>UPPSALA LÄN</t>
        </is>
      </c>
      <c r="E551" t="inlineStr">
        <is>
          <t>ÖSTHAMMAR</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31956-2025</t>
        </is>
      </c>
      <c r="B552" s="1" t="n">
        <v>45835.34184027778</v>
      </c>
      <c r="C552" s="1" t="n">
        <v>45927</v>
      </c>
      <c r="D552" t="inlineStr">
        <is>
          <t>UPPSALA LÄN</t>
        </is>
      </c>
      <c r="E552" t="inlineStr">
        <is>
          <t>ÖSTHAMMAR</t>
        </is>
      </c>
      <c r="F552" t="inlineStr">
        <is>
          <t>Övriga Aktiebolag</t>
        </is>
      </c>
      <c r="G552" t="n">
        <v>4.2</v>
      </c>
      <c r="H552" t="n">
        <v>0</v>
      </c>
      <c r="I552" t="n">
        <v>0</v>
      </c>
      <c r="J552" t="n">
        <v>0</v>
      </c>
      <c r="K552" t="n">
        <v>0</v>
      </c>
      <c r="L552" t="n">
        <v>0</v>
      </c>
      <c r="M552" t="n">
        <v>0</v>
      </c>
      <c r="N552" t="n">
        <v>0</v>
      </c>
      <c r="O552" t="n">
        <v>0</v>
      </c>
      <c r="P552" t="n">
        <v>0</v>
      </c>
      <c r="Q552" t="n">
        <v>0</v>
      </c>
      <c r="R552" s="2" t="inlineStr"/>
    </row>
    <row r="553" ht="15" customHeight="1">
      <c r="A553" t="inlineStr">
        <is>
          <t>A 31977-2025</t>
        </is>
      </c>
      <c r="B553" s="1" t="n">
        <v>45835.3554050926</v>
      </c>
      <c r="C553" s="1" t="n">
        <v>45927</v>
      </c>
      <c r="D553" t="inlineStr">
        <is>
          <t>UPPSALA LÄN</t>
        </is>
      </c>
      <c r="E553" t="inlineStr">
        <is>
          <t>ÖSTHAMMAR</t>
        </is>
      </c>
      <c r="F553" t="inlineStr">
        <is>
          <t>Övriga Aktiebolag</t>
        </is>
      </c>
      <c r="G553" t="n">
        <v>35.3</v>
      </c>
      <c r="H553" t="n">
        <v>0</v>
      </c>
      <c r="I553" t="n">
        <v>0</v>
      </c>
      <c r="J553" t="n">
        <v>0</v>
      </c>
      <c r="K553" t="n">
        <v>0</v>
      </c>
      <c r="L553" t="n">
        <v>0</v>
      </c>
      <c r="M553" t="n">
        <v>0</v>
      </c>
      <c r="N553" t="n">
        <v>0</v>
      </c>
      <c r="O553" t="n">
        <v>0</v>
      </c>
      <c r="P553" t="n">
        <v>0</v>
      </c>
      <c r="Q553" t="n">
        <v>0</v>
      </c>
      <c r="R553" s="2" t="inlineStr"/>
    </row>
    <row r="554" ht="15" customHeight="1">
      <c r="A554" t="inlineStr">
        <is>
          <t>A 27476-2025</t>
        </is>
      </c>
      <c r="B554" s="1" t="n">
        <v>45813.37517361111</v>
      </c>
      <c r="C554" s="1" t="n">
        <v>45927</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24128-2023</t>
        </is>
      </c>
      <c r="B555" s="1" t="n">
        <v>45079.50289351852</v>
      </c>
      <c r="C555" s="1" t="n">
        <v>45927</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33552-2024</t>
        </is>
      </c>
      <c r="B556" s="1" t="n">
        <v>45519</v>
      </c>
      <c r="C556" s="1" t="n">
        <v>45927</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33553-2024</t>
        </is>
      </c>
      <c r="B557" s="1" t="n">
        <v>45519</v>
      </c>
      <c r="C557" s="1" t="n">
        <v>45927</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32718-2025</t>
        </is>
      </c>
      <c r="B558" s="1" t="n">
        <v>45839.37740740741</v>
      </c>
      <c r="C558" s="1" t="n">
        <v>45927</v>
      </c>
      <c r="D558" t="inlineStr">
        <is>
          <t>UPPSALA LÄN</t>
        </is>
      </c>
      <c r="E558" t="inlineStr">
        <is>
          <t>ÖSTHAMMAR</t>
        </is>
      </c>
      <c r="G558" t="n">
        <v>10.4</v>
      </c>
      <c r="H558" t="n">
        <v>0</v>
      </c>
      <c r="I558" t="n">
        <v>0</v>
      </c>
      <c r="J558" t="n">
        <v>0</v>
      </c>
      <c r="K558" t="n">
        <v>0</v>
      </c>
      <c r="L558" t="n">
        <v>0</v>
      </c>
      <c r="M558" t="n">
        <v>0</v>
      </c>
      <c r="N558" t="n">
        <v>0</v>
      </c>
      <c r="O558" t="n">
        <v>0</v>
      </c>
      <c r="P558" t="n">
        <v>0</v>
      </c>
      <c r="Q558" t="n">
        <v>0</v>
      </c>
      <c r="R558" s="2" t="inlineStr"/>
    </row>
    <row r="559" ht="15" customHeight="1">
      <c r="A559" t="inlineStr">
        <is>
          <t>A 24181-2022</t>
        </is>
      </c>
      <c r="B559" s="1" t="n">
        <v>44725</v>
      </c>
      <c r="C559" s="1" t="n">
        <v>45927</v>
      </c>
      <c r="D559" t="inlineStr">
        <is>
          <t>UPPSALA LÄN</t>
        </is>
      </c>
      <c r="E559" t="inlineStr">
        <is>
          <t>ÖSTHAMMAR</t>
        </is>
      </c>
      <c r="G559" t="n">
        <v>1.4</v>
      </c>
      <c r="H559" t="n">
        <v>0</v>
      </c>
      <c r="I559" t="n">
        <v>0</v>
      </c>
      <c r="J559" t="n">
        <v>0</v>
      </c>
      <c r="K559" t="n">
        <v>0</v>
      </c>
      <c r="L559" t="n">
        <v>0</v>
      </c>
      <c r="M559" t="n">
        <v>0</v>
      </c>
      <c r="N559" t="n">
        <v>0</v>
      </c>
      <c r="O559" t="n">
        <v>0</v>
      </c>
      <c r="P559" t="n">
        <v>0</v>
      </c>
      <c r="Q559" t="n">
        <v>0</v>
      </c>
      <c r="R559" s="2" t="inlineStr"/>
    </row>
    <row r="560" ht="15" customHeight="1">
      <c r="A560" t="inlineStr">
        <is>
          <t>A 8902-2025</t>
        </is>
      </c>
      <c r="B560" s="1" t="n">
        <v>45713.41503472222</v>
      </c>
      <c r="C560" s="1" t="n">
        <v>45927</v>
      </c>
      <c r="D560" t="inlineStr">
        <is>
          <t>UPPSALA LÄN</t>
        </is>
      </c>
      <c r="E560" t="inlineStr">
        <is>
          <t>ÖSTHAMMAR</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19947-2024</t>
        </is>
      </c>
      <c r="B561" s="1" t="n">
        <v>45433</v>
      </c>
      <c r="C561" s="1" t="n">
        <v>45927</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16240-2025</t>
        </is>
      </c>
      <c r="B562" s="1" t="n">
        <v>45746</v>
      </c>
      <c r="C562" s="1" t="n">
        <v>45927</v>
      </c>
      <c r="D562" t="inlineStr">
        <is>
          <t>UPPSALA LÄN</t>
        </is>
      </c>
      <c r="E562" t="inlineStr">
        <is>
          <t>ÖSTHAMMAR</t>
        </is>
      </c>
      <c r="G562" t="n">
        <v>1.4</v>
      </c>
      <c r="H562" t="n">
        <v>0</v>
      </c>
      <c r="I562" t="n">
        <v>0</v>
      </c>
      <c r="J562" t="n">
        <v>0</v>
      </c>
      <c r="K562" t="n">
        <v>0</v>
      </c>
      <c r="L562" t="n">
        <v>0</v>
      </c>
      <c r="M562" t="n">
        <v>0</v>
      </c>
      <c r="N562" t="n">
        <v>0</v>
      </c>
      <c r="O562" t="n">
        <v>0</v>
      </c>
      <c r="P562" t="n">
        <v>0</v>
      </c>
      <c r="Q562" t="n">
        <v>0</v>
      </c>
      <c r="R562" s="2" t="inlineStr"/>
    </row>
    <row r="563" ht="15" customHeight="1">
      <c r="A563" t="inlineStr">
        <is>
          <t>A 33529-2025</t>
        </is>
      </c>
      <c r="B563" s="1" t="n">
        <v>45841.55199074074</v>
      </c>
      <c r="C563" s="1" t="n">
        <v>45927</v>
      </c>
      <c r="D563" t="inlineStr">
        <is>
          <t>UPPSALA LÄN</t>
        </is>
      </c>
      <c r="E563" t="inlineStr">
        <is>
          <t>ÖSTHAMMAR</t>
        </is>
      </c>
      <c r="F563" t="inlineStr">
        <is>
          <t>Bergvik skog öst AB</t>
        </is>
      </c>
      <c r="G563" t="n">
        <v>11.8</v>
      </c>
      <c r="H563" t="n">
        <v>0</v>
      </c>
      <c r="I563" t="n">
        <v>0</v>
      </c>
      <c r="J563" t="n">
        <v>0</v>
      </c>
      <c r="K563" t="n">
        <v>0</v>
      </c>
      <c r="L563" t="n">
        <v>0</v>
      </c>
      <c r="M563" t="n">
        <v>0</v>
      </c>
      <c r="N563" t="n">
        <v>0</v>
      </c>
      <c r="O563" t="n">
        <v>0</v>
      </c>
      <c r="P563" t="n">
        <v>0</v>
      </c>
      <c r="Q563" t="n">
        <v>0</v>
      </c>
      <c r="R563" s="2" t="inlineStr"/>
    </row>
    <row r="564" ht="15" customHeight="1">
      <c r="A564" t="inlineStr">
        <is>
          <t>A 33048-2025</t>
        </is>
      </c>
      <c r="B564" s="1" t="n">
        <v>45840.41451388889</v>
      </c>
      <c r="C564" s="1" t="n">
        <v>45927</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33271-2025</t>
        </is>
      </c>
      <c r="B565" s="1" t="n">
        <v>45840.68381944444</v>
      </c>
      <c r="C565" s="1" t="n">
        <v>45927</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3327-2023</t>
        </is>
      </c>
      <c r="B566" s="1" t="n">
        <v>44949.4377662037</v>
      </c>
      <c r="C566" s="1" t="n">
        <v>45927</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26395-2025</t>
        </is>
      </c>
      <c r="B567" s="1" t="n">
        <v>45807</v>
      </c>
      <c r="C567" s="1" t="n">
        <v>45927</v>
      </c>
      <c r="D567" t="inlineStr">
        <is>
          <t>UPPSALA LÄN</t>
        </is>
      </c>
      <c r="E567" t="inlineStr">
        <is>
          <t>ÖSTHAMMAR</t>
        </is>
      </c>
      <c r="G567" t="n">
        <v>7</v>
      </c>
      <c r="H567" t="n">
        <v>0</v>
      </c>
      <c r="I567" t="n">
        <v>0</v>
      </c>
      <c r="J567" t="n">
        <v>0</v>
      </c>
      <c r="K567" t="n">
        <v>0</v>
      </c>
      <c r="L567" t="n">
        <v>0</v>
      </c>
      <c r="M567" t="n">
        <v>0</v>
      </c>
      <c r="N567" t="n">
        <v>0</v>
      </c>
      <c r="O567" t="n">
        <v>0</v>
      </c>
      <c r="P567" t="n">
        <v>0</v>
      </c>
      <c r="Q567" t="n">
        <v>0</v>
      </c>
      <c r="R567" s="2" t="inlineStr"/>
    </row>
    <row r="568" ht="15" customHeight="1">
      <c r="A568" t="inlineStr">
        <is>
          <t>A 33927-2025</t>
        </is>
      </c>
      <c r="B568" s="1" t="n">
        <v>45842.62363425926</v>
      </c>
      <c r="C568" s="1" t="n">
        <v>45927</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57-2023</t>
        </is>
      </c>
      <c r="B569" s="1" t="n">
        <v>44928.40917824074</v>
      </c>
      <c r="C569" s="1" t="n">
        <v>45927</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59-2023</t>
        </is>
      </c>
      <c r="B570" s="1" t="n">
        <v>44928.41822916667</v>
      </c>
      <c r="C570" s="1" t="n">
        <v>45927</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55079-2024</t>
        </is>
      </c>
      <c r="B571" s="1" t="n">
        <v>45621.42747685185</v>
      </c>
      <c r="C571" s="1" t="n">
        <v>45927</v>
      </c>
      <c r="D571" t="inlineStr">
        <is>
          <t>UPPSALA LÄN</t>
        </is>
      </c>
      <c r="E571" t="inlineStr">
        <is>
          <t>ÖSTHAMMAR</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41821-2023</t>
        </is>
      </c>
      <c r="B572" s="1" t="n">
        <v>45176</v>
      </c>
      <c r="C572" s="1" t="n">
        <v>45927</v>
      </c>
      <c r="D572" t="inlineStr">
        <is>
          <t>UPPSALA LÄN</t>
        </is>
      </c>
      <c r="E572" t="inlineStr">
        <is>
          <t>ÖSTHAMMAR</t>
        </is>
      </c>
      <c r="G572" t="n">
        <v>0.9</v>
      </c>
      <c r="H572" t="n">
        <v>0</v>
      </c>
      <c r="I572" t="n">
        <v>0</v>
      </c>
      <c r="J572" t="n">
        <v>0</v>
      </c>
      <c r="K572" t="n">
        <v>0</v>
      </c>
      <c r="L572" t="n">
        <v>0</v>
      </c>
      <c r="M572" t="n">
        <v>0</v>
      </c>
      <c r="N572" t="n">
        <v>0</v>
      </c>
      <c r="O572" t="n">
        <v>0</v>
      </c>
      <c r="P572" t="n">
        <v>0</v>
      </c>
      <c r="Q572" t="n">
        <v>0</v>
      </c>
      <c r="R572" s="2" t="inlineStr"/>
    </row>
    <row r="573" ht="15" customHeight="1">
      <c r="A573" t="inlineStr">
        <is>
          <t>A 33972-2025</t>
        </is>
      </c>
      <c r="B573" s="1" t="n">
        <v>45842.97236111111</v>
      </c>
      <c r="C573" s="1" t="n">
        <v>45927</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row>
    <row r="574" ht="15" customHeight="1">
      <c r="A574" t="inlineStr">
        <is>
          <t>A 33680-2024</t>
        </is>
      </c>
      <c r="B574" s="1" t="n">
        <v>45520.50712962963</v>
      </c>
      <c r="C574" s="1" t="n">
        <v>45927</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35309-2023</t>
        </is>
      </c>
      <c r="B575" s="1" t="n">
        <v>45146</v>
      </c>
      <c r="C575" s="1" t="n">
        <v>45927</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14272-2025</t>
        </is>
      </c>
      <c r="B576" s="1" t="n">
        <v>45740.64327546296</v>
      </c>
      <c r="C576" s="1" t="n">
        <v>45927</v>
      </c>
      <c r="D576" t="inlineStr">
        <is>
          <t>UPPSALA LÄN</t>
        </is>
      </c>
      <c r="E576" t="inlineStr">
        <is>
          <t>ÖSTHAMMAR</t>
        </is>
      </c>
      <c r="G576" t="n">
        <v>5.7</v>
      </c>
      <c r="H576" t="n">
        <v>0</v>
      </c>
      <c r="I576" t="n">
        <v>0</v>
      </c>
      <c r="J576" t="n">
        <v>0</v>
      </c>
      <c r="K576" t="n">
        <v>0</v>
      </c>
      <c r="L576" t="n">
        <v>0</v>
      </c>
      <c r="M576" t="n">
        <v>0</v>
      </c>
      <c r="N576" t="n">
        <v>0</v>
      </c>
      <c r="O576" t="n">
        <v>0</v>
      </c>
      <c r="P576" t="n">
        <v>0</v>
      </c>
      <c r="Q576" t="n">
        <v>0</v>
      </c>
      <c r="R576" s="2" t="inlineStr"/>
    </row>
    <row r="577" ht="15" customHeight="1">
      <c r="A577" t="inlineStr">
        <is>
          <t>A 33550-2024</t>
        </is>
      </c>
      <c r="B577" s="1" t="n">
        <v>45519.81043981481</v>
      </c>
      <c r="C577" s="1" t="n">
        <v>45927</v>
      </c>
      <c r="D577" t="inlineStr">
        <is>
          <t>UPPSALA LÄN</t>
        </is>
      </c>
      <c r="E577" t="inlineStr">
        <is>
          <t>ÖSTHAMMAR</t>
        </is>
      </c>
      <c r="F577" t="inlineStr">
        <is>
          <t>Bergvik skog öst AB</t>
        </is>
      </c>
      <c r="G577" t="n">
        <v>1.8</v>
      </c>
      <c r="H577" t="n">
        <v>0</v>
      </c>
      <c r="I577" t="n">
        <v>0</v>
      </c>
      <c r="J577" t="n">
        <v>0</v>
      </c>
      <c r="K577" t="n">
        <v>0</v>
      </c>
      <c r="L577" t="n">
        <v>0</v>
      </c>
      <c r="M577" t="n">
        <v>0</v>
      </c>
      <c r="N577" t="n">
        <v>0</v>
      </c>
      <c r="O577" t="n">
        <v>0</v>
      </c>
      <c r="P577" t="n">
        <v>0</v>
      </c>
      <c r="Q577" t="n">
        <v>0</v>
      </c>
      <c r="R577" s="2" t="inlineStr"/>
    </row>
    <row r="578" ht="15" customHeight="1">
      <c r="A578" t="inlineStr">
        <is>
          <t>A 17940-2025</t>
        </is>
      </c>
      <c r="B578" s="1" t="n">
        <v>45760.55842592593</v>
      </c>
      <c r="C578" s="1" t="n">
        <v>45927</v>
      </c>
      <c r="D578" t="inlineStr">
        <is>
          <t>UPPSALA LÄN</t>
        </is>
      </c>
      <c r="E578" t="inlineStr">
        <is>
          <t>ÖSTHAMMAR</t>
        </is>
      </c>
      <c r="F578" t="inlineStr">
        <is>
          <t>Bergvik skog öst AB</t>
        </is>
      </c>
      <c r="G578" t="n">
        <v>5.6</v>
      </c>
      <c r="H578" t="n">
        <v>0</v>
      </c>
      <c r="I578" t="n">
        <v>0</v>
      </c>
      <c r="J578" t="n">
        <v>0</v>
      </c>
      <c r="K578" t="n">
        <v>0</v>
      </c>
      <c r="L578" t="n">
        <v>0</v>
      </c>
      <c r="M578" t="n">
        <v>0</v>
      </c>
      <c r="N578" t="n">
        <v>0</v>
      </c>
      <c r="O578" t="n">
        <v>0</v>
      </c>
      <c r="P578" t="n">
        <v>0</v>
      </c>
      <c r="Q578" t="n">
        <v>0</v>
      </c>
      <c r="R578" s="2" t="inlineStr"/>
    </row>
    <row r="579" ht="15" customHeight="1">
      <c r="A579" t="inlineStr">
        <is>
          <t>A 12215-2023</t>
        </is>
      </c>
      <c r="B579" s="1" t="n">
        <v>44998</v>
      </c>
      <c r="C579" s="1" t="n">
        <v>45927</v>
      </c>
      <c r="D579" t="inlineStr">
        <is>
          <t>UPPSALA LÄN</t>
        </is>
      </c>
      <c r="E579" t="inlineStr">
        <is>
          <t>ÖSTHAMMAR</t>
        </is>
      </c>
      <c r="G579" t="n">
        <v>5.1</v>
      </c>
      <c r="H579" t="n">
        <v>0</v>
      </c>
      <c r="I579" t="n">
        <v>0</v>
      </c>
      <c r="J579" t="n">
        <v>0</v>
      </c>
      <c r="K579" t="n">
        <v>0</v>
      </c>
      <c r="L579" t="n">
        <v>0</v>
      </c>
      <c r="M579" t="n">
        <v>0</v>
      </c>
      <c r="N579" t="n">
        <v>0</v>
      </c>
      <c r="O579" t="n">
        <v>0</v>
      </c>
      <c r="P579" t="n">
        <v>0</v>
      </c>
      <c r="Q579" t="n">
        <v>0</v>
      </c>
      <c r="R579" s="2" t="inlineStr"/>
    </row>
    <row r="580" ht="15" customHeight="1">
      <c r="A580" t="inlineStr">
        <is>
          <t>A 30811-2023</t>
        </is>
      </c>
      <c r="B580" s="1" t="n">
        <v>45112.86422453704</v>
      </c>
      <c r="C580" s="1" t="n">
        <v>45927</v>
      </c>
      <c r="D580" t="inlineStr">
        <is>
          <t>UPPSALA LÄN</t>
        </is>
      </c>
      <c r="E580" t="inlineStr">
        <is>
          <t>ÖSTHAMMAR</t>
        </is>
      </c>
      <c r="F580" t="inlineStr">
        <is>
          <t>Bergvik skog öst AB</t>
        </is>
      </c>
      <c r="G580" t="n">
        <v>0.7</v>
      </c>
      <c r="H580" t="n">
        <v>0</v>
      </c>
      <c r="I580" t="n">
        <v>0</v>
      </c>
      <c r="J580" t="n">
        <v>0</v>
      </c>
      <c r="K580" t="n">
        <v>0</v>
      </c>
      <c r="L580" t="n">
        <v>0</v>
      </c>
      <c r="M580" t="n">
        <v>0</v>
      </c>
      <c r="N580" t="n">
        <v>0</v>
      </c>
      <c r="O580" t="n">
        <v>0</v>
      </c>
      <c r="P580" t="n">
        <v>0</v>
      </c>
      <c r="Q580" t="n">
        <v>0</v>
      </c>
      <c r="R580" s="2" t="inlineStr"/>
    </row>
    <row r="581" ht="15" customHeight="1">
      <c r="A581" t="inlineStr">
        <is>
          <t>A 55646-2021</t>
        </is>
      </c>
      <c r="B581" s="1" t="n">
        <v>44476.3632175926</v>
      </c>
      <c r="C581" s="1" t="n">
        <v>45927</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61443-2024</t>
        </is>
      </c>
      <c r="B582" s="1" t="n">
        <v>45646.47936342593</v>
      </c>
      <c r="C582" s="1" t="n">
        <v>45927</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33973-2025</t>
        </is>
      </c>
      <c r="B583" s="1" t="n">
        <v>45842.98429398148</v>
      </c>
      <c r="C583" s="1" t="n">
        <v>45927</v>
      </c>
      <c r="D583" t="inlineStr">
        <is>
          <t>UPPSALA LÄN</t>
        </is>
      </c>
      <c r="E583" t="inlineStr">
        <is>
          <t>ÖSTHAMMAR</t>
        </is>
      </c>
      <c r="G583" t="n">
        <v>1.9</v>
      </c>
      <c r="H583" t="n">
        <v>0</v>
      </c>
      <c r="I583" t="n">
        <v>0</v>
      </c>
      <c r="J583" t="n">
        <v>0</v>
      </c>
      <c r="K583" t="n">
        <v>0</v>
      </c>
      <c r="L583" t="n">
        <v>0</v>
      </c>
      <c r="M583" t="n">
        <v>0</v>
      </c>
      <c r="N583" t="n">
        <v>0</v>
      </c>
      <c r="O583" t="n">
        <v>0</v>
      </c>
      <c r="P583" t="n">
        <v>0</v>
      </c>
      <c r="Q583" t="n">
        <v>0</v>
      </c>
      <c r="R583" s="2" t="inlineStr"/>
    </row>
    <row r="584" ht="15" customHeight="1">
      <c r="A584" t="inlineStr">
        <is>
          <t>A 13279-2022</t>
        </is>
      </c>
      <c r="B584" s="1" t="n">
        <v>44644</v>
      </c>
      <c r="C584" s="1" t="n">
        <v>45927</v>
      </c>
      <c r="D584" t="inlineStr">
        <is>
          <t>UPPSALA LÄN</t>
        </is>
      </c>
      <c r="E584" t="inlineStr">
        <is>
          <t>ÖSTHAMMAR</t>
        </is>
      </c>
      <c r="G584" t="n">
        <v>1.4</v>
      </c>
      <c r="H584" t="n">
        <v>0</v>
      </c>
      <c r="I584" t="n">
        <v>0</v>
      </c>
      <c r="J584" t="n">
        <v>0</v>
      </c>
      <c r="K584" t="n">
        <v>0</v>
      </c>
      <c r="L584" t="n">
        <v>0</v>
      </c>
      <c r="M584" t="n">
        <v>0</v>
      </c>
      <c r="N584" t="n">
        <v>0</v>
      </c>
      <c r="O584" t="n">
        <v>0</v>
      </c>
      <c r="P584" t="n">
        <v>0</v>
      </c>
      <c r="Q584" t="n">
        <v>0</v>
      </c>
      <c r="R584" s="2" t="inlineStr"/>
    </row>
    <row r="585" ht="15" customHeight="1">
      <c r="A585" t="inlineStr">
        <is>
          <t>A 6046-2025</t>
        </is>
      </c>
      <c r="B585" s="1" t="n">
        <v>45695</v>
      </c>
      <c r="C585" s="1" t="n">
        <v>45927</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c r="U585">
        <f>HYPERLINK("https://klasma.github.io/Logging_0382/knärot/A 6046-2025 karta knärot.png", "A 6046-2025")</f>
        <v/>
      </c>
      <c r="V585">
        <f>HYPERLINK("https://klasma.github.io/Logging_0382/klagomål/A 6046-2025 FSC-klagomål.docx", "A 6046-2025")</f>
        <v/>
      </c>
      <c r="W585">
        <f>HYPERLINK("https://klasma.github.io/Logging_0382/klagomålsmail/A 6046-2025 FSC-klagomål mail.docx", "A 6046-2025")</f>
        <v/>
      </c>
      <c r="X585">
        <f>HYPERLINK("https://klasma.github.io/Logging_0382/tillsyn/A 6046-2025 tillsynsbegäran.docx", "A 6046-2025")</f>
        <v/>
      </c>
      <c r="Y585">
        <f>HYPERLINK("https://klasma.github.io/Logging_0382/tillsynsmail/A 6046-2025 tillsynsbegäran mail.docx", "A 6046-2025")</f>
        <v/>
      </c>
    </row>
    <row r="586" ht="15" customHeight="1">
      <c r="A586" t="inlineStr">
        <is>
          <t>A 45102-2024</t>
        </is>
      </c>
      <c r="B586" s="1" t="n">
        <v>45575.58836805556</v>
      </c>
      <c r="C586" s="1" t="n">
        <v>45927</v>
      </c>
      <c r="D586" t="inlineStr">
        <is>
          <t>UPPSALA LÄN</t>
        </is>
      </c>
      <c r="E586" t="inlineStr">
        <is>
          <t>ÖSTHAMMAR</t>
        </is>
      </c>
      <c r="G586" t="n">
        <v>8.6</v>
      </c>
      <c r="H586" t="n">
        <v>0</v>
      </c>
      <c r="I586" t="n">
        <v>0</v>
      </c>
      <c r="J586" t="n">
        <v>0</v>
      </c>
      <c r="K586" t="n">
        <v>0</v>
      </c>
      <c r="L586" t="n">
        <v>0</v>
      </c>
      <c r="M586" t="n">
        <v>0</v>
      </c>
      <c r="N586" t="n">
        <v>0</v>
      </c>
      <c r="O586" t="n">
        <v>0</v>
      </c>
      <c r="P586" t="n">
        <v>0</v>
      </c>
      <c r="Q586" t="n">
        <v>0</v>
      </c>
      <c r="R586" s="2" t="inlineStr"/>
    </row>
    <row r="587" ht="15" customHeight="1">
      <c r="A587" t="inlineStr">
        <is>
          <t>A 18731-2022</t>
        </is>
      </c>
      <c r="B587" s="1" t="n">
        <v>44687.78673611111</v>
      </c>
      <c r="C587" s="1" t="n">
        <v>45927</v>
      </c>
      <c r="D587" t="inlineStr">
        <is>
          <t>UPPSALA LÄN</t>
        </is>
      </c>
      <c r="E587" t="inlineStr">
        <is>
          <t>ÖSTHAMMAR</t>
        </is>
      </c>
      <c r="G587" t="n">
        <v>4.9</v>
      </c>
      <c r="H587" t="n">
        <v>0</v>
      </c>
      <c r="I587" t="n">
        <v>0</v>
      </c>
      <c r="J587" t="n">
        <v>0</v>
      </c>
      <c r="K587" t="n">
        <v>0</v>
      </c>
      <c r="L587" t="n">
        <v>0</v>
      </c>
      <c r="M587" t="n">
        <v>0</v>
      </c>
      <c r="N587" t="n">
        <v>0</v>
      </c>
      <c r="O587" t="n">
        <v>0</v>
      </c>
      <c r="P587" t="n">
        <v>0</v>
      </c>
      <c r="Q587" t="n">
        <v>0</v>
      </c>
      <c r="R587" s="2" t="inlineStr"/>
    </row>
    <row r="588" ht="15" customHeight="1">
      <c r="A588" t="inlineStr">
        <is>
          <t>A 11385-2024</t>
        </is>
      </c>
      <c r="B588" s="1" t="n">
        <v>45372</v>
      </c>
      <c r="C588" s="1" t="n">
        <v>45927</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9642-2024</t>
        </is>
      </c>
      <c r="B589" s="1" t="n">
        <v>45362.36296296296</v>
      </c>
      <c r="C589" s="1" t="n">
        <v>45927</v>
      </c>
      <c r="D589" t="inlineStr">
        <is>
          <t>UPPSALA LÄN</t>
        </is>
      </c>
      <c r="E589" t="inlineStr">
        <is>
          <t>ÖSTHAMMAR</t>
        </is>
      </c>
      <c r="G589" t="n">
        <v>3.1</v>
      </c>
      <c r="H589" t="n">
        <v>0</v>
      </c>
      <c r="I589" t="n">
        <v>0</v>
      </c>
      <c r="J589" t="n">
        <v>0</v>
      </c>
      <c r="K589" t="n">
        <v>0</v>
      </c>
      <c r="L589" t="n">
        <v>0</v>
      </c>
      <c r="M589" t="n">
        <v>0</v>
      </c>
      <c r="N589" t="n">
        <v>0</v>
      </c>
      <c r="O589" t="n">
        <v>0</v>
      </c>
      <c r="P589" t="n">
        <v>0</v>
      </c>
      <c r="Q589" t="n">
        <v>0</v>
      </c>
      <c r="R589" s="2" t="inlineStr"/>
    </row>
    <row r="590" ht="15" customHeight="1">
      <c r="A590" t="inlineStr">
        <is>
          <t>A 66779-2021</t>
        </is>
      </c>
      <c r="B590" s="1" t="n">
        <v>44522.31700231481</v>
      </c>
      <c r="C590" s="1" t="n">
        <v>45927</v>
      </c>
      <c r="D590" t="inlineStr">
        <is>
          <t>UPPSALA LÄN</t>
        </is>
      </c>
      <c r="E590" t="inlineStr">
        <is>
          <t>ÖSTHAMMAR</t>
        </is>
      </c>
      <c r="G590" t="n">
        <v>2</v>
      </c>
      <c r="H590" t="n">
        <v>0</v>
      </c>
      <c r="I590" t="n">
        <v>0</v>
      </c>
      <c r="J590" t="n">
        <v>0</v>
      </c>
      <c r="K590" t="n">
        <v>0</v>
      </c>
      <c r="L590" t="n">
        <v>0</v>
      </c>
      <c r="M590" t="n">
        <v>0</v>
      </c>
      <c r="N590" t="n">
        <v>0</v>
      </c>
      <c r="O590" t="n">
        <v>0</v>
      </c>
      <c r="P590" t="n">
        <v>0</v>
      </c>
      <c r="Q590" t="n">
        <v>0</v>
      </c>
      <c r="R590" s="2" t="inlineStr"/>
    </row>
    <row r="591" ht="15" customHeight="1">
      <c r="A591" t="inlineStr">
        <is>
          <t>A 18401-2025</t>
        </is>
      </c>
      <c r="B591" s="1" t="n">
        <v>45762.5966087963</v>
      </c>
      <c r="C591" s="1" t="n">
        <v>45927</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33062-2021</t>
        </is>
      </c>
      <c r="B592" s="1" t="n">
        <v>44376</v>
      </c>
      <c r="C592" s="1" t="n">
        <v>45927</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24033-2023</t>
        </is>
      </c>
      <c r="B593" s="1" t="n">
        <v>45078</v>
      </c>
      <c r="C593" s="1" t="n">
        <v>45927</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25859-2024</t>
        </is>
      </c>
      <c r="B594" s="1" t="n">
        <v>45467</v>
      </c>
      <c r="C594" s="1" t="n">
        <v>45927</v>
      </c>
      <c r="D594" t="inlineStr">
        <is>
          <t>UPPSALA LÄN</t>
        </is>
      </c>
      <c r="E594" t="inlineStr">
        <is>
          <t>ÖSTHAMMAR</t>
        </is>
      </c>
      <c r="G594" t="n">
        <v>7.9</v>
      </c>
      <c r="H594" t="n">
        <v>0</v>
      </c>
      <c r="I594" t="n">
        <v>0</v>
      </c>
      <c r="J594" t="n">
        <v>0</v>
      </c>
      <c r="K594" t="n">
        <v>0</v>
      </c>
      <c r="L594" t="n">
        <v>0</v>
      </c>
      <c r="M594" t="n">
        <v>0</v>
      </c>
      <c r="N594" t="n">
        <v>0</v>
      </c>
      <c r="O594" t="n">
        <v>0</v>
      </c>
      <c r="P594" t="n">
        <v>0</v>
      </c>
      <c r="Q594" t="n">
        <v>0</v>
      </c>
      <c r="R594" s="2" t="inlineStr"/>
    </row>
    <row r="595" ht="15" customHeight="1">
      <c r="A595" t="inlineStr">
        <is>
          <t>A 10117-2025</t>
        </is>
      </c>
      <c r="B595" s="1" t="n">
        <v>45719.59866898148</v>
      </c>
      <c r="C595" s="1" t="n">
        <v>45927</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38886-2025</t>
        </is>
      </c>
      <c r="B596" s="1" t="n">
        <v>45887.58370370371</v>
      </c>
      <c r="C596" s="1" t="n">
        <v>45927</v>
      </c>
      <c r="D596" t="inlineStr">
        <is>
          <t>UPPSALA LÄN</t>
        </is>
      </c>
      <c r="E596" t="inlineStr">
        <is>
          <t>ÖSTHAMMAR</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28429-2023</t>
        </is>
      </c>
      <c r="B597" s="1" t="n">
        <v>45102.58728009259</v>
      </c>
      <c r="C597" s="1" t="n">
        <v>45927</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17939-2025</t>
        </is>
      </c>
      <c r="B598" s="1" t="n">
        <v>45760.55671296296</v>
      </c>
      <c r="C598" s="1" t="n">
        <v>45927</v>
      </c>
      <c r="D598" t="inlineStr">
        <is>
          <t>UPPSALA LÄN</t>
        </is>
      </c>
      <c r="E598" t="inlineStr">
        <is>
          <t>ÖSTHAMMAR</t>
        </is>
      </c>
      <c r="F598" t="inlineStr">
        <is>
          <t>Bergvik skog öst AB</t>
        </is>
      </c>
      <c r="G598" t="n">
        <v>5.4</v>
      </c>
      <c r="H598" t="n">
        <v>0</v>
      </c>
      <c r="I598" t="n">
        <v>0</v>
      </c>
      <c r="J598" t="n">
        <v>0</v>
      </c>
      <c r="K598" t="n">
        <v>0</v>
      </c>
      <c r="L598" t="n">
        <v>0</v>
      </c>
      <c r="M598" t="n">
        <v>0</v>
      </c>
      <c r="N598" t="n">
        <v>0</v>
      </c>
      <c r="O598" t="n">
        <v>0</v>
      </c>
      <c r="P598" t="n">
        <v>0</v>
      </c>
      <c r="Q598" t="n">
        <v>0</v>
      </c>
      <c r="R598" s="2" t="inlineStr"/>
    </row>
    <row r="599" ht="15" customHeight="1">
      <c r="A599" t="inlineStr">
        <is>
          <t>A 3638-2022</t>
        </is>
      </c>
      <c r="B599" s="1" t="n">
        <v>44578</v>
      </c>
      <c r="C599" s="1" t="n">
        <v>45927</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40406-2025</t>
        </is>
      </c>
      <c r="B600" s="1" t="n">
        <v>45895.57082175926</v>
      </c>
      <c r="C600" s="1" t="n">
        <v>45927</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58878-2022</t>
        </is>
      </c>
      <c r="B601" s="1" t="n">
        <v>44903</v>
      </c>
      <c r="C601" s="1" t="n">
        <v>45927</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30755-2024</t>
        </is>
      </c>
      <c r="B602" s="1" t="n">
        <v>45496</v>
      </c>
      <c r="C602" s="1" t="n">
        <v>45927</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40460-2025</t>
        </is>
      </c>
      <c r="B603" s="1" t="n">
        <v>45895.65013888889</v>
      </c>
      <c r="C603" s="1" t="n">
        <v>45927</v>
      </c>
      <c r="D603" t="inlineStr">
        <is>
          <t>UPPSALA LÄN</t>
        </is>
      </c>
      <c r="E603" t="inlineStr">
        <is>
          <t>ÖSTHAMMAR</t>
        </is>
      </c>
      <c r="G603" t="n">
        <v>2.7</v>
      </c>
      <c r="H603" t="n">
        <v>0</v>
      </c>
      <c r="I603" t="n">
        <v>0</v>
      </c>
      <c r="J603" t="n">
        <v>0</v>
      </c>
      <c r="K603" t="n">
        <v>0</v>
      </c>
      <c r="L603" t="n">
        <v>0</v>
      </c>
      <c r="M603" t="n">
        <v>0</v>
      </c>
      <c r="N603" t="n">
        <v>0</v>
      </c>
      <c r="O603" t="n">
        <v>0</v>
      </c>
      <c r="P603" t="n">
        <v>0</v>
      </c>
      <c r="Q603" t="n">
        <v>0</v>
      </c>
      <c r="R603" s="2" t="inlineStr"/>
    </row>
    <row r="604" ht="15" customHeight="1">
      <c r="A604" t="inlineStr">
        <is>
          <t>A 40462-2025</t>
        </is>
      </c>
      <c r="B604" s="1" t="n">
        <v>45895.65179398148</v>
      </c>
      <c r="C604" s="1" t="n">
        <v>45927</v>
      </c>
      <c r="D604" t="inlineStr">
        <is>
          <t>UPPSALA LÄN</t>
        </is>
      </c>
      <c r="E604" t="inlineStr">
        <is>
          <t>ÖSTHAMMAR</t>
        </is>
      </c>
      <c r="G604" t="n">
        <v>4.5</v>
      </c>
      <c r="H604" t="n">
        <v>0</v>
      </c>
      <c r="I604" t="n">
        <v>0</v>
      </c>
      <c r="J604" t="n">
        <v>0</v>
      </c>
      <c r="K604" t="n">
        <v>0</v>
      </c>
      <c r="L604" t="n">
        <v>0</v>
      </c>
      <c r="M604" t="n">
        <v>0</v>
      </c>
      <c r="N604" t="n">
        <v>0</v>
      </c>
      <c r="O604" t="n">
        <v>0</v>
      </c>
      <c r="P604" t="n">
        <v>0</v>
      </c>
      <c r="Q604" t="n">
        <v>0</v>
      </c>
      <c r="R604" s="2" t="inlineStr"/>
    </row>
    <row r="605" ht="15" customHeight="1">
      <c r="A605" t="inlineStr">
        <is>
          <t>A 40016-2025</t>
        </is>
      </c>
      <c r="B605" s="1" t="n">
        <v>45894.34747685185</v>
      </c>
      <c r="C605" s="1" t="n">
        <v>45927</v>
      </c>
      <c r="D605" t="inlineStr">
        <is>
          <t>UPPSALA LÄN</t>
        </is>
      </c>
      <c r="E605" t="inlineStr">
        <is>
          <t>ÖSTHAMMAR</t>
        </is>
      </c>
      <c r="F605" t="inlineStr">
        <is>
          <t>Kyrkan</t>
        </is>
      </c>
      <c r="G605" t="n">
        <v>6.6</v>
      </c>
      <c r="H605" t="n">
        <v>0</v>
      </c>
      <c r="I605" t="n">
        <v>0</v>
      </c>
      <c r="J605" t="n">
        <v>0</v>
      </c>
      <c r="K605" t="n">
        <v>0</v>
      </c>
      <c r="L605" t="n">
        <v>0</v>
      </c>
      <c r="M605" t="n">
        <v>0</v>
      </c>
      <c r="N605" t="n">
        <v>0</v>
      </c>
      <c r="O605" t="n">
        <v>0</v>
      </c>
      <c r="P605" t="n">
        <v>0</v>
      </c>
      <c r="Q605" t="n">
        <v>0</v>
      </c>
      <c r="R605" s="2" t="inlineStr"/>
    </row>
    <row r="606" ht="15" customHeight="1">
      <c r="A606" t="inlineStr">
        <is>
          <t>A 19640-2025</t>
        </is>
      </c>
      <c r="B606" s="1" t="n">
        <v>45770.65739583333</v>
      </c>
      <c r="C606" s="1" t="n">
        <v>45927</v>
      </c>
      <c r="D606" t="inlineStr">
        <is>
          <t>UPPSALA LÄN</t>
        </is>
      </c>
      <c r="E606" t="inlineStr">
        <is>
          <t>ÖSTHAMMAR</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40044-2025</t>
        </is>
      </c>
      <c r="B607" s="1" t="n">
        <v>45894.40133101852</v>
      </c>
      <c r="C607" s="1" t="n">
        <v>45927</v>
      </c>
      <c r="D607" t="inlineStr">
        <is>
          <t>UPPSALA LÄN</t>
        </is>
      </c>
      <c r="E607" t="inlineStr">
        <is>
          <t>ÖSTHAMMAR</t>
        </is>
      </c>
      <c r="F607" t="inlineStr">
        <is>
          <t>Kyrkan</t>
        </is>
      </c>
      <c r="G607" t="n">
        <v>8.9</v>
      </c>
      <c r="H607" t="n">
        <v>0</v>
      </c>
      <c r="I607" t="n">
        <v>0</v>
      </c>
      <c r="J607" t="n">
        <v>0</v>
      </c>
      <c r="K607" t="n">
        <v>0</v>
      </c>
      <c r="L607" t="n">
        <v>0</v>
      </c>
      <c r="M607" t="n">
        <v>0</v>
      </c>
      <c r="N607" t="n">
        <v>0</v>
      </c>
      <c r="O607" t="n">
        <v>0</v>
      </c>
      <c r="P607" t="n">
        <v>0</v>
      </c>
      <c r="Q607" t="n">
        <v>0</v>
      </c>
      <c r="R607" s="2" t="inlineStr"/>
    </row>
    <row r="608" ht="15" customHeight="1">
      <c r="A608" t="inlineStr">
        <is>
          <t>A 4562-2022</t>
        </is>
      </c>
      <c r="B608" s="1" t="n">
        <v>44591</v>
      </c>
      <c r="C608" s="1" t="n">
        <v>45927</v>
      </c>
      <c r="D608" t="inlineStr">
        <is>
          <t>UPPSALA LÄN</t>
        </is>
      </c>
      <c r="E608" t="inlineStr">
        <is>
          <t>ÖSTHAMMAR</t>
        </is>
      </c>
      <c r="G608" t="n">
        <v>3.4</v>
      </c>
      <c r="H608" t="n">
        <v>0</v>
      </c>
      <c r="I608" t="n">
        <v>0</v>
      </c>
      <c r="J608" t="n">
        <v>0</v>
      </c>
      <c r="K608" t="n">
        <v>0</v>
      </c>
      <c r="L608" t="n">
        <v>0</v>
      </c>
      <c r="M608" t="n">
        <v>0</v>
      </c>
      <c r="N608" t="n">
        <v>0</v>
      </c>
      <c r="O608" t="n">
        <v>0</v>
      </c>
      <c r="P608" t="n">
        <v>0</v>
      </c>
      <c r="Q608" t="n">
        <v>0</v>
      </c>
      <c r="R608" s="2" t="inlineStr"/>
    </row>
    <row r="609" ht="15" customHeight="1">
      <c r="A609" t="inlineStr">
        <is>
          <t>A 40377-2025</t>
        </is>
      </c>
      <c r="B609" s="1" t="n">
        <v>45895.53020833333</v>
      </c>
      <c r="C609" s="1" t="n">
        <v>45927</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53733-2023</t>
        </is>
      </c>
      <c r="B610" s="1" t="n">
        <v>45230.76862268519</v>
      </c>
      <c r="C610" s="1" t="n">
        <v>45927</v>
      </c>
      <c r="D610" t="inlineStr">
        <is>
          <t>UPPSALA LÄN</t>
        </is>
      </c>
      <c r="E610" t="inlineStr">
        <is>
          <t>ÖSTHAMMAR</t>
        </is>
      </c>
      <c r="G610" t="n">
        <v>1.1</v>
      </c>
      <c r="H610" t="n">
        <v>0</v>
      </c>
      <c r="I610" t="n">
        <v>0</v>
      </c>
      <c r="J610" t="n">
        <v>0</v>
      </c>
      <c r="K610" t="n">
        <v>0</v>
      </c>
      <c r="L610" t="n">
        <v>0</v>
      </c>
      <c r="M610" t="n">
        <v>0</v>
      </c>
      <c r="N610" t="n">
        <v>0</v>
      </c>
      <c r="O610" t="n">
        <v>0</v>
      </c>
      <c r="P610" t="n">
        <v>0</v>
      </c>
      <c r="Q610" t="n">
        <v>0</v>
      </c>
      <c r="R610" s="2" t="inlineStr"/>
    </row>
    <row r="611" ht="15" customHeight="1">
      <c r="A611" t="inlineStr">
        <is>
          <t>A 5344-2025</t>
        </is>
      </c>
      <c r="B611" s="1" t="n">
        <v>45692</v>
      </c>
      <c r="C611" s="1" t="n">
        <v>45927</v>
      </c>
      <c r="D611" t="inlineStr">
        <is>
          <t>UPPSALA LÄN</t>
        </is>
      </c>
      <c r="E611" t="inlineStr">
        <is>
          <t>ÖSTHAMMAR</t>
        </is>
      </c>
      <c r="F611" t="inlineStr">
        <is>
          <t>Bergvik skog öst AB</t>
        </is>
      </c>
      <c r="G611" t="n">
        <v>3.2</v>
      </c>
      <c r="H611" t="n">
        <v>0</v>
      </c>
      <c r="I611" t="n">
        <v>0</v>
      </c>
      <c r="J611" t="n">
        <v>0</v>
      </c>
      <c r="K611" t="n">
        <v>0</v>
      </c>
      <c r="L611" t="n">
        <v>0</v>
      </c>
      <c r="M611" t="n">
        <v>0</v>
      </c>
      <c r="N611" t="n">
        <v>0</v>
      </c>
      <c r="O611" t="n">
        <v>0</v>
      </c>
      <c r="P611" t="n">
        <v>0</v>
      </c>
      <c r="Q611" t="n">
        <v>0</v>
      </c>
      <c r="R611" s="2" t="inlineStr"/>
    </row>
    <row r="612" ht="15" customHeight="1">
      <c r="A612" t="inlineStr">
        <is>
          <t>A 41308-2023</t>
        </is>
      </c>
      <c r="B612" s="1" t="n">
        <v>45174.62788194444</v>
      </c>
      <c r="C612" s="1" t="n">
        <v>45927</v>
      </c>
      <c r="D612" t="inlineStr">
        <is>
          <t>UPPSALA LÄN</t>
        </is>
      </c>
      <c r="E612" t="inlineStr">
        <is>
          <t>ÖSTHAMMAR</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49897-2023</t>
        </is>
      </c>
      <c r="B613" s="1" t="n">
        <v>45213.84846064815</v>
      </c>
      <c r="C613" s="1" t="n">
        <v>45927</v>
      </c>
      <c r="D613" t="inlineStr">
        <is>
          <t>UPPSALA LÄN</t>
        </is>
      </c>
      <c r="E613" t="inlineStr">
        <is>
          <t>ÖSTHAMMAR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40416-2025</t>
        </is>
      </c>
      <c r="B614" s="1" t="n">
        <v>45895.57736111111</v>
      </c>
      <c r="C614" s="1" t="n">
        <v>45927</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40384-2025</t>
        </is>
      </c>
      <c r="B615" s="1" t="n">
        <v>45895.54085648148</v>
      </c>
      <c r="C615" s="1" t="n">
        <v>45927</v>
      </c>
      <c r="D615" t="inlineStr">
        <is>
          <t>UPPSALA LÄN</t>
        </is>
      </c>
      <c r="E615" t="inlineStr">
        <is>
          <t>ÖSTHAMMAR</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17969-2023</t>
        </is>
      </c>
      <c r="B616" s="1" t="n">
        <v>45040.47081018519</v>
      </c>
      <c r="C616" s="1" t="n">
        <v>45927</v>
      </c>
      <c r="D616" t="inlineStr">
        <is>
          <t>UPPSALA LÄN</t>
        </is>
      </c>
      <c r="E616" t="inlineStr">
        <is>
          <t>ÖSTHAMMAR</t>
        </is>
      </c>
      <c r="G616" t="n">
        <v>5.4</v>
      </c>
      <c r="H616" t="n">
        <v>0</v>
      </c>
      <c r="I616" t="n">
        <v>0</v>
      </c>
      <c r="J616" t="n">
        <v>0</v>
      </c>
      <c r="K616" t="n">
        <v>0</v>
      </c>
      <c r="L616" t="n">
        <v>0</v>
      </c>
      <c r="M616" t="n">
        <v>0</v>
      </c>
      <c r="N616" t="n">
        <v>0</v>
      </c>
      <c r="O616" t="n">
        <v>0</v>
      </c>
      <c r="P616" t="n">
        <v>0</v>
      </c>
      <c r="Q616" t="n">
        <v>0</v>
      </c>
      <c r="R616" s="2" t="inlineStr"/>
    </row>
    <row r="617" ht="15" customHeight="1">
      <c r="A617" t="inlineStr">
        <is>
          <t>A 25969-2023</t>
        </is>
      </c>
      <c r="B617" s="1" t="n">
        <v>45090</v>
      </c>
      <c r="C617" s="1" t="n">
        <v>45927</v>
      </c>
      <c r="D617" t="inlineStr">
        <is>
          <t>UPPSALA LÄN</t>
        </is>
      </c>
      <c r="E617" t="inlineStr">
        <is>
          <t>ÖSTHAMMAR</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37812-2022</t>
        </is>
      </c>
      <c r="B618" s="1" t="n">
        <v>44810</v>
      </c>
      <c r="C618" s="1" t="n">
        <v>45927</v>
      </c>
      <c r="D618" t="inlineStr">
        <is>
          <t>UPPSALA LÄN</t>
        </is>
      </c>
      <c r="E618" t="inlineStr">
        <is>
          <t>ÖSTHAMMAR</t>
        </is>
      </c>
      <c r="G618" t="n">
        <v>1</v>
      </c>
      <c r="H618" t="n">
        <v>0</v>
      </c>
      <c r="I618" t="n">
        <v>0</v>
      </c>
      <c r="J618" t="n">
        <v>0</v>
      </c>
      <c r="K618" t="n">
        <v>0</v>
      </c>
      <c r="L618" t="n">
        <v>0</v>
      </c>
      <c r="M618" t="n">
        <v>0</v>
      </c>
      <c r="N618" t="n">
        <v>0</v>
      </c>
      <c r="O618" t="n">
        <v>0</v>
      </c>
      <c r="P618" t="n">
        <v>0</v>
      </c>
      <c r="Q618" t="n">
        <v>0</v>
      </c>
      <c r="R618" s="2" t="inlineStr"/>
    </row>
    <row r="619" ht="15" customHeight="1">
      <c r="A619" t="inlineStr">
        <is>
          <t>A 50998-2023</t>
        </is>
      </c>
      <c r="B619" s="1" t="n">
        <v>45218.5586574074</v>
      </c>
      <c r="C619" s="1" t="n">
        <v>45927</v>
      </c>
      <c r="D619" t="inlineStr">
        <is>
          <t>UPPSALA LÄN</t>
        </is>
      </c>
      <c r="E619" t="inlineStr">
        <is>
          <t>ÖSTHAMMAR</t>
        </is>
      </c>
      <c r="G619" t="n">
        <v>3.6</v>
      </c>
      <c r="H619" t="n">
        <v>0</v>
      </c>
      <c r="I619" t="n">
        <v>0</v>
      </c>
      <c r="J619" t="n">
        <v>0</v>
      </c>
      <c r="K619" t="n">
        <v>0</v>
      </c>
      <c r="L619" t="n">
        <v>0</v>
      </c>
      <c r="M619" t="n">
        <v>0</v>
      </c>
      <c r="N619" t="n">
        <v>0</v>
      </c>
      <c r="O619" t="n">
        <v>0</v>
      </c>
      <c r="P619" t="n">
        <v>0</v>
      </c>
      <c r="Q619" t="n">
        <v>0</v>
      </c>
      <c r="R619" s="2" t="inlineStr"/>
    </row>
    <row r="620" ht="15" customHeight="1">
      <c r="A620" t="inlineStr">
        <is>
          <t>A 55837-2023</t>
        </is>
      </c>
      <c r="B620" s="1" t="n">
        <v>45239</v>
      </c>
      <c r="C620" s="1" t="n">
        <v>45927</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18838-2023</t>
        </is>
      </c>
      <c r="B621" s="1" t="n">
        <v>45044</v>
      </c>
      <c r="C621" s="1" t="n">
        <v>45927</v>
      </c>
      <c r="D621" t="inlineStr">
        <is>
          <t>UPPSALA LÄN</t>
        </is>
      </c>
      <c r="E621" t="inlineStr">
        <is>
          <t>ÖSTHAMMAR</t>
        </is>
      </c>
      <c r="G621" t="n">
        <v>2.8</v>
      </c>
      <c r="H621" t="n">
        <v>0</v>
      </c>
      <c r="I621" t="n">
        <v>0</v>
      </c>
      <c r="J621" t="n">
        <v>0</v>
      </c>
      <c r="K621" t="n">
        <v>0</v>
      </c>
      <c r="L621" t="n">
        <v>0</v>
      </c>
      <c r="M621" t="n">
        <v>0</v>
      </c>
      <c r="N621" t="n">
        <v>0</v>
      </c>
      <c r="O621" t="n">
        <v>0</v>
      </c>
      <c r="P621" t="n">
        <v>0</v>
      </c>
      <c r="Q621" t="n">
        <v>0</v>
      </c>
      <c r="R621" s="2" t="inlineStr"/>
    </row>
    <row r="622" ht="15" customHeight="1">
      <c r="A622" t="inlineStr">
        <is>
          <t>A 40570-2025</t>
        </is>
      </c>
      <c r="B622" s="1" t="n">
        <v>45896.47878472223</v>
      </c>
      <c r="C622" s="1" t="n">
        <v>45927</v>
      </c>
      <c r="D622" t="inlineStr">
        <is>
          <t>UPPSALA LÄN</t>
        </is>
      </c>
      <c r="E622" t="inlineStr">
        <is>
          <t>ÖSTHAMMAR</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56089-2020</t>
        </is>
      </c>
      <c r="B623" s="1" t="n">
        <v>44133</v>
      </c>
      <c r="C623" s="1" t="n">
        <v>45927</v>
      </c>
      <c r="D623" t="inlineStr">
        <is>
          <t>UPPSALA LÄN</t>
        </is>
      </c>
      <c r="E623" t="inlineStr">
        <is>
          <t>ÖSTHAMMAR</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44905.50363425926</v>
      </c>
      <c r="C624" s="1" t="n">
        <v>45927</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41519-2025</t>
        </is>
      </c>
      <c r="B625" s="1" t="n">
        <v>45901.54751157408</v>
      </c>
      <c r="C625" s="1" t="n">
        <v>45927</v>
      </c>
      <c r="D625" t="inlineStr">
        <is>
          <t>UPPSALA LÄN</t>
        </is>
      </c>
      <c r="E625" t="inlineStr">
        <is>
          <t>ÖSTHAMMAR</t>
        </is>
      </c>
      <c r="F625" t="inlineStr">
        <is>
          <t>Övriga Aktiebolag</t>
        </is>
      </c>
      <c r="G625" t="n">
        <v>17.1</v>
      </c>
      <c r="H625" t="n">
        <v>0</v>
      </c>
      <c r="I625" t="n">
        <v>0</v>
      </c>
      <c r="J625" t="n">
        <v>0</v>
      </c>
      <c r="K625" t="n">
        <v>0</v>
      </c>
      <c r="L625" t="n">
        <v>0</v>
      </c>
      <c r="M625" t="n">
        <v>0</v>
      </c>
      <c r="N625" t="n">
        <v>0</v>
      </c>
      <c r="O625" t="n">
        <v>0</v>
      </c>
      <c r="P625" t="n">
        <v>0</v>
      </c>
      <c r="Q625" t="n">
        <v>0</v>
      </c>
      <c r="R625" s="2" t="inlineStr"/>
    </row>
    <row r="626" ht="15" customHeight="1">
      <c r="A626" t="inlineStr">
        <is>
          <t>A 63637-2020</t>
        </is>
      </c>
      <c r="B626" s="1" t="n">
        <v>44162</v>
      </c>
      <c r="C626" s="1" t="n">
        <v>45927</v>
      </c>
      <c r="D626" t="inlineStr">
        <is>
          <t>UPPSALA LÄN</t>
        </is>
      </c>
      <c r="E626" t="inlineStr">
        <is>
          <t>ÖSTHAMMAR</t>
        </is>
      </c>
      <c r="G626" t="n">
        <v>4</v>
      </c>
      <c r="H626" t="n">
        <v>0</v>
      </c>
      <c r="I626" t="n">
        <v>0</v>
      </c>
      <c r="J626" t="n">
        <v>0</v>
      </c>
      <c r="K626" t="n">
        <v>0</v>
      </c>
      <c r="L626" t="n">
        <v>0</v>
      </c>
      <c r="M626" t="n">
        <v>0</v>
      </c>
      <c r="N626" t="n">
        <v>0</v>
      </c>
      <c r="O626" t="n">
        <v>0</v>
      </c>
      <c r="P626" t="n">
        <v>0</v>
      </c>
      <c r="Q626" t="n">
        <v>0</v>
      </c>
      <c r="R626" s="2" t="inlineStr"/>
    </row>
    <row r="627" ht="15" customHeight="1">
      <c r="A627" t="inlineStr">
        <is>
          <t>A 17085-2025</t>
        </is>
      </c>
      <c r="B627" s="1" t="n">
        <v>45755.64612268518</v>
      </c>
      <c r="C627" s="1" t="n">
        <v>45927</v>
      </c>
      <c r="D627" t="inlineStr">
        <is>
          <t>UPPSALA LÄN</t>
        </is>
      </c>
      <c r="E627" t="inlineStr">
        <is>
          <t>ÖSTHAMMAR</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56041-2020</t>
        </is>
      </c>
      <c r="B628" s="1" t="n">
        <v>44133</v>
      </c>
      <c r="C628" s="1" t="n">
        <v>45927</v>
      </c>
      <c r="D628" t="inlineStr">
        <is>
          <t>UPPSALA LÄN</t>
        </is>
      </c>
      <c r="E628" t="inlineStr">
        <is>
          <t>ÖSTHAMMAR</t>
        </is>
      </c>
      <c r="F628" t="inlineStr">
        <is>
          <t>Bergvik skog väst AB</t>
        </is>
      </c>
      <c r="G628" t="n">
        <v>1.6</v>
      </c>
      <c r="H628" t="n">
        <v>0</v>
      </c>
      <c r="I628" t="n">
        <v>0</v>
      </c>
      <c r="J628" t="n">
        <v>0</v>
      </c>
      <c r="K628" t="n">
        <v>0</v>
      </c>
      <c r="L628" t="n">
        <v>0</v>
      </c>
      <c r="M628" t="n">
        <v>0</v>
      </c>
      <c r="N628" t="n">
        <v>0</v>
      </c>
      <c r="O628" t="n">
        <v>0</v>
      </c>
      <c r="P628" t="n">
        <v>0</v>
      </c>
      <c r="Q628" t="n">
        <v>0</v>
      </c>
      <c r="R628" s="2" t="inlineStr"/>
    </row>
    <row r="629" ht="15" customHeight="1">
      <c r="A629" t="inlineStr">
        <is>
          <t>A 29231-2024</t>
        </is>
      </c>
      <c r="B629" s="1" t="n">
        <v>45482</v>
      </c>
      <c r="C629" s="1" t="n">
        <v>45927</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44184-2024</t>
        </is>
      </c>
      <c r="B630" s="1" t="n">
        <v>45572</v>
      </c>
      <c r="C630" s="1" t="n">
        <v>45927</v>
      </c>
      <c r="D630" t="inlineStr">
        <is>
          <t>UPPSALA LÄN</t>
        </is>
      </c>
      <c r="E630" t="inlineStr">
        <is>
          <t>ÖSTHAMMAR</t>
        </is>
      </c>
      <c r="G630" t="n">
        <v>0.6</v>
      </c>
      <c r="H630" t="n">
        <v>0</v>
      </c>
      <c r="I630" t="n">
        <v>0</v>
      </c>
      <c r="J630" t="n">
        <v>0</v>
      </c>
      <c r="K630" t="n">
        <v>0</v>
      </c>
      <c r="L630" t="n">
        <v>0</v>
      </c>
      <c r="M630" t="n">
        <v>0</v>
      </c>
      <c r="N630" t="n">
        <v>0</v>
      </c>
      <c r="O630" t="n">
        <v>0</v>
      </c>
      <c r="P630" t="n">
        <v>0</v>
      </c>
      <c r="Q630" t="n">
        <v>0</v>
      </c>
      <c r="R630" s="2" t="inlineStr"/>
    </row>
    <row r="631" ht="15" customHeight="1">
      <c r="A631" t="inlineStr">
        <is>
          <t>A 60555-2023</t>
        </is>
      </c>
      <c r="B631" s="1" t="n">
        <v>45259</v>
      </c>
      <c r="C631" s="1" t="n">
        <v>45927</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9264-2024</t>
        </is>
      </c>
      <c r="B632" s="1" t="n">
        <v>45358</v>
      </c>
      <c r="C632" s="1" t="n">
        <v>45927</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33784-2024</t>
        </is>
      </c>
      <c r="B633" s="1" t="n">
        <v>45520</v>
      </c>
      <c r="C633" s="1" t="n">
        <v>45927</v>
      </c>
      <c r="D633" t="inlineStr">
        <is>
          <t>UPPSALA LÄN</t>
        </is>
      </c>
      <c r="E633" t="inlineStr">
        <is>
          <t>ÖSTHAMMAR</t>
        </is>
      </c>
      <c r="F633" t="inlineStr">
        <is>
          <t>Naturvårdsverket</t>
        </is>
      </c>
      <c r="G633" t="n">
        <v>0.6</v>
      </c>
      <c r="H633" t="n">
        <v>0</v>
      </c>
      <c r="I633" t="n">
        <v>0</v>
      </c>
      <c r="J633" t="n">
        <v>0</v>
      </c>
      <c r="K633" t="n">
        <v>0</v>
      </c>
      <c r="L633" t="n">
        <v>0</v>
      </c>
      <c r="M633" t="n">
        <v>0</v>
      </c>
      <c r="N633" t="n">
        <v>0</v>
      </c>
      <c r="O633" t="n">
        <v>0</v>
      </c>
      <c r="P633" t="n">
        <v>0</v>
      </c>
      <c r="Q633" t="n">
        <v>0</v>
      </c>
      <c r="R633" s="2" t="inlineStr"/>
    </row>
    <row r="634" ht="15" customHeight="1">
      <c r="A634" t="inlineStr">
        <is>
          <t>A 11643-2022</t>
        </is>
      </c>
      <c r="B634" s="1" t="n">
        <v>44631.92662037037</v>
      </c>
      <c r="C634" s="1" t="n">
        <v>45927</v>
      </c>
      <c r="D634" t="inlineStr">
        <is>
          <t>UPPSALA LÄN</t>
        </is>
      </c>
      <c r="E634" t="inlineStr">
        <is>
          <t>ÖSTHAMMAR</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37865-2023</t>
        </is>
      </c>
      <c r="B635" s="1" t="n">
        <v>45160</v>
      </c>
      <c r="C635" s="1" t="n">
        <v>45927</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34607-2023</t>
        </is>
      </c>
      <c r="B636" s="1" t="n">
        <v>45138</v>
      </c>
      <c r="C636" s="1" t="n">
        <v>45927</v>
      </c>
      <c r="D636" t="inlineStr">
        <is>
          <t>UPPSALA LÄN</t>
        </is>
      </c>
      <c r="E636" t="inlineStr">
        <is>
          <t>ÖSTHAMMAR</t>
        </is>
      </c>
      <c r="G636" t="n">
        <v>4.7</v>
      </c>
      <c r="H636" t="n">
        <v>0</v>
      </c>
      <c r="I636" t="n">
        <v>0</v>
      </c>
      <c r="J636" t="n">
        <v>0</v>
      </c>
      <c r="K636" t="n">
        <v>0</v>
      </c>
      <c r="L636" t="n">
        <v>0</v>
      </c>
      <c r="M636" t="n">
        <v>0</v>
      </c>
      <c r="N636" t="n">
        <v>0</v>
      </c>
      <c r="O636" t="n">
        <v>0</v>
      </c>
      <c r="P636" t="n">
        <v>0</v>
      </c>
      <c r="Q636" t="n">
        <v>0</v>
      </c>
      <c r="R636" s="2" t="inlineStr"/>
    </row>
    <row r="637" ht="15" customHeight="1">
      <c r="A637" t="inlineStr">
        <is>
          <t>A 5215-2025</t>
        </is>
      </c>
      <c r="B637" s="1" t="n">
        <v>45691</v>
      </c>
      <c r="C637" s="1" t="n">
        <v>45927</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42213-2025</t>
        </is>
      </c>
      <c r="B638" s="1" t="n">
        <v>45904.50652777778</v>
      </c>
      <c r="C638" s="1" t="n">
        <v>45927</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2733-2023</t>
        </is>
      </c>
      <c r="B639" s="1" t="n">
        <v>44943</v>
      </c>
      <c r="C639" s="1" t="n">
        <v>45927</v>
      </c>
      <c r="D639" t="inlineStr">
        <is>
          <t>UPPSALA LÄN</t>
        </is>
      </c>
      <c r="E639" t="inlineStr">
        <is>
          <t>ÖSTHAMMAR</t>
        </is>
      </c>
      <c r="G639" t="n">
        <v>2.6</v>
      </c>
      <c r="H639" t="n">
        <v>0</v>
      </c>
      <c r="I639" t="n">
        <v>0</v>
      </c>
      <c r="J639" t="n">
        <v>0</v>
      </c>
      <c r="K639" t="n">
        <v>0</v>
      </c>
      <c r="L639" t="n">
        <v>0</v>
      </c>
      <c r="M639" t="n">
        <v>0</v>
      </c>
      <c r="N639" t="n">
        <v>0</v>
      </c>
      <c r="O639" t="n">
        <v>0</v>
      </c>
      <c r="P639" t="n">
        <v>0</v>
      </c>
      <c r="Q639" t="n">
        <v>0</v>
      </c>
      <c r="R639" s="2" t="inlineStr"/>
    </row>
    <row r="640" ht="15" customHeight="1">
      <c r="A640" t="inlineStr">
        <is>
          <t>A 40382-2025</t>
        </is>
      </c>
      <c r="B640" s="1" t="n">
        <v>45895.53689814815</v>
      </c>
      <c r="C640" s="1" t="n">
        <v>45927</v>
      </c>
      <c r="D640" t="inlineStr">
        <is>
          <t>UPPSALA LÄN</t>
        </is>
      </c>
      <c r="E640" t="inlineStr">
        <is>
          <t>ÖSTHAMMAR</t>
        </is>
      </c>
      <c r="G640" t="n">
        <v>2.2</v>
      </c>
      <c r="H640" t="n">
        <v>0</v>
      </c>
      <c r="I640" t="n">
        <v>0</v>
      </c>
      <c r="J640" t="n">
        <v>0</v>
      </c>
      <c r="K640" t="n">
        <v>0</v>
      </c>
      <c r="L640" t="n">
        <v>0</v>
      </c>
      <c r="M640" t="n">
        <v>0</v>
      </c>
      <c r="N640" t="n">
        <v>0</v>
      </c>
      <c r="O640" t="n">
        <v>0</v>
      </c>
      <c r="P640" t="n">
        <v>0</v>
      </c>
      <c r="Q640" t="n">
        <v>0</v>
      </c>
      <c r="R640" s="2" t="inlineStr"/>
    </row>
    <row r="641" ht="15" customHeight="1">
      <c r="A641" t="inlineStr">
        <is>
          <t>A 44815-2022</t>
        </is>
      </c>
      <c r="B641" s="1" t="n">
        <v>44841.40452546296</v>
      </c>
      <c r="C641" s="1" t="n">
        <v>45927</v>
      </c>
      <c r="D641" t="inlineStr">
        <is>
          <t>UPPSALA LÄN</t>
        </is>
      </c>
      <c r="E641" t="inlineStr">
        <is>
          <t>ÖSTHAMMAR</t>
        </is>
      </c>
      <c r="G641" t="n">
        <v>1.8</v>
      </c>
      <c r="H641" t="n">
        <v>0</v>
      </c>
      <c r="I641" t="n">
        <v>0</v>
      </c>
      <c r="J641" t="n">
        <v>0</v>
      </c>
      <c r="K641" t="n">
        <v>0</v>
      </c>
      <c r="L641" t="n">
        <v>0</v>
      </c>
      <c r="M641" t="n">
        <v>0</v>
      </c>
      <c r="N641" t="n">
        <v>0</v>
      </c>
      <c r="O641" t="n">
        <v>0</v>
      </c>
      <c r="P641" t="n">
        <v>0</v>
      </c>
      <c r="Q641" t="n">
        <v>0</v>
      </c>
      <c r="R641" s="2" t="inlineStr"/>
    </row>
    <row r="642" ht="15" customHeight="1">
      <c r="A642" t="inlineStr">
        <is>
          <t>A 68828-2020</t>
        </is>
      </c>
      <c r="B642" s="1" t="n">
        <v>44186</v>
      </c>
      <c r="C642" s="1" t="n">
        <v>45927</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8769-2025</t>
        </is>
      </c>
      <c r="B643" s="1" t="n">
        <v>45712.59412037037</v>
      </c>
      <c r="C643" s="1" t="n">
        <v>45927</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34971-2022</t>
        </is>
      </c>
      <c r="B644" s="1" t="n">
        <v>44796.66613425926</v>
      </c>
      <c r="C644" s="1" t="n">
        <v>45927</v>
      </c>
      <c r="D644" t="inlineStr">
        <is>
          <t>UPPSALA LÄN</t>
        </is>
      </c>
      <c r="E644" t="inlineStr">
        <is>
          <t>ÖSTHAMMAR</t>
        </is>
      </c>
      <c r="F644" t="inlineStr">
        <is>
          <t>Bergvik skog öst AB</t>
        </is>
      </c>
      <c r="G644" t="n">
        <v>2.3</v>
      </c>
      <c r="H644" t="n">
        <v>0</v>
      </c>
      <c r="I644" t="n">
        <v>0</v>
      </c>
      <c r="J644" t="n">
        <v>0</v>
      </c>
      <c r="K644" t="n">
        <v>0</v>
      </c>
      <c r="L644" t="n">
        <v>0</v>
      </c>
      <c r="M644" t="n">
        <v>0</v>
      </c>
      <c r="N644" t="n">
        <v>0</v>
      </c>
      <c r="O644" t="n">
        <v>0</v>
      </c>
      <c r="P644" t="n">
        <v>0</v>
      </c>
      <c r="Q644" t="n">
        <v>0</v>
      </c>
      <c r="R644" s="2" t="inlineStr"/>
    </row>
    <row r="645" ht="15" customHeight="1">
      <c r="A645" t="inlineStr">
        <is>
          <t>A 3725-2022</t>
        </is>
      </c>
      <c r="B645" s="1" t="n">
        <v>44586</v>
      </c>
      <c r="C645" s="1" t="n">
        <v>45927</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12812-2024</t>
        </is>
      </c>
      <c r="B646" s="1" t="n">
        <v>45384.65465277778</v>
      </c>
      <c r="C646" s="1" t="n">
        <v>45927</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73483-2021</t>
        </is>
      </c>
      <c r="B647" s="1" t="n">
        <v>44550</v>
      </c>
      <c r="C647" s="1" t="n">
        <v>45927</v>
      </c>
      <c r="D647" t="inlineStr">
        <is>
          <t>UPPSALA LÄN</t>
        </is>
      </c>
      <c r="E647" t="inlineStr">
        <is>
          <t>ÖSTHAMMAR</t>
        </is>
      </c>
      <c r="G647" t="n">
        <v>2.8</v>
      </c>
      <c r="H647" t="n">
        <v>0</v>
      </c>
      <c r="I647" t="n">
        <v>0</v>
      </c>
      <c r="J647" t="n">
        <v>0</v>
      </c>
      <c r="K647" t="n">
        <v>0</v>
      </c>
      <c r="L647" t="n">
        <v>0</v>
      </c>
      <c r="M647" t="n">
        <v>0</v>
      </c>
      <c r="N647" t="n">
        <v>0</v>
      </c>
      <c r="O647" t="n">
        <v>0</v>
      </c>
      <c r="P647" t="n">
        <v>0</v>
      </c>
      <c r="Q647" t="n">
        <v>0</v>
      </c>
      <c r="R647" s="2" t="inlineStr"/>
    </row>
    <row r="648" ht="15" customHeight="1">
      <c r="A648" t="inlineStr">
        <is>
          <t>A 28170-2023</t>
        </is>
      </c>
      <c r="B648" s="1" t="n">
        <v>45093</v>
      </c>
      <c r="C648" s="1" t="n">
        <v>45927</v>
      </c>
      <c r="D648" t="inlineStr">
        <is>
          <t>UPPSALA LÄN</t>
        </is>
      </c>
      <c r="E648" t="inlineStr">
        <is>
          <t>ÖSTHAMMAR</t>
        </is>
      </c>
      <c r="G648" t="n">
        <v>7.2</v>
      </c>
      <c r="H648" t="n">
        <v>0</v>
      </c>
      <c r="I648" t="n">
        <v>0</v>
      </c>
      <c r="J648" t="n">
        <v>0</v>
      </c>
      <c r="K648" t="n">
        <v>0</v>
      </c>
      <c r="L648" t="n">
        <v>0</v>
      </c>
      <c r="M648" t="n">
        <v>0</v>
      </c>
      <c r="N648" t="n">
        <v>0</v>
      </c>
      <c r="O648" t="n">
        <v>0</v>
      </c>
      <c r="P648" t="n">
        <v>0</v>
      </c>
      <c r="Q648" t="n">
        <v>0</v>
      </c>
      <c r="R648" s="2" t="inlineStr"/>
    </row>
    <row r="649" ht="15" customHeight="1">
      <c r="A649" t="inlineStr">
        <is>
          <t>A 7876-2023</t>
        </is>
      </c>
      <c r="B649" s="1" t="n">
        <v>44973.57263888889</v>
      </c>
      <c r="C649" s="1" t="n">
        <v>45927</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4151-2021</t>
        </is>
      </c>
      <c r="B650" s="1" t="n">
        <v>44221</v>
      </c>
      <c r="C650" s="1" t="n">
        <v>45927</v>
      </c>
      <c r="D650" t="inlineStr">
        <is>
          <t>UPPSALA LÄN</t>
        </is>
      </c>
      <c r="E650" t="inlineStr">
        <is>
          <t>ÖSTHAMMAR</t>
        </is>
      </c>
      <c r="G650" t="n">
        <v>2.9</v>
      </c>
      <c r="H650" t="n">
        <v>0</v>
      </c>
      <c r="I650" t="n">
        <v>0</v>
      </c>
      <c r="J650" t="n">
        <v>0</v>
      </c>
      <c r="K650" t="n">
        <v>0</v>
      </c>
      <c r="L650" t="n">
        <v>0</v>
      </c>
      <c r="M650" t="n">
        <v>0</v>
      </c>
      <c r="N650" t="n">
        <v>0</v>
      </c>
      <c r="O650" t="n">
        <v>0</v>
      </c>
      <c r="P650" t="n">
        <v>0</v>
      </c>
      <c r="Q650" t="n">
        <v>0</v>
      </c>
      <c r="R650" s="2" t="inlineStr"/>
    </row>
    <row r="651" ht="15" customHeight="1">
      <c r="A651" t="inlineStr">
        <is>
          <t>A 36092-2025</t>
        </is>
      </c>
      <c r="B651" s="1" t="n">
        <v>45866.48244212963</v>
      </c>
      <c r="C651" s="1" t="n">
        <v>45927</v>
      </c>
      <c r="D651" t="inlineStr">
        <is>
          <t>UPPSALA LÄN</t>
        </is>
      </c>
      <c r="E651" t="inlineStr">
        <is>
          <t>ÖSTHAMMAR</t>
        </is>
      </c>
      <c r="G651" t="n">
        <v>1.2</v>
      </c>
      <c r="H651" t="n">
        <v>0</v>
      </c>
      <c r="I651" t="n">
        <v>0</v>
      </c>
      <c r="J651" t="n">
        <v>0</v>
      </c>
      <c r="K651" t="n">
        <v>0</v>
      </c>
      <c r="L651" t="n">
        <v>0</v>
      </c>
      <c r="M651" t="n">
        <v>0</v>
      </c>
      <c r="N651" t="n">
        <v>0</v>
      </c>
      <c r="O651" t="n">
        <v>0</v>
      </c>
      <c r="P651" t="n">
        <v>0</v>
      </c>
      <c r="Q651" t="n">
        <v>0</v>
      </c>
      <c r="R651" s="2" t="inlineStr"/>
    </row>
    <row r="652" ht="15" customHeight="1">
      <c r="A652" t="inlineStr">
        <is>
          <t>A 42940-2025</t>
        </is>
      </c>
      <c r="B652" s="1" t="n">
        <v>45909.33440972222</v>
      </c>
      <c r="C652" s="1" t="n">
        <v>45927</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6121-2024</t>
        </is>
      </c>
      <c r="B653" s="1" t="n">
        <v>45337.4219212963</v>
      </c>
      <c r="C653" s="1" t="n">
        <v>45927</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17929-2025</t>
        </is>
      </c>
      <c r="B654" s="1" t="n">
        <v>45759.56462962963</v>
      </c>
      <c r="C654" s="1" t="n">
        <v>45927</v>
      </c>
      <c r="D654" t="inlineStr">
        <is>
          <t>UPPSALA LÄN</t>
        </is>
      </c>
      <c r="E654" t="inlineStr">
        <is>
          <t>ÖSTHAMMAR</t>
        </is>
      </c>
      <c r="G654" t="n">
        <v>3.4</v>
      </c>
      <c r="H654" t="n">
        <v>0</v>
      </c>
      <c r="I654" t="n">
        <v>0</v>
      </c>
      <c r="J654" t="n">
        <v>0</v>
      </c>
      <c r="K654" t="n">
        <v>0</v>
      </c>
      <c r="L654" t="n">
        <v>0</v>
      </c>
      <c r="M654" t="n">
        <v>0</v>
      </c>
      <c r="N654" t="n">
        <v>0</v>
      </c>
      <c r="O654" t="n">
        <v>0</v>
      </c>
      <c r="P654" t="n">
        <v>0</v>
      </c>
      <c r="Q654" t="n">
        <v>0</v>
      </c>
      <c r="R654" s="2" t="inlineStr"/>
    </row>
    <row r="655" ht="15" customHeight="1">
      <c r="A655" t="inlineStr">
        <is>
          <t>A 43011-2025</t>
        </is>
      </c>
      <c r="B655" s="1" t="n">
        <v>45909.48989583334</v>
      </c>
      <c r="C655" s="1" t="n">
        <v>45927</v>
      </c>
      <c r="D655" t="inlineStr">
        <is>
          <t>UPPSALA LÄN</t>
        </is>
      </c>
      <c r="E655" t="inlineStr">
        <is>
          <t>ÖSTHAMMAR</t>
        </is>
      </c>
      <c r="F655" t="inlineStr">
        <is>
          <t>Övriga Aktiebolag</t>
        </is>
      </c>
      <c r="G655" t="n">
        <v>4.7</v>
      </c>
      <c r="H655" t="n">
        <v>0</v>
      </c>
      <c r="I655" t="n">
        <v>0</v>
      </c>
      <c r="J655" t="n">
        <v>0</v>
      </c>
      <c r="K655" t="n">
        <v>0</v>
      </c>
      <c r="L655" t="n">
        <v>0</v>
      </c>
      <c r="M655" t="n">
        <v>0</v>
      </c>
      <c r="N655" t="n">
        <v>0</v>
      </c>
      <c r="O655" t="n">
        <v>0</v>
      </c>
      <c r="P655" t="n">
        <v>0</v>
      </c>
      <c r="Q655" t="n">
        <v>0</v>
      </c>
      <c r="R655" s="2" t="inlineStr"/>
    </row>
    <row r="656" ht="15" customHeight="1">
      <c r="A656" t="inlineStr">
        <is>
          <t>A 62391-2022</t>
        </is>
      </c>
      <c r="B656" s="1" t="n">
        <v>44923.7849537037</v>
      </c>
      <c r="C656" s="1" t="n">
        <v>45927</v>
      </c>
      <c r="D656" t="inlineStr">
        <is>
          <t>UPPSALA LÄN</t>
        </is>
      </c>
      <c r="E656" t="inlineStr">
        <is>
          <t>ÖSTHAMMAR</t>
        </is>
      </c>
      <c r="F656" t="inlineStr">
        <is>
          <t>Bergvik skog öst AB</t>
        </is>
      </c>
      <c r="G656" t="n">
        <v>1</v>
      </c>
      <c r="H656" t="n">
        <v>0</v>
      </c>
      <c r="I656" t="n">
        <v>0</v>
      </c>
      <c r="J656" t="n">
        <v>0</v>
      </c>
      <c r="K656" t="n">
        <v>0</v>
      </c>
      <c r="L656" t="n">
        <v>0</v>
      </c>
      <c r="M656" t="n">
        <v>0</v>
      </c>
      <c r="N656" t="n">
        <v>0</v>
      </c>
      <c r="O656" t="n">
        <v>0</v>
      </c>
      <c r="P656" t="n">
        <v>0</v>
      </c>
      <c r="Q656" t="n">
        <v>0</v>
      </c>
      <c r="R656" s="2" t="inlineStr"/>
    </row>
    <row r="657" ht="15" customHeight="1">
      <c r="A657" t="inlineStr">
        <is>
          <t>A 14433-2024</t>
        </is>
      </c>
      <c r="B657" s="1" t="n">
        <v>45394.46115740741</v>
      </c>
      <c r="C657" s="1" t="n">
        <v>45927</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43604-2025</t>
        </is>
      </c>
      <c r="B658" s="1" t="n">
        <v>45911.66671296296</v>
      </c>
      <c r="C658" s="1" t="n">
        <v>45927</v>
      </c>
      <c r="D658" t="inlineStr">
        <is>
          <t>UPPSALA LÄN</t>
        </is>
      </c>
      <c r="E658" t="inlineStr">
        <is>
          <t>ÖSTHAMMAR</t>
        </is>
      </c>
      <c r="G658" t="n">
        <v>8.5</v>
      </c>
      <c r="H658" t="n">
        <v>0</v>
      </c>
      <c r="I658" t="n">
        <v>0</v>
      </c>
      <c r="J658" t="n">
        <v>0</v>
      </c>
      <c r="K658" t="n">
        <v>0</v>
      </c>
      <c r="L658" t="n">
        <v>0</v>
      </c>
      <c r="M658" t="n">
        <v>0</v>
      </c>
      <c r="N658" t="n">
        <v>0</v>
      </c>
      <c r="O658" t="n">
        <v>0</v>
      </c>
      <c r="P658" t="n">
        <v>0</v>
      </c>
      <c r="Q658" t="n">
        <v>0</v>
      </c>
      <c r="R658" s="2" t="inlineStr"/>
    </row>
    <row r="659" ht="15" customHeight="1">
      <c r="A659" t="inlineStr">
        <is>
          <t>A 20038-2023</t>
        </is>
      </c>
      <c r="B659" s="1" t="n">
        <v>45054.65834490741</v>
      </c>
      <c r="C659" s="1" t="n">
        <v>45927</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54314-2023</t>
        </is>
      </c>
      <c r="B660" s="1" t="n">
        <v>45225</v>
      </c>
      <c r="C660" s="1" t="n">
        <v>45927</v>
      </c>
      <c r="D660" t="inlineStr">
        <is>
          <t>UPPSALA LÄN</t>
        </is>
      </c>
      <c r="E660" t="inlineStr">
        <is>
          <t>ÖSTHAMMAR</t>
        </is>
      </c>
      <c r="G660" t="n">
        <v>5.1</v>
      </c>
      <c r="H660" t="n">
        <v>0</v>
      </c>
      <c r="I660" t="n">
        <v>0</v>
      </c>
      <c r="J660" t="n">
        <v>0</v>
      </c>
      <c r="K660" t="n">
        <v>0</v>
      </c>
      <c r="L660" t="n">
        <v>0</v>
      </c>
      <c r="M660" t="n">
        <v>0</v>
      </c>
      <c r="N660" t="n">
        <v>0</v>
      </c>
      <c r="O660" t="n">
        <v>0</v>
      </c>
      <c r="P660" t="n">
        <v>0</v>
      </c>
      <c r="Q660" t="n">
        <v>0</v>
      </c>
      <c r="R660" s="2" t="inlineStr"/>
    </row>
    <row r="661" ht="15" customHeight="1">
      <c r="A661" t="inlineStr">
        <is>
          <t>A 23363-2023</t>
        </is>
      </c>
      <c r="B661" s="1" t="n">
        <v>45076</v>
      </c>
      <c r="C661" s="1" t="n">
        <v>45927</v>
      </c>
      <c r="D661" t="inlineStr">
        <is>
          <t>UPPSALA LÄN</t>
        </is>
      </c>
      <c r="E661" t="inlineStr">
        <is>
          <t>ÖSTHAMMAR</t>
        </is>
      </c>
      <c r="G661" t="n">
        <v>3</v>
      </c>
      <c r="H661" t="n">
        <v>0</v>
      </c>
      <c r="I661" t="n">
        <v>0</v>
      </c>
      <c r="J661" t="n">
        <v>0</v>
      </c>
      <c r="K661" t="n">
        <v>0</v>
      </c>
      <c r="L661" t="n">
        <v>0</v>
      </c>
      <c r="M661" t="n">
        <v>0</v>
      </c>
      <c r="N661" t="n">
        <v>0</v>
      </c>
      <c r="O661" t="n">
        <v>0</v>
      </c>
      <c r="P661" t="n">
        <v>0</v>
      </c>
      <c r="Q661" t="n">
        <v>0</v>
      </c>
      <c r="R661" s="2" t="inlineStr"/>
    </row>
    <row r="662" ht="15" customHeight="1">
      <c r="A662" t="inlineStr">
        <is>
          <t>A 43622-2025</t>
        </is>
      </c>
      <c r="B662" s="1" t="n">
        <v>45911.68295138889</v>
      </c>
      <c r="C662" s="1" t="n">
        <v>45927</v>
      </c>
      <c r="D662" t="inlineStr">
        <is>
          <t>UPPSALA LÄN</t>
        </is>
      </c>
      <c r="E662" t="inlineStr">
        <is>
          <t>ÖSTHAMMAR</t>
        </is>
      </c>
      <c r="G662" t="n">
        <v>2.3</v>
      </c>
      <c r="H662" t="n">
        <v>0</v>
      </c>
      <c r="I662" t="n">
        <v>0</v>
      </c>
      <c r="J662" t="n">
        <v>0</v>
      </c>
      <c r="K662" t="n">
        <v>0</v>
      </c>
      <c r="L662" t="n">
        <v>0</v>
      </c>
      <c r="M662" t="n">
        <v>0</v>
      </c>
      <c r="N662" t="n">
        <v>0</v>
      </c>
      <c r="O662" t="n">
        <v>0</v>
      </c>
      <c r="P662" t="n">
        <v>0</v>
      </c>
      <c r="Q662" t="n">
        <v>0</v>
      </c>
      <c r="R662" s="2" t="inlineStr"/>
    </row>
    <row r="663" ht="15" customHeight="1">
      <c r="A663" t="inlineStr">
        <is>
          <t>A 15031-2025</t>
        </is>
      </c>
      <c r="B663" s="1" t="n">
        <v>45743.67333333333</v>
      </c>
      <c r="C663" s="1" t="n">
        <v>45927</v>
      </c>
      <c r="D663" t="inlineStr">
        <is>
          <t>UPPSALA LÄN</t>
        </is>
      </c>
      <c r="E663" t="inlineStr">
        <is>
          <t>ÖSTHAMMAR</t>
        </is>
      </c>
      <c r="G663" t="n">
        <v>9.6</v>
      </c>
      <c r="H663" t="n">
        <v>0</v>
      </c>
      <c r="I663" t="n">
        <v>0</v>
      </c>
      <c r="J663" t="n">
        <v>0</v>
      </c>
      <c r="K663" t="n">
        <v>0</v>
      </c>
      <c r="L663" t="n">
        <v>0</v>
      </c>
      <c r="M663" t="n">
        <v>0</v>
      </c>
      <c r="N663" t="n">
        <v>0</v>
      </c>
      <c r="O663" t="n">
        <v>0</v>
      </c>
      <c r="P663" t="n">
        <v>0</v>
      </c>
      <c r="Q663" t="n">
        <v>0</v>
      </c>
      <c r="R663" s="2" t="inlineStr"/>
    </row>
    <row r="664" ht="15" customHeight="1">
      <c r="A664" t="inlineStr">
        <is>
          <t>A 13738-2023</t>
        </is>
      </c>
      <c r="B664" s="1" t="n">
        <v>45007.37081018519</v>
      </c>
      <c r="C664" s="1" t="n">
        <v>45927</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4233-2023</t>
        </is>
      </c>
      <c r="B665" s="1" t="n">
        <v>44953.48619212963</v>
      </c>
      <c r="C665" s="1" t="n">
        <v>45927</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45927</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73592-2021</t>
        </is>
      </c>
      <c r="B667" s="1" t="n">
        <v>44552.36974537037</v>
      </c>
      <c r="C667" s="1" t="n">
        <v>45927</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25938-2024</t>
        </is>
      </c>
      <c r="B668" s="1" t="n">
        <v>45467.63127314814</v>
      </c>
      <c r="C668" s="1" t="n">
        <v>45927</v>
      </c>
      <c r="D668" t="inlineStr">
        <is>
          <t>UPPSALA LÄN</t>
        </is>
      </c>
      <c r="E668" t="inlineStr">
        <is>
          <t>ÖSTHAMMAR</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35539-2023</t>
        </is>
      </c>
      <c r="B669" s="1" t="n">
        <v>45147.37006944444</v>
      </c>
      <c r="C669" s="1" t="n">
        <v>45927</v>
      </c>
      <c r="D669" t="inlineStr">
        <is>
          <t>UPPSALA LÄN</t>
        </is>
      </c>
      <c r="E669" t="inlineStr">
        <is>
          <t>ÖSTHAMMAR</t>
        </is>
      </c>
      <c r="G669" t="n">
        <v>1.4</v>
      </c>
      <c r="H669" t="n">
        <v>0</v>
      </c>
      <c r="I669" t="n">
        <v>0</v>
      </c>
      <c r="J669" t="n">
        <v>0</v>
      </c>
      <c r="K669" t="n">
        <v>0</v>
      </c>
      <c r="L669" t="n">
        <v>0</v>
      </c>
      <c r="M669" t="n">
        <v>0</v>
      </c>
      <c r="N669" t="n">
        <v>0</v>
      </c>
      <c r="O669" t="n">
        <v>0</v>
      </c>
      <c r="P669" t="n">
        <v>0</v>
      </c>
      <c r="Q669" t="n">
        <v>0</v>
      </c>
      <c r="R669" s="2" t="inlineStr"/>
    </row>
    <row r="670" ht="15" customHeight="1">
      <c r="A670" t="inlineStr">
        <is>
          <t>A 32744-2022</t>
        </is>
      </c>
      <c r="B670" s="1" t="n">
        <v>44783.70378472222</v>
      </c>
      <c r="C670" s="1" t="n">
        <v>45927</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43439-2024</t>
        </is>
      </c>
      <c r="B671" s="1" t="n">
        <v>45568</v>
      </c>
      <c r="C671" s="1" t="n">
        <v>45927</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36451-2025</t>
        </is>
      </c>
      <c r="B672" s="1" t="n">
        <v>45869.4290625</v>
      </c>
      <c r="C672" s="1" t="n">
        <v>45927</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18230-2025</t>
        </is>
      </c>
      <c r="B673" s="1" t="n">
        <v>45761.87114583333</v>
      </c>
      <c r="C673" s="1" t="n">
        <v>45927</v>
      </c>
      <c r="D673" t="inlineStr">
        <is>
          <t>UPPSALA LÄN</t>
        </is>
      </c>
      <c r="E673" t="inlineStr">
        <is>
          <t>ÖSTHAMMAR</t>
        </is>
      </c>
      <c r="F673" t="inlineStr">
        <is>
          <t>Bergvik skog öst AB</t>
        </is>
      </c>
      <c r="G673" t="n">
        <v>4.2</v>
      </c>
      <c r="H673" t="n">
        <v>0</v>
      </c>
      <c r="I673" t="n">
        <v>0</v>
      </c>
      <c r="J673" t="n">
        <v>0</v>
      </c>
      <c r="K673" t="n">
        <v>0</v>
      </c>
      <c r="L673" t="n">
        <v>0</v>
      </c>
      <c r="M673" t="n">
        <v>0</v>
      </c>
      <c r="N673" t="n">
        <v>0</v>
      </c>
      <c r="O673" t="n">
        <v>0</v>
      </c>
      <c r="P673" t="n">
        <v>0</v>
      </c>
      <c r="Q673" t="n">
        <v>0</v>
      </c>
      <c r="R673" s="2" t="inlineStr"/>
    </row>
    <row r="674" ht="15" customHeight="1">
      <c r="A674" t="inlineStr">
        <is>
          <t>A 57408-2020</t>
        </is>
      </c>
      <c r="B674" s="1" t="n">
        <v>44140</v>
      </c>
      <c r="C674" s="1" t="n">
        <v>45927</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45927</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36643-2025</t>
        </is>
      </c>
      <c r="B676" s="1" t="n">
        <v>45872.47782407407</v>
      </c>
      <c r="C676" s="1" t="n">
        <v>45927</v>
      </c>
      <c r="D676" t="inlineStr">
        <is>
          <t>UPPSALA LÄN</t>
        </is>
      </c>
      <c r="E676" t="inlineStr">
        <is>
          <t>ÖSTHAMMAR</t>
        </is>
      </c>
      <c r="F676" t="inlineStr">
        <is>
          <t>Bergvik skog öst AB</t>
        </is>
      </c>
      <c r="G676" t="n">
        <v>15.1</v>
      </c>
      <c r="H676" t="n">
        <v>0</v>
      </c>
      <c r="I676" t="n">
        <v>0</v>
      </c>
      <c r="J676" t="n">
        <v>0</v>
      </c>
      <c r="K676" t="n">
        <v>0</v>
      </c>
      <c r="L676" t="n">
        <v>0</v>
      </c>
      <c r="M676" t="n">
        <v>0</v>
      </c>
      <c r="N676" t="n">
        <v>0</v>
      </c>
      <c r="O676" t="n">
        <v>0</v>
      </c>
      <c r="P676" t="n">
        <v>0</v>
      </c>
      <c r="Q676" t="n">
        <v>0</v>
      </c>
      <c r="R676" s="2" t="inlineStr"/>
    </row>
    <row r="677" ht="15" customHeight="1">
      <c r="A677" t="inlineStr">
        <is>
          <t>A 10290-2025</t>
        </is>
      </c>
      <c r="B677" s="1" t="n">
        <v>45720.41847222222</v>
      </c>
      <c r="C677" s="1" t="n">
        <v>45927</v>
      </c>
      <c r="D677" t="inlineStr">
        <is>
          <t>UPPSALA LÄN</t>
        </is>
      </c>
      <c r="E677" t="inlineStr">
        <is>
          <t>ÖSTHAMMAR</t>
        </is>
      </c>
      <c r="G677" t="n">
        <v>8.6</v>
      </c>
      <c r="H677" t="n">
        <v>0</v>
      </c>
      <c r="I677" t="n">
        <v>0</v>
      </c>
      <c r="J677" t="n">
        <v>0</v>
      </c>
      <c r="K677" t="n">
        <v>0</v>
      </c>
      <c r="L677" t="n">
        <v>0</v>
      </c>
      <c r="M677" t="n">
        <v>0</v>
      </c>
      <c r="N677" t="n">
        <v>0</v>
      </c>
      <c r="O677" t="n">
        <v>0</v>
      </c>
      <c r="P677" t="n">
        <v>0</v>
      </c>
      <c r="Q677" t="n">
        <v>0</v>
      </c>
      <c r="R677" s="2" t="inlineStr"/>
    </row>
    <row r="678" ht="15" customHeight="1">
      <c r="A678" t="inlineStr">
        <is>
          <t>A 17022-2021</t>
        </is>
      </c>
      <c r="B678" s="1" t="n">
        <v>44295.65875</v>
      </c>
      <c r="C678" s="1" t="n">
        <v>45927</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11469-2023</t>
        </is>
      </c>
      <c r="B679" s="1" t="n">
        <v>44993.60099537037</v>
      </c>
      <c r="C679" s="1" t="n">
        <v>45927</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36645-2025</t>
        </is>
      </c>
      <c r="B680" s="1" t="n">
        <v>45872</v>
      </c>
      <c r="C680" s="1" t="n">
        <v>45927</v>
      </c>
      <c r="D680" t="inlineStr">
        <is>
          <t>UPPSALA LÄN</t>
        </is>
      </c>
      <c r="E680" t="inlineStr">
        <is>
          <t>ÖSTHAMMAR</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36644-2025</t>
        </is>
      </c>
      <c r="B681" s="1" t="n">
        <v>45872.48738425926</v>
      </c>
      <c r="C681" s="1" t="n">
        <v>45927</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25418-2022</t>
        </is>
      </c>
      <c r="B682" s="1" t="n">
        <v>44732.464375</v>
      </c>
      <c r="C682" s="1" t="n">
        <v>45927</v>
      </c>
      <c r="D682" t="inlineStr">
        <is>
          <t>UPPSALA LÄN</t>
        </is>
      </c>
      <c r="E682" t="inlineStr">
        <is>
          <t>ÖSTHAMMAR</t>
        </is>
      </c>
      <c r="G682" t="n">
        <v>2.8</v>
      </c>
      <c r="H682" t="n">
        <v>0</v>
      </c>
      <c r="I682" t="n">
        <v>0</v>
      </c>
      <c r="J682" t="n">
        <v>0</v>
      </c>
      <c r="K682" t="n">
        <v>0</v>
      </c>
      <c r="L682" t="n">
        <v>0</v>
      </c>
      <c r="M682" t="n">
        <v>0</v>
      </c>
      <c r="N682" t="n">
        <v>0</v>
      </c>
      <c r="O682" t="n">
        <v>0</v>
      </c>
      <c r="P682" t="n">
        <v>0</v>
      </c>
      <c r="Q682" t="n">
        <v>0</v>
      </c>
      <c r="R682" s="2" t="inlineStr"/>
    </row>
    <row r="683" ht="15" customHeight="1">
      <c r="A683" t="inlineStr">
        <is>
          <t>A 13755-2023</t>
        </is>
      </c>
      <c r="B683" s="1" t="n">
        <v>45007</v>
      </c>
      <c r="C683" s="1" t="n">
        <v>45927</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13771-2023</t>
        </is>
      </c>
      <c r="B684" s="1" t="n">
        <v>45007</v>
      </c>
      <c r="C684" s="1" t="n">
        <v>45927</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36646-2025</t>
        </is>
      </c>
      <c r="B685" s="1" t="n">
        <v>45872</v>
      </c>
      <c r="C685" s="1" t="n">
        <v>45927</v>
      </c>
      <c r="D685" t="inlineStr">
        <is>
          <t>UPPSALA LÄN</t>
        </is>
      </c>
      <c r="E685" t="inlineStr">
        <is>
          <t>ÖSTHAMMAR</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14859-2025</t>
        </is>
      </c>
      <c r="B686" s="1" t="n">
        <v>45743.42427083333</v>
      </c>
      <c r="C686" s="1" t="n">
        <v>45927</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14671-2022</t>
        </is>
      </c>
      <c r="B687" s="1" t="n">
        <v>44655.80475694445</v>
      </c>
      <c r="C687" s="1" t="n">
        <v>45927</v>
      </c>
      <c r="D687" t="inlineStr">
        <is>
          <t>UPPSALA LÄN</t>
        </is>
      </c>
      <c r="E687" t="inlineStr">
        <is>
          <t>ÖSTHAMMAR</t>
        </is>
      </c>
      <c r="G687" t="n">
        <v>1.9</v>
      </c>
      <c r="H687" t="n">
        <v>0</v>
      </c>
      <c r="I687" t="n">
        <v>0</v>
      </c>
      <c r="J687" t="n">
        <v>0</v>
      </c>
      <c r="K687" t="n">
        <v>0</v>
      </c>
      <c r="L687" t="n">
        <v>0</v>
      </c>
      <c r="M687" t="n">
        <v>0</v>
      </c>
      <c r="N687" t="n">
        <v>0</v>
      </c>
      <c r="O687" t="n">
        <v>0</v>
      </c>
      <c r="P687" t="n">
        <v>0</v>
      </c>
      <c r="Q687" t="n">
        <v>0</v>
      </c>
      <c r="R687" s="2" t="inlineStr"/>
    </row>
    <row r="688" ht="15" customHeight="1">
      <c r="A688" t="inlineStr">
        <is>
          <t>A 46399-2023</t>
        </is>
      </c>
      <c r="B688" s="1" t="n">
        <v>45197.49262731482</v>
      </c>
      <c r="C688" s="1" t="n">
        <v>45927</v>
      </c>
      <c r="D688" t="inlineStr">
        <is>
          <t>UPPSALA LÄN</t>
        </is>
      </c>
      <c r="E688" t="inlineStr">
        <is>
          <t>ÖSTHAMMAR</t>
        </is>
      </c>
      <c r="G688" t="n">
        <v>5.8</v>
      </c>
      <c r="H688" t="n">
        <v>0</v>
      </c>
      <c r="I688" t="n">
        <v>0</v>
      </c>
      <c r="J688" t="n">
        <v>0</v>
      </c>
      <c r="K688" t="n">
        <v>0</v>
      </c>
      <c r="L688" t="n">
        <v>0</v>
      </c>
      <c r="M688" t="n">
        <v>0</v>
      </c>
      <c r="N688" t="n">
        <v>0</v>
      </c>
      <c r="O688" t="n">
        <v>0</v>
      </c>
      <c r="P688" t="n">
        <v>0</v>
      </c>
      <c r="Q688" t="n">
        <v>0</v>
      </c>
      <c r="R688" s="2" t="inlineStr"/>
    </row>
    <row r="689" ht="15" customHeight="1">
      <c r="A689" t="inlineStr">
        <is>
          <t>A 44491-2025</t>
        </is>
      </c>
      <c r="B689" s="1" t="n">
        <v>45916.66152777777</v>
      </c>
      <c r="C689" s="1" t="n">
        <v>45927</v>
      </c>
      <c r="D689" t="inlineStr">
        <is>
          <t>UPPSALA LÄN</t>
        </is>
      </c>
      <c r="E689" t="inlineStr">
        <is>
          <t>ÖSTHAMMAR</t>
        </is>
      </c>
      <c r="F689" t="inlineStr">
        <is>
          <t>Bergvik skog öst AB</t>
        </is>
      </c>
      <c r="G689" t="n">
        <v>4.3</v>
      </c>
      <c r="H689" t="n">
        <v>0</v>
      </c>
      <c r="I689" t="n">
        <v>0</v>
      </c>
      <c r="J689" t="n">
        <v>0</v>
      </c>
      <c r="K689" t="n">
        <v>0</v>
      </c>
      <c r="L689" t="n">
        <v>0</v>
      </c>
      <c r="M689" t="n">
        <v>0</v>
      </c>
      <c r="N689" t="n">
        <v>0</v>
      </c>
      <c r="O689" t="n">
        <v>0</v>
      </c>
      <c r="P689" t="n">
        <v>0</v>
      </c>
      <c r="Q689" t="n">
        <v>0</v>
      </c>
      <c r="R689" s="2" t="inlineStr"/>
    </row>
    <row r="690" ht="15" customHeight="1">
      <c r="A690" t="inlineStr">
        <is>
          <t>A 7543-2023</t>
        </is>
      </c>
      <c r="B690" s="1" t="n">
        <v>44972</v>
      </c>
      <c r="C690" s="1" t="n">
        <v>45927</v>
      </c>
      <c r="D690" t="inlineStr">
        <is>
          <t>UPPSALA LÄN</t>
        </is>
      </c>
      <c r="E690" t="inlineStr">
        <is>
          <t>ÖSTHAMMAR</t>
        </is>
      </c>
      <c r="F690" t="inlineStr">
        <is>
          <t>Bergvik skog öst AB</t>
        </is>
      </c>
      <c r="G690" t="n">
        <v>13.3</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45927</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15445-2022</t>
        </is>
      </c>
      <c r="B692" s="1" t="n">
        <v>44660.4987962963</v>
      </c>
      <c r="C692" s="1" t="n">
        <v>45927</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49899-2023</t>
        </is>
      </c>
      <c r="B693" s="1" t="n">
        <v>45213</v>
      </c>
      <c r="C693" s="1" t="n">
        <v>45927</v>
      </c>
      <c r="D693" t="inlineStr">
        <is>
          <t>UPPSALA LÄN</t>
        </is>
      </c>
      <c r="E693" t="inlineStr">
        <is>
          <t>ÖSTHAMMAR</t>
        </is>
      </c>
      <c r="G693" t="n">
        <v>6.2</v>
      </c>
      <c r="H693" t="n">
        <v>0</v>
      </c>
      <c r="I693" t="n">
        <v>0</v>
      </c>
      <c r="J693" t="n">
        <v>0</v>
      </c>
      <c r="K693" t="n">
        <v>0</v>
      </c>
      <c r="L693" t="n">
        <v>0</v>
      </c>
      <c r="M693" t="n">
        <v>0</v>
      </c>
      <c r="N693" t="n">
        <v>0</v>
      </c>
      <c r="O693" t="n">
        <v>0</v>
      </c>
      <c r="P693" t="n">
        <v>0</v>
      </c>
      <c r="Q693" t="n">
        <v>0</v>
      </c>
      <c r="R693" s="2" t="inlineStr"/>
    </row>
    <row r="694" ht="15" customHeight="1">
      <c r="A694" t="inlineStr">
        <is>
          <t>A 4676-2025</t>
        </is>
      </c>
      <c r="B694" s="1" t="n">
        <v>45687.8313425926</v>
      </c>
      <c r="C694" s="1" t="n">
        <v>45927</v>
      </c>
      <c r="D694" t="inlineStr">
        <is>
          <t>UPPSALA LÄN</t>
        </is>
      </c>
      <c r="E694" t="inlineStr">
        <is>
          <t>ÖSTHAMMAR</t>
        </is>
      </c>
      <c r="G694" t="n">
        <v>3.7</v>
      </c>
      <c r="H694" t="n">
        <v>0</v>
      </c>
      <c r="I694" t="n">
        <v>0</v>
      </c>
      <c r="J694" t="n">
        <v>0</v>
      </c>
      <c r="K694" t="n">
        <v>0</v>
      </c>
      <c r="L694" t="n">
        <v>0</v>
      </c>
      <c r="M694" t="n">
        <v>0</v>
      </c>
      <c r="N694" t="n">
        <v>0</v>
      </c>
      <c r="O694" t="n">
        <v>0</v>
      </c>
      <c r="P694" t="n">
        <v>0</v>
      </c>
      <c r="Q694" t="n">
        <v>0</v>
      </c>
      <c r="R694" s="2" t="inlineStr"/>
    </row>
    <row r="695" ht="15" customHeight="1">
      <c r="A695" t="inlineStr">
        <is>
          <t>A 44917-2025</t>
        </is>
      </c>
      <c r="B695" s="1" t="n">
        <v>45918.54903935185</v>
      </c>
      <c r="C695" s="1" t="n">
        <v>45927</v>
      </c>
      <c r="D695" t="inlineStr">
        <is>
          <t>UPPSALA LÄN</t>
        </is>
      </c>
      <c r="E695" t="inlineStr">
        <is>
          <t>ÖSTHAMMAR</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17009-2021</t>
        </is>
      </c>
      <c r="B696" s="1" t="n">
        <v>44295.63969907408</v>
      </c>
      <c r="C696" s="1" t="n">
        <v>45927</v>
      </c>
      <c r="D696" t="inlineStr">
        <is>
          <t>UPPSALA LÄN</t>
        </is>
      </c>
      <c r="E696" t="inlineStr">
        <is>
          <t>ÖSTHAMMAR</t>
        </is>
      </c>
      <c r="F696" t="inlineStr">
        <is>
          <t>Bergvik skog öst AB</t>
        </is>
      </c>
      <c r="G696" t="n">
        <v>3.2</v>
      </c>
      <c r="H696" t="n">
        <v>0</v>
      </c>
      <c r="I696" t="n">
        <v>0</v>
      </c>
      <c r="J696" t="n">
        <v>0</v>
      </c>
      <c r="K696" t="n">
        <v>0</v>
      </c>
      <c r="L696" t="n">
        <v>0</v>
      </c>
      <c r="M696" t="n">
        <v>0</v>
      </c>
      <c r="N696" t="n">
        <v>0</v>
      </c>
      <c r="O696" t="n">
        <v>0</v>
      </c>
      <c r="P696" t="n">
        <v>0</v>
      </c>
      <c r="Q696" t="n">
        <v>0</v>
      </c>
      <c r="R696" s="2" t="inlineStr"/>
    </row>
    <row r="697" ht="15" customHeight="1">
      <c r="A697" t="inlineStr">
        <is>
          <t>A 33758-2024</t>
        </is>
      </c>
      <c r="B697" s="1" t="n">
        <v>45520.56896990741</v>
      </c>
      <c r="C697" s="1" t="n">
        <v>45927</v>
      </c>
      <c r="D697" t="inlineStr">
        <is>
          <t>UPPSALA LÄN</t>
        </is>
      </c>
      <c r="E697" t="inlineStr">
        <is>
          <t>ÖSTHAMMAR</t>
        </is>
      </c>
      <c r="G697" t="n">
        <v>6.5</v>
      </c>
      <c r="H697" t="n">
        <v>0</v>
      </c>
      <c r="I697" t="n">
        <v>0</v>
      </c>
      <c r="J697" t="n">
        <v>0</v>
      </c>
      <c r="K697" t="n">
        <v>0</v>
      </c>
      <c r="L697" t="n">
        <v>0</v>
      </c>
      <c r="M697" t="n">
        <v>0</v>
      </c>
      <c r="N697" t="n">
        <v>0</v>
      </c>
      <c r="O697" t="n">
        <v>0</v>
      </c>
      <c r="P697" t="n">
        <v>0</v>
      </c>
      <c r="Q697" t="n">
        <v>0</v>
      </c>
      <c r="R697" s="2" t="inlineStr"/>
    </row>
    <row r="698" ht="15" customHeight="1">
      <c r="A698" t="inlineStr">
        <is>
          <t>A 45105-2025</t>
        </is>
      </c>
      <c r="B698" s="1" t="n">
        <v>45919.40252314815</v>
      </c>
      <c r="C698" s="1" t="n">
        <v>45927</v>
      </c>
      <c r="D698" t="inlineStr">
        <is>
          <t>UPPSALA LÄN</t>
        </is>
      </c>
      <c r="E698" t="inlineStr">
        <is>
          <t>ÖSTHAMMAR</t>
        </is>
      </c>
      <c r="G698" t="n">
        <v>0.8</v>
      </c>
      <c r="H698" t="n">
        <v>0</v>
      </c>
      <c r="I698" t="n">
        <v>0</v>
      </c>
      <c r="J698" t="n">
        <v>0</v>
      </c>
      <c r="K698" t="n">
        <v>0</v>
      </c>
      <c r="L698" t="n">
        <v>0</v>
      </c>
      <c r="M698" t="n">
        <v>0</v>
      </c>
      <c r="N698" t="n">
        <v>0</v>
      </c>
      <c r="O698" t="n">
        <v>0</v>
      </c>
      <c r="P698" t="n">
        <v>0</v>
      </c>
      <c r="Q698" t="n">
        <v>0</v>
      </c>
      <c r="R698" s="2" t="inlineStr"/>
    </row>
    <row r="699" ht="15" customHeight="1">
      <c r="A699" t="inlineStr">
        <is>
          <t>A 24259-2022</t>
        </is>
      </c>
      <c r="B699" s="1" t="n">
        <v>44725</v>
      </c>
      <c r="C699" s="1" t="n">
        <v>45927</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45102-2025</t>
        </is>
      </c>
      <c r="B700" s="1" t="n">
        <v>45919.39731481481</v>
      </c>
      <c r="C700" s="1" t="n">
        <v>45927</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45927</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61216-2022</t>
        </is>
      </c>
      <c r="B702" s="1" t="n">
        <v>44915.55423611111</v>
      </c>
      <c r="C702" s="1" t="n">
        <v>45927</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37656-2025</t>
        </is>
      </c>
      <c r="B703" s="1" t="n">
        <v>45880</v>
      </c>
      <c r="C703" s="1" t="n">
        <v>45927</v>
      </c>
      <c r="D703" t="inlineStr">
        <is>
          <t>UPPSALA LÄN</t>
        </is>
      </c>
      <c r="E703" t="inlineStr">
        <is>
          <t>ÖSTHAMMAR</t>
        </is>
      </c>
      <c r="G703" t="n">
        <v>4.3</v>
      </c>
      <c r="H703" t="n">
        <v>0</v>
      </c>
      <c r="I703" t="n">
        <v>0</v>
      </c>
      <c r="J703" t="n">
        <v>0</v>
      </c>
      <c r="K703" t="n">
        <v>0</v>
      </c>
      <c r="L703" t="n">
        <v>0</v>
      </c>
      <c r="M703" t="n">
        <v>0</v>
      </c>
      <c r="N703" t="n">
        <v>0</v>
      </c>
      <c r="O703" t="n">
        <v>0</v>
      </c>
      <c r="P703" t="n">
        <v>0</v>
      </c>
      <c r="Q703" t="n">
        <v>0</v>
      </c>
      <c r="R703" s="2" t="inlineStr"/>
    </row>
    <row r="704" ht="15" customHeight="1">
      <c r="A704" t="inlineStr">
        <is>
          <t>A 27660-2023</t>
        </is>
      </c>
      <c r="B704" s="1" t="n">
        <v>45097</v>
      </c>
      <c r="C704" s="1" t="n">
        <v>45927</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69411-2021</t>
        </is>
      </c>
      <c r="B705" s="1" t="n">
        <v>44531.61038194445</v>
      </c>
      <c r="C705" s="1" t="n">
        <v>45927</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45721-2025</t>
        </is>
      </c>
      <c r="B706" s="1" t="n">
        <v>45923.44844907407</v>
      </c>
      <c r="C706" s="1" t="n">
        <v>45927</v>
      </c>
      <c r="D706" t="inlineStr">
        <is>
          <t>UPPSALA LÄN</t>
        </is>
      </c>
      <c r="E706" t="inlineStr">
        <is>
          <t>ÖSTHAMMAR</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45720-2025</t>
        </is>
      </c>
      <c r="B707" s="1" t="n">
        <v>45923.44583333333</v>
      </c>
      <c r="C707" s="1" t="n">
        <v>45927</v>
      </c>
      <c r="D707" t="inlineStr">
        <is>
          <t>UPPSALA LÄN</t>
        </is>
      </c>
      <c r="E707" t="inlineStr">
        <is>
          <t>ÖSTHAMMAR</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26303-2024</t>
        </is>
      </c>
      <c r="B708" s="1" t="n">
        <v>45468</v>
      </c>
      <c r="C708" s="1" t="n">
        <v>45927</v>
      </c>
      <c r="D708" t="inlineStr">
        <is>
          <t>UPPSALA LÄN</t>
        </is>
      </c>
      <c r="E708" t="inlineStr">
        <is>
          <t>ÖSTHAMMAR</t>
        </is>
      </c>
      <c r="G708" t="n">
        <v>1.2</v>
      </c>
      <c r="H708" t="n">
        <v>0</v>
      </c>
      <c r="I708" t="n">
        <v>0</v>
      </c>
      <c r="J708" t="n">
        <v>0</v>
      </c>
      <c r="K708" t="n">
        <v>0</v>
      </c>
      <c r="L708" t="n">
        <v>0</v>
      </c>
      <c r="M708" t="n">
        <v>0</v>
      </c>
      <c r="N708" t="n">
        <v>0</v>
      </c>
      <c r="O708" t="n">
        <v>0</v>
      </c>
      <c r="P708" t="n">
        <v>0</v>
      </c>
      <c r="Q708" t="n">
        <v>0</v>
      </c>
      <c r="R708" s="2" t="inlineStr"/>
    </row>
    <row r="709" ht="15" customHeight="1">
      <c r="A709" t="inlineStr">
        <is>
          <t>A 46785-2023</t>
        </is>
      </c>
      <c r="B709" s="1" t="n">
        <v>45198</v>
      </c>
      <c r="C709" s="1" t="n">
        <v>45927</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37764-2025</t>
        </is>
      </c>
      <c r="B710" s="1" t="n">
        <v>45880.70917824074</v>
      </c>
      <c r="C710" s="1" t="n">
        <v>45927</v>
      </c>
      <c r="D710" t="inlineStr">
        <is>
          <t>UPPSALA LÄN</t>
        </is>
      </c>
      <c r="E710" t="inlineStr">
        <is>
          <t>ÖSTHAMMAR</t>
        </is>
      </c>
      <c r="G710" t="n">
        <v>4.6</v>
      </c>
      <c r="H710" t="n">
        <v>0</v>
      </c>
      <c r="I710" t="n">
        <v>0</v>
      </c>
      <c r="J710" t="n">
        <v>0</v>
      </c>
      <c r="K710" t="n">
        <v>0</v>
      </c>
      <c r="L710" t="n">
        <v>0</v>
      </c>
      <c r="M710" t="n">
        <v>0</v>
      </c>
      <c r="N710" t="n">
        <v>0</v>
      </c>
      <c r="O710" t="n">
        <v>0</v>
      </c>
      <c r="P710" t="n">
        <v>0</v>
      </c>
      <c r="Q710" t="n">
        <v>0</v>
      </c>
      <c r="R710" s="2" t="inlineStr"/>
    </row>
    <row r="711" ht="15" customHeight="1">
      <c r="A711" t="inlineStr">
        <is>
          <t>A 45715-2025</t>
        </is>
      </c>
      <c r="B711" s="1" t="n">
        <v>45923.44094907407</v>
      </c>
      <c r="C711" s="1" t="n">
        <v>45927</v>
      </c>
      <c r="D711" t="inlineStr">
        <is>
          <t>UPPSALA LÄN</t>
        </is>
      </c>
      <c r="E711" t="inlineStr">
        <is>
          <t>ÖSTHAMMAR</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37770-2025</t>
        </is>
      </c>
      <c r="B712" s="1" t="n">
        <v>45880.7505787037</v>
      </c>
      <c r="C712" s="1" t="n">
        <v>45927</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46088-2025</t>
        </is>
      </c>
      <c r="B713" s="1" t="n">
        <v>45924.52010416667</v>
      </c>
      <c r="C713" s="1" t="n">
        <v>45927</v>
      </c>
      <c r="D713" t="inlineStr">
        <is>
          <t>UPPSALA LÄN</t>
        </is>
      </c>
      <c r="E713" t="inlineStr">
        <is>
          <t>ÖSTHAMMAR</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5189-2025</t>
        </is>
      </c>
      <c r="B714" s="1" t="n">
        <v>45691</v>
      </c>
      <c r="C714" s="1" t="n">
        <v>45927</v>
      </c>
      <c r="D714" t="inlineStr">
        <is>
          <t>UPPSALA LÄN</t>
        </is>
      </c>
      <c r="E714" t="inlineStr">
        <is>
          <t>ÖSTHAMMAR</t>
        </is>
      </c>
      <c r="F714" t="inlineStr">
        <is>
          <t>Bergvik skog öst AB</t>
        </is>
      </c>
      <c r="G714" t="n">
        <v>24.4</v>
      </c>
      <c r="H714" t="n">
        <v>0</v>
      </c>
      <c r="I714" t="n">
        <v>0</v>
      </c>
      <c r="J714" t="n">
        <v>0</v>
      </c>
      <c r="K714" t="n">
        <v>0</v>
      </c>
      <c r="L714" t="n">
        <v>0</v>
      </c>
      <c r="M714" t="n">
        <v>0</v>
      </c>
      <c r="N714" t="n">
        <v>0</v>
      </c>
      <c r="O714" t="n">
        <v>0</v>
      </c>
      <c r="P714" t="n">
        <v>0</v>
      </c>
      <c r="Q714" t="n">
        <v>0</v>
      </c>
      <c r="R714" s="2" t="inlineStr"/>
    </row>
    <row r="715" ht="15" customHeight="1">
      <c r="A715" t="inlineStr">
        <is>
          <t>A 7118-2023</t>
        </is>
      </c>
      <c r="B715" s="1" t="n">
        <v>44970.39591435185</v>
      </c>
      <c r="C715" s="1" t="n">
        <v>45927</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45993-2025</t>
        </is>
      </c>
      <c r="B716" s="1" t="n">
        <v>45924.39706018518</v>
      </c>
      <c r="C716" s="1" t="n">
        <v>45927</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c r="A717" t="inlineStr">
        <is>
          <t>A 46089-2025</t>
        </is>
      </c>
      <c r="B717" s="1" t="n">
        <v>45924.52100694444</v>
      </c>
      <c r="C717" s="1" t="n">
        <v>45927</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2025-09-27T12:01:05Z</dcterms:created>
  <dcterms:modified xmlns:dcterms="http://purl.org/dc/terms/" xmlns:xsi="http://www.w3.org/2001/XMLSchema-instance" xsi:type="dcterms:W3CDTF">2025-09-27T12:01:05Z</dcterms:modified>
</cp:coreProperties>
</file>