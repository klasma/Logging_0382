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46117</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46117</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46117</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46117</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46117</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46117</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46117</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46117</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46117</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46117</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46117</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46117</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46117</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46117</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16242-2025</t>
        </is>
      </c>
      <c r="B26" s="1" t="n">
        <v>45746</v>
      </c>
      <c r="C26" s="1" t="n">
        <v>46117</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46117</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46117</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46117</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46117</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46117</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46117</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46117</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46117</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46117</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46117</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46117</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46117</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46117</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46117</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46117</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46117</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46117</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46117</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46117</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46117</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46117</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46117</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46117</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46117</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46117</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46117</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46117</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46117</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46117</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46117</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46117</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46117</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46117</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25044-2025</t>
        </is>
      </c>
      <c r="B60" s="1" t="n">
        <v>45799.66607638889</v>
      </c>
      <c r="C60" s="1" t="n">
        <v>46117</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46117</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46117</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46117</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46117</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46117</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46117</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41303-2025</t>
        </is>
      </c>
      <c r="B68" s="1" t="n">
        <v>45898.69215277778</v>
      </c>
      <c r="C68" s="1" t="n">
        <v>46117</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13287-2022</t>
        </is>
      </c>
      <c r="B69" s="1" t="n">
        <v>44644</v>
      </c>
      <c r="C69" s="1" t="n">
        <v>46117</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46117</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46117</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46117</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46117</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46117</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46117</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46117</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46117</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46117</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46117</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46117</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46117</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33269-2025</t>
        </is>
      </c>
      <c r="B82" s="1" t="n">
        <v>45840.68208333333</v>
      </c>
      <c r="C82" s="1" t="n">
        <v>46117</v>
      </c>
      <c r="D82" t="inlineStr">
        <is>
          <t>UPPSALA LÄN</t>
        </is>
      </c>
      <c r="E82" t="inlineStr">
        <is>
          <t>ÖSTHAMMAR</t>
        </is>
      </c>
      <c r="G82" t="n">
        <v>14.9</v>
      </c>
      <c r="H82" t="n">
        <v>0</v>
      </c>
      <c r="I82" t="n">
        <v>1</v>
      </c>
      <c r="J82" t="n">
        <v>0</v>
      </c>
      <c r="K82" t="n">
        <v>1</v>
      </c>
      <c r="L82" t="n">
        <v>0</v>
      </c>
      <c r="M82" t="n">
        <v>0</v>
      </c>
      <c r="N82" t="n">
        <v>0</v>
      </c>
      <c r="O82" t="n">
        <v>1</v>
      </c>
      <c r="P82" t="n">
        <v>1</v>
      </c>
      <c r="Q82" t="n">
        <v>2</v>
      </c>
      <c r="R82" s="2" t="inlineStr">
        <is>
          <t>Violgubbe
Kamjordstjärna</t>
        </is>
      </c>
      <c r="S82">
        <f>HYPERLINK("https://klasma.github.io/Logging_0382/artfynd/A 33269-2025 artfynd.xlsx", "A 33269-2025")</f>
        <v/>
      </c>
      <c r="T82">
        <f>HYPERLINK("https://klasma.github.io/Logging_0382/kartor/A 33269-2025 karta.png", "A 33269-2025")</f>
        <v/>
      </c>
      <c r="V82">
        <f>HYPERLINK("https://klasma.github.io/Logging_0382/klagomål/A 33269-2025 FSC-klagomål.docx", "A 33269-2025")</f>
        <v/>
      </c>
      <c r="W82">
        <f>HYPERLINK("https://klasma.github.io/Logging_0382/klagomålsmail/A 33269-2025 FSC-klagomål mail.docx", "A 33269-2025")</f>
        <v/>
      </c>
      <c r="X82">
        <f>HYPERLINK("https://klasma.github.io/Logging_0382/tillsyn/A 33269-2025 tillsynsbegäran.docx", "A 33269-2025")</f>
        <v/>
      </c>
      <c r="Y82">
        <f>HYPERLINK("https://klasma.github.io/Logging_0382/tillsynsmail/A 33269-2025 tillsynsbegäran mail.docx", "A 33269-2025")</f>
        <v/>
      </c>
    </row>
    <row r="83" ht="15" customHeight="1">
      <c r="A83" t="inlineStr">
        <is>
          <t>A 38442-2022</t>
        </is>
      </c>
      <c r="B83" s="1" t="n">
        <v>44813</v>
      </c>
      <c r="C83" s="1" t="n">
        <v>46117</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46117</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46117</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46117</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46117</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46117</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46117</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46629-2024</t>
        </is>
      </c>
      <c r="B90" s="1" t="n">
        <v>45583.33221064815</v>
      </c>
      <c r="C90" s="1" t="n">
        <v>46117</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46117</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10034-2023</t>
        </is>
      </c>
      <c r="B92" s="1" t="n">
        <v>44985</v>
      </c>
      <c r="C92" s="1" t="n">
        <v>46117</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46117</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46117</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46117</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46117</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52879-2025</t>
        </is>
      </c>
      <c r="B97" s="1" t="n">
        <v>45957.544375</v>
      </c>
      <c r="C97" s="1" t="n">
        <v>46117</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25179-2023</t>
        </is>
      </c>
      <c r="B98" s="1" t="n">
        <v>45078</v>
      </c>
      <c r="C98" s="1" t="n">
        <v>46117</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33800-2024</t>
        </is>
      </c>
      <c r="B99" s="1" t="n">
        <v>45520</v>
      </c>
      <c r="C99" s="1" t="n">
        <v>46117</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46117</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61410-2025</t>
        </is>
      </c>
      <c r="B101" s="1" t="n">
        <v>46001.51974537037</v>
      </c>
      <c r="C101" s="1" t="n">
        <v>46117</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1227-2022</t>
        </is>
      </c>
      <c r="B102" s="1" t="n">
        <v>44572.57641203704</v>
      </c>
      <c r="C102" s="1" t="n">
        <v>46117</v>
      </c>
      <c r="D102" t="inlineStr">
        <is>
          <t>UPPSALA LÄN</t>
        </is>
      </c>
      <c r="E102" t="inlineStr">
        <is>
          <t>ÖSTHAMMAR</t>
        </is>
      </c>
      <c r="G102" t="n">
        <v>1.7</v>
      </c>
      <c r="H102" t="n">
        <v>0</v>
      </c>
      <c r="I102" t="n">
        <v>1</v>
      </c>
      <c r="J102" t="n">
        <v>0</v>
      </c>
      <c r="K102" t="n">
        <v>0</v>
      </c>
      <c r="L102" t="n">
        <v>0</v>
      </c>
      <c r="M102" t="n">
        <v>0</v>
      </c>
      <c r="N102" t="n">
        <v>0</v>
      </c>
      <c r="O102" t="n">
        <v>0</v>
      </c>
      <c r="P102" t="n">
        <v>0</v>
      </c>
      <c r="Q102" t="n">
        <v>1</v>
      </c>
      <c r="R102" s="2" t="inlineStr">
        <is>
          <t>Guldkremla</t>
        </is>
      </c>
      <c r="S102">
        <f>HYPERLINK("https://klasma.github.io/Logging_0382/artfynd/A 1227-2022 artfynd.xlsx", "A 1227-2022")</f>
        <v/>
      </c>
      <c r="T102">
        <f>HYPERLINK("https://klasma.github.io/Logging_0382/kartor/A 1227-2022 karta.png", "A 1227-2022")</f>
        <v/>
      </c>
      <c r="V102">
        <f>HYPERLINK("https://klasma.github.io/Logging_0382/klagomål/A 1227-2022 FSC-klagomål.docx", "A 1227-2022")</f>
        <v/>
      </c>
      <c r="W102">
        <f>HYPERLINK("https://klasma.github.io/Logging_0382/klagomålsmail/A 1227-2022 FSC-klagomål mail.docx", "A 1227-2022")</f>
        <v/>
      </c>
      <c r="X102">
        <f>HYPERLINK("https://klasma.github.io/Logging_0382/tillsyn/A 1227-2022 tillsynsbegäran.docx", "A 1227-2022")</f>
        <v/>
      </c>
      <c r="Y102">
        <f>HYPERLINK("https://klasma.github.io/Logging_0382/tillsynsmail/A 1227-2022 tillsynsbegäran mail.docx", "A 1227-2022")</f>
        <v/>
      </c>
    </row>
    <row r="103" ht="15" customHeight="1">
      <c r="A103" t="inlineStr">
        <is>
          <t>A 34090-2023</t>
        </is>
      </c>
      <c r="B103" s="1" t="n">
        <v>45135</v>
      </c>
      <c r="C103" s="1" t="n">
        <v>46117</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11017-2023</t>
        </is>
      </c>
      <c r="B104" s="1" t="n">
        <v>44991</v>
      </c>
      <c r="C104" s="1" t="n">
        <v>46117</v>
      </c>
      <c r="D104" t="inlineStr">
        <is>
          <t>UPPSALA LÄN</t>
        </is>
      </c>
      <c r="E104" t="inlineStr">
        <is>
          <t>ÖSTHAMMAR</t>
        </is>
      </c>
      <c r="G104" t="n">
        <v>1.9</v>
      </c>
      <c r="H104" t="n">
        <v>1</v>
      </c>
      <c r="I104" t="n">
        <v>0</v>
      </c>
      <c r="J104" t="n">
        <v>1</v>
      </c>
      <c r="K104" t="n">
        <v>0</v>
      </c>
      <c r="L104" t="n">
        <v>0</v>
      </c>
      <c r="M104" t="n">
        <v>0</v>
      </c>
      <c r="N104" t="n">
        <v>0</v>
      </c>
      <c r="O104" t="n">
        <v>1</v>
      </c>
      <c r="P104" t="n">
        <v>0</v>
      </c>
      <c r="Q104" t="n">
        <v>1</v>
      </c>
      <c r="R104" s="2" t="inlineStr">
        <is>
          <t>Kornknarr</t>
        </is>
      </c>
      <c r="S104">
        <f>HYPERLINK("https://klasma.github.io/Logging_0382/artfynd/A 11017-2023 artfynd.xlsx", "A 11017-2023")</f>
        <v/>
      </c>
      <c r="T104">
        <f>HYPERLINK("https://klasma.github.io/Logging_0382/kartor/A 11017-2023 karta.png", "A 11017-2023")</f>
        <v/>
      </c>
      <c r="V104">
        <f>HYPERLINK("https://klasma.github.io/Logging_0382/klagomål/A 11017-2023 FSC-klagomål.docx", "A 11017-2023")</f>
        <v/>
      </c>
      <c r="W104">
        <f>HYPERLINK("https://klasma.github.io/Logging_0382/klagomålsmail/A 11017-2023 FSC-klagomål mail.docx", "A 11017-2023")</f>
        <v/>
      </c>
      <c r="X104">
        <f>HYPERLINK("https://klasma.github.io/Logging_0382/tillsyn/A 11017-2023 tillsynsbegäran.docx", "A 11017-2023")</f>
        <v/>
      </c>
      <c r="Y104">
        <f>HYPERLINK("https://klasma.github.io/Logging_0382/tillsynsmail/A 11017-2023 tillsynsbegäran mail.docx", "A 11017-2023")</f>
        <v/>
      </c>
    </row>
    <row r="105" ht="15" customHeight="1">
      <c r="A105" t="inlineStr">
        <is>
          <t>A 61574-2025</t>
        </is>
      </c>
      <c r="B105" s="1" t="n">
        <v>46002</v>
      </c>
      <c r="C105" s="1" t="n">
        <v>46117</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52818-2022</t>
        </is>
      </c>
      <c r="B106" s="1" t="n">
        <v>44875</v>
      </c>
      <c r="C106" s="1" t="n">
        <v>46117</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46117</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4714-2026</t>
        </is>
      </c>
      <c r="B108" s="1" t="n">
        <v>46048.46175925926</v>
      </c>
      <c r="C108" s="1" t="n">
        <v>46117</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65989-2021</t>
        </is>
      </c>
      <c r="B109" s="1" t="n">
        <v>44517</v>
      </c>
      <c r="C109" s="1" t="n">
        <v>46117</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6507-2026</t>
        </is>
      </c>
      <c r="B110" s="1" t="n">
        <v>46056.38474537037</v>
      </c>
      <c r="C110" s="1" t="n">
        <v>46117</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15248-2026</t>
        </is>
      </c>
      <c r="B111" s="1" t="n">
        <v>46105.57002314815</v>
      </c>
      <c r="C111" s="1" t="n">
        <v>46117</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46117</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22375-2024</t>
        </is>
      </c>
      <c r="B113" s="1" t="n">
        <v>45446</v>
      </c>
      <c r="C113" s="1" t="n">
        <v>46117</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46117</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46117</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63615-2021</t>
        </is>
      </c>
      <c r="B116" s="1" t="n">
        <v>44509</v>
      </c>
      <c r="C116" s="1" t="n">
        <v>46117</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14203-2024</t>
        </is>
      </c>
      <c r="B117" s="1" t="n">
        <v>45393</v>
      </c>
      <c r="C117" s="1" t="n">
        <v>46117</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30605-2025</t>
        </is>
      </c>
      <c r="B118" s="1" t="n">
        <v>45831.45510416666</v>
      </c>
      <c r="C118" s="1" t="n">
        <v>46117</v>
      </c>
      <c r="D118" t="inlineStr">
        <is>
          <t>UPPSALA LÄN</t>
        </is>
      </c>
      <c r="E118" t="inlineStr">
        <is>
          <t>ÖSTHAMMAR</t>
        </is>
      </c>
      <c r="G118" t="n">
        <v>1.7</v>
      </c>
      <c r="H118" t="n">
        <v>0</v>
      </c>
      <c r="I118" t="n">
        <v>0</v>
      </c>
      <c r="J118" t="n">
        <v>0</v>
      </c>
      <c r="K118" t="n">
        <v>1</v>
      </c>
      <c r="L118" t="n">
        <v>0</v>
      </c>
      <c r="M118" t="n">
        <v>0</v>
      </c>
      <c r="N118" t="n">
        <v>0</v>
      </c>
      <c r="O118" t="n">
        <v>1</v>
      </c>
      <c r="P118" t="n">
        <v>1</v>
      </c>
      <c r="Q118" t="n">
        <v>1</v>
      </c>
      <c r="R118" s="2" t="inlineStr">
        <is>
          <t>Plattsäv</t>
        </is>
      </c>
      <c r="S118">
        <f>HYPERLINK("https://klasma.github.io/Logging_0382/artfynd/A 30605-2025 artfynd.xlsx", "A 30605-2025")</f>
        <v/>
      </c>
      <c r="T118">
        <f>HYPERLINK("https://klasma.github.io/Logging_0382/kartor/A 30605-2025 karta.png", "A 30605-2025")</f>
        <v/>
      </c>
      <c r="V118">
        <f>HYPERLINK("https://klasma.github.io/Logging_0382/klagomål/A 30605-2025 FSC-klagomål.docx", "A 30605-2025")</f>
        <v/>
      </c>
      <c r="W118">
        <f>HYPERLINK("https://klasma.github.io/Logging_0382/klagomålsmail/A 30605-2025 FSC-klagomål mail.docx", "A 30605-2025")</f>
        <v/>
      </c>
      <c r="X118">
        <f>HYPERLINK("https://klasma.github.io/Logging_0382/tillsyn/A 30605-2025 tillsynsbegäran.docx", "A 30605-2025")</f>
        <v/>
      </c>
      <c r="Y118">
        <f>HYPERLINK("https://klasma.github.io/Logging_0382/tillsynsmail/A 30605-2025 tillsynsbegäran mail.docx", "A 30605-2025")</f>
        <v/>
      </c>
    </row>
    <row r="119" ht="15" customHeight="1">
      <c r="A119" t="inlineStr">
        <is>
          <t>A 73983-2021</t>
        </is>
      </c>
      <c r="B119" s="1" t="n">
        <v>44555.80506944445</v>
      </c>
      <c r="C119" s="1" t="n">
        <v>46117</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46117</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46117</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8775-2022</t>
        </is>
      </c>
      <c r="B122" s="1" t="n">
        <v>44614</v>
      </c>
      <c r="C122" s="1" t="n">
        <v>46117</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46117</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46117</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46117</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46117</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46117</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15847-2022</t>
        </is>
      </c>
      <c r="B128" s="1" t="n">
        <v>44664</v>
      </c>
      <c r="C128" s="1" t="n">
        <v>46117</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14271-2022</t>
        </is>
      </c>
      <c r="B129" s="1" t="n">
        <v>44651.88756944444</v>
      </c>
      <c r="C129" s="1" t="n">
        <v>46117</v>
      </c>
      <c r="D129" t="inlineStr">
        <is>
          <t>UPPSALA LÄN</t>
        </is>
      </c>
      <c r="E129" t="inlineStr">
        <is>
          <t>ÖSTHAMMAR</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10288-2022</t>
        </is>
      </c>
      <c r="B130" s="1" t="n">
        <v>44622</v>
      </c>
      <c r="C130" s="1" t="n">
        <v>46117</v>
      </c>
      <c r="D130" t="inlineStr">
        <is>
          <t>UPPSALA LÄN</t>
        </is>
      </c>
      <c r="E130" t="inlineStr">
        <is>
          <t>ÖSTHAMMAR</t>
        </is>
      </c>
      <c r="F130" t="inlineStr">
        <is>
          <t>Bergvik skog öst AB</t>
        </is>
      </c>
      <c r="G130" t="n">
        <v>0.3</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46117</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46117</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46117</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46117</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46117</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46117</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46117</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46117</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46117</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46117</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46117</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13867-2022</t>
        </is>
      </c>
      <c r="B142" s="1" t="n">
        <v>44649.90252314815</v>
      </c>
      <c r="C142" s="1" t="n">
        <v>46117</v>
      </c>
      <c r="D142" t="inlineStr">
        <is>
          <t>UPPSALA LÄN</t>
        </is>
      </c>
      <c r="E142" t="inlineStr">
        <is>
          <t>ÖSTHAMMAR</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46117</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46117</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46117</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46117</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46117</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46117</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46117</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46117</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46117</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46117</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46117</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46117</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46117</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46117</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46117</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46117</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46117</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46117</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46117</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46117</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46117</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46117</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46117</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46117</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46117</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46117</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46117</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46117</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46117</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46117</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46117</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46117</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46117</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46117</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46117</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46117</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46117</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46117</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46117</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46117</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46117</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46117</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46117</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46117</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46117</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46117</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46117</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46117</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46117</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46117</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46117</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46117</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46117</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46117</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46117</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46117</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46117</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46117</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46117</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46117</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46117</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46117</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46117</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46117</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46117</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46117</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46117</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46117</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46117</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46117</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46117</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46117</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31479-2023</t>
        </is>
      </c>
      <c r="B215" s="1" t="n">
        <v>45114.79793981482</v>
      </c>
      <c r="C215" s="1" t="n">
        <v>46117</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46117</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46117</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46117</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46117</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46117</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46117</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46117</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46117</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46117</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46117</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46117</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46117</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46117</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46117</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46117</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46117</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46117</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46117</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46117</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46117</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46117</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4099-2025</t>
        </is>
      </c>
      <c r="B237" s="1" t="n">
        <v>45684</v>
      </c>
      <c r="C237" s="1" t="n">
        <v>46117</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19009-2023</t>
        </is>
      </c>
      <c r="B238" s="1" t="n">
        <v>45045</v>
      </c>
      <c r="C238" s="1" t="n">
        <v>46117</v>
      </c>
      <c r="D238" t="inlineStr">
        <is>
          <t>UPPSALA LÄN</t>
        </is>
      </c>
      <c r="E238" t="inlineStr">
        <is>
          <t>ÖSTHAMMAR</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46117</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46117</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46117</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835-2025</t>
        </is>
      </c>
      <c r="B242" s="1" t="n">
        <v>45665.58465277778</v>
      </c>
      <c r="C242" s="1" t="n">
        <v>46117</v>
      </c>
      <c r="D242" t="inlineStr">
        <is>
          <t>UPPSALA LÄN</t>
        </is>
      </c>
      <c r="E242" t="inlineStr">
        <is>
          <t>ÖSTHAMMAR</t>
        </is>
      </c>
      <c r="F242" t="inlineStr">
        <is>
          <t>Övriga Aktiebolag</t>
        </is>
      </c>
      <c r="G242" t="n">
        <v>4.8</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46117</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46117</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46117</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46117</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46117</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46117</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1439-2025</t>
        </is>
      </c>
      <c r="B249" s="1" t="n">
        <v>45669.69075231482</v>
      </c>
      <c r="C249" s="1" t="n">
        <v>46117</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46117</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46117</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46117</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46117</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44807-2024</t>
        </is>
      </c>
      <c r="B254" s="1" t="n">
        <v>45574.65427083334</v>
      </c>
      <c r="C254" s="1" t="n">
        <v>46117</v>
      </c>
      <c r="D254" t="inlineStr">
        <is>
          <t>UPPSALA LÄN</t>
        </is>
      </c>
      <c r="E254" t="inlineStr">
        <is>
          <t>ÖSTHAMMAR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46117</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59731-2023</t>
        </is>
      </c>
      <c r="B256" s="1" t="n">
        <v>45257</v>
      </c>
      <c r="C256" s="1" t="n">
        <v>46117</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49831-2023</t>
        </is>
      </c>
      <c r="B257" s="1" t="n">
        <v>45212.71241898148</v>
      </c>
      <c r="C257" s="1" t="n">
        <v>46117</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35316-2024</t>
        </is>
      </c>
      <c r="B258" s="1" t="n">
        <v>45530.68873842592</v>
      </c>
      <c r="C258" s="1" t="n">
        <v>46117</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20072-2025</t>
        </is>
      </c>
      <c r="B259" s="1" t="n">
        <v>45772</v>
      </c>
      <c r="C259" s="1" t="n">
        <v>46117</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45561-2023</t>
        </is>
      </c>
      <c r="B260" s="1" t="n">
        <v>45194.59335648148</v>
      </c>
      <c r="C260" s="1" t="n">
        <v>46117</v>
      </c>
      <c r="D260" t="inlineStr">
        <is>
          <t>UPPSALA LÄN</t>
        </is>
      </c>
      <c r="E260" t="inlineStr">
        <is>
          <t>ÖSTHAMMAR</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46117</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70008-2021</t>
        </is>
      </c>
      <c r="B262" s="1" t="n">
        <v>44533.44887731481</v>
      </c>
      <c r="C262" s="1" t="n">
        <v>46117</v>
      </c>
      <c r="D262" t="inlineStr">
        <is>
          <t>UPPSALA LÄN</t>
        </is>
      </c>
      <c r="E262" t="inlineStr">
        <is>
          <t>ÖSTHAMMAR</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46117</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46117</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46117</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6206-2022</t>
        </is>
      </c>
      <c r="B266" s="1" t="n">
        <v>44600.35755787037</v>
      </c>
      <c r="C266" s="1" t="n">
        <v>46117</v>
      </c>
      <c r="D266" t="inlineStr">
        <is>
          <t>UPPSALA LÄN</t>
        </is>
      </c>
      <c r="E266" t="inlineStr">
        <is>
          <t>ÖSTHAMMAR</t>
        </is>
      </c>
      <c r="G266" t="n">
        <v>7.4</v>
      </c>
      <c r="H266" t="n">
        <v>0</v>
      </c>
      <c r="I266" t="n">
        <v>0</v>
      </c>
      <c r="J266" t="n">
        <v>0</v>
      </c>
      <c r="K266" t="n">
        <v>0</v>
      </c>
      <c r="L266" t="n">
        <v>0</v>
      </c>
      <c r="M266" t="n">
        <v>0</v>
      </c>
      <c r="N266" t="n">
        <v>0</v>
      </c>
      <c r="O266" t="n">
        <v>0</v>
      </c>
      <c r="P266" t="n">
        <v>0</v>
      </c>
      <c r="Q266" t="n">
        <v>0</v>
      </c>
      <c r="R266" s="2" t="inlineStr"/>
    </row>
    <row r="267" ht="15" customHeight="1">
      <c r="A267" t="inlineStr">
        <is>
          <t>A 21624-2023</t>
        </is>
      </c>
      <c r="B267" s="1" t="n">
        <v>45063.65543981481</v>
      </c>
      <c r="C267" s="1" t="n">
        <v>46117</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41996-2024</t>
        </is>
      </c>
      <c r="B268" s="1" t="n">
        <v>45561</v>
      </c>
      <c r="C268" s="1" t="n">
        <v>46117</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20326-2021</t>
        </is>
      </c>
      <c r="B269" s="1" t="n">
        <v>44308</v>
      </c>
      <c r="C269" s="1" t="n">
        <v>46117</v>
      </c>
      <c r="D269" t="inlineStr">
        <is>
          <t>UPPSALA LÄN</t>
        </is>
      </c>
      <c r="E269" t="inlineStr">
        <is>
          <t>ÖSTHAMMAR</t>
        </is>
      </c>
      <c r="G269" t="n">
        <v>7</v>
      </c>
      <c r="H269" t="n">
        <v>0</v>
      </c>
      <c r="I269" t="n">
        <v>0</v>
      </c>
      <c r="J269" t="n">
        <v>0</v>
      </c>
      <c r="K269" t="n">
        <v>0</v>
      </c>
      <c r="L269" t="n">
        <v>0</v>
      </c>
      <c r="M269" t="n">
        <v>0</v>
      </c>
      <c r="N269" t="n">
        <v>0</v>
      </c>
      <c r="O269" t="n">
        <v>0</v>
      </c>
      <c r="P269" t="n">
        <v>0</v>
      </c>
      <c r="Q269" t="n">
        <v>0</v>
      </c>
      <c r="R269" s="2" t="inlineStr"/>
    </row>
    <row r="270" ht="15" customHeight="1">
      <c r="A270" t="inlineStr">
        <is>
          <t>A 23742-2024</t>
        </is>
      </c>
      <c r="B270" s="1" t="n">
        <v>45455</v>
      </c>
      <c r="C270" s="1" t="n">
        <v>46117</v>
      </c>
      <c r="D270" t="inlineStr">
        <is>
          <t>UPPSALA LÄN</t>
        </is>
      </c>
      <c r="E270" t="inlineStr">
        <is>
          <t>ÖSTHAMMAR</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4984-2024</t>
        </is>
      </c>
      <c r="B271" s="1" t="n">
        <v>45329</v>
      </c>
      <c r="C271" s="1" t="n">
        <v>46117</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46117</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38003-2024</t>
        </is>
      </c>
      <c r="B273" s="1" t="n">
        <v>45544</v>
      </c>
      <c r="C273" s="1" t="n">
        <v>46117</v>
      </c>
      <c r="D273" t="inlineStr">
        <is>
          <t>UPPSALA LÄN</t>
        </is>
      </c>
      <c r="E273" t="inlineStr">
        <is>
          <t>ÖSTHAMMAR</t>
        </is>
      </c>
      <c r="F273" t="inlineStr">
        <is>
          <t>Naturvårdsverket</t>
        </is>
      </c>
      <c r="G273" t="n">
        <v>4.2</v>
      </c>
      <c r="H273" t="n">
        <v>0</v>
      </c>
      <c r="I273" t="n">
        <v>0</v>
      </c>
      <c r="J273" t="n">
        <v>0</v>
      </c>
      <c r="K273" t="n">
        <v>0</v>
      </c>
      <c r="L273" t="n">
        <v>0</v>
      </c>
      <c r="M273" t="n">
        <v>0</v>
      </c>
      <c r="N273" t="n">
        <v>0</v>
      </c>
      <c r="O273" t="n">
        <v>0</v>
      </c>
      <c r="P273" t="n">
        <v>0</v>
      </c>
      <c r="Q273" t="n">
        <v>0</v>
      </c>
      <c r="R273" s="2" t="inlineStr"/>
    </row>
    <row r="274" ht="15" customHeight="1">
      <c r="A274" t="inlineStr">
        <is>
          <t>A 1238-2022</t>
        </is>
      </c>
      <c r="B274" s="1" t="n">
        <v>44572.5827662037</v>
      </c>
      <c r="C274" s="1" t="n">
        <v>46117</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25252-2024</t>
        </is>
      </c>
      <c r="B275" s="1" t="n">
        <v>45462</v>
      </c>
      <c r="C275" s="1" t="n">
        <v>46117</v>
      </c>
      <c r="D275" t="inlineStr">
        <is>
          <t>UPPSALA LÄN</t>
        </is>
      </c>
      <c r="E275" t="inlineStr">
        <is>
          <t>ÖSTHAMMAR</t>
        </is>
      </c>
      <c r="G275" t="n">
        <v>4.3</v>
      </c>
      <c r="H275" t="n">
        <v>0</v>
      </c>
      <c r="I275" t="n">
        <v>0</v>
      </c>
      <c r="J275" t="n">
        <v>0</v>
      </c>
      <c r="K275" t="n">
        <v>0</v>
      </c>
      <c r="L275" t="n">
        <v>0</v>
      </c>
      <c r="M275" t="n">
        <v>0</v>
      </c>
      <c r="N275" t="n">
        <v>0</v>
      </c>
      <c r="O275" t="n">
        <v>0</v>
      </c>
      <c r="P275" t="n">
        <v>0</v>
      </c>
      <c r="Q275" t="n">
        <v>0</v>
      </c>
      <c r="R275" s="2" t="inlineStr"/>
    </row>
    <row r="276" ht="15" customHeight="1">
      <c r="A276" t="inlineStr">
        <is>
          <t>A 31137-2022</t>
        </is>
      </c>
      <c r="B276" s="1" t="n">
        <v>44770.42166666667</v>
      </c>
      <c r="C276" s="1" t="n">
        <v>46117</v>
      </c>
      <c r="D276" t="inlineStr">
        <is>
          <t>UPPSALA LÄN</t>
        </is>
      </c>
      <c r="E276" t="inlineStr">
        <is>
          <t>ÖSTHAMMAR</t>
        </is>
      </c>
      <c r="F276" t="inlineStr">
        <is>
          <t>Bergvik skog öst AB</t>
        </is>
      </c>
      <c r="G276" t="n">
        <v>1.4</v>
      </c>
      <c r="H276" t="n">
        <v>0</v>
      </c>
      <c r="I276" t="n">
        <v>0</v>
      </c>
      <c r="J276" t="n">
        <v>0</v>
      </c>
      <c r="K276" t="n">
        <v>0</v>
      </c>
      <c r="L276" t="n">
        <v>0</v>
      </c>
      <c r="M276" t="n">
        <v>0</v>
      </c>
      <c r="N276" t="n">
        <v>0</v>
      </c>
      <c r="O276" t="n">
        <v>0</v>
      </c>
      <c r="P276" t="n">
        <v>0</v>
      </c>
      <c r="Q276" t="n">
        <v>0</v>
      </c>
      <c r="R276" s="2" t="inlineStr"/>
    </row>
    <row r="277" ht="15" customHeight="1">
      <c r="A277" t="inlineStr">
        <is>
          <t>A 16531-2025</t>
        </is>
      </c>
      <c r="B277" s="1" t="n">
        <v>45751</v>
      </c>
      <c r="C277" s="1" t="n">
        <v>46117</v>
      </c>
      <c r="D277" t="inlineStr">
        <is>
          <t>UPPSALA LÄN</t>
        </is>
      </c>
      <c r="E277" t="inlineStr">
        <is>
          <t>ÖSTHAMMAR</t>
        </is>
      </c>
      <c r="G277" t="n">
        <v>3.3</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44560.43136574074</v>
      </c>
      <c r="C278" s="1" t="n">
        <v>46117</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46117</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17867-2024</t>
        </is>
      </c>
      <c r="B280" s="1" t="n">
        <v>45419.44106481481</v>
      </c>
      <c r="C280" s="1" t="n">
        <v>46117</v>
      </c>
      <c r="D280" t="inlineStr">
        <is>
          <t>UPPSALA LÄN</t>
        </is>
      </c>
      <c r="E280" t="inlineStr">
        <is>
          <t>ÖSTHAMMAR</t>
        </is>
      </c>
      <c r="G280" t="n">
        <v>7.2</v>
      </c>
      <c r="H280" t="n">
        <v>0</v>
      </c>
      <c r="I280" t="n">
        <v>0</v>
      </c>
      <c r="J280" t="n">
        <v>0</v>
      </c>
      <c r="K280" t="n">
        <v>0</v>
      </c>
      <c r="L280" t="n">
        <v>0</v>
      </c>
      <c r="M280" t="n">
        <v>0</v>
      </c>
      <c r="N280" t="n">
        <v>0</v>
      </c>
      <c r="O280" t="n">
        <v>0</v>
      </c>
      <c r="P280" t="n">
        <v>0</v>
      </c>
      <c r="Q280" t="n">
        <v>0</v>
      </c>
      <c r="R280" s="2" t="inlineStr"/>
    </row>
    <row r="281" ht="15" customHeight="1">
      <c r="A281" t="inlineStr">
        <is>
          <t>A 4228-2023</t>
        </is>
      </c>
      <c r="B281" s="1" t="n">
        <v>44953.48179398148</v>
      </c>
      <c r="C281" s="1" t="n">
        <v>46117</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36301-2023</t>
        </is>
      </c>
      <c r="B282" s="1" t="n">
        <v>45152.37296296296</v>
      </c>
      <c r="C282" s="1" t="n">
        <v>46117</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65020-2021</t>
        </is>
      </c>
      <c r="B283" s="1" t="n">
        <v>44515</v>
      </c>
      <c r="C283" s="1" t="n">
        <v>46117</v>
      </c>
      <c r="D283" t="inlineStr">
        <is>
          <t>UPPSALA LÄN</t>
        </is>
      </c>
      <c r="E283" t="inlineStr">
        <is>
          <t>ÖSTHAMMAR</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25859-2024</t>
        </is>
      </c>
      <c r="B284" s="1" t="n">
        <v>45467</v>
      </c>
      <c r="C284" s="1" t="n">
        <v>46117</v>
      </c>
      <c r="D284" t="inlineStr">
        <is>
          <t>UPPSALA LÄN</t>
        </is>
      </c>
      <c r="E284" t="inlineStr">
        <is>
          <t>ÖSTHAMMAR</t>
        </is>
      </c>
      <c r="G284" t="n">
        <v>7.9</v>
      </c>
      <c r="H284" t="n">
        <v>0</v>
      </c>
      <c r="I284" t="n">
        <v>0</v>
      </c>
      <c r="J284" t="n">
        <v>0</v>
      </c>
      <c r="K284" t="n">
        <v>0</v>
      </c>
      <c r="L284" t="n">
        <v>0</v>
      </c>
      <c r="M284" t="n">
        <v>0</v>
      </c>
      <c r="N284" t="n">
        <v>0</v>
      </c>
      <c r="O284" t="n">
        <v>0</v>
      </c>
      <c r="P284" t="n">
        <v>0</v>
      </c>
      <c r="Q284" t="n">
        <v>0</v>
      </c>
      <c r="R284" s="2" t="inlineStr"/>
    </row>
    <row r="285" ht="15" customHeight="1">
      <c r="A285" t="inlineStr">
        <is>
          <t>A 7195-2023</t>
        </is>
      </c>
      <c r="B285" s="1" t="n">
        <v>44970</v>
      </c>
      <c r="C285" s="1" t="n">
        <v>46117</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10117-2025</t>
        </is>
      </c>
      <c r="B286" s="1" t="n">
        <v>45719.59866898148</v>
      </c>
      <c r="C286" s="1" t="n">
        <v>46117</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26774-2023</t>
        </is>
      </c>
      <c r="B287" s="1" t="n">
        <v>45093.47947916666</v>
      </c>
      <c r="C287" s="1" t="n">
        <v>46117</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19640-2025</t>
        </is>
      </c>
      <c r="B288" s="1" t="n">
        <v>45770.65739583333</v>
      </c>
      <c r="C288" s="1" t="n">
        <v>46117</v>
      </c>
      <c r="D288" t="inlineStr">
        <is>
          <t>UPPSALA LÄN</t>
        </is>
      </c>
      <c r="E288" t="inlineStr">
        <is>
          <t>ÖSTHAMMAR</t>
        </is>
      </c>
      <c r="F288" t="inlineStr">
        <is>
          <t>Övriga Aktiebolag</t>
        </is>
      </c>
      <c r="G288" t="n">
        <v>1.7</v>
      </c>
      <c r="H288" t="n">
        <v>0</v>
      </c>
      <c r="I288" t="n">
        <v>0</v>
      </c>
      <c r="J288" t="n">
        <v>0</v>
      </c>
      <c r="K288" t="n">
        <v>0</v>
      </c>
      <c r="L288" t="n">
        <v>0</v>
      </c>
      <c r="M288" t="n">
        <v>0</v>
      </c>
      <c r="N288" t="n">
        <v>0</v>
      </c>
      <c r="O288" t="n">
        <v>0</v>
      </c>
      <c r="P288" t="n">
        <v>0</v>
      </c>
      <c r="Q288" t="n">
        <v>0</v>
      </c>
      <c r="R288" s="2" t="inlineStr"/>
    </row>
    <row r="289" ht="15" customHeight="1">
      <c r="A289" t="inlineStr">
        <is>
          <t>A 17644-2025</t>
        </is>
      </c>
      <c r="B289" s="1" t="n">
        <v>45758.32645833334</v>
      </c>
      <c r="C289" s="1" t="n">
        <v>46117</v>
      </c>
      <c r="D289" t="inlineStr">
        <is>
          <t>UPPSALA LÄN</t>
        </is>
      </c>
      <c r="E289" t="inlineStr">
        <is>
          <t>ÖSTHAMMAR</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20324-2021</t>
        </is>
      </c>
      <c r="B290" s="1" t="n">
        <v>44308</v>
      </c>
      <c r="C290" s="1" t="n">
        <v>46117</v>
      </c>
      <c r="D290" t="inlineStr">
        <is>
          <t>UPPSALA LÄN</t>
        </is>
      </c>
      <c r="E290" t="inlineStr">
        <is>
          <t>ÖSTHAMMAR</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17652-2025</t>
        </is>
      </c>
      <c r="B291" s="1" t="n">
        <v>45758.33583333333</v>
      </c>
      <c r="C291" s="1" t="n">
        <v>46117</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6120-2024</t>
        </is>
      </c>
      <c r="B292" s="1" t="n">
        <v>45337.41784722222</v>
      </c>
      <c r="C292" s="1" t="n">
        <v>46117</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12528-2024</t>
        </is>
      </c>
      <c r="B293" s="1" t="n">
        <v>45379.61878472222</v>
      </c>
      <c r="C293" s="1" t="n">
        <v>46117</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9267-2024</t>
        </is>
      </c>
      <c r="B294" s="1" t="n">
        <v>45358</v>
      </c>
      <c r="C294" s="1" t="n">
        <v>46117</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33601-2024</t>
        </is>
      </c>
      <c r="B295" s="1" t="n">
        <v>45520</v>
      </c>
      <c r="C295" s="1" t="n">
        <v>46117</v>
      </c>
      <c r="D295" t="inlineStr">
        <is>
          <t>UPPSALA LÄN</t>
        </is>
      </c>
      <c r="E295" t="inlineStr">
        <is>
          <t>ÖSTHAMMAR</t>
        </is>
      </c>
      <c r="F295" t="inlineStr">
        <is>
          <t>Övriga Aktiebolag</t>
        </is>
      </c>
      <c r="G295" t="n">
        <v>2.5</v>
      </c>
      <c r="H295" t="n">
        <v>0</v>
      </c>
      <c r="I295" t="n">
        <v>0</v>
      </c>
      <c r="J295" t="n">
        <v>0</v>
      </c>
      <c r="K295" t="n">
        <v>0</v>
      </c>
      <c r="L295" t="n">
        <v>0</v>
      </c>
      <c r="M295" t="n">
        <v>0</v>
      </c>
      <c r="N295" t="n">
        <v>0</v>
      </c>
      <c r="O295" t="n">
        <v>0</v>
      </c>
      <c r="P295" t="n">
        <v>0</v>
      </c>
      <c r="Q295" t="n">
        <v>0</v>
      </c>
      <c r="R295" s="2" t="inlineStr"/>
    </row>
    <row r="296" ht="15" customHeight="1">
      <c r="A296" t="inlineStr">
        <is>
          <t>A 36092-2025</t>
        </is>
      </c>
      <c r="B296" s="1" t="n">
        <v>45866.48244212963</v>
      </c>
      <c r="C296" s="1" t="n">
        <v>46117</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17929-2025</t>
        </is>
      </c>
      <c r="B297" s="1" t="n">
        <v>45759.56462962963</v>
      </c>
      <c r="C297" s="1" t="n">
        <v>46117</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23197-2023</t>
        </is>
      </c>
      <c r="B298" s="1" t="n">
        <v>45075</v>
      </c>
      <c r="C298" s="1" t="n">
        <v>46117</v>
      </c>
      <c r="D298" t="inlineStr">
        <is>
          <t>UPPSALA LÄN</t>
        </is>
      </c>
      <c r="E298" t="inlineStr">
        <is>
          <t>ÖSTHAMMAR</t>
        </is>
      </c>
      <c r="G298" t="n">
        <v>0.5</v>
      </c>
      <c r="H298" t="n">
        <v>0</v>
      </c>
      <c r="I298" t="n">
        <v>0</v>
      </c>
      <c r="J298" t="n">
        <v>0</v>
      </c>
      <c r="K298" t="n">
        <v>0</v>
      </c>
      <c r="L298" t="n">
        <v>0</v>
      </c>
      <c r="M298" t="n">
        <v>0</v>
      </c>
      <c r="N298" t="n">
        <v>0</v>
      </c>
      <c r="O298" t="n">
        <v>0</v>
      </c>
      <c r="P298" t="n">
        <v>0</v>
      </c>
      <c r="Q298" t="n">
        <v>0</v>
      </c>
      <c r="R298" s="2" t="inlineStr"/>
    </row>
    <row r="299" ht="15" customHeight="1">
      <c r="A299" t="inlineStr">
        <is>
          <t>A 36451-2025</t>
        </is>
      </c>
      <c r="B299" s="1" t="n">
        <v>45869.4290625</v>
      </c>
      <c r="C299" s="1" t="n">
        <v>46117</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52478-2024</t>
        </is>
      </c>
      <c r="B300" s="1" t="n">
        <v>45609.55065972222</v>
      </c>
      <c r="C300" s="1" t="n">
        <v>46117</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13044-2022</t>
        </is>
      </c>
      <c r="B301" s="1" t="n">
        <v>44643</v>
      </c>
      <c r="C301" s="1" t="n">
        <v>46117</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2947-2025</t>
        </is>
      </c>
      <c r="B302" s="1" t="n">
        <v>45678</v>
      </c>
      <c r="C302" s="1" t="n">
        <v>46117</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17433-2025</t>
        </is>
      </c>
      <c r="B303" s="1" t="n">
        <v>45757.40733796296</v>
      </c>
      <c r="C303" s="1" t="n">
        <v>46117</v>
      </c>
      <c r="D303" t="inlineStr">
        <is>
          <t>UPPSALA LÄN</t>
        </is>
      </c>
      <c r="E303" t="inlineStr">
        <is>
          <t>ÖSTHAMMAR</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36643-2025</t>
        </is>
      </c>
      <c r="B304" s="1" t="n">
        <v>45872.47782407407</v>
      </c>
      <c r="C304" s="1" t="n">
        <v>46117</v>
      </c>
      <c r="D304" t="inlineStr">
        <is>
          <t>UPPSALA LÄN</t>
        </is>
      </c>
      <c r="E304" t="inlineStr">
        <is>
          <t>ÖSTHAMMAR</t>
        </is>
      </c>
      <c r="F304" t="inlineStr">
        <is>
          <t>Bergvik skog öst AB</t>
        </is>
      </c>
      <c r="G304" t="n">
        <v>15.1</v>
      </c>
      <c r="H304" t="n">
        <v>0</v>
      </c>
      <c r="I304" t="n">
        <v>0</v>
      </c>
      <c r="J304" t="n">
        <v>0</v>
      </c>
      <c r="K304" t="n">
        <v>0</v>
      </c>
      <c r="L304" t="n">
        <v>0</v>
      </c>
      <c r="M304" t="n">
        <v>0</v>
      </c>
      <c r="N304" t="n">
        <v>0</v>
      </c>
      <c r="O304" t="n">
        <v>0</v>
      </c>
      <c r="P304" t="n">
        <v>0</v>
      </c>
      <c r="Q304" t="n">
        <v>0</v>
      </c>
      <c r="R304" s="2" t="inlineStr"/>
    </row>
    <row r="305" ht="15" customHeight="1">
      <c r="A305" t="inlineStr">
        <is>
          <t>A 12756-2024</t>
        </is>
      </c>
      <c r="B305" s="1" t="n">
        <v>45384</v>
      </c>
      <c r="C305" s="1" t="n">
        <v>46117</v>
      </c>
      <c r="D305" t="inlineStr">
        <is>
          <t>UPPSALA LÄN</t>
        </is>
      </c>
      <c r="E305" t="inlineStr">
        <is>
          <t>ÖSTHAMMAR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46117</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8708-2022</t>
        </is>
      </c>
      <c r="B307" s="1" t="n">
        <v>44613.77238425926</v>
      </c>
      <c r="C307" s="1" t="n">
        <v>46117</v>
      </c>
      <c r="D307" t="inlineStr">
        <is>
          <t>UPPSALA LÄN</t>
        </is>
      </c>
      <c r="E307" t="inlineStr">
        <is>
          <t>ÖSTHAMMAR</t>
        </is>
      </c>
      <c r="G307" t="n">
        <v>4.3</v>
      </c>
      <c r="H307" t="n">
        <v>0</v>
      </c>
      <c r="I307" t="n">
        <v>0</v>
      </c>
      <c r="J307" t="n">
        <v>0</v>
      </c>
      <c r="K307" t="n">
        <v>0</v>
      </c>
      <c r="L307" t="n">
        <v>0</v>
      </c>
      <c r="M307" t="n">
        <v>0</v>
      </c>
      <c r="N307" t="n">
        <v>0</v>
      </c>
      <c r="O307" t="n">
        <v>0</v>
      </c>
      <c r="P307" t="n">
        <v>0</v>
      </c>
      <c r="Q307" t="n">
        <v>0</v>
      </c>
      <c r="R307" s="2" t="inlineStr"/>
    </row>
    <row r="308" ht="15" customHeight="1">
      <c r="A308" t="inlineStr">
        <is>
          <t>A 36645-2025</t>
        </is>
      </c>
      <c r="B308" s="1" t="n">
        <v>45872</v>
      </c>
      <c r="C308" s="1" t="n">
        <v>46117</v>
      </c>
      <c r="D308" t="inlineStr">
        <is>
          <t>UPPSALA LÄN</t>
        </is>
      </c>
      <c r="E308" t="inlineStr">
        <is>
          <t>ÖSTHAMMAR</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36644-2025</t>
        </is>
      </c>
      <c r="B309" s="1" t="n">
        <v>45872.48738425926</v>
      </c>
      <c r="C309" s="1" t="n">
        <v>46117</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36646-2025</t>
        </is>
      </c>
      <c r="B310" s="1" t="n">
        <v>45872</v>
      </c>
      <c r="C310" s="1" t="n">
        <v>46117</v>
      </c>
      <c r="D310" t="inlineStr">
        <is>
          <t>UPPSALA LÄN</t>
        </is>
      </c>
      <c r="E310" t="inlineStr">
        <is>
          <t>ÖSTHAMMAR</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40384-2025</t>
        </is>
      </c>
      <c r="B311" s="1" t="n">
        <v>45895.54085648148</v>
      </c>
      <c r="C311" s="1" t="n">
        <v>46117</v>
      </c>
      <c r="D311" t="inlineStr">
        <is>
          <t>UPPSALA LÄN</t>
        </is>
      </c>
      <c r="E311" t="inlineStr">
        <is>
          <t>ÖSTHAMMAR</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46117</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33760-2024</t>
        </is>
      </c>
      <c r="B313" s="1" t="n">
        <v>45520</v>
      </c>
      <c r="C313" s="1" t="n">
        <v>46117</v>
      </c>
      <c r="D313" t="inlineStr">
        <is>
          <t>UPPSALA LÄN</t>
        </is>
      </c>
      <c r="E313" t="inlineStr">
        <is>
          <t>ÖSTHAMMAR</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46117</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46117</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40460-2025</t>
        </is>
      </c>
      <c r="B316" s="1" t="n">
        <v>45895.65013888889</v>
      </c>
      <c r="C316" s="1" t="n">
        <v>46117</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8592-2022</t>
        </is>
      </c>
      <c r="B317" s="1" t="n">
        <v>44613</v>
      </c>
      <c r="C317" s="1" t="n">
        <v>46117</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40462-2025</t>
        </is>
      </c>
      <c r="B318" s="1" t="n">
        <v>45895.65179398148</v>
      </c>
      <c r="C318" s="1" t="n">
        <v>46117</v>
      </c>
      <c r="D318" t="inlineStr">
        <is>
          <t>UPPSALA LÄN</t>
        </is>
      </c>
      <c r="E318" t="inlineStr">
        <is>
          <t>ÖSTHAMMAR</t>
        </is>
      </c>
      <c r="G318" t="n">
        <v>4.5</v>
      </c>
      <c r="H318" t="n">
        <v>0</v>
      </c>
      <c r="I318" t="n">
        <v>0</v>
      </c>
      <c r="J318" t="n">
        <v>0</v>
      </c>
      <c r="K318" t="n">
        <v>0</v>
      </c>
      <c r="L318" t="n">
        <v>0</v>
      </c>
      <c r="M318" t="n">
        <v>0</v>
      </c>
      <c r="N318" t="n">
        <v>0</v>
      </c>
      <c r="O318" t="n">
        <v>0</v>
      </c>
      <c r="P318" t="n">
        <v>0</v>
      </c>
      <c r="Q318" t="n">
        <v>0</v>
      </c>
      <c r="R318" s="2" t="inlineStr"/>
    </row>
    <row r="319" ht="15" customHeight="1">
      <c r="A319" t="inlineStr">
        <is>
          <t>A 52629-2023</t>
        </is>
      </c>
      <c r="B319" s="1" t="n">
        <v>45225</v>
      </c>
      <c r="C319" s="1" t="n">
        <v>46117</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35918-2023</t>
        </is>
      </c>
      <c r="B320" s="1" t="n">
        <v>45148.64976851852</v>
      </c>
      <c r="C320" s="1" t="n">
        <v>46117</v>
      </c>
      <c r="D320" t="inlineStr">
        <is>
          <t>UPPSALA LÄN</t>
        </is>
      </c>
      <c r="E320" t="inlineStr">
        <is>
          <t>ÖSTHAMMAR</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40016-2025</t>
        </is>
      </c>
      <c r="B321" s="1" t="n">
        <v>45894.34747685185</v>
      </c>
      <c r="C321" s="1" t="n">
        <v>46117</v>
      </c>
      <c r="D321" t="inlineStr">
        <is>
          <t>UPPSALA LÄN</t>
        </is>
      </c>
      <c r="E321" t="inlineStr">
        <is>
          <t>ÖSTHAMMAR</t>
        </is>
      </c>
      <c r="F321" t="inlineStr">
        <is>
          <t>Kyrkan</t>
        </is>
      </c>
      <c r="G321" t="n">
        <v>6.6</v>
      </c>
      <c r="H321" t="n">
        <v>0</v>
      </c>
      <c r="I321" t="n">
        <v>0</v>
      </c>
      <c r="J321" t="n">
        <v>0</v>
      </c>
      <c r="K321" t="n">
        <v>0</v>
      </c>
      <c r="L321" t="n">
        <v>0</v>
      </c>
      <c r="M321" t="n">
        <v>0</v>
      </c>
      <c r="N321" t="n">
        <v>0</v>
      </c>
      <c r="O321" t="n">
        <v>0</v>
      </c>
      <c r="P321" t="n">
        <v>0</v>
      </c>
      <c r="Q321" t="n">
        <v>0</v>
      </c>
      <c r="R321" s="2" t="inlineStr"/>
    </row>
    <row r="322" ht="15" customHeight="1">
      <c r="A322" t="inlineStr">
        <is>
          <t>A 40044-2025</t>
        </is>
      </c>
      <c r="B322" s="1" t="n">
        <v>45894.40133101852</v>
      </c>
      <c r="C322" s="1" t="n">
        <v>46117</v>
      </c>
      <c r="D322" t="inlineStr">
        <is>
          <t>UPPSALA LÄN</t>
        </is>
      </c>
      <c r="E322" t="inlineStr">
        <is>
          <t>ÖSTHAMMAR</t>
        </is>
      </c>
      <c r="F322" t="inlineStr">
        <is>
          <t>Kyrkan</t>
        </is>
      </c>
      <c r="G322" t="n">
        <v>8.9</v>
      </c>
      <c r="H322" t="n">
        <v>0</v>
      </c>
      <c r="I322" t="n">
        <v>0</v>
      </c>
      <c r="J322" t="n">
        <v>0</v>
      </c>
      <c r="K322" t="n">
        <v>0</v>
      </c>
      <c r="L322" t="n">
        <v>0</v>
      </c>
      <c r="M322" t="n">
        <v>0</v>
      </c>
      <c r="N322" t="n">
        <v>0</v>
      </c>
      <c r="O322" t="n">
        <v>0</v>
      </c>
      <c r="P322" t="n">
        <v>0</v>
      </c>
      <c r="Q322" t="n">
        <v>0</v>
      </c>
      <c r="R322" s="2" t="inlineStr"/>
    </row>
    <row r="323" ht="15" customHeight="1">
      <c r="A323" t="inlineStr">
        <is>
          <t>A 4292-2025</t>
        </is>
      </c>
      <c r="B323" s="1" t="n">
        <v>45685.66459490741</v>
      </c>
      <c r="C323" s="1" t="n">
        <v>46117</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4356-2025</t>
        </is>
      </c>
      <c r="B324" s="1" t="n">
        <v>45686</v>
      </c>
      <c r="C324" s="1" t="n">
        <v>46117</v>
      </c>
      <c r="D324" t="inlineStr">
        <is>
          <t>UPPSALA LÄN</t>
        </is>
      </c>
      <c r="E324" t="inlineStr">
        <is>
          <t>ÖSTHAMMAR</t>
        </is>
      </c>
      <c r="F324" t="inlineStr">
        <is>
          <t>Övriga Aktiebolag</t>
        </is>
      </c>
      <c r="G324" t="n">
        <v>24.6</v>
      </c>
      <c r="H324" t="n">
        <v>0</v>
      </c>
      <c r="I324" t="n">
        <v>0</v>
      </c>
      <c r="J324" t="n">
        <v>0</v>
      </c>
      <c r="K324" t="n">
        <v>0</v>
      </c>
      <c r="L324" t="n">
        <v>0</v>
      </c>
      <c r="M324" t="n">
        <v>0</v>
      </c>
      <c r="N324" t="n">
        <v>0</v>
      </c>
      <c r="O324" t="n">
        <v>0</v>
      </c>
      <c r="P324" t="n">
        <v>0</v>
      </c>
      <c r="Q324" t="n">
        <v>0</v>
      </c>
      <c r="R324" s="2" t="inlineStr"/>
    </row>
    <row r="325" ht="15" customHeight="1">
      <c r="A325" t="inlineStr">
        <is>
          <t>A 40416-2025</t>
        </is>
      </c>
      <c r="B325" s="1" t="n">
        <v>45895.57736111111</v>
      </c>
      <c r="C325" s="1" t="n">
        <v>46117</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6661-2024</t>
        </is>
      </c>
      <c r="B326" s="1" t="n">
        <v>45341.70582175926</v>
      </c>
      <c r="C326" s="1" t="n">
        <v>46117</v>
      </c>
      <c r="D326" t="inlineStr">
        <is>
          <t>UPPSALA LÄN</t>
        </is>
      </c>
      <c r="E326" t="inlineStr">
        <is>
          <t>ÖSTHAMMAR</t>
        </is>
      </c>
      <c r="G326" t="n">
        <v>0.2</v>
      </c>
      <c r="H326" t="n">
        <v>0</v>
      </c>
      <c r="I326" t="n">
        <v>0</v>
      </c>
      <c r="J326" t="n">
        <v>0</v>
      </c>
      <c r="K326" t="n">
        <v>0</v>
      </c>
      <c r="L326" t="n">
        <v>0</v>
      </c>
      <c r="M326" t="n">
        <v>0</v>
      </c>
      <c r="N326" t="n">
        <v>0</v>
      </c>
      <c r="O326" t="n">
        <v>0</v>
      </c>
      <c r="P326" t="n">
        <v>0</v>
      </c>
      <c r="Q326" t="n">
        <v>0</v>
      </c>
      <c r="R326" s="2" t="inlineStr"/>
    </row>
    <row r="327" ht="15" customHeight="1">
      <c r="A327" t="inlineStr">
        <is>
          <t>A 17646-2025</t>
        </is>
      </c>
      <c r="B327" s="1" t="n">
        <v>45758.32872685185</v>
      </c>
      <c r="C327" s="1" t="n">
        <v>46117</v>
      </c>
      <c r="D327" t="inlineStr">
        <is>
          <t>UPPSALA LÄN</t>
        </is>
      </c>
      <c r="E327" t="inlineStr">
        <is>
          <t>ÖSTHAMMAR</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17648-2025</t>
        </is>
      </c>
      <c r="B328" s="1" t="n">
        <v>45758.33064814815</v>
      </c>
      <c r="C328" s="1" t="n">
        <v>46117</v>
      </c>
      <c r="D328" t="inlineStr">
        <is>
          <t>UPPSALA LÄN</t>
        </is>
      </c>
      <c r="E328" t="inlineStr">
        <is>
          <t>ÖSTHAMMAR</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56903-2023</t>
        </is>
      </c>
      <c r="B329" s="1" t="n">
        <v>45244.56943287037</v>
      </c>
      <c r="C329" s="1" t="n">
        <v>46117</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37656-2025</t>
        </is>
      </c>
      <c r="B330" s="1" t="n">
        <v>45880</v>
      </c>
      <c r="C330" s="1" t="n">
        <v>46117</v>
      </c>
      <c r="D330" t="inlineStr">
        <is>
          <t>UPPSALA LÄN</t>
        </is>
      </c>
      <c r="E330" t="inlineStr">
        <is>
          <t>ÖSTHAMMAR</t>
        </is>
      </c>
      <c r="G330" t="n">
        <v>4.3</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46117</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28432-2023</t>
        </is>
      </c>
      <c r="B332" s="1" t="n">
        <v>45102.59896990741</v>
      </c>
      <c r="C332" s="1" t="n">
        <v>46117</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40570-2025</t>
        </is>
      </c>
      <c r="B333" s="1" t="n">
        <v>45896.47878472223</v>
      </c>
      <c r="C333" s="1" t="n">
        <v>46117</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56969-2022</t>
        </is>
      </c>
      <c r="B334" s="1" t="n">
        <v>44894.68043981482</v>
      </c>
      <c r="C334" s="1" t="n">
        <v>46117</v>
      </c>
      <c r="D334" t="inlineStr">
        <is>
          <t>UPPSALA LÄN</t>
        </is>
      </c>
      <c r="E334" t="inlineStr">
        <is>
          <t>ÖSTHAMMAR</t>
        </is>
      </c>
      <c r="G334" t="n">
        <v>5.5</v>
      </c>
      <c r="H334" t="n">
        <v>0</v>
      </c>
      <c r="I334" t="n">
        <v>0</v>
      </c>
      <c r="J334" t="n">
        <v>0</v>
      </c>
      <c r="K334" t="n">
        <v>0</v>
      </c>
      <c r="L334" t="n">
        <v>0</v>
      </c>
      <c r="M334" t="n">
        <v>0</v>
      </c>
      <c r="N334" t="n">
        <v>0</v>
      </c>
      <c r="O334" t="n">
        <v>0</v>
      </c>
      <c r="P334" t="n">
        <v>0</v>
      </c>
      <c r="Q334" t="n">
        <v>0</v>
      </c>
      <c r="R334" s="2" t="inlineStr"/>
    </row>
    <row r="335" ht="15" customHeight="1">
      <c r="A335" t="inlineStr">
        <is>
          <t>A 37764-2025</t>
        </is>
      </c>
      <c r="B335" s="1" t="n">
        <v>45880.70917824074</v>
      </c>
      <c r="C335" s="1" t="n">
        <v>46117</v>
      </c>
      <c r="D335" t="inlineStr">
        <is>
          <t>UPPSALA LÄN</t>
        </is>
      </c>
      <c r="E335" t="inlineStr">
        <is>
          <t>ÖSTHAMMAR</t>
        </is>
      </c>
      <c r="G335" t="n">
        <v>4.6</v>
      </c>
      <c r="H335" t="n">
        <v>0</v>
      </c>
      <c r="I335" t="n">
        <v>0</v>
      </c>
      <c r="J335" t="n">
        <v>0</v>
      </c>
      <c r="K335" t="n">
        <v>0</v>
      </c>
      <c r="L335" t="n">
        <v>0</v>
      </c>
      <c r="M335" t="n">
        <v>0</v>
      </c>
      <c r="N335" t="n">
        <v>0</v>
      </c>
      <c r="O335" t="n">
        <v>0</v>
      </c>
      <c r="P335" t="n">
        <v>0</v>
      </c>
      <c r="Q335" t="n">
        <v>0</v>
      </c>
      <c r="R335" s="2" t="inlineStr"/>
    </row>
    <row r="336" ht="15" customHeight="1">
      <c r="A336" t="inlineStr">
        <is>
          <t>A 37770-2025</t>
        </is>
      </c>
      <c r="B336" s="1" t="n">
        <v>45880.7505787037</v>
      </c>
      <c r="C336" s="1" t="n">
        <v>46117</v>
      </c>
      <c r="D336" t="inlineStr">
        <is>
          <t>UPPSALA LÄN</t>
        </is>
      </c>
      <c r="E336" t="inlineStr">
        <is>
          <t>ÖSTHAMMAR</t>
        </is>
      </c>
      <c r="G336" t="n">
        <v>2.9</v>
      </c>
      <c r="H336" t="n">
        <v>0</v>
      </c>
      <c r="I336" t="n">
        <v>0</v>
      </c>
      <c r="J336" t="n">
        <v>0</v>
      </c>
      <c r="K336" t="n">
        <v>0</v>
      </c>
      <c r="L336" t="n">
        <v>0</v>
      </c>
      <c r="M336" t="n">
        <v>0</v>
      </c>
      <c r="N336" t="n">
        <v>0</v>
      </c>
      <c r="O336" t="n">
        <v>0</v>
      </c>
      <c r="P336" t="n">
        <v>0</v>
      </c>
      <c r="Q336" t="n">
        <v>0</v>
      </c>
      <c r="R336" s="2" t="inlineStr"/>
    </row>
    <row r="337" ht="15" customHeight="1">
      <c r="A337" t="inlineStr">
        <is>
          <t>A 5189-2025</t>
        </is>
      </c>
      <c r="B337" s="1" t="n">
        <v>45691</v>
      </c>
      <c r="C337" s="1" t="n">
        <v>46117</v>
      </c>
      <c r="D337" t="inlineStr">
        <is>
          <t>UPPSALA LÄN</t>
        </is>
      </c>
      <c r="E337" t="inlineStr">
        <is>
          <t>ÖSTHAMMAR</t>
        </is>
      </c>
      <c r="F337" t="inlineStr">
        <is>
          <t>Bergvik skog öst AB</t>
        </is>
      </c>
      <c r="G337" t="n">
        <v>24.4</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46117</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44152-2024</t>
        </is>
      </c>
      <c r="B339" s="1" t="n">
        <v>45572</v>
      </c>
      <c r="C339" s="1" t="n">
        <v>46117</v>
      </c>
      <c r="D339" t="inlineStr">
        <is>
          <t>UPPSALA LÄN</t>
        </is>
      </c>
      <c r="E339" t="inlineStr">
        <is>
          <t>ÖSTHAMMAR</t>
        </is>
      </c>
      <c r="G339" t="n">
        <v>1.6</v>
      </c>
      <c r="H339" t="n">
        <v>0</v>
      </c>
      <c r="I339" t="n">
        <v>0</v>
      </c>
      <c r="J339" t="n">
        <v>0</v>
      </c>
      <c r="K339" t="n">
        <v>0</v>
      </c>
      <c r="L339" t="n">
        <v>0</v>
      </c>
      <c r="M339" t="n">
        <v>0</v>
      </c>
      <c r="N339" t="n">
        <v>0</v>
      </c>
      <c r="O339" t="n">
        <v>0</v>
      </c>
      <c r="P339" t="n">
        <v>0</v>
      </c>
      <c r="Q339" t="n">
        <v>0</v>
      </c>
      <c r="R339" s="2" t="inlineStr"/>
    </row>
    <row r="340" ht="15" customHeight="1">
      <c r="A340" t="inlineStr">
        <is>
          <t>A 7118-2023</t>
        </is>
      </c>
      <c r="B340" s="1" t="n">
        <v>44970.39591435185</v>
      </c>
      <c r="C340" s="1" t="n">
        <v>46117</v>
      </c>
      <c r="D340" t="inlineStr">
        <is>
          <t>UPPSALA LÄN</t>
        </is>
      </c>
      <c r="E340" t="inlineStr">
        <is>
          <t>ÖSTHAMMAR</t>
        </is>
      </c>
      <c r="G340" t="n">
        <v>2.1</v>
      </c>
      <c r="H340" t="n">
        <v>0</v>
      </c>
      <c r="I340" t="n">
        <v>0</v>
      </c>
      <c r="J340" t="n">
        <v>0</v>
      </c>
      <c r="K340" t="n">
        <v>0</v>
      </c>
      <c r="L340" t="n">
        <v>0</v>
      </c>
      <c r="M340" t="n">
        <v>0</v>
      </c>
      <c r="N340" t="n">
        <v>0</v>
      </c>
      <c r="O340" t="n">
        <v>0</v>
      </c>
      <c r="P340" t="n">
        <v>0</v>
      </c>
      <c r="Q340" t="n">
        <v>0</v>
      </c>
      <c r="R340" s="2" t="inlineStr"/>
    </row>
    <row r="341" ht="15" customHeight="1">
      <c r="A341" t="inlineStr">
        <is>
          <t>A 41519-2025</t>
        </is>
      </c>
      <c r="B341" s="1" t="n">
        <v>45901.54751157408</v>
      </c>
      <c r="C341" s="1" t="n">
        <v>46117</v>
      </c>
      <c r="D341" t="inlineStr">
        <is>
          <t>UPPSALA LÄN</t>
        </is>
      </c>
      <c r="E341" t="inlineStr">
        <is>
          <t>ÖSTHAMMAR</t>
        </is>
      </c>
      <c r="F341" t="inlineStr">
        <is>
          <t>Övriga Aktiebolag</t>
        </is>
      </c>
      <c r="G341" t="n">
        <v>17.1</v>
      </c>
      <c r="H341" t="n">
        <v>0</v>
      </c>
      <c r="I341" t="n">
        <v>0</v>
      </c>
      <c r="J341" t="n">
        <v>0</v>
      </c>
      <c r="K341" t="n">
        <v>0</v>
      </c>
      <c r="L341" t="n">
        <v>0</v>
      </c>
      <c r="M341" t="n">
        <v>0</v>
      </c>
      <c r="N341" t="n">
        <v>0</v>
      </c>
      <c r="O341" t="n">
        <v>0</v>
      </c>
      <c r="P341" t="n">
        <v>0</v>
      </c>
      <c r="Q341" t="n">
        <v>0</v>
      </c>
      <c r="R341" s="2" t="inlineStr"/>
    </row>
    <row r="342" ht="15" customHeight="1">
      <c r="A342" t="inlineStr">
        <is>
          <t>A 48856-2024</t>
        </is>
      </c>
      <c r="B342" s="1" t="n">
        <v>45593</v>
      </c>
      <c r="C342" s="1" t="n">
        <v>46117</v>
      </c>
      <c r="D342" t="inlineStr">
        <is>
          <t>UPPSALA LÄN</t>
        </is>
      </c>
      <c r="E342" t="inlineStr">
        <is>
          <t>ÖSTHAMMAR</t>
        </is>
      </c>
      <c r="G342" t="n">
        <v>1.5</v>
      </c>
      <c r="H342" t="n">
        <v>0</v>
      </c>
      <c r="I342" t="n">
        <v>0</v>
      </c>
      <c r="J342" t="n">
        <v>0</v>
      </c>
      <c r="K342" t="n">
        <v>0</v>
      </c>
      <c r="L342" t="n">
        <v>0</v>
      </c>
      <c r="M342" t="n">
        <v>0</v>
      </c>
      <c r="N342" t="n">
        <v>0</v>
      </c>
      <c r="O342" t="n">
        <v>0</v>
      </c>
      <c r="P342" t="n">
        <v>0</v>
      </c>
      <c r="Q342" t="n">
        <v>0</v>
      </c>
      <c r="R342" s="2" t="inlineStr"/>
    </row>
    <row r="343" ht="15" customHeight="1">
      <c r="A343" t="inlineStr">
        <is>
          <t>A 47390-2023</t>
        </is>
      </c>
      <c r="B343" s="1" t="n">
        <v>45202</v>
      </c>
      <c r="C343" s="1" t="n">
        <v>46117</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8908-2025</t>
        </is>
      </c>
      <c r="B344" s="1" t="n">
        <v>45713.4196875</v>
      </c>
      <c r="C344" s="1" t="n">
        <v>46117</v>
      </c>
      <c r="D344" t="inlineStr">
        <is>
          <t>UPPSALA LÄN</t>
        </is>
      </c>
      <c r="E344" t="inlineStr">
        <is>
          <t>ÖSTHAMMAR</t>
        </is>
      </c>
      <c r="F344" t="inlineStr">
        <is>
          <t>Bergvik skog öst AB</t>
        </is>
      </c>
      <c r="G344" t="n">
        <v>3.3</v>
      </c>
      <c r="H344" t="n">
        <v>0</v>
      </c>
      <c r="I344" t="n">
        <v>0</v>
      </c>
      <c r="J344" t="n">
        <v>0</v>
      </c>
      <c r="K344" t="n">
        <v>0</v>
      </c>
      <c r="L344" t="n">
        <v>0</v>
      </c>
      <c r="M344" t="n">
        <v>0</v>
      </c>
      <c r="N344" t="n">
        <v>0</v>
      </c>
      <c r="O344" t="n">
        <v>0</v>
      </c>
      <c r="P344" t="n">
        <v>0</v>
      </c>
      <c r="Q344" t="n">
        <v>0</v>
      </c>
      <c r="R344" s="2" t="inlineStr"/>
    </row>
    <row r="345" ht="15" customHeight="1">
      <c r="A345" t="inlineStr">
        <is>
          <t>A 5877-2023</t>
        </is>
      </c>
      <c r="B345" s="1" t="n">
        <v>44963.62001157407</v>
      </c>
      <c r="C345" s="1" t="n">
        <v>46117</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52389-2022</t>
        </is>
      </c>
      <c r="B346" s="1" t="n">
        <v>44874.38325231482</v>
      </c>
      <c r="C346" s="1" t="n">
        <v>46117</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25033-2021</t>
        </is>
      </c>
      <c r="B347" s="1" t="n">
        <v>44341.590625</v>
      </c>
      <c r="C347" s="1" t="n">
        <v>46117</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24401-2025</t>
        </is>
      </c>
      <c r="B348" s="1" t="n">
        <v>45797.64908564815</v>
      </c>
      <c r="C348" s="1" t="n">
        <v>46117</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24408-2025</t>
        </is>
      </c>
      <c r="B349" s="1" t="n">
        <v>45797.65774305556</v>
      </c>
      <c r="C349" s="1" t="n">
        <v>46117</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57453-2022</t>
        </is>
      </c>
      <c r="B350" s="1" t="n">
        <v>44896.56266203704</v>
      </c>
      <c r="C350" s="1" t="n">
        <v>46117</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57462-2022</t>
        </is>
      </c>
      <c r="B351" s="1" t="n">
        <v>44896.57527777777</v>
      </c>
      <c r="C351" s="1" t="n">
        <v>46117</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6039-2025</t>
        </is>
      </c>
      <c r="B352" s="1" t="n">
        <v>45695</v>
      </c>
      <c r="C352" s="1" t="n">
        <v>46117</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38886-2025</t>
        </is>
      </c>
      <c r="B353" s="1" t="n">
        <v>45887.58370370371</v>
      </c>
      <c r="C353" s="1" t="n">
        <v>46117</v>
      </c>
      <c r="D353" t="inlineStr">
        <is>
          <t>UPPSALA LÄN</t>
        </is>
      </c>
      <c r="E353" t="inlineStr">
        <is>
          <t>ÖSTHAMMAR</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24389-2025</t>
        </is>
      </c>
      <c r="B354" s="1" t="n">
        <v>45797.63553240741</v>
      </c>
      <c r="C354" s="1" t="n">
        <v>46117</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27384-2025</t>
        </is>
      </c>
      <c r="B355" s="1" t="n">
        <v>45812.6672337963</v>
      </c>
      <c r="C355" s="1" t="n">
        <v>46117</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46117</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28099-2025</t>
        </is>
      </c>
      <c r="B357" s="1" t="n">
        <v>45817.82967592592</v>
      </c>
      <c r="C357" s="1" t="n">
        <v>46117</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5344-2025</t>
        </is>
      </c>
      <c r="B358" s="1" t="n">
        <v>45692</v>
      </c>
      <c r="C358" s="1" t="n">
        <v>46117</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43011-2025</t>
        </is>
      </c>
      <c r="B359" s="1" t="n">
        <v>45909.48989583334</v>
      </c>
      <c r="C359" s="1" t="n">
        <v>46117</v>
      </c>
      <c r="D359" t="inlineStr">
        <is>
          <t>UPPSALA LÄN</t>
        </is>
      </c>
      <c r="E359" t="inlineStr">
        <is>
          <t>ÖSTHAMMAR</t>
        </is>
      </c>
      <c r="F359" t="inlineStr">
        <is>
          <t>Övriga Aktiebolag</t>
        </is>
      </c>
      <c r="G359" t="n">
        <v>4.7</v>
      </c>
      <c r="H359" t="n">
        <v>0</v>
      </c>
      <c r="I359" t="n">
        <v>0</v>
      </c>
      <c r="J359" t="n">
        <v>0</v>
      </c>
      <c r="K359" t="n">
        <v>0</v>
      </c>
      <c r="L359" t="n">
        <v>0</v>
      </c>
      <c r="M359" t="n">
        <v>0</v>
      </c>
      <c r="N359" t="n">
        <v>0</v>
      </c>
      <c r="O359" t="n">
        <v>0</v>
      </c>
      <c r="P359" t="n">
        <v>0</v>
      </c>
      <c r="Q359" t="n">
        <v>0</v>
      </c>
      <c r="R359" s="2" t="inlineStr"/>
    </row>
    <row r="360" ht="15" customHeight="1">
      <c r="A360" t="inlineStr">
        <is>
          <t>A 43915-2023</t>
        </is>
      </c>
      <c r="B360" s="1" t="n">
        <v>45187.71274305556</v>
      </c>
      <c r="C360" s="1" t="n">
        <v>46117</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5076-2025</t>
        </is>
      </c>
      <c r="B361" s="1" t="n">
        <v>45691</v>
      </c>
      <c r="C361" s="1" t="n">
        <v>46117</v>
      </c>
      <c r="D361" t="inlineStr">
        <is>
          <t>UPPSALA LÄN</t>
        </is>
      </c>
      <c r="E361" t="inlineStr">
        <is>
          <t>ÖSTHAMMAR</t>
        </is>
      </c>
      <c r="G361" t="n">
        <v>5.8</v>
      </c>
      <c r="H361" t="n">
        <v>0</v>
      </c>
      <c r="I361" t="n">
        <v>0</v>
      </c>
      <c r="J361" t="n">
        <v>0</v>
      </c>
      <c r="K361" t="n">
        <v>0</v>
      </c>
      <c r="L361" t="n">
        <v>0</v>
      </c>
      <c r="M361" t="n">
        <v>0</v>
      </c>
      <c r="N361" t="n">
        <v>0</v>
      </c>
      <c r="O361" t="n">
        <v>0</v>
      </c>
      <c r="P361" t="n">
        <v>0</v>
      </c>
      <c r="Q361" t="n">
        <v>0</v>
      </c>
      <c r="R361" s="2" t="inlineStr"/>
    </row>
    <row r="362" ht="15" customHeight="1">
      <c r="A362" t="inlineStr">
        <is>
          <t>A 42940-2025</t>
        </is>
      </c>
      <c r="B362" s="1" t="n">
        <v>45909.33440972222</v>
      </c>
      <c r="C362" s="1" t="n">
        <v>46117</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19501-2025</t>
        </is>
      </c>
      <c r="B363" s="1" t="n">
        <v>45770.4015625</v>
      </c>
      <c r="C363" s="1" t="n">
        <v>46117</v>
      </c>
      <c r="D363" t="inlineStr">
        <is>
          <t>UPPSALA LÄN</t>
        </is>
      </c>
      <c r="E363" t="inlineStr">
        <is>
          <t>ÖSTHAMMAR</t>
        </is>
      </c>
      <c r="F363" t="inlineStr">
        <is>
          <t>Övriga Aktiebolag</t>
        </is>
      </c>
      <c r="G363" t="n">
        <v>17.3</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46117</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43604-2025</t>
        </is>
      </c>
      <c r="B365" s="1" t="n">
        <v>45911.66671296296</v>
      </c>
      <c r="C365" s="1" t="n">
        <v>46117</v>
      </c>
      <c r="D365" t="inlineStr">
        <is>
          <t>UPPSALA LÄN</t>
        </is>
      </c>
      <c r="E365" t="inlineStr">
        <is>
          <t>ÖSTHAMMAR</t>
        </is>
      </c>
      <c r="G365" t="n">
        <v>8.5</v>
      </c>
      <c r="H365" t="n">
        <v>0</v>
      </c>
      <c r="I365" t="n">
        <v>0</v>
      </c>
      <c r="J365" t="n">
        <v>0</v>
      </c>
      <c r="K365" t="n">
        <v>0</v>
      </c>
      <c r="L365" t="n">
        <v>0</v>
      </c>
      <c r="M365" t="n">
        <v>0</v>
      </c>
      <c r="N365" t="n">
        <v>0</v>
      </c>
      <c r="O365" t="n">
        <v>0</v>
      </c>
      <c r="P365" t="n">
        <v>0</v>
      </c>
      <c r="Q365" t="n">
        <v>0</v>
      </c>
      <c r="R365" s="2" t="inlineStr"/>
    </row>
    <row r="366" ht="15" customHeight="1">
      <c r="A366" t="inlineStr">
        <is>
          <t>A 3119-2025</t>
        </is>
      </c>
      <c r="B366" s="1" t="n">
        <v>45678</v>
      </c>
      <c r="C366" s="1" t="n">
        <v>46117</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43622-2025</t>
        </is>
      </c>
      <c r="B367" s="1" t="n">
        <v>45911.68295138889</v>
      </c>
      <c r="C367" s="1" t="n">
        <v>46117</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28421-2023</t>
        </is>
      </c>
      <c r="B368" s="1" t="n">
        <v>45102</v>
      </c>
      <c r="C368" s="1" t="n">
        <v>46117</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17931-2025</t>
        </is>
      </c>
      <c r="B369" s="1" t="n">
        <v>45759.56894675926</v>
      </c>
      <c r="C369" s="1" t="n">
        <v>46117</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17938-2025</t>
        </is>
      </c>
      <c r="B370" s="1" t="n">
        <v>45760.55626157407</v>
      </c>
      <c r="C370" s="1" t="n">
        <v>46117</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8763-2025</t>
        </is>
      </c>
      <c r="B371" s="1" t="n">
        <v>45712.57872685185</v>
      </c>
      <c r="C371" s="1" t="n">
        <v>46117</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54368-2023</t>
        </is>
      </c>
      <c r="B372" s="1" t="n">
        <v>45233.33221064815</v>
      </c>
      <c r="C372" s="1" t="n">
        <v>46117</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32815-2024</t>
        </is>
      </c>
      <c r="B373" s="1" t="n">
        <v>45516.57682870371</v>
      </c>
      <c r="C373" s="1" t="n">
        <v>46117</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45063.47773148148</v>
      </c>
      <c r="C374" s="1" t="n">
        <v>46117</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5429-2023</t>
        </is>
      </c>
      <c r="B375" s="1" t="n">
        <v>44959.83037037037</v>
      </c>
      <c r="C375" s="1" t="n">
        <v>46117</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11008-2023</t>
        </is>
      </c>
      <c r="B376" s="1" t="n">
        <v>44991</v>
      </c>
      <c r="C376" s="1" t="n">
        <v>46117</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46117</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46117</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46117</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46117</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3514-2023</t>
        </is>
      </c>
      <c r="B381" s="1" t="n">
        <v>44950</v>
      </c>
      <c r="C381" s="1" t="n">
        <v>46117</v>
      </c>
      <c r="D381" t="inlineStr">
        <is>
          <t>UPPSALA LÄN</t>
        </is>
      </c>
      <c r="E381" t="inlineStr">
        <is>
          <t>ÖSTHAMMAR</t>
        </is>
      </c>
      <c r="F381" t="inlineStr">
        <is>
          <t>Övriga Aktiebolag</t>
        </is>
      </c>
      <c r="G381" t="n">
        <v>1.9</v>
      </c>
      <c r="H381" t="n">
        <v>0</v>
      </c>
      <c r="I381" t="n">
        <v>0</v>
      </c>
      <c r="J381" t="n">
        <v>0</v>
      </c>
      <c r="K381" t="n">
        <v>0</v>
      </c>
      <c r="L381" t="n">
        <v>0</v>
      </c>
      <c r="M381" t="n">
        <v>0</v>
      </c>
      <c r="N381" t="n">
        <v>0</v>
      </c>
      <c r="O381" t="n">
        <v>0</v>
      </c>
      <c r="P381" t="n">
        <v>0</v>
      </c>
      <c r="Q381" t="n">
        <v>0</v>
      </c>
      <c r="R381" s="2" t="inlineStr"/>
    </row>
    <row r="382" ht="15" customHeight="1">
      <c r="A382" t="inlineStr">
        <is>
          <t>A 45102-2025</t>
        </is>
      </c>
      <c r="B382" s="1" t="n">
        <v>45919.39731481481</v>
      </c>
      <c r="C382" s="1" t="n">
        <v>46117</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46117</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45105-2025</t>
        </is>
      </c>
      <c r="B384" s="1" t="n">
        <v>45919.40252314815</v>
      </c>
      <c r="C384" s="1" t="n">
        <v>46117</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24128-2023</t>
        </is>
      </c>
      <c r="B385" s="1" t="n">
        <v>45079.50289351852</v>
      </c>
      <c r="C385" s="1" t="n">
        <v>46117</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33552-2024</t>
        </is>
      </c>
      <c r="B386" s="1" t="n">
        <v>45519</v>
      </c>
      <c r="C386" s="1" t="n">
        <v>46117</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33553-2024</t>
        </is>
      </c>
      <c r="B387" s="1" t="n">
        <v>45519</v>
      </c>
      <c r="C387" s="1" t="n">
        <v>46117</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46117</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46117</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24181-2022</t>
        </is>
      </c>
      <c r="B390" s="1" t="n">
        <v>44725</v>
      </c>
      <c r="C390" s="1" t="n">
        <v>46117</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19947-2024</t>
        </is>
      </c>
      <c r="B391" s="1" t="n">
        <v>45433</v>
      </c>
      <c r="C391" s="1" t="n">
        <v>46117</v>
      </c>
      <c r="D391" t="inlineStr">
        <is>
          <t>UPPSALA LÄN</t>
        </is>
      </c>
      <c r="E391" t="inlineStr">
        <is>
          <t>ÖSTHAMMAR</t>
        </is>
      </c>
      <c r="G391" t="n">
        <v>0.3</v>
      </c>
      <c r="H391" t="n">
        <v>0</v>
      </c>
      <c r="I391" t="n">
        <v>0</v>
      </c>
      <c r="J391" t="n">
        <v>0</v>
      </c>
      <c r="K391" t="n">
        <v>0</v>
      </c>
      <c r="L391" t="n">
        <v>0</v>
      </c>
      <c r="M391" t="n">
        <v>0</v>
      </c>
      <c r="N391" t="n">
        <v>0</v>
      </c>
      <c r="O391" t="n">
        <v>0</v>
      </c>
      <c r="P391" t="n">
        <v>0</v>
      </c>
      <c r="Q391" t="n">
        <v>0</v>
      </c>
      <c r="R391" s="2" t="inlineStr"/>
    </row>
    <row r="392" ht="15" customHeight="1">
      <c r="A392" t="inlineStr">
        <is>
          <t>A 45715-2025</t>
        </is>
      </c>
      <c r="B392" s="1" t="n">
        <v>45923.44094907407</v>
      </c>
      <c r="C392" s="1" t="n">
        <v>46117</v>
      </c>
      <c r="D392" t="inlineStr">
        <is>
          <t>UPPSALA LÄN</t>
        </is>
      </c>
      <c r="E392" t="inlineStr">
        <is>
          <t>ÖSTHAMMAR</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16240-2025</t>
        </is>
      </c>
      <c r="B393" s="1" t="n">
        <v>45746</v>
      </c>
      <c r="C393" s="1" t="n">
        <v>46117</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57-2023</t>
        </is>
      </c>
      <c r="B394" s="1" t="n">
        <v>44928.40917824074</v>
      </c>
      <c r="C394" s="1" t="n">
        <v>46117</v>
      </c>
      <c r="D394" t="inlineStr">
        <is>
          <t>UPPSALA LÄN</t>
        </is>
      </c>
      <c r="E394" t="inlineStr">
        <is>
          <t>ÖSTHAMMAR</t>
        </is>
      </c>
      <c r="G394" t="n">
        <v>1.1</v>
      </c>
      <c r="H394" t="n">
        <v>0</v>
      </c>
      <c r="I394" t="n">
        <v>0</v>
      </c>
      <c r="J394" t="n">
        <v>0</v>
      </c>
      <c r="K394" t="n">
        <v>0</v>
      </c>
      <c r="L394" t="n">
        <v>0</v>
      </c>
      <c r="M394" t="n">
        <v>0</v>
      </c>
      <c r="N394" t="n">
        <v>0</v>
      </c>
      <c r="O394" t="n">
        <v>0</v>
      </c>
      <c r="P394" t="n">
        <v>0</v>
      </c>
      <c r="Q394" t="n">
        <v>0</v>
      </c>
      <c r="R394" s="2" t="inlineStr"/>
    </row>
    <row r="395" ht="15" customHeight="1">
      <c r="A395" t="inlineStr">
        <is>
          <t>A 59-2023</t>
        </is>
      </c>
      <c r="B395" s="1" t="n">
        <v>44928.41822916667</v>
      </c>
      <c r="C395" s="1" t="n">
        <v>46117</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55079-2024</t>
        </is>
      </c>
      <c r="B396" s="1" t="n">
        <v>45621.42747685185</v>
      </c>
      <c r="C396" s="1" t="n">
        <v>46117</v>
      </c>
      <c r="D396" t="inlineStr">
        <is>
          <t>UPPSALA LÄN</t>
        </is>
      </c>
      <c r="E396" t="inlineStr">
        <is>
          <t>ÖSTHAMMAR</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45993-2025</t>
        </is>
      </c>
      <c r="B397" s="1" t="n">
        <v>45924.39706018518</v>
      </c>
      <c r="C397" s="1" t="n">
        <v>46117</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33680-2024</t>
        </is>
      </c>
      <c r="B398" s="1" t="n">
        <v>45520.50712962963</v>
      </c>
      <c r="C398" s="1" t="n">
        <v>46117</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46089-2025</t>
        </is>
      </c>
      <c r="B399" s="1" t="n">
        <v>45924.52100694444</v>
      </c>
      <c r="C399" s="1" t="n">
        <v>46117</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46088-2025</t>
        </is>
      </c>
      <c r="B400" s="1" t="n">
        <v>45924.52010416667</v>
      </c>
      <c r="C400" s="1" t="n">
        <v>46117</v>
      </c>
      <c r="D400" t="inlineStr">
        <is>
          <t>UPPSALA LÄN</t>
        </is>
      </c>
      <c r="E400" t="inlineStr">
        <is>
          <t>ÖSTHAMMAR</t>
        </is>
      </c>
      <c r="F400" t="inlineStr">
        <is>
          <t>Bergvik skog öst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33550-2024</t>
        </is>
      </c>
      <c r="B401" s="1" t="n">
        <v>45519.81043981481</v>
      </c>
      <c r="C401" s="1" t="n">
        <v>46117</v>
      </c>
      <c r="D401" t="inlineStr">
        <is>
          <t>UPPSALA LÄN</t>
        </is>
      </c>
      <c r="E401" t="inlineStr">
        <is>
          <t>ÖSTHAMMAR</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46826-2025</t>
        </is>
      </c>
      <c r="B402" s="1" t="n">
        <v>45927.00606481481</v>
      </c>
      <c r="C402" s="1" t="n">
        <v>46117</v>
      </c>
      <c r="D402" t="inlineStr">
        <is>
          <t>UPPSALA LÄN</t>
        </is>
      </c>
      <c r="E402" t="inlineStr">
        <is>
          <t>ÖSTHAMMAR</t>
        </is>
      </c>
      <c r="G402" t="n">
        <v>9</v>
      </c>
      <c r="H402" t="n">
        <v>0</v>
      </c>
      <c r="I402" t="n">
        <v>0</v>
      </c>
      <c r="J402" t="n">
        <v>0</v>
      </c>
      <c r="K402" t="n">
        <v>0</v>
      </c>
      <c r="L402" t="n">
        <v>0</v>
      </c>
      <c r="M402" t="n">
        <v>0</v>
      </c>
      <c r="N402" t="n">
        <v>0</v>
      </c>
      <c r="O402" t="n">
        <v>0</v>
      </c>
      <c r="P402" t="n">
        <v>0</v>
      </c>
      <c r="Q402" t="n">
        <v>0</v>
      </c>
      <c r="R402" s="2" t="inlineStr"/>
    </row>
    <row r="403" ht="15" customHeight="1">
      <c r="A403" t="inlineStr">
        <is>
          <t>A 30811-2023</t>
        </is>
      </c>
      <c r="B403" s="1" t="n">
        <v>45112.86422453704</v>
      </c>
      <c r="C403" s="1" t="n">
        <v>46117</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55646-2021</t>
        </is>
      </c>
      <c r="B404" s="1" t="n">
        <v>44476.3632175926</v>
      </c>
      <c r="C404" s="1" t="n">
        <v>46117</v>
      </c>
      <c r="D404" t="inlineStr">
        <is>
          <t>UPPSALA LÄN</t>
        </is>
      </c>
      <c r="E404" t="inlineStr">
        <is>
          <t>ÖSTHAMMAR</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61443-2024</t>
        </is>
      </c>
      <c r="B405" s="1" t="n">
        <v>45646.47936342593</v>
      </c>
      <c r="C405" s="1" t="n">
        <v>46117</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46117</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13279-2022</t>
        </is>
      </c>
      <c r="B407" s="1" t="n">
        <v>44644</v>
      </c>
      <c r="C407" s="1" t="n">
        <v>46117</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47336-2025</t>
        </is>
      </c>
      <c r="B408" s="1" t="n">
        <v>45930.56592592593</v>
      </c>
      <c r="C408" s="1" t="n">
        <v>46117</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47337-2025</t>
        </is>
      </c>
      <c r="B409" s="1" t="n">
        <v>45930.56607638889</v>
      </c>
      <c r="C409" s="1" t="n">
        <v>46117</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6046-2025</t>
        </is>
      </c>
      <c r="B410" s="1" t="n">
        <v>45695</v>
      </c>
      <c r="C410" s="1" t="n">
        <v>46117</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c r="U410">
        <f>HYPERLINK("https://klasma.github.io/Logging_0382/knärot/A 6046-2025 karta knärot.png", "A 6046-2025")</f>
        <v/>
      </c>
      <c r="V410">
        <f>HYPERLINK("https://klasma.github.io/Logging_0382/klagomål/A 6046-2025 FSC-klagomål.docx", "A 6046-2025")</f>
        <v/>
      </c>
      <c r="W410">
        <f>HYPERLINK("https://klasma.github.io/Logging_0382/klagomålsmail/A 6046-2025 FSC-klagomål mail.docx", "A 6046-2025")</f>
        <v/>
      </c>
      <c r="X410">
        <f>HYPERLINK("https://klasma.github.io/Logging_0382/tillsyn/A 6046-2025 tillsynsbegäran.docx", "A 6046-2025")</f>
        <v/>
      </c>
      <c r="Y410">
        <f>HYPERLINK("https://klasma.github.io/Logging_0382/tillsynsmail/A 6046-2025 tillsynsbegäran mail.docx", "A 6046-2025")</f>
        <v/>
      </c>
    </row>
    <row r="411" ht="15" customHeight="1">
      <c r="A411" t="inlineStr">
        <is>
          <t>A 45102-2024</t>
        </is>
      </c>
      <c r="B411" s="1" t="n">
        <v>45575.58836805556</v>
      </c>
      <c r="C411" s="1" t="n">
        <v>46117</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18731-2022</t>
        </is>
      </c>
      <c r="B412" s="1" t="n">
        <v>44687.78673611111</v>
      </c>
      <c r="C412" s="1" t="n">
        <v>46117</v>
      </c>
      <c r="D412" t="inlineStr">
        <is>
          <t>UPPSALA LÄN</t>
        </is>
      </c>
      <c r="E412" t="inlineStr">
        <is>
          <t>ÖSTHAMMAR</t>
        </is>
      </c>
      <c r="G412" t="n">
        <v>4.9</v>
      </c>
      <c r="H412" t="n">
        <v>0</v>
      </c>
      <c r="I412" t="n">
        <v>0</v>
      </c>
      <c r="J412" t="n">
        <v>0</v>
      </c>
      <c r="K412" t="n">
        <v>0</v>
      </c>
      <c r="L412" t="n">
        <v>0</v>
      </c>
      <c r="M412" t="n">
        <v>0</v>
      </c>
      <c r="N412" t="n">
        <v>0</v>
      </c>
      <c r="O412" t="n">
        <v>0</v>
      </c>
      <c r="P412" t="n">
        <v>0</v>
      </c>
      <c r="Q412" t="n">
        <v>0</v>
      </c>
      <c r="R412" s="2" t="inlineStr"/>
    </row>
    <row r="413" ht="15" customHeight="1">
      <c r="A413" t="inlineStr">
        <is>
          <t>A 11385-2024</t>
        </is>
      </c>
      <c r="B413" s="1" t="n">
        <v>45372</v>
      </c>
      <c r="C413" s="1" t="n">
        <v>46117</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9642-2024</t>
        </is>
      </c>
      <c r="B414" s="1" t="n">
        <v>45362.36296296296</v>
      </c>
      <c r="C414" s="1" t="n">
        <v>46117</v>
      </c>
      <c r="D414" t="inlineStr">
        <is>
          <t>UPPSALA LÄN</t>
        </is>
      </c>
      <c r="E414" t="inlineStr">
        <is>
          <t>ÖSTHAMMAR</t>
        </is>
      </c>
      <c r="G414" t="n">
        <v>3.1</v>
      </c>
      <c r="H414" t="n">
        <v>0</v>
      </c>
      <c r="I414" t="n">
        <v>0</v>
      </c>
      <c r="J414" t="n">
        <v>0</v>
      </c>
      <c r="K414" t="n">
        <v>0</v>
      </c>
      <c r="L414" t="n">
        <v>0</v>
      </c>
      <c r="M414" t="n">
        <v>0</v>
      </c>
      <c r="N414" t="n">
        <v>0</v>
      </c>
      <c r="O414" t="n">
        <v>0</v>
      </c>
      <c r="P414" t="n">
        <v>0</v>
      </c>
      <c r="Q414" t="n">
        <v>0</v>
      </c>
      <c r="R414" s="2" t="inlineStr"/>
    </row>
    <row r="415" ht="15" customHeight="1">
      <c r="A415" t="inlineStr">
        <is>
          <t>A 47614-2025</t>
        </is>
      </c>
      <c r="B415" s="1" t="n">
        <v>45931.47211805556</v>
      </c>
      <c r="C415" s="1" t="n">
        <v>46117</v>
      </c>
      <c r="D415" t="inlineStr">
        <is>
          <t>UPPSALA LÄN</t>
        </is>
      </c>
      <c r="E415" t="inlineStr">
        <is>
          <t>ÖSTHAMMAR</t>
        </is>
      </c>
      <c r="G415" t="n">
        <v>22.8</v>
      </c>
      <c r="H415" t="n">
        <v>0</v>
      </c>
      <c r="I415" t="n">
        <v>0</v>
      </c>
      <c r="J415" t="n">
        <v>0</v>
      </c>
      <c r="K415" t="n">
        <v>0</v>
      </c>
      <c r="L415" t="n">
        <v>0</v>
      </c>
      <c r="M415" t="n">
        <v>0</v>
      </c>
      <c r="N415" t="n">
        <v>0</v>
      </c>
      <c r="O415" t="n">
        <v>0</v>
      </c>
      <c r="P415" t="n">
        <v>0</v>
      </c>
      <c r="Q415" t="n">
        <v>0</v>
      </c>
      <c r="R415" s="2" t="inlineStr"/>
    </row>
    <row r="416" ht="15" customHeight="1">
      <c r="A416" t="inlineStr">
        <is>
          <t>A 47615-2025</t>
        </is>
      </c>
      <c r="B416" s="1" t="n">
        <v>45931.47542824074</v>
      </c>
      <c r="C416" s="1" t="n">
        <v>46117</v>
      </c>
      <c r="D416" t="inlineStr">
        <is>
          <t>UPPSALA LÄN</t>
        </is>
      </c>
      <c r="E416" t="inlineStr">
        <is>
          <t>ÖSTHAMMAR</t>
        </is>
      </c>
      <c r="G416" t="n">
        <v>7</v>
      </c>
      <c r="H416" t="n">
        <v>0</v>
      </c>
      <c r="I416" t="n">
        <v>0</v>
      </c>
      <c r="J416" t="n">
        <v>0</v>
      </c>
      <c r="K416" t="n">
        <v>0</v>
      </c>
      <c r="L416" t="n">
        <v>0</v>
      </c>
      <c r="M416" t="n">
        <v>0</v>
      </c>
      <c r="N416" t="n">
        <v>0</v>
      </c>
      <c r="O416" t="n">
        <v>0</v>
      </c>
      <c r="P416" t="n">
        <v>0</v>
      </c>
      <c r="Q416" t="n">
        <v>0</v>
      </c>
      <c r="R416" s="2" t="inlineStr"/>
    </row>
    <row r="417" ht="15" customHeight="1">
      <c r="A417" t="inlineStr">
        <is>
          <t>A 18401-2025</t>
        </is>
      </c>
      <c r="B417" s="1" t="n">
        <v>45762.5966087963</v>
      </c>
      <c r="C417" s="1" t="n">
        <v>46117</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28429-2023</t>
        </is>
      </c>
      <c r="B418" s="1" t="n">
        <v>45102.58728009259</v>
      </c>
      <c r="C418" s="1" t="n">
        <v>46117</v>
      </c>
      <c r="D418" t="inlineStr">
        <is>
          <t>UPPSALA LÄN</t>
        </is>
      </c>
      <c r="E418" t="inlineStr">
        <is>
          <t>ÖSTHAMMAR</t>
        </is>
      </c>
      <c r="F418" t="inlineStr">
        <is>
          <t>Bergvik skog öst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48654-2025</t>
        </is>
      </c>
      <c r="B419" s="1" t="n">
        <v>45936.55887731481</v>
      </c>
      <c r="C419" s="1" t="n">
        <v>46117</v>
      </c>
      <c r="D419" t="inlineStr">
        <is>
          <t>UPPSALA LÄN</t>
        </is>
      </c>
      <c r="E419" t="inlineStr">
        <is>
          <t>ÖSTHAMMAR</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48977-2025</t>
        </is>
      </c>
      <c r="B420" s="1" t="n">
        <v>45936</v>
      </c>
      <c r="C420" s="1" t="n">
        <v>46117</v>
      </c>
      <c r="D420" t="inlineStr">
        <is>
          <t>UPPSALA LÄN</t>
        </is>
      </c>
      <c r="E420" t="inlineStr">
        <is>
          <t>ÖSTHAMMAR</t>
        </is>
      </c>
      <c r="G420" t="n">
        <v>21.1</v>
      </c>
      <c r="H420" t="n">
        <v>0</v>
      </c>
      <c r="I420" t="n">
        <v>0</v>
      </c>
      <c r="J420" t="n">
        <v>0</v>
      </c>
      <c r="K420" t="n">
        <v>0</v>
      </c>
      <c r="L420" t="n">
        <v>0</v>
      </c>
      <c r="M420" t="n">
        <v>0</v>
      </c>
      <c r="N420" t="n">
        <v>0</v>
      </c>
      <c r="O420" t="n">
        <v>0</v>
      </c>
      <c r="P420" t="n">
        <v>0</v>
      </c>
      <c r="Q420" t="n">
        <v>0</v>
      </c>
      <c r="R420" s="2" t="inlineStr"/>
    </row>
    <row r="421" ht="15" customHeight="1">
      <c r="A421" t="inlineStr">
        <is>
          <t>A 58878-2022</t>
        </is>
      </c>
      <c r="B421" s="1" t="n">
        <v>44903</v>
      </c>
      <c r="C421" s="1" t="n">
        <v>46117</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30755-2024</t>
        </is>
      </c>
      <c r="B422" s="1" t="n">
        <v>45496</v>
      </c>
      <c r="C422" s="1" t="n">
        <v>46117</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46117</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53733-2023</t>
        </is>
      </c>
      <c r="B424" s="1" t="n">
        <v>45230.76862268519</v>
      </c>
      <c r="C424" s="1" t="n">
        <v>46117</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41308-2023</t>
        </is>
      </c>
      <c r="B425" s="1" t="n">
        <v>45174.62788194444</v>
      </c>
      <c r="C425" s="1" t="n">
        <v>46117</v>
      </c>
      <c r="D425" t="inlineStr">
        <is>
          <t>UPPSALA LÄN</t>
        </is>
      </c>
      <c r="E425" t="inlineStr">
        <is>
          <t>ÖSTHAMMAR</t>
        </is>
      </c>
      <c r="F425" t="inlineStr">
        <is>
          <t>Övriga Aktiebolag</t>
        </is>
      </c>
      <c r="G425" t="n">
        <v>2.8</v>
      </c>
      <c r="H425" t="n">
        <v>0</v>
      </c>
      <c r="I425" t="n">
        <v>0</v>
      </c>
      <c r="J425" t="n">
        <v>0</v>
      </c>
      <c r="K425" t="n">
        <v>0</v>
      </c>
      <c r="L425" t="n">
        <v>0</v>
      </c>
      <c r="M425" t="n">
        <v>0</v>
      </c>
      <c r="N425" t="n">
        <v>0</v>
      </c>
      <c r="O425" t="n">
        <v>0</v>
      </c>
      <c r="P425" t="n">
        <v>0</v>
      </c>
      <c r="Q425" t="n">
        <v>0</v>
      </c>
      <c r="R425" s="2" t="inlineStr"/>
    </row>
    <row r="426" ht="15" customHeight="1">
      <c r="A426" t="inlineStr">
        <is>
          <t>A 17969-2023</t>
        </is>
      </c>
      <c r="B426" s="1" t="n">
        <v>45040.47081018519</v>
      </c>
      <c r="C426" s="1" t="n">
        <v>46117</v>
      </c>
      <c r="D426" t="inlineStr">
        <is>
          <t>UPPSALA LÄN</t>
        </is>
      </c>
      <c r="E426" t="inlineStr">
        <is>
          <t>ÖSTHAMMAR</t>
        </is>
      </c>
      <c r="G426" t="n">
        <v>5.4</v>
      </c>
      <c r="H426" t="n">
        <v>0</v>
      </c>
      <c r="I426" t="n">
        <v>0</v>
      </c>
      <c r="J426" t="n">
        <v>0</v>
      </c>
      <c r="K426" t="n">
        <v>0</v>
      </c>
      <c r="L426" t="n">
        <v>0</v>
      </c>
      <c r="M426" t="n">
        <v>0</v>
      </c>
      <c r="N426" t="n">
        <v>0</v>
      </c>
      <c r="O426" t="n">
        <v>0</v>
      </c>
      <c r="P426" t="n">
        <v>0</v>
      </c>
      <c r="Q426" t="n">
        <v>0</v>
      </c>
      <c r="R426" s="2" t="inlineStr"/>
    </row>
    <row r="427" ht="15" customHeight="1">
      <c r="A427" t="inlineStr">
        <is>
          <t>A 48857-2025</t>
        </is>
      </c>
      <c r="B427" s="1" t="n">
        <v>45937.43621527778</v>
      </c>
      <c r="C427" s="1" t="n">
        <v>46117</v>
      </c>
      <c r="D427" t="inlineStr">
        <is>
          <t>UPPSALA LÄN</t>
        </is>
      </c>
      <c r="E427" t="inlineStr">
        <is>
          <t>ÖSTHAMMAR</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25969-2023</t>
        </is>
      </c>
      <c r="B428" s="1" t="n">
        <v>45090</v>
      </c>
      <c r="C428" s="1" t="n">
        <v>46117</v>
      </c>
      <c r="D428" t="inlineStr">
        <is>
          <t>UPPSALA LÄN</t>
        </is>
      </c>
      <c r="E428" t="inlineStr">
        <is>
          <t>ÖSTHAMMAR</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46117</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55837-2023</t>
        </is>
      </c>
      <c r="B430" s="1" t="n">
        <v>45239</v>
      </c>
      <c r="C430" s="1" t="n">
        <v>46117</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48854-2025</t>
        </is>
      </c>
      <c r="B431" s="1" t="n">
        <v>45937.43274305556</v>
      </c>
      <c r="C431" s="1" t="n">
        <v>46117</v>
      </c>
      <c r="D431" t="inlineStr">
        <is>
          <t>UPPSALA LÄN</t>
        </is>
      </c>
      <c r="E431" t="inlineStr">
        <is>
          <t>ÖSTHAMMAR</t>
        </is>
      </c>
      <c r="F431" t="inlineStr">
        <is>
          <t>Övriga Aktiebolag</t>
        </is>
      </c>
      <c r="G431" t="n">
        <v>18.9</v>
      </c>
      <c r="H431" t="n">
        <v>0</v>
      </c>
      <c r="I431" t="n">
        <v>0</v>
      </c>
      <c r="J431" t="n">
        <v>0</v>
      </c>
      <c r="K431" t="n">
        <v>0</v>
      </c>
      <c r="L431" t="n">
        <v>0</v>
      </c>
      <c r="M431" t="n">
        <v>0</v>
      </c>
      <c r="N431" t="n">
        <v>0</v>
      </c>
      <c r="O431" t="n">
        <v>0</v>
      </c>
      <c r="P431" t="n">
        <v>0</v>
      </c>
      <c r="Q431" t="n">
        <v>0</v>
      </c>
      <c r="R431" s="2" t="inlineStr"/>
    </row>
    <row r="432" ht="15" customHeight="1">
      <c r="A432" t="inlineStr">
        <is>
          <t>A 18838-2023</t>
        </is>
      </c>
      <c r="B432" s="1" t="n">
        <v>45044</v>
      </c>
      <c r="C432" s="1" t="n">
        <v>46117</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46117</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49620-2025</t>
        </is>
      </c>
      <c r="B434" s="1" t="n">
        <v>45939.58928240741</v>
      </c>
      <c r="C434" s="1" t="n">
        <v>46117</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47020-2025</t>
        </is>
      </c>
      <c r="B435" s="1" t="n">
        <v>45929.5775</v>
      </c>
      <c r="C435" s="1" t="n">
        <v>46117</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17085-2025</t>
        </is>
      </c>
      <c r="B436" s="1" t="n">
        <v>45755.64612268518</v>
      </c>
      <c r="C436" s="1" t="n">
        <v>46117</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29231-2024</t>
        </is>
      </c>
      <c r="B437" s="1" t="n">
        <v>45482</v>
      </c>
      <c r="C437" s="1" t="n">
        <v>46117</v>
      </c>
      <c r="D437" t="inlineStr">
        <is>
          <t>UPPSALA LÄN</t>
        </is>
      </c>
      <c r="E437" t="inlineStr">
        <is>
          <t>ÖSTHAMMAR</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46117</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26328-2025</t>
        </is>
      </c>
      <c r="B439" s="1" t="n">
        <v>45805.67305555556</v>
      </c>
      <c r="C439" s="1" t="n">
        <v>46117</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44184-2024</t>
        </is>
      </c>
      <c r="B440" s="1" t="n">
        <v>45572</v>
      </c>
      <c r="C440" s="1" t="n">
        <v>46117</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9264-2024</t>
        </is>
      </c>
      <c r="B441" s="1" t="n">
        <v>45358</v>
      </c>
      <c r="C441" s="1" t="n">
        <v>46117</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33784-2024</t>
        </is>
      </c>
      <c r="B442" s="1" t="n">
        <v>45520</v>
      </c>
      <c r="C442" s="1" t="n">
        <v>46117</v>
      </c>
      <c r="D442" t="inlineStr">
        <is>
          <t>UPPSALA LÄN</t>
        </is>
      </c>
      <c r="E442" t="inlineStr">
        <is>
          <t>ÖSTHAMMAR</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46117</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37865-2023</t>
        </is>
      </c>
      <c r="B444" s="1" t="n">
        <v>45160</v>
      </c>
      <c r="C444" s="1" t="n">
        <v>46117</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34607-2023</t>
        </is>
      </c>
      <c r="B445" s="1" t="n">
        <v>45138</v>
      </c>
      <c r="C445" s="1" t="n">
        <v>46117</v>
      </c>
      <c r="D445" t="inlineStr">
        <is>
          <t>UPPSALA LÄN</t>
        </is>
      </c>
      <c r="E445" t="inlineStr">
        <is>
          <t>ÖSTHAMMAR</t>
        </is>
      </c>
      <c r="G445" t="n">
        <v>4.7</v>
      </c>
      <c r="H445" t="n">
        <v>0</v>
      </c>
      <c r="I445" t="n">
        <v>0</v>
      </c>
      <c r="J445" t="n">
        <v>0</v>
      </c>
      <c r="K445" t="n">
        <v>0</v>
      </c>
      <c r="L445" t="n">
        <v>0</v>
      </c>
      <c r="M445" t="n">
        <v>0</v>
      </c>
      <c r="N445" t="n">
        <v>0</v>
      </c>
      <c r="O445" t="n">
        <v>0</v>
      </c>
      <c r="P445" t="n">
        <v>0</v>
      </c>
      <c r="Q445" t="n">
        <v>0</v>
      </c>
      <c r="R445" s="2" t="inlineStr"/>
    </row>
    <row r="446" ht="15" customHeight="1">
      <c r="A446" t="inlineStr">
        <is>
          <t>A 51156-2025</t>
        </is>
      </c>
      <c r="B446" s="1" t="n">
        <v>45947.57833333333</v>
      </c>
      <c r="C446" s="1" t="n">
        <v>46117</v>
      </c>
      <c r="D446" t="inlineStr">
        <is>
          <t>UPPSALA LÄN</t>
        </is>
      </c>
      <c r="E446" t="inlineStr">
        <is>
          <t>ÖSTHAMMAR</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5215-2025</t>
        </is>
      </c>
      <c r="B447" s="1" t="n">
        <v>45691</v>
      </c>
      <c r="C447" s="1" t="n">
        <v>46117</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2733-2023</t>
        </is>
      </c>
      <c r="B448" s="1" t="n">
        <v>44943</v>
      </c>
      <c r="C448" s="1" t="n">
        <v>46117</v>
      </c>
      <c r="D448" t="inlineStr">
        <is>
          <t>UPPSALA LÄN</t>
        </is>
      </c>
      <c r="E448" t="inlineStr">
        <is>
          <t>ÖSTHAMMAR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8769-2025</t>
        </is>
      </c>
      <c r="B449" s="1" t="n">
        <v>45712.59412037037</v>
      </c>
      <c r="C449" s="1" t="n">
        <v>46117</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34971-2022</t>
        </is>
      </c>
      <c r="B450" s="1" t="n">
        <v>44796.66613425926</v>
      </c>
      <c r="C450" s="1" t="n">
        <v>46117</v>
      </c>
      <c r="D450" t="inlineStr">
        <is>
          <t>UPPSALA LÄN</t>
        </is>
      </c>
      <c r="E450" t="inlineStr">
        <is>
          <t>ÖSTHAMMAR</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3725-2022</t>
        </is>
      </c>
      <c r="B451" s="1" t="n">
        <v>44586</v>
      </c>
      <c r="C451" s="1" t="n">
        <v>46117</v>
      </c>
      <c r="D451" t="inlineStr">
        <is>
          <t>UPPSALA LÄN</t>
        </is>
      </c>
      <c r="E451" t="inlineStr">
        <is>
          <t>ÖSTHAMMAR</t>
        </is>
      </c>
      <c r="G451" t="n">
        <v>2</v>
      </c>
      <c r="H451" t="n">
        <v>0</v>
      </c>
      <c r="I451" t="n">
        <v>0</v>
      </c>
      <c r="J451" t="n">
        <v>0</v>
      </c>
      <c r="K451" t="n">
        <v>0</v>
      </c>
      <c r="L451" t="n">
        <v>0</v>
      </c>
      <c r="M451" t="n">
        <v>0</v>
      </c>
      <c r="N451" t="n">
        <v>0</v>
      </c>
      <c r="O451" t="n">
        <v>0</v>
      </c>
      <c r="P451" t="n">
        <v>0</v>
      </c>
      <c r="Q451" t="n">
        <v>0</v>
      </c>
      <c r="R451" s="2" t="inlineStr"/>
    </row>
    <row r="452" ht="15" customHeight="1">
      <c r="A452" t="inlineStr">
        <is>
          <t>A 12812-2024</t>
        </is>
      </c>
      <c r="B452" s="1" t="n">
        <v>45384.65465277778</v>
      </c>
      <c r="C452" s="1" t="n">
        <v>46117</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51379-2025</t>
        </is>
      </c>
      <c r="B453" s="1" t="n">
        <v>45950.45677083333</v>
      </c>
      <c r="C453" s="1" t="n">
        <v>46117</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51255-2025</t>
        </is>
      </c>
      <c r="B454" s="1" t="n">
        <v>45949.00917824074</v>
      </c>
      <c r="C454" s="1" t="n">
        <v>46117</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51708-2025</t>
        </is>
      </c>
      <c r="B455" s="1" t="n">
        <v>45951.56679398148</v>
      </c>
      <c r="C455" s="1" t="n">
        <v>46117</v>
      </c>
      <c r="D455" t="inlineStr">
        <is>
          <t>UPPSALA LÄN</t>
        </is>
      </c>
      <c r="E455" t="inlineStr">
        <is>
          <t>ÖSTHAMMAR</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51266-2025</t>
        </is>
      </c>
      <c r="B456" s="1" t="n">
        <v>45949.71568287037</v>
      </c>
      <c r="C456" s="1" t="n">
        <v>46117</v>
      </c>
      <c r="D456" t="inlineStr">
        <is>
          <t>UPPSALA LÄN</t>
        </is>
      </c>
      <c r="E456" t="inlineStr">
        <is>
          <t>ÖSTHAMMAR</t>
        </is>
      </c>
      <c r="F456" t="inlineStr">
        <is>
          <t>Bergvik skog öst AB</t>
        </is>
      </c>
      <c r="G456" t="n">
        <v>4.7</v>
      </c>
      <c r="H456" t="n">
        <v>0</v>
      </c>
      <c r="I456" t="n">
        <v>0</v>
      </c>
      <c r="J456" t="n">
        <v>0</v>
      </c>
      <c r="K456" t="n">
        <v>0</v>
      </c>
      <c r="L456" t="n">
        <v>0</v>
      </c>
      <c r="M456" t="n">
        <v>0</v>
      </c>
      <c r="N456" t="n">
        <v>0</v>
      </c>
      <c r="O456" t="n">
        <v>0</v>
      </c>
      <c r="P456" t="n">
        <v>0</v>
      </c>
      <c r="Q456" t="n">
        <v>0</v>
      </c>
      <c r="R456" s="2" t="inlineStr"/>
    </row>
    <row r="457" ht="15" customHeight="1">
      <c r="A457" t="inlineStr">
        <is>
          <t>A 28170-2023</t>
        </is>
      </c>
      <c r="B457" s="1" t="n">
        <v>45093</v>
      </c>
      <c r="C457" s="1" t="n">
        <v>46117</v>
      </c>
      <c r="D457" t="inlineStr">
        <is>
          <t>UPPSALA LÄN</t>
        </is>
      </c>
      <c r="E457" t="inlineStr">
        <is>
          <t>ÖSTHAMMAR</t>
        </is>
      </c>
      <c r="G457" t="n">
        <v>7.2</v>
      </c>
      <c r="H457" t="n">
        <v>0</v>
      </c>
      <c r="I457" t="n">
        <v>0</v>
      </c>
      <c r="J457" t="n">
        <v>0</v>
      </c>
      <c r="K457" t="n">
        <v>0</v>
      </c>
      <c r="L457" t="n">
        <v>0</v>
      </c>
      <c r="M457" t="n">
        <v>0</v>
      </c>
      <c r="N457" t="n">
        <v>0</v>
      </c>
      <c r="O457" t="n">
        <v>0</v>
      </c>
      <c r="P457" t="n">
        <v>0</v>
      </c>
      <c r="Q457" t="n">
        <v>0</v>
      </c>
      <c r="R457" s="2" t="inlineStr"/>
    </row>
    <row r="458" ht="15" customHeight="1">
      <c r="A458" t="inlineStr">
        <is>
          <t>A 7876-2023</t>
        </is>
      </c>
      <c r="B458" s="1" t="n">
        <v>44973.57263888889</v>
      </c>
      <c r="C458" s="1" t="n">
        <v>46117</v>
      </c>
      <c r="D458" t="inlineStr">
        <is>
          <t>UPPSALA LÄN</t>
        </is>
      </c>
      <c r="E458" t="inlineStr">
        <is>
          <t>ÖSTHAMMAR</t>
        </is>
      </c>
      <c r="G458" t="n">
        <v>0.9</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46117</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51265-2025</t>
        </is>
      </c>
      <c r="B460" s="1" t="n">
        <v>45949.70971064815</v>
      </c>
      <c r="C460" s="1" t="n">
        <v>46117</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52332-2025</t>
        </is>
      </c>
      <c r="B461" s="1" t="n">
        <v>45953.67853009259</v>
      </c>
      <c r="C461" s="1" t="n">
        <v>46117</v>
      </c>
      <c r="D461" t="inlineStr">
        <is>
          <t>UPPSALA LÄN</t>
        </is>
      </c>
      <c r="E461" t="inlineStr">
        <is>
          <t>ÖSTHAMMAR</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42213-2025</t>
        </is>
      </c>
      <c r="B462" s="1" t="n">
        <v>45904.50652777778</v>
      </c>
      <c r="C462" s="1" t="n">
        <v>46117</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14433-2024</t>
        </is>
      </c>
      <c r="B463" s="1" t="n">
        <v>45394.46115740741</v>
      </c>
      <c r="C463" s="1" t="n">
        <v>46117</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20038-2023</t>
        </is>
      </c>
      <c r="B464" s="1" t="n">
        <v>45054.65834490741</v>
      </c>
      <c r="C464" s="1" t="n">
        <v>46117</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15031-2025</t>
        </is>
      </c>
      <c r="B465" s="1" t="n">
        <v>45743.67333333333</v>
      </c>
      <c r="C465" s="1" t="n">
        <v>46117</v>
      </c>
      <c r="D465" t="inlineStr">
        <is>
          <t>UPPSALA LÄN</t>
        </is>
      </c>
      <c r="E465" t="inlineStr">
        <is>
          <t>ÖSTHAMMAR</t>
        </is>
      </c>
      <c r="G465" t="n">
        <v>9.6</v>
      </c>
      <c r="H465" t="n">
        <v>0</v>
      </c>
      <c r="I465" t="n">
        <v>0</v>
      </c>
      <c r="J465" t="n">
        <v>0</v>
      </c>
      <c r="K465" t="n">
        <v>0</v>
      </c>
      <c r="L465" t="n">
        <v>0</v>
      </c>
      <c r="M465" t="n">
        <v>0</v>
      </c>
      <c r="N465" t="n">
        <v>0</v>
      </c>
      <c r="O465" t="n">
        <v>0</v>
      </c>
      <c r="P465" t="n">
        <v>0</v>
      </c>
      <c r="Q465" t="n">
        <v>0</v>
      </c>
      <c r="R465" s="2" t="inlineStr"/>
    </row>
    <row r="466" ht="15" customHeight="1">
      <c r="A466" t="inlineStr">
        <is>
          <t>A 13738-2023</t>
        </is>
      </c>
      <c r="B466" s="1" t="n">
        <v>45007.37081018519</v>
      </c>
      <c r="C466" s="1" t="n">
        <v>46117</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43439-2024</t>
        </is>
      </c>
      <c r="B467" s="1" t="n">
        <v>45568</v>
      </c>
      <c r="C467" s="1" t="n">
        <v>46117</v>
      </c>
      <c r="D467" t="inlineStr">
        <is>
          <t>UPPSALA LÄN</t>
        </is>
      </c>
      <c r="E467" t="inlineStr">
        <is>
          <t>ÖSTHAMMAR</t>
        </is>
      </c>
      <c r="G467" t="n">
        <v>1</v>
      </c>
      <c r="H467" t="n">
        <v>0</v>
      </c>
      <c r="I467" t="n">
        <v>0</v>
      </c>
      <c r="J467" t="n">
        <v>0</v>
      </c>
      <c r="K467" t="n">
        <v>0</v>
      </c>
      <c r="L467" t="n">
        <v>0</v>
      </c>
      <c r="M467" t="n">
        <v>0</v>
      </c>
      <c r="N467" t="n">
        <v>0</v>
      </c>
      <c r="O467" t="n">
        <v>0</v>
      </c>
      <c r="P467" t="n">
        <v>0</v>
      </c>
      <c r="Q467" t="n">
        <v>0</v>
      </c>
      <c r="R467" s="2" t="inlineStr"/>
    </row>
    <row r="468" ht="15" customHeight="1">
      <c r="A468" t="inlineStr">
        <is>
          <t>A 10290-2025</t>
        </is>
      </c>
      <c r="B468" s="1" t="n">
        <v>45720.41847222222</v>
      </c>
      <c r="C468" s="1" t="n">
        <v>46117</v>
      </c>
      <c r="D468" t="inlineStr">
        <is>
          <t>UPPSALA LÄN</t>
        </is>
      </c>
      <c r="E468" t="inlineStr">
        <is>
          <t>ÖSTHAMMAR</t>
        </is>
      </c>
      <c r="G468" t="n">
        <v>8.6</v>
      </c>
      <c r="H468" t="n">
        <v>0</v>
      </c>
      <c r="I468" t="n">
        <v>0</v>
      </c>
      <c r="J468" t="n">
        <v>0</v>
      </c>
      <c r="K468" t="n">
        <v>0</v>
      </c>
      <c r="L468" t="n">
        <v>0</v>
      </c>
      <c r="M468" t="n">
        <v>0</v>
      </c>
      <c r="N468" t="n">
        <v>0</v>
      </c>
      <c r="O468" t="n">
        <v>0</v>
      </c>
      <c r="P468" t="n">
        <v>0</v>
      </c>
      <c r="Q468" t="n">
        <v>0</v>
      </c>
      <c r="R468" s="2" t="inlineStr"/>
    </row>
    <row r="469" ht="15" customHeight="1">
      <c r="A469" t="inlineStr">
        <is>
          <t>A 17022-2021</t>
        </is>
      </c>
      <c r="B469" s="1" t="n">
        <v>44295.65875</v>
      </c>
      <c r="C469" s="1" t="n">
        <v>46117</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11469-2023</t>
        </is>
      </c>
      <c r="B470" s="1" t="n">
        <v>44993.60099537037</v>
      </c>
      <c r="C470" s="1" t="n">
        <v>46117</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53567-2025</t>
        </is>
      </c>
      <c r="B471" s="1" t="n">
        <v>45960</v>
      </c>
      <c r="C471" s="1" t="n">
        <v>46117</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53656-2025</t>
        </is>
      </c>
      <c r="B472" s="1" t="n">
        <v>45960</v>
      </c>
      <c r="C472" s="1" t="n">
        <v>46117</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53557-2025</t>
        </is>
      </c>
      <c r="B473" s="1" t="n">
        <v>45960</v>
      </c>
      <c r="C473" s="1" t="n">
        <v>46117</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53961-2025</t>
        </is>
      </c>
      <c r="B474" s="1" t="n">
        <v>45961</v>
      </c>
      <c r="C474" s="1" t="n">
        <v>46117</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53735-2025</t>
        </is>
      </c>
      <c r="B475" s="1" t="n">
        <v>45960.64431712963</v>
      </c>
      <c r="C475" s="1" t="n">
        <v>46117</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53737-2025</t>
        </is>
      </c>
      <c r="B476" s="1" t="n">
        <v>45960.64520833334</v>
      </c>
      <c r="C476" s="1" t="n">
        <v>46117</v>
      </c>
      <c r="D476" t="inlineStr">
        <is>
          <t>UPPSALA LÄN</t>
        </is>
      </c>
      <c r="E476" t="inlineStr">
        <is>
          <t>ÖSTHAMMAR</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25418-2022</t>
        </is>
      </c>
      <c r="B477" s="1" t="n">
        <v>44732.464375</v>
      </c>
      <c r="C477" s="1" t="n">
        <v>46117</v>
      </c>
      <c r="D477" t="inlineStr">
        <is>
          <t>UPPSALA LÄN</t>
        </is>
      </c>
      <c r="E477" t="inlineStr">
        <is>
          <t>ÖSTHAMMAR</t>
        </is>
      </c>
      <c r="G477" t="n">
        <v>2.8</v>
      </c>
      <c r="H477" t="n">
        <v>0</v>
      </c>
      <c r="I477" t="n">
        <v>0</v>
      </c>
      <c r="J477" t="n">
        <v>0</v>
      </c>
      <c r="K477" t="n">
        <v>0</v>
      </c>
      <c r="L477" t="n">
        <v>0</v>
      </c>
      <c r="M477" t="n">
        <v>0</v>
      </c>
      <c r="N477" t="n">
        <v>0</v>
      </c>
      <c r="O477" t="n">
        <v>0</v>
      </c>
      <c r="P477" t="n">
        <v>0</v>
      </c>
      <c r="Q477" t="n">
        <v>0</v>
      </c>
      <c r="R477" s="2" t="inlineStr"/>
    </row>
    <row r="478" ht="15" customHeight="1">
      <c r="A478" t="inlineStr">
        <is>
          <t>A 54242-2025</t>
        </is>
      </c>
      <c r="B478" s="1" t="n">
        <v>45964.63251157408</v>
      </c>
      <c r="C478" s="1" t="n">
        <v>46117</v>
      </c>
      <c r="D478" t="inlineStr">
        <is>
          <t>UPPSALA LÄN</t>
        </is>
      </c>
      <c r="E478" t="inlineStr">
        <is>
          <t>ÖSTHAMMAR</t>
        </is>
      </c>
      <c r="G478" t="n">
        <v>4.7</v>
      </c>
      <c r="H478" t="n">
        <v>0</v>
      </c>
      <c r="I478" t="n">
        <v>0</v>
      </c>
      <c r="J478" t="n">
        <v>0</v>
      </c>
      <c r="K478" t="n">
        <v>0</v>
      </c>
      <c r="L478" t="n">
        <v>0</v>
      </c>
      <c r="M478" t="n">
        <v>0</v>
      </c>
      <c r="N478" t="n">
        <v>0</v>
      </c>
      <c r="O478" t="n">
        <v>0</v>
      </c>
      <c r="P478" t="n">
        <v>0</v>
      </c>
      <c r="Q478" t="n">
        <v>0</v>
      </c>
      <c r="R478" s="2" t="inlineStr"/>
    </row>
    <row r="479" ht="15" customHeight="1">
      <c r="A479" t="inlineStr">
        <is>
          <t>A 54592-2025</t>
        </is>
      </c>
      <c r="B479" s="1" t="n">
        <v>45965.74545138889</v>
      </c>
      <c r="C479" s="1" t="n">
        <v>46117</v>
      </c>
      <c r="D479" t="inlineStr">
        <is>
          <t>UPPSALA LÄN</t>
        </is>
      </c>
      <c r="E479" t="inlineStr">
        <is>
          <t>ÖSTHAMMAR</t>
        </is>
      </c>
      <c r="F479" t="inlineStr">
        <is>
          <t>Bergvik skog öst AB</t>
        </is>
      </c>
      <c r="G479" t="n">
        <v>5</v>
      </c>
      <c r="H479" t="n">
        <v>0</v>
      </c>
      <c r="I479" t="n">
        <v>0</v>
      </c>
      <c r="J479" t="n">
        <v>0</v>
      </c>
      <c r="K479" t="n">
        <v>0</v>
      </c>
      <c r="L479" t="n">
        <v>0</v>
      </c>
      <c r="M479" t="n">
        <v>0</v>
      </c>
      <c r="N479" t="n">
        <v>0</v>
      </c>
      <c r="O479" t="n">
        <v>0</v>
      </c>
      <c r="P479" t="n">
        <v>0</v>
      </c>
      <c r="Q479" t="n">
        <v>0</v>
      </c>
      <c r="R479" s="2" t="inlineStr"/>
    </row>
    <row r="480" ht="15" customHeight="1">
      <c r="A480" t="inlineStr">
        <is>
          <t>A 14859-2025</t>
        </is>
      </c>
      <c r="B480" s="1" t="n">
        <v>45743.42427083333</v>
      </c>
      <c r="C480" s="1" t="n">
        <v>46117</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44655.80475694445</v>
      </c>
      <c r="C481" s="1" t="n">
        <v>46117</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54647-2025</t>
        </is>
      </c>
      <c r="B482" s="1" t="n">
        <v>45966.37258101852</v>
      </c>
      <c r="C482" s="1" t="n">
        <v>46117</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46399-2023</t>
        </is>
      </c>
      <c r="B483" s="1" t="n">
        <v>45197.49262731482</v>
      </c>
      <c r="C483" s="1" t="n">
        <v>46117</v>
      </c>
      <c r="D483" t="inlineStr">
        <is>
          <t>UPPSALA LÄN</t>
        </is>
      </c>
      <c r="E483" t="inlineStr">
        <is>
          <t>ÖSTHAMMAR</t>
        </is>
      </c>
      <c r="G483" t="n">
        <v>5.8</v>
      </c>
      <c r="H483" t="n">
        <v>0</v>
      </c>
      <c r="I483" t="n">
        <v>0</v>
      </c>
      <c r="J483" t="n">
        <v>0</v>
      </c>
      <c r="K483" t="n">
        <v>0</v>
      </c>
      <c r="L483" t="n">
        <v>0</v>
      </c>
      <c r="M483" t="n">
        <v>0</v>
      </c>
      <c r="N483" t="n">
        <v>0</v>
      </c>
      <c r="O483" t="n">
        <v>0</v>
      </c>
      <c r="P483" t="n">
        <v>0</v>
      </c>
      <c r="Q483" t="n">
        <v>0</v>
      </c>
      <c r="R483" s="2" t="inlineStr"/>
    </row>
    <row r="484" ht="15" customHeight="1">
      <c r="A484" t="inlineStr">
        <is>
          <t>A 54649-2025</t>
        </is>
      </c>
      <c r="B484" s="1" t="n">
        <v>45966.37548611111</v>
      </c>
      <c r="C484" s="1" t="n">
        <v>46117</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45550-2023</t>
        </is>
      </c>
      <c r="B485" s="1" t="n">
        <v>45194.57125</v>
      </c>
      <c r="C485" s="1" t="n">
        <v>46117</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44660.4987962963</v>
      </c>
      <c r="C486" s="1" t="n">
        <v>46117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55298-2025</t>
        </is>
      </c>
      <c r="B487" s="1" t="n">
        <v>45969.76908564815</v>
      </c>
      <c r="C487" s="1" t="n">
        <v>46117</v>
      </c>
      <c r="D487" t="inlineStr">
        <is>
          <t>UPPSALA LÄN</t>
        </is>
      </c>
      <c r="E487" t="inlineStr">
        <is>
          <t>ÖSTHAMMAR</t>
        </is>
      </c>
      <c r="F487" t="inlineStr">
        <is>
          <t>Bergvik skog öst AB</t>
        </is>
      </c>
      <c r="G487" t="n">
        <v>3.6</v>
      </c>
      <c r="H487" t="n">
        <v>0</v>
      </c>
      <c r="I487" t="n">
        <v>0</v>
      </c>
      <c r="J487" t="n">
        <v>0</v>
      </c>
      <c r="K487" t="n">
        <v>0</v>
      </c>
      <c r="L487" t="n">
        <v>0</v>
      </c>
      <c r="M487" t="n">
        <v>0</v>
      </c>
      <c r="N487" t="n">
        <v>0</v>
      </c>
      <c r="O487" t="n">
        <v>0</v>
      </c>
      <c r="P487" t="n">
        <v>0</v>
      </c>
      <c r="Q487" t="n">
        <v>0</v>
      </c>
      <c r="R487" s="2" t="inlineStr"/>
    </row>
    <row r="488" ht="15" customHeight="1">
      <c r="A488" t="inlineStr">
        <is>
          <t>A 55163-2025</t>
        </is>
      </c>
      <c r="B488" s="1" t="n">
        <v>45968.48032407407</v>
      </c>
      <c r="C488" s="1" t="n">
        <v>46117</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55798-2025</t>
        </is>
      </c>
      <c r="B489" s="1" t="n">
        <v>45972.66209490741</v>
      </c>
      <c r="C489" s="1" t="n">
        <v>46117</v>
      </c>
      <c r="D489" t="inlineStr">
        <is>
          <t>UPPSALA LÄN</t>
        </is>
      </c>
      <c r="E489" t="inlineStr">
        <is>
          <t>ÖSTHAMMAR</t>
        </is>
      </c>
      <c r="F489" t="inlineStr">
        <is>
          <t>Bergvik skog öst AB</t>
        </is>
      </c>
      <c r="G489" t="n">
        <v>3.9</v>
      </c>
      <c r="H489" t="n">
        <v>0</v>
      </c>
      <c r="I489" t="n">
        <v>0</v>
      </c>
      <c r="J489" t="n">
        <v>0</v>
      </c>
      <c r="K489" t="n">
        <v>0</v>
      </c>
      <c r="L489" t="n">
        <v>0</v>
      </c>
      <c r="M489" t="n">
        <v>0</v>
      </c>
      <c r="N489" t="n">
        <v>0</v>
      </c>
      <c r="O489" t="n">
        <v>0</v>
      </c>
      <c r="P489" t="n">
        <v>0</v>
      </c>
      <c r="Q489" t="n">
        <v>0</v>
      </c>
      <c r="R489" s="2" t="inlineStr"/>
    </row>
    <row r="490" ht="15" customHeight="1">
      <c r="A490" t="inlineStr">
        <is>
          <t>A 20634-2024</t>
        </is>
      </c>
      <c r="B490" s="1" t="n">
        <v>45436</v>
      </c>
      <c r="C490" s="1" t="n">
        <v>46117</v>
      </c>
      <c r="D490" t="inlineStr">
        <is>
          <t>UPPSALA LÄN</t>
        </is>
      </c>
      <c r="E490" t="inlineStr">
        <is>
          <t>ÖSTHAMMAR</t>
        </is>
      </c>
      <c r="G490" t="n">
        <v>6.5</v>
      </c>
      <c r="H490" t="n">
        <v>0</v>
      </c>
      <c r="I490" t="n">
        <v>0</v>
      </c>
      <c r="J490" t="n">
        <v>0</v>
      </c>
      <c r="K490" t="n">
        <v>0</v>
      </c>
      <c r="L490" t="n">
        <v>0</v>
      </c>
      <c r="M490" t="n">
        <v>0</v>
      </c>
      <c r="N490" t="n">
        <v>0</v>
      </c>
      <c r="O490" t="n">
        <v>0</v>
      </c>
      <c r="P490" t="n">
        <v>0</v>
      </c>
      <c r="Q490" t="n">
        <v>0</v>
      </c>
      <c r="R490" s="2" t="inlineStr"/>
    </row>
    <row r="491" ht="15" customHeight="1">
      <c r="A491" t="inlineStr">
        <is>
          <t>A 18088-2025</t>
        </is>
      </c>
      <c r="B491" s="1" t="n">
        <v>45761.53104166667</v>
      </c>
      <c r="C491" s="1" t="n">
        <v>46117</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18095-2025</t>
        </is>
      </c>
      <c r="B492" s="1" t="n">
        <v>45761.54925925926</v>
      </c>
      <c r="C492" s="1" t="n">
        <v>46117</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61257-2022</t>
        </is>
      </c>
      <c r="B493" s="1" t="n">
        <v>44915.59418981482</v>
      </c>
      <c r="C493" s="1" t="n">
        <v>46117</v>
      </c>
      <c r="D493" t="inlineStr">
        <is>
          <t>UPPSALA LÄN</t>
        </is>
      </c>
      <c r="E493" t="inlineStr">
        <is>
          <t>ÖSTHAMMAR</t>
        </is>
      </c>
      <c r="G493" t="n">
        <v>1</v>
      </c>
      <c r="H493" t="n">
        <v>0</v>
      </c>
      <c r="I493" t="n">
        <v>0</v>
      </c>
      <c r="J493" t="n">
        <v>0</v>
      </c>
      <c r="K493" t="n">
        <v>0</v>
      </c>
      <c r="L493" t="n">
        <v>0</v>
      </c>
      <c r="M493" t="n">
        <v>0</v>
      </c>
      <c r="N493" t="n">
        <v>0</v>
      </c>
      <c r="O493" t="n">
        <v>0</v>
      </c>
      <c r="P493" t="n">
        <v>0</v>
      </c>
      <c r="Q493" t="n">
        <v>0</v>
      </c>
      <c r="R493" s="2" t="inlineStr"/>
    </row>
    <row r="494" ht="15" customHeight="1">
      <c r="A494" t="inlineStr">
        <is>
          <t>A 56518-2025</t>
        </is>
      </c>
      <c r="B494" s="1" t="n">
        <v>45975.4581712963</v>
      </c>
      <c r="C494" s="1" t="n">
        <v>46117</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56682-2025</t>
        </is>
      </c>
      <c r="B495" s="1" t="n">
        <v>45975</v>
      </c>
      <c r="C495" s="1" t="n">
        <v>46117</v>
      </c>
      <c r="D495" t="inlineStr">
        <is>
          <t>UPPSALA LÄN</t>
        </is>
      </c>
      <c r="E495" t="inlineStr">
        <is>
          <t>ÖSTHAMMAR</t>
        </is>
      </c>
      <c r="G495" t="n">
        <v>3.9</v>
      </c>
      <c r="H495" t="n">
        <v>0</v>
      </c>
      <c r="I495" t="n">
        <v>0</v>
      </c>
      <c r="J495" t="n">
        <v>0</v>
      </c>
      <c r="K495" t="n">
        <v>0</v>
      </c>
      <c r="L495" t="n">
        <v>0</v>
      </c>
      <c r="M495" t="n">
        <v>0</v>
      </c>
      <c r="N495" t="n">
        <v>0</v>
      </c>
      <c r="O495" t="n">
        <v>0</v>
      </c>
      <c r="P495" t="n">
        <v>0</v>
      </c>
      <c r="Q495" t="n">
        <v>0</v>
      </c>
      <c r="R495" s="2" t="inlineStr"/>
    </row>
    <row r="496" ht="15" customHeight="1">
      <c r="A496" t="inlineStr">
        <is>
          <t>A 56582-2025</t>
        </is>
      </c>
      <c r="B496" s="1" t="n">
        <v>45975.54730324074</v>
      </c>
      <c r="C496" s="1" t="n">
        <v>46117</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46117</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56658-2025</t>
        </is>
      </c>
      <c r="B498" s="1" t="n">
        <v>45975.65431712963</v>
      </c>
      <c r="C498" s="1" t="n">
        <v>46117</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56757-2025</t>
        </is>
      </c>
      <c r="B499" s="1" t="n">
        <v>45978.37162037037</v>
      </c>
      <c r="C499" s="1" t="n">
        <v>46117</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56942-2025</t>
        </is>
      </c>
      <c r="B500" s="1" t="n">
        <v>45978.62611111111</v>
      </c>
      <c r="C500" s="1" t="n">
        <v>46117</v>
      </c>
      <c r="D500" t="inlineStr">
        <is>
          <t>UPPSALA LÄN</t>
        </is>
      </c>
      <c r="E500" t="inlineStr">
        <is>
          <t>ÖSTHAMMAR</t>
        </is>
      </c>
      <c r="G500" t="n">
        <v>3.2</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46117</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46117</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57257-2025</t>
        </is>
      </c>
      <c r="B503" s="1" t="n">
        <v>45979.65149305556</v>
      </c>
      <c r="C503" s="1" t="n">
        <v>46117</v>
      </c>
      <c r="D503" t="inlineStr">
        <is>
          <t>UPPSALA LÄN</t>
        </is>
      </c>
      <c r="E503" t="inlineStr">
        <is>
          <t>ÖSTHAMMAR</t>
        </is>
      </c>
      <c r="G503" t="n">
        <v>0.7</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46117</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56754-2025</t>
        </is>
      </c>
      <c r="B505" s="1" t="n">
        <v>45978.36700231482</v>
      </c>
      <c r="C505" s="1" t="n">
        <v>46117</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56753-2025</t>
        </is>
      </c>
      <c r="B506" s="1" t="n">
        <v>45978.36677083333</v>
      </c>
      <c r="C506" s="1" t="n">
        <v>46117</v>
      </c>
      <c r="D506" t="inlineStr">
        <is>
          <t>UPPSALA LÄN</t>
        </is>
      </c>
      <c r="E506" t="inlineStr">
        <is>
          <t>ÖSTHAMMAR</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56823-2025</t>
        </is>
      </c>
      <c r="B507" s="1" t="n">
        <v>45978.46484953703</v>
      </c>
      <c r="C507" s="1" t="n">
        <v>46117</v>
      </c>
      <c r="D507" t="inlineStr">
        <is>
          <t>UPPSALA LÄN</t>
        </is>
      </c>
      <c r="E507" t="inlineStr">
        <is>
          <t>ÖSTHAMMAR</t>
        </is>
      </c>
      <c r="G507" t="n">
        <v>0.1</v>
      </c>
      <c r="H507" t="n">
        <v>0</v>
      </c>
      <c r="I507" t="n">
        <v>0</v>
      </c>
      <c r="J507" t="n">
        <v>0</v>
      </c>
      <c r="K507" t="n">
        <v>0</v>
      </c>
      <c r="L507" t="n">
        <v>0</v>
      </c>
      <c r="M507" t="n">
        <v>0</v>
      </c>
      <c r="N507" t="n">
        <v>0</v>
      </c>
      <c r="O507" t="n">
        <v>0</v>
      </c>
      <c r="P507" t="n">
        <v>0</v>
      </c>
      <c r="Q507" t="n">
        <v>0</v>
      </c>
      <c r="R507" s="2" t="inlineStr"/>
    </row>
    <row r="508" ht="15" customHeight="1">
      <c r="A508" t="inlineStr">
        <is>
          <t>A 57154-2025</t>
        </is>
      </c>
      <c r="B508" s="1" t="n">
        <v>45979.51086805556</v>
      </c>
      <c r="C508" s="1" t="n">
        <v>46117</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32778-2023</t>
        </is>
      </c>
      <c r="B509" s="1" t="n">
        <v>45123.88789351852</v>
      </c>
      <c r="C509" s="1" t="n">
        <v>46117</v>
      </c>
      <c r="D509" t="inlineStr">
        <is>
          <t>UPPSALA LÄN</t>
        </is>
      </c>
      <c r="E509" t="inlineStr">
        <is>
          <t>ÖSTHAMMAR</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57907-2025</t>
        </is>
      </c>
      <c r="B510" s="1" t="n">
        <v>45981.78840277778</v>
      </c>
      <c r="C510" s="1" t="n">
        <v>46117</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57908-2025</t>
        </is>
      </c>
      <c r="B511" s="1" t="n">
        <v>45981.78886574074</v>
      </c>
      <c r="C511" s="1" t="n">
        <v>46117</v>
      </c>
      <c r="D511" t="inlineStr">
        <is>
          <t>UPPSALA LÄN</t>
        </is>
      </c>
      <c r="E511" t="inlineStr">
        <is>
          <t>ÖSTHAMMAR</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1436-2025</t>
        </is>
      </c>
      <c r="B512" s="1" t="n">
        <v>45669.67625</v>
      </c>
      <c r="C512" s="1" t="n">
        <v>46117</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1525-2025</t>
        </is>
      </c>
      <c r="B513" s="1" t="n">
        <v>45670.47300925926</v>
      </c>
      <c r="C513" s="1" t="n">
        <v>46117</v>
      </c>
      <c r="D513" t="inlineStr">
        <is>
          <t>UPPSALA LÄN</t>
        </is>
      </c>
      <c r="E513" t="inlineStr">
        <is>
          <t>ÖSTHAMMAR</t>
        </is>
      </c>
      <c r="F513" t="inlineStr">
        <is>
          <t>Bergvik skog öst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58399-2025</t>
        </is>
      </c>
      <c r="B514" s="1" t="n">
        <v>45985.56244212963</v>
      </c>
      <c r="C514" s="1" t="n">
        <v>46117</v>
      </c>
      <c r="D514" t="inlineStr">
        <is>
          <t>UPPSALA LÄN</t>
        </is>
      </c>
      <c r="E514" t="inlineStr">
        <is>
          <t>ÖSTHAMMAR</t>
        </is>
      </c>
      <c r="G514" t="n">
        <v>2.6</v>
      </c>
      <c r="H514" t="n">
        <v>0</v>
      </c>
      <c r="I514" t="n">
        <v>0</v>
      </c>
      <c r="J514" t="n">
        <v>0</v>
      </c>
      <c r="K514" t="n">
        <v>0</v>
      </c>
      <c r="L514" t="n">
        <v>0</v>
      </c>
      <c r="M514" t="n">
        <v>0</v>
      </c>
      <c r="N514" t="n">
        <v>0</v>
      </c>
      <c r="O514" t="n">
        <v>0</v>
      </c>
      <c r="P514" t="n">
        <v>0</v>
      </c>
      <c r="Q514" t="n">
        <v>0</v>
      </c>
      <c r="R514" s="2" t="inlineStr"/>
    </row>
    <row r="515" ht="15" customHeight="1">
      <c r="A515" t="inlineStr">
        <is>
          <t>A 24367-2022</t>
        </is>
      </c>
      <c r="B515" s="1" t="n">
        <v>44726.42716435185</v>
      </c>
      <c r="C515" s="1" t="n">
        <v>46117</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5933-2022</t>
        </is>
      </c>
      <c r="B516" s="1" t="n">
        <v>44598.82957175926</v>
      </c>
      <c r="C516" s="1" t="n">
        <v>46117</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64774-2023</t>
        </is>
      </c>
      <c r="B517" s="1" t="n">
        <v>45282</v>
      </c>
      <c r="C517" s="1" t="n">
        <v>46117</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27308-2023</t>
        </is>
      </c>
      <c r="B518" s="1" t="n">
        <v>45096.65381944444</v>
      </c>
      <c r="C518" s="1" t="n">
        <v>46117</v>
      </c>
      <c r="D518" t="inlineStr">
        <is>
          <t>UPPSALA LÄN</t>
        </is>
      </c>
      <c r="E518" t="inlineStr">
        <is>
          <t>ÖSTHAMMAR</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5254-2025</t>
        </is>
      </c>
      <c r="B519" s="1" t="n">
        <v>45692</v>
      </c>
      <c r="C519" s="1" t="n">
        <v>46117</v>
      </c>
      <c r="D519" t="inlineStr">
        <is>
          <t>UPPSALA LÄN</t>
        </is>
      </c>
      <c r="E519" t="inlineStr">
        <is>
          <t>ÖSTHAMMAR</t>
        </is>
      </c>
      <c r="G519" t="n">
        <v>5</v>
      </c>
      <c r="H519" t="n">
        <v>0</v>
      </c>
      <c r="I519" t="n">
        <v>0</v>
      </c>
      <c r="J519" t="n">
        <v>0</v>
      </c>
      <c r="K519" t="n">
        <v>0</v>
      </c>
      <c r="L519" t="n">
        <v>0</v>
      </c>
      <c r="M519" t="n">
        <v>0</v>
      </c>
      <c r="N519" t="n">
        <v>0</v>
      </c>
      <c r="O519" t="n">
        <v>0</v>
      </c>
      <c r="P519" t="n">
        <v>0</v>
      </c>
      <c r="Q519" t="n">
        <v>0</v>
      </c>
      <c r="R519" s="2" t="inlineStr"/>
    </row>
    <row r="520" ht="15" customHeight="1">
      <c r="A520" t="inlineStr">
        <is>
          <t>A 29873-2023</t>
        </is>
      </c>
      <c r="B520" s="1" t="n">
        <v>45107</v>
      </c>
      <c r="C520" s="1" t="n">
        <v>46117</v>
      </c>
      <c r="D520" t="inlineStr">
        <is>
          <t>UPPSALA LÄN</t>
        </is>
      </c>
      <c r="E520" t="inlineStr">
        <is>
          <t>ÖSTHAMMAR</t>
        </is>
      </c>
      <c r="F520" t="inlineStr">
        <is>
          <t>Naturvårdsverket</t>
        </is>
      </c>
      <c r="G520" t="n">
        <v>7.8</v>
      </c>
      <c r="H520" t="n">
        <v>0</v>
      </c>
      <c r="I520" t="n">
        <v>0</v>
      </c>
      <c r="J520" t="n">
        <v>0</v>
      </c>
      <c r="K520" t="n">
        <v>0</v>
      </c>
      <c r="L520" t="n">
        <v>0</v>
      </c>
      <c r="M520" t="n">
        <v>0</v>
      </c>
      <c r="N520" t="n">
        <v>0</v>
      </c>
      <c r="O520" t="n">
        <v>0</v>
      </c>
      <c r="P520" t="n">
        <v>0</v>
      </c>
      <c r="Q520" t="n">
        <v>0</v>
      </c>
      <c r="R520" s="2" t="inlineStr"/>
    </row>
    <row r="521" ht="15" customHeight="1">
      <c r="A521" t="inlineStr">
        <is>
          <t>A 61062-2023</t>
        </is>
      </c>
      <c r="B521" s="1" t="n">
        <v>45259</v>
      </c>
      <c r="C521" s="1" t="n">
        <v>46117</v>
      </c>
      <c r="D521" t="inlineStr">
        <is>
          <t>UPPSALA LÄN</t>
        </is>
      </c>
      <c r="E521" t="inlineStr">
        <is>
          <t>ÖSTHAMMAR</t>
        </is>
      </c>
      <c r="G521" t="n">
        <v>5.3</v>
      </c>
      <c r="H521" t="n">
        <v>0</v>
      </c>
      <c r="I521" t="n">
        <v>0</v>
      </c>
      <c r="J521" t="n">
        <v>0</v>
      </c>
      <c r="K521" t="n">
        <v>0</v>
      </c>
      <c r="L521" t="n">
        <v>0</v>
      </c>
      <c r="M521" t="n">
        <v>0</v>
      </c>
      <c r="N521" t="n">
        <v>0</v>
      </c>
      <c r="O521" t="n">
        <v>0</v>
      </c>
      <c r="P521" t="n">
        <v>0</v>
      </c>
      <c r="Q521" t="n">
        <v>0</v>
      </c>
      <c r="R521" s="2" t="inlineStr"/>
    </row>
    <row r="522" ht="15" customHeight="1">
      <c r="A522" t="inlineStr">
        <is>
          <t>A 55100-2024</t>
        </is>
      </c>
      <c r="B522" s="1" t="n">
        <v>45621.4405787037</v>
      </c>
      <c r="C522" s="1" t="n">
        <v>46117</v>
      </c>
      <c r="D522" t="inlineStr">
        <is>
          <t>UPPSALA LÄN</t>
        </is>
      </c>
      <c r="E522" t="inlineStr">
        <is>
          <t>ÖSTHAMMAR</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46117</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31669-2022</t>
        </is>
      </c>
      <c r="B524" s="1" t="n">
        <v>44775</v>
      </c>
      <c r="C524" s="1" t="n">
        <v>46117</v>
      </c>
      <c r="D524" t="inlineStr">
        <is>
          <t>UPPSALA LÄN</t>
        </is>
      </c>
      <c r="E524" t="inlineStr">
        <is>
          <t>ÖSTHAMMAR</t>
        </is>
      </c>
      <c r="G524" t="n">
        <v>6</v>
      </c>
      <c r="H524" t="n">
        <v>0</v>
      </c>
      <c r="I524" t="n">
        <v>0</v>
      </c>
      <c r="J524" t="n">
        <v>0</v>
      </c>
      <c r="K524" t="n">
        <v>0</v>
      </c>
      <c r="L524" t="n">
        <v>0</v>
      </c>
      <c r="M524" t="n">
        <v>0</v>
      </c>
      <c r="N524" t="n">
        <v>0</v>
      </c>
      <c r="O524" t="n">
        <v>0</v>
      </c>
      <c r="P524" t="n">
        <v>0</v>
      </c>
      <c r="Q524" t="n">
        <v>0</v>
      </c>
      <c r="R524" s="2" t="inlineStr"/>
    </row>
    <row r="525" ht="15" customHeight="1">
      <c r="A525" t="inlineStr">
        <is>
          <t>A 18094-2025</t>
        </is>
      </c>
      <c r="B525" s="1" t="n">
        <v>45761.54710648148</v>
      </c>
      <c r="C525" s="1" t="n">
        <v>46117</v>
      </c>
      <c r="D525" t="inlineStr">
        <is>
          <t>UPPSALA LÄN</t>
        </is>
      </c>
      <c r="E525" t="inlineStr">
        <is>
          <t>ÖSTHAMMAR</t>
        </is>
      </c>
      <c r="F525" t="inlineStr">
        <is>
          <t>Bergvik skog öst AB</t>
        </is>
      </c>
      <c r="G525" t="n">
        <v>6.5</v>
      </c>
      <c r="H525" t="n">
        <v>0</v>
      </c>
      <c r="I525" t="n">
        <v>0</v>
      </c>
      <c r="J525" t="n">
        <v>0</v>
      </c>
      <c r="K525" t="n">
        <v>0</v>
      </c>
      <c r="L525" t="n">
        <v>0</v>
      </c>
      <c r="M525" t="n">
        <v>0</v>
      </c>
      <c r="N525" t="n">
        <v>0</v>
      </c>
      <c r="O525" t="n">
        <v>0</v>
      </c>
      <c r="P525" t="n">
        <v>0</v>
      </c>
      <c r="Q525" t="n">
        <v>0</v>
      </c>
      <c r="R525" s="2" t="inlineStr"/>
    </row>
    <row r="526" ht="15" customHeight="1">
      <c r="A526" t="inlineStr">
        <is>
          <t>A 59706-2025</t>
        </is>
      </c>
      <c r="B526" s="1" t="n">
        <v>45992.50333333333</v>
      </c>
      <c r="C526" s="1" t="n">
        <v>46117</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59708-2025</t>
        </is>
      </c>
      <c r="B527" s="1" t="n">
        <v>45992.50802083333</v>
      </c>
      <c r="C527" s="1" t="n">
        <v>46117</v>
      </c>
      <c r="D527" t="inlineStr">
        <is>
          <t>UPPSALA LÄN</t>
        </is>
      </c>
      <c r="E527" t="inlineStr">
        <is>
          <t>ÖSTHAMMAR</t>
        </is>
      </c>
      <c r="F527" t="inlineStr">
        <is>
          <t>Bergvik skog öst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59743-2025</t>
        </is>
      </c>
      <c r="B528" s="1" t="n">
        <v>45992.57668981481</v>
      </c>
      <c r="C528" s="1" t="n">
        <v>46117</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46117</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9542-2023</t>
        </is>
      </c>
      <c r="B530" s="1" t="n">
        <v>44981</v>
      </c>
      <c r="C530" s="1" t="n">
        <v>46117</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36343-2022</t>
        </is>
      </c>
      <c r="B531" s="1" t="n">
        <v>44803.78524305556</v>
      </c>
      <c r="C531" s="1" t="n">
        <v>46117</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16933-2022</t>
        </is>
      </c>
      <c r="B532" s="1" t="n">
        <v>44676</v>
      </c>
      <c r="C532" s="1" t="n">
        <v>46117</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48083-2024</t>
        </is>
      </c>
      <c r="B533" s="1" t="n">
        <v>45589.58766203704</v>
      </c>
      <c r="C533" s="1" t="n">
        <v>46117</v>
      </c>
      <c r="D533" t="inlineStr">
        <is>
          <t>UPPSALA LÄN</t>
        </is>
      </c>
      <c r="E533" t="inlineStr">
        <is>
          <t>ÖSTHAMMAR</t>
        </is>
      </c>
      <c r="G533" t="n">
        <v>3</v>
      </c>
      <c r="H533" t="n">
        <v>0</v>
      </c>
      <c r="I533" t="n">
        <v>0</v>
      </c>
      <c r="J533" t="n">
        <v>0</v>
      </c>
      <c r="K533" t="n">
        <v>0</v>
      </c>
      <c r="L533" t="n">
        <v>0</v>
      </c>
      <c r="M533" t="n">
        <v>0</v>
      </c>
      <c r="N533" t="n">
        <v>0</v>
      </c>
      <c r="O533" t="n">
        <v>0</v>
      </c>
      <c r="P533" t="n">
        <v>0</v>
      </c>
      <c r="Q533" t="n">
        <v>0</v>
      </c>
      <c r="R533" s="2" t="inlineStr"/>
    </row>
    <row r="534" ht="15" customHeight="1">
      <c r="A534" t="inlineStr">
        <is>
          <t>A 14269-2025</t>
        </is>
      </c>
      <c r="B534" s="1" t="n">
        <v>45740.64078703704</v>
      </c>
      <c r="C534" s="1" t="n">
        <v>46117</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57156-2025</t>
        </is>
      </c>
      <c r="B535" s="1" t="n">
        <v>45979.51591435185</v>
      </c>
      <c r="C535" s="1" t="n">
        <v>46117</v>
      </c>
      <c r="D535" t="inlineStr">
        <is>
          <t>UPPSALA LÄN</t>
        </is>
      </c>
      <c r="E535" t="inlineStr">
        <is>
          <t>ÖSTHAMMAR</t>
        </is>
      </c>
      <c r="G535" t="n">
        <v>1.8</v>
      </c>
      <c r="H535" t="n">
        <v>0</v>
      </c>
      <c r="I535" t="n">
        <v>0</v>
      </c>
      <c r="J535" t="n">
        <v>0</v>
      </c>
      <c r="K535" t="n">
        <v>0</v>
      </c>
      <c r="L535" t="n">
        <v>0</v>
      </c>
      <c r="M535" t="n">
        <v>0</v>
      </c>
      <c r="N535" t="n">
        <v>0</v>
      </c>
      <c r="O535" t="n">
        <v>0</v>
      </c>
      <c r="P535" t="n">
        <v>0</v>
      </c>
      <c r="Q535" t="n">
        <v>0</v>
      </c>
      <c r="R535" s="2" t="inlineStr"/>
    </row>
    <row r="536" ht="15" customHeight="1">
      <c r="A536" t="inlineStr">
        <is>
          <t>A 60738-2025</t>
        </is>
      </c>
      <c r="B536" s="1" t="n">
        <v>45996.83506944445</v>
      </c>
      <c r="C536" s="1" t="n">
        <v>46117</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60603-2025</t>
        </is>
      </c>
      <c r="B537" s="1" t="n">
        <v>45996.3543287037</v>
      </c>
      <c r="C537" s="1" t="n">
        <v>46117</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5855-2022</t>
        </is>
      </c>
      <c r="B538" s="1" t="n">
        <v>44596.63290509259</v>
      </c>
      <c r="C538" s="1" t="n">
        <v>46117</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60910-2025</t>
        </is>
      </c>
      <c r="B539" s="1" t="n">
        <v>45999.59837962963</v>
      </c>
      <c r="C539" s="1" t="n">
        <v>46117</v>
      </c>
      <c r="D539" t="inlineStr">
        <is>
          <t>UPPSALA LÄN</t>
        </is>
      </c>
      <c r="E539" t="inlineStr">
        <is>
          <t>ÖSTHAMMAR</t>
        </is>
      </c>
      <c r="G539" t="n">
        <v>3.5</v>
      </c>
      <c r="H539" t="n">
        <v>0</v>
      </c>
      <c r="I539" t="n">
        <v>0</v>
      </c>
      <c r="J539" t="n">
        <v>0</v>
      </c>
      <c r="K539" t="n">
        <v>0</v>
      </c>
      <c r="L539" t="n">
        <v>0</v>
      </c>
      <c r="M539" t="n">
        <v>0</v>
      </c>
      <c r="N539" t="n">
        <v>0</v>
      </c>
      <c r="O539" t="n">
        <v>0</v>
      </c>
      <c r="P539" t="n">
        <v>0</v>
      </c>
      <c r="Q539" t="n">
        <v>0</v>
      </c>
      <c r="R539" s="2" t="inlineStr"/>
    </row>
    <row r="540" ht="15" customHeight="1">
      <c r="A540" t="inlineStr">
        <is>
          <t>A 13622-2025</t>
        </is>
      </c>
      <c r="B540" s="1" t="n">
        <v>45736</v>
      </c>
      <c r="C540" s="1" t="n">
        <v>46117</v>
      </c>
      <c r="D540" t="inlineStr">
        <is>
          <t>UPPSALA LÄN</t>
        </is>
      </c>
      <c r="E540" t="inlineStr">
        <is>
          <t>ÖSTHAMMAR</t>
        </is>
      </c>
      <c r="G540" t="n">
        <v>2.6</v>
      </c>
      <c r="H540" t="n">
        <v>0</v>
      </c>
      <c r="I540" t="n">
        <v>0</v>
      </c>
      <c r="J540" t="n">
        <v>0</v>
      </c>
      <c r="K540" t="n">
        <v>0</v>
      </c>
      <c r="L540" t="n">
        <v>0</v>
      </c>
      <c r="M540" t="n">
        <v>0</v>
      </c>
      <c r="N540" t="n">
        <v>0</v>
      </c>
      <c r="O540" t="n">
        <v>0</v>
      </c>
      <c r="P540" t="n">
        <v>0</v>
      </c>
      <c r="Q540" t="n">
        <v>0</v>
      </c>
      <c r="R540" s="2" t="inlineStr"/>
    </row>
    <row r="541" ht="15" customHeight="1">
      <c r="A541" t="inlineStr">
        <is>
          <t>A 56759-2024</t>
        </is>
      </c>
      <c r="B541" s="1" t="n">
        <v>45628.39877314815</v>
      </c>
      <c r="C541" s="1" t="n">
        <v>46117</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61250-2025</t>
        </is>
      </c>
      <c r="B542" s="1" t="n">
        <v>46000.66645833333</v>
      </c>
      <c r="C542" s="1" t="n">
        <v>46117</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46117</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10275-2025</t>
        </is>
      </c>
      <c r="B544" s="1" t="n">
        <v>45720.39715277778</v>
      </c>
      <c r="C544" s="1" t="n">
        <v>46117</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61143-2025</t>
        </is>
      </c>
      <c r="B545" s="1" t="n">
        <v>46000.53084490741</v>
      </c>
      <c r="C545" s="1" t="n">
        <v>46117</v>
      </c>
      <c r="D545" t="inlineStr">
        <is>
          <t>UPPSALA LÄN</t>
        </is>
      </c>
      <c r="E545" t="inlineStr">
        <is>
          <t>ÖSTHAMMAR</t>
        </is>
      </c>
      <c r="F545" t="inlineStr">
        <is>
          <t>Bergvik skog öst AB</t>
        </is>
      </c>
      <c r="G545" t="n">
        <v>3.3</v>
      </c>
      <c r="H545" t="n">
        <v>0</v>
      </c>
      <c r="I545" t="n">
        <v>0</v>
      </c>
      <c r="J545" t="n">
        <v>0</v>
      </c>
      <c r="K545" t="n">
        <v>0</v>
      </c>
      <c r="L545" t="n">
        <v>0</v>
      </c>
      <c r="M545" t="n">
        <v>0</v>
      </c>
      <c r="N545" t="n">
        <v>0</v>
      </c>
      <c r="O545" t="n">
        <v>0</v>
      </c>
      <c r="P545" t="n">
        <v>0</v>
      </c>
      <c r="Q545" t="n">
        <v>0</v>
      </c>
      <c r="R545" s="2" t="inlineStr"/>
    </row>
    <row r="546" ht="15" customHeight="1">
      <c r="A546" t="inlineStr">
        <is>
          <t>A 61147-2025</t>
        </is>
      </c>
      <c r="B546" s="1" t="n">
        <v>46000.53493055556</v>
      </c>
      <c r="C546" s="1" t="n">
        <v>46117</v>
      </c>
      <c r="D546" t="inlineStr">
        <is>
          <t>UPPSALA LÄN</t>
        </is>
      </c>
      <c r="E546" t="inlineStr">
        <is>
          <t>ÖSTHAMMAR</t>
        </is>
      </c>
      <c r="F546" t="inlineStr">
        <is>
          <t>Bergvik skog öst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24493-2023</t>
        </is>
      </c>
      <c r="B547" s="1" t="n">
        <v>45082.62603009259</v>
      </c>
      <c r="C547" s="1" t="n">
        <v>46117</v>
      </c>
      <c r="D547" t="inlineStr">
        <is>
          <t>UPPSALA LÄN</t>
        </is>
      </c>
      <c r="E547" t="inlineStr">
        <is>
          <t>ÖSTHAMMAR</t>
        </is>
      </c>
      <c r="G547" t="n">
        <v>1.9</v>
      </c>
      <c r="H547" t="n">
        <v>0</v>
      </c>
      <c r="I547" t="n">
        <v>0</v>
      </c>
      <c r="J547" t="n">
        <v>0</v>
      </c>
      <c r="K547" t="n">
        <v>0</v>
      </c>
      <c r="L547" t="n">
        <v>0</v>
      </c>
      <c r="M547" t="n">
        <v>0</v>
      </c>
      <c r="N547" t="n">
        <v>0</v>
      </c>
      <c r="O547" t="n">
        <v>0</v>
      </c>
      <c r="P547" t="n">
        <v>0</v>
      </c>
      <c r="Q547" t="n">
        <v>0</v>
      </c>
      <c r="R547" s="2" t="inlineStr"/>
    </row>
    <row r="548" ht="15" customHeight="1">
      <c r="A548" t="inlineStr">
        <is>
          <t>A 61838-2025</t>
        </is>
      </c>
      <c r="B548" s="1" t="n">
        <v>46003.35675925926</v>
      </c>
      <c r="C548" s="1" t="n">
        <v>46117</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7560-2023</t>
        </is>
      </c>
      <c r="B549" s="1" t="n">
        <v>44972.34811342593</v>
      </c>
      <c r="C549" s="1" t="n">
        <v>46117</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19040-2023</t>
        </is>
      </c>
      <c r="B550" s="1" t="n">
        <v>45047</v>
      </c>
      <c r="C550" s="1" t="n">
        <v>46117</v>
      </c>
      <c r="D550" t="inlineStr">
        <is>
          <t>UPPSALA LÄN</t>
        </is>
      </c>
      <c r="E550" t="inlineStr">
        <is>
          <t>ÖSTHAMMAR</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4004-2023</t>
        </is>
      </c>
      <c r="B551" s="1" t="n">
        <v>44952</v>
      </c>
      <c r="C551" s="1" t="n">
        <v>46117</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44775.400625</v>
      </c>
      <c r="C552" s="1" t="n">
        <v>46117</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62745-2025</t>
        </is>
      </c>
      <c r="B553" s="1" t="n">
        <v>46008.57596064815</v>
      </c>
      <c r="C553" s="1" t="n">
        <v>46117</v>
      </c>
      <c r="D553" t="inlineStr">
        <is>
          <t>UPPSALA LÄN</t>
        </is>
      </c>
      <c r="E553" t="inlineStr">
        <is>
          <t>ÖSTHAMMAR</t>
        </is>
      </c>
      <c r="G553" t="n">
        <v>2</v>
      </c>
      <c r="H553" t="n">
        <v>0</v>
      </c>
      <c r="I553" t="n">
        <v>0</v>
      </c>
      <c r="J553" t="n">
        <v>0</v>
      </c>
      <c r="K553" t="n">
        <v>0</v>
      </c>
      <c r="L553" t="n">
        <v>0</v>
      </c>
      <c r="M553" t="n">
        <v>0</v>
      </c>
      <c r="N553" t="n">
        <v>0</v>
      </c>
      <c r="O553" t="n">
        <v>0</v>
      </c>
      <c r="P553" t="n">
        <v>0</v>
      </c>
      <c r="Q553" t="n">
        <v>0</v>
      </c>
      <c r="R553" s="2" t="inlineStr"/>
    </row>
    <row r="554" ht="15" customHeight="1">
      <c r="A554" t="inlineStr">
        <is>
          <t>A 36857-2023</t>
        </is>
      </c>
      <c r="B554" s="1" t="n">
        <v>45154.55175925926</v>
      </c>
      <c r="C554" s="1" t="n">
        <v>46117</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1800-2023</t>
        </is>
      </c>
      <c r="B555" s="1" t="n">
        <v>44938</v>
      </c>
      <c r="C555" s="1" t="n">
        <v>46117</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46117</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46117</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31485-2023</t>
        </is>
      </c>
      <c r="B558" s="1" t="n">
        <v>45114</v>
      </c>
      <c r="C558" s="1" t="n">
        <v>46117</v>
      </c>
      <c r="D558" t="inlineStr">
        <is>
          <t>UPPSALA LÄN</t>
        </is>
      </c>
      <c r="E558" t="inlineStr">
        <is>
          <t>ÖSTHAMMAR</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25897-2023</t>
        </is>
      </c>
      <c r="B559" s="1" t="n">
        <v>45090.63300925926</v>
      </c>
      <c r="C559" s="1" t="n">
        <v>46117</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4101-2022</t>
        </is>
      </c>
      <c r="B560" s="1" t="n">
        <v>44588</v>
      </c>
      <c r="C560" s="1" t="n">
        <v>46117</v>
      </c>
      <c r="D560" t="inlineStr">
        <is>
          <t>UPPSALA LÄN</t>
        </is>
      </c>
      <c r="E560" t="inlineStr">
        <is>
          <t>ÖSTHAMMAR</t>
        </is>
      </c>
      <c r="G560" t="n">
        <v>4.4</v>
      </c>
      <c r="H560" t="n">
        <v>0</v>
      </c>
      <c r="I560" t="n">
        <v>0</v>
      </c>
      <c r="J560" t="n">
        <v>0</v>
      </c>
      <c r="K560" t="n">
        <v>0</v>
      </c>
      <c r="L560" t="n">
        <v>0</v>
      </c>
      <c r="M560" t="n">
        <v>0</v>
      </c>
      <c r="N560" t="n">
        <v>0</v>
      </c>
      <c r="O560" t="n">
        <v>0</v>
      </c>
      <c r="P560" t="n">
        <v>0</v>
      </c>
      <c r="Q560" t="n">
        <v>0</v>
      </c>
      <c r="R560" s="2" t="inlineStr"/>
    </row>
    <row r="561" ht="15" customHeight="1">
      <c r="A561" t="inlineStr">
        <is>
          <t>A 2839-2025</t>
        </is>
      </c>
      <c r="B561" s="1" t="n">
        <v>45677</v>
      </c>
      <c r="C561" s="1" t="n">
        <v>46117</v>
      </c>
      <c r="D561" t="inlineStr">
        <is>
          <t>UPPSALA LÄN</t>
        </is>
      </c>
      <c r="E561" t="inlineStr">
        <is>
          <t>ÖSTHAMMAR</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67848-2021</t>
        </is>
      </c>
      <c r="B562" s="1" t="n">
        <v>44525</v>
      </c>
      <c r="C562" s="1" t="n">
        <v>46117</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38600-2023</t>
        </is>
      </c>
      <c r="B563" s="1" t="n">
        <v>45162</v>
      </c>
      <c r="C563" s="1" t="n">
        <v>46117</v>
      </c>
      <c r="D563" t="inlineStr">
        <is>
          <t>UPPSALA LÄN</t>
        </is>
      </c>
      <c r="E563" t="inlineStr">
        <is>
          <t>ÖSTHAMMAR</t>
        </is>
      </c>
      <c r="F563" t="inlineStr">
        <is>
          <t>Bergvik skog väst AB</t>
        </is>
      </c>
      <c r="G563" t="n">
        <v>0.1</v>
      </c>
      <c r="H563" t="n">
        <v>0</v>
      </c>
      <c r="I563" t="n">
        <v>0</v>
      </c>
      <c r="J563" t="n">
        <v>0</v>
      </c>
      <c r="K563" t="n">
        <v>0</v>
      </c>
      <c r="L563" t="n">
        <v>0</v>
      </c>
      <c r="M563" t="n">
        <v>0</v>
      </c>
      <c r="N563" t="n">
        <v>0</v>
      </c>
      <c r="O563" t="n">
        <v>0</v>
      </c>
      <c r="P563" t="n">
        <v>0</v>
      </c>
      <c r="Q563" t="n">
        <v>0</v>
      </c>
      <c r="R563" s="2" t="inlineStr"/>
    </row>
    <row r="564" ht="15" customHeight="1">
      <c r="A564" t="inlineStr">
        <is>
          <t>A 64811-2021</t>
        </is>
      </c>
      <c r="B564" s="1" t="n">
        <v>44512</v>
      </c>
      <c r="C564" s="1" t="n">
        <v>46117</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223-2026</t>
        </is>
      </c>
      <c r="B565" s="1" t="n">
        <v>46026.84339120371</v>
      </c>
      <c r="C565" s="1" t="n">
        <v>46117</v>
      </c>
      <c r="D565" t="inlineStr">
        <is>
          <t>UPPSALA LÄN</t>
        </is>
      </c>
      <c r="E565" t="inlineStr">
        <is>
          <t>ÖSTHAMMAR</t>
        </is>
      </c>
      <c r="G565" t="n">
        <v>39.2</v>
      </c>
      <c r="H565" t="n">
        <v>0</v>
      </c>
      <c r="I565" t="n">
        <v>0</v>
      </c>
      <c r="J565" t="n">
        <v>0</v>
      </c>
      <c r="K565" t="n">
        <v>0</v>
      </c>
      <c r="L565" t="n">
        <v>0</v>
      </c>
      <c r="M565" t="n">
        <v>0</v>
      </c>
      <c r="N565" t="n">
        <v>0</v>
      </c>
      <c r="O565" t="n">
        <v>0</v>
      </c>
      <c r="P565" t="n">
        <v>0</v>
      </c>
      <c r="Q565" t="n">
        <v>0</v>
      </c>
      <c r="R565" s="2" t="inlineStr"/>
    </row>
    <row r="566" ht="15" customHeight="1">
      <c r="A566" t="inlineStr">
        <is>
          <t>A 56382-2022</t>
        </is>
      </c>
      <c r="B566" s="1" t="n">
        <v>44890.75795138889</v>
      </c>
      <c r="C566" s="1" t="n">
        <v>46117</v>
      </c>
      <c r="D566" t="inlineStr">
        <is>
          <t>UPPSALA LÄN</t>
        </is>
      </c>
      <c r="E566" t="inlineStr">
        <is>
          <t>ÖSTHAMMAR</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360-2026</t>
        </is>
      </c>
      <c r="B567" s="1" t="n">
        <v>46027.66442129629</v>
      </c>
      <c r="C567" s="1" t="n">
        <v>46117</v>
      </c>
      <c r="D567" t="inlineStr">
        <is>
          <t>UPPSALA LÄN</t>
        </is>
      </c>
      <c r="E567" t="inlineStr">
        <is>
          <t>ÖSTHAMMAR</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285-2026</t>
        </is>
      </c>
      <c r="B568" s="1" t="n">
        <v>46027.49130787037</v>
      </c>
      <c r="C568" s="1" t="n">
        <v>46117</v>
      </c>
      <c r="D568" t="inlineStr">
        <is>
          <t>UPPSALA LÄN</t>
        </is>
      </c>
      <c r="E568" t="inlineStr">
        <is>
          <t>ÖSTHAMMAR</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57043-2022</t>
        </is>
      </c>
      <c r="B569" s="1" t="n">
        <v>44895.36748842592</v>
      </c>
      <c r="C569" s="1" t="n">
        <v>46117</v>
      </c>
      <c r="D569" t="inlineStr">
        <is>
          <t>UPPSALA LÄN</t>
        </is>
      </c>
      <c r="E569" t="inlineStr">
        <is>
          <t>ÖSTHAMMAR</t>
        </is>
      </c>
      <c r="F569" t="inlineStr">
        <is>
          <t>Bergvik skog öst AB</t>
        </is>
      </c>
      <c r="G569" t="n">
        <v>5.7</v>
      </c>
      <c r="H569" t="n">
        <v>0</v>
      </c>
      <c r="I569" t="n">
        <v>0</v>
      </c>
      <c r="J569" t="n">
        <v>0</v>
      </c>
      <c r="K569" t="n">
        <v>0</v>
      </c>
      <c r="L569" t="n">
        <v>0</v>
      </c>
      <c r="M569" t="n">
        <v>0</v>
      </c>
      <c r="N569" t="n">
        <v>0</v>
      </c>
      <c r="O569" t="n">
        <v>0</v>
      </c>
      <c r="P569" t="n">
        <v>0</v>
      </c>
      <c r="Q569" t="n">
        <v>0</v>
      </c>
      <c r="R569" s="2" t="inlineStr"/>
    </row>
    <row r="570" ht="15" customHeight="1">
      <c r="A570" t="inlineStr">
        <is>
          <t>A 362-2026</t>
        </is>
      </c>
      <c r="B570" s="1" t="n">
        <v>46027.6659375</v>
      </c>
      <c r="C570" s="1" t="n">
        <v>46117</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59880-2022</t>
        </is>
      </c>
      <c r="B571" s="1" t="n">
        <v>44908.69575231482</v>
      </c>
      <c r="C571" s="1" t="n">
        <v>46117</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638-2026</t>
        </is>
      </c>
      <c r="B572" s="1" t="n">
        <v>46029.56026620371</v>
      </c>
      <c r="C572" s="1" t="n">
        <v>46117</v>
      </c>
      <c r="D572" t="inlineStr">
        <is>
          <t>UPPSALA LÄN</t>
        </is>
      </c>
      <c r="E572" t="inlineStr">
        <is>
          <t>ÖSTHAMMAR</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31896-2025</t>
        </is>
      </c>
      <c r="B573" s="1" t="n">
        <v>45834.67556712963</v>
      </c>
      <c r="C573" s="1" t="n">
        <v>46117</v>
      </c>
      <c r="D573" t="inlineStr">
        <is>
          <t>UPPSALA LÄN</t>
        </is>
      </c>
      <c r="E573" t="inlineStr">
        <is>
          <t>ÖSTHAMMAR</t>
        </is>
      </c>
      <c r="G573" t="n">
        <v>4.1</v>
      </c>
      <c r="H573" t="n">
        <v>0</v>
      </c>
      <c r="I573" t="n">
        <v>0</v>
      </c>
      <c r="J573" t="n">
        <v>0</v>
      </c>
      <c r="K573" t="n">
        <v>0</v>
      </c>
      <c r="L573" t="n">
        <v>0</v>
      </c>
      <c r="M573" t="n">
        <v>0</v>
      </c>
      <c r="N573" t="n">
        <v>0</v>
      </c>
      <c r="O573" t="n">
        <v>0</v>
      </c>
      <c r="P573" t="n">
        <v>0</v>
      </c>
      <c r="Q573" t="n">
        <v>0</v>
      </c>
      <c r="R573" s="2" t="inlineStr"/>
    </row>
    <row r="574" ht="15" customHeight="1">
      <c r="A574" t="inlineStr">
        <is>
          <t>A 7944-2023</t>
        </is>
      </c>
      <c r="B574" s="1" t="n">
        <v>44973.66458333333</v>
      </c>
      <c r="C574" s="1" t="n">
        <v>46117</v>
      </c>
      <c r="D574" t="inlineStr">
        <is>
          <t>UPPSALA LÄN</t>
        </is>
      </c>
      <c r="E574" t="inlineStr">
        <is>
          <t>ÖSTHAMMAR</t>
        </is>
      </c>
      <c r="G574" t="n">
        <v>4.6</v>
      </c>
      <c r="H574" t="n">
        <v>0</v>
      </c>
      <c r="I574" t="n">
        <v>0</v>
      </c>
      <c r="J574" t="n">
        <v>0</v>
      </c>
      <c r="K574" t="n">
        <v>0</v>
      </c>
      <c r="L574" t="n">
        <v>0</v>
      </c>
      <c r="M574" t="n">
        <v>0</v>
      </c>
      <c r="N574" t="n">
        <v>0</v>
      </c>
      <c r="O574" t="n">
        <v>0</v>
      </c>
      <c r="P574" t="n">
        <v>0</v>
      </c>
      <c r="Q574" t="n">
        <v>0</v>
      </c>
      <c r="R574" s="2" t="inlineStr"/>
    </row>
    <row r="575" ht="15" customHeight="1">
      <c r="A575" t="inlineStr">
        <is>
          <t>A 52659-2021</t>
        </is>
      </c>
      <c r="B575" s="1" t="n">
        <v>44466</v>
      </c>
      <c r="C575" s="1" t="n">
        <v>46117</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653-2026</t>
        </is>
      </c>
      <c r="B576" s="1" t="n">
        <v>46029.57829861111</v>
      </c>
      <c r="C576" s="1" t="n">
        <v>46117</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7216-2025</t>
        </is>
      </c>
      <c r="B577" s="1" t="n">
        <v>45702.47630787037</v>
      </c>
      <c r="C577" s="1" t="n">
        <v>46117</v>
      </c>
      <c r="D577" t="inlineStr">
        <is>
          <t>UPPSALA LÄN</t>
        </is>
      </c>
      <c r="E577" t="inlineStr">
        <is>
          <t>ÖSTHAMMAR</t>
        </is>
      </c>
      <c r="F577" t="inlineStr">
        <is>
          <t>Övriga Aktiebolag</t>
        </is>
      </c>
      <c r="G577" t="n">
        <v>12.5</v>
      </c>
      <c r="H577" t="n">
        <v>0</v>
      </c>
      <c r="I577" t="n">
        <v>0</v>
      </c>
      <c r="J577" t="n">
        <v>0</v>
      </c>
      <c r="K577" t="n">
        <v>0</v>
      </c>
      <c r="L577" t="n">
        <v>0</v>
      </c>
      <c r="M577" t="n">
        <v>0</v>
      </c>
      <c r="N577" t="n">
        <v>0</v>
      </c>
      <c r="O577" t="n">
        <v>0</v>
      </c>
      <c r="P577" t="n">
        <v>0</v>
      </c>
      <c r="Q577" t="n">
        <v>0</v>
      </c>
      <c r="R577" s="2" t="inlineStr"/>
    </row>
    <row r="578" ht="15" customHeight="1">
      <c r="A578" t="inlineStr">
        <is>
          <t>A 73965-2021</t>
        </is>
      </c>
      <c r="B578" s="1" t="n">
        <v>44553.80824074074</v>
      </c>
      <c r="C578" s="1" t="n">
        <v>46117</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3418-2025</t>
        </is>
      </c>
      <c r="B579" s="1" t="n">
        <v>45680</v>
      </c>
      <c r="C579" s="1" t="n">
        <v>46117</v>
      </c>
      <c r="D579" t="inlineStr">
        <is>
          <t>UPPSALA LÄN</t>
        </is>
      </c>
      <c r="E579" t="inlineStr">
        <is>
          <t>ÖSTHAMMAR</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3420-2025</t>
        </is>
      </c>
      <c r="B580" s="1" t="n">
        <v>45680</v>
      </c>
      <c r="C580" s="1" t="n">
        <v>46117</v>
      </c>
      <c r="D580" t="inlineStr">
        <is>
          <t>UPPSALA LÄN</t>
        </is>
      </c>
      <c r="E580" t="inlineStr">
        <is>
          <t>ÖSTHAMMAR</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5303-2025</t>
        </is>
      </c>
      <c r="B581" s="1" t="n">
        <v>45692</v>
      </c>
      <c r="C581" s="1" t="n">
        <v>46117</v>
      </c>
      <c r="D581" t="inlineStr">
        <is>
          <t>UPPSALA LÄN</t>
        </is>
      </c>
      <c r="E581" t="inlineStr">
        <is>
          <t>ÖSTHAMMAR</t>
        </is>
      </c>
      <c r="G581" t="n">
        <v>5</v>
      </c>
      <c r="H581" t="n">
        <v>0</v>
      </c>
      <c r="I581" t="n">
        <v>0</v>
      </c>
      <c r="J581" t="n">
        <v>0</v>
      </c>
      <c r="K581" t="n">
        <v>0</v>
      </c>
      <c r="L581" t="n">
        <v>0</v>
      </c>
      <c r="M581" t="n">
        <v>0</v>
      </c>
      <c r="N581" t="n">
        <v>0</v>
      </c>
      <c r="O581" t="n">
        <v>0</v>
      </c>
      <c r="P581" t="n">
        <v>0</v>
      </c>
      <c r="Q581" t="n">
        <v>0</v>
      </c>
      <c r="R581" s="2" t="inlineStr"/>
    </row>
    <row r="582" ht="15" customHeight="1">
      <c r="A582" t="inlineStr">
        <is>
          <t>A 52661-2022</t>
        </is>
      </c>
      <c r="B582" s="1" t="n">
        <v>44874</v>
      </c>
      <c r="C582" s="1" t="n">
        <v>46117</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1271-2026</t>
        </is>
      </c>
      <c r="B583" s="1" t="n">
        <v>46031.46616898148</v>
      </c>
      <c r="C583" s="1" t="n">
        <v>46117</v>
      </c>
      <c r="D583" t="inlineStr">
        <is>
          <t>UPPSALA LÄN</t>
        </is>
      </c>
      <c r="E583" t="inlineStr">
        <is>
          <t>ÖSTHAMMAR</t>
        </is>
      </c>
      <c r="F583" t="inlineStr">
        <is>
          <t>Bergvik skog öst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1393-2026</t>
        </is>
      </c>
      <c r="B584" s="1" t="n">
        <v>46031.63748842593</v>
      </c>
      <c r="C584" s="1" t="n">
        <v>46117</v>
      </c>
      <c r="D584" t="inlineStr">
        <is>
          <t>UPPSALA LÄN</t>
        </is>
      </c>
      <c r="E584" t="inlineStr">
        <is>
          <t>ÖSTHAMMAR</t>
        </is>
      </c>
      <c r="F584" t="inlineStr">
        <is>
          <t>Bergvik skog öst AB</t>
        </is>
      </c>
      <c r="G584" t="n">
        <v>4</v>
      </c>
      <c r="H584" t="n">
        <v>0</v>
      </c>
      <c r="I584" t="n">
        <v>0</v>
      </c>
      <c r="J584" t="n">
        <v>0</v>
      </c>
      <c r="K584" t="n">
        <v>0</v>
      </c>
      <c r="L584" t="n">
        <v>0</v>
      </c>
      <c r="M584" t="n">
        <v>0</v>
      </c>
      <c r="N584" t="n">
        <v>0</v>
      </c>
      <c r="O584" t="n">
        <v>0</v>
      </c>
      <c r="P584" t="n">
        <v>0</v>
      </c>
      <c r="Q584" t="n">
        <v>0</v>
      </c>
      <c r="R584" s="2" t="inlineStr"/>
    </row>
    <row r="585" ht="15" customHeight="1">
      <c r="A585" t="inlineStr">
        <is>
          <t>A 2358-2026</t>
        </is>
      </c>
      <c r="B585" s="1" t="n">
        <v>46034</v>
      </c>
      <c r="C585" s="1" t="n">
        <v>46117</v>
      </c>
      <c r="D585" t="inlineStr">
        <is>
          <t>UPPSALA LÄN</t>
        </is>
      </c>
      <c r="E585" t="inlineStr">
        <is>
          <t>ÖSTHAMMAR</t>
        </is>
      </c>
      <c r="G585" t="n">
        <v>3.6</v>
      </c>
      <c r="H585" t="n">
        <v>0</v>
      </c>
      <c r="I585" t="n">
        <v>0</v>
      </c>
      <c r="J585" t="n">
        <v>0</v>
      </c>
      <c r="K585" t="n">
        <v>0</v>
      </c>
      <c r="L585" t="n">
        <v>0</v>
      </c>
      <c r="M585" t="n">
        <v>0</v>
      </c>
      <c r="N585" t="n">
        <v>0</v>
      </c>
      <c r="O585" t="n">
        <v>0</v>
      </c>
      <c r="P585" t="n">
        <v>0</v>
      </c>
      <c r="Q585" t="n">
        <v>0</v>
      </c>
      <c r="R585" s="2" t="inlineStr"/>
    </row>
    <row r="586" ht="15" customHeight="1">
      <c r="A586" t="inlineStr">
        <is>
          <t>A 65028-2021</t>
        </is>
      </c>
      <c r="B586" s="1" t="n">
        <v>44515</v>
      </c>
      <c r="C586" s="1" t="n">
        <v>46117</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1906-2026</t>
        </is>
      </c>
      <c r="B587" s="1" t="n">
        <v>46035.55158564815</v>
      </c>
      <c r="C587" s="1" t="n">
        <v>46117</v>
      </c>
      <c r="D587" t="inlineStr">
        <is>
          <t>UPPSALA LÄN</t>
        </is>
      </c>
      <c r="E587" t="inlineStr">
        <is>
          <t>ÖSTHAMMAR</t>
        </is>
      </c>
      <c r="F587" t="inlineStr">
        <is>
          <t>Bergvik skog öst AB</t>
        </is>
      </c>
      <c r="G587" t="n">
        <v>4.3</v>
      </c>
      <c r="H587" t="n">
        <v>0</v>
      </c>
      <c r="I587" t="n">
        <v>0</v>
      </c>
      <c r="J587" t="n">
        <v>0</v>
      </c>
      <c r="K587" t="n">
        <v>0</v>
      </c>
      <c r="L587" t="n">
        <v>0</v>
      </c>
      <c r="M587" t="n">
        <v>0</v>
      </c>
      <c r="N587" t="n">
        <v>0</v>
      </c>
      <c r="O587" t="n">
        <v>0</v>
      </c>
      <c r="P587" t="n">
        <v>0</v>
      </c>
      <c r="Q587" t="n">
        <v>0</v>
      </c>
      <c r="R587" s="2" t="inlineStr"/>
    </row>
    <row r="588" ht="15" customHeight="1">
      <c r="A588" t="inlineStr">
        <is>
          <t>A 2352-2026</t>
        </is>
      </c>
      <c r="B588" s="1" t="n">
        <v>46034</v>
      </c>
      <c r="C588" s="1" t="n">
        <v>46117</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40547-2023</t>
        </is>
      </c>
      <c r="B589" s="1" t="n">
        <v>45170.45050925926</v>
      </c>
      <c r="C589" s="1" t="n">
        <v>46117</v>
      </c>
      <c r="D589" t="inlineStr">
        <is>
          <t>UPPSALA LÄN</t>
        </is>
      </c>
      <c r="E589" t="inlineStr">
        <is>
          <t>ÖSTHAMMAR</t>
        </is>
      </c>
      <c r="G589" t="n">
        <v>2.1</v>
      </c>
      <c r="H589" t="n">
        <v>0</v>
      </c>
      <c r="I589" t="n">
        <v>0</v>
      </c>
      <c r="J589" t="n">
        <v>0</v>
      </c>
      <c r="K589" t="n">
        <v>0</v>
      </c>
      <c r="L589" t="n">
        <v>0</v>
      </c>
      <c r="M589" t="n">
        <v>0</v>
      </c>
      <c r="N589" t="n">
        <v>0</v>
      </c>
      <c r="O589" t="n">
        <v>0</v>
      </c>
      <c r="P589" t="n">
        <v>0</v>
      </c>
      <c r="Q589" t="n">
        <v>0</v>
      </c>
      <c r="R589" s="2" t="inlineStr"/>
    </row>
    <row r="590" ht="15" customHeight="1">
      <c r="A590" t="inlineStr">
        <is>
          <t>A 8874-2025</t>
        </is>
      </c>
      <c r="B590" s="1" t="n">
        <v>45713</v>
      </c>
      <c r="C590" s="1" t="n">
        <v>46117</v>
      </c>
      <c r="D590" t="inlineStr">
        <is>
          <t>UPPSALA LÄN</t>
        </is>
      </c>
      <c r="E590" t="inlineStr">
        <is>
          <t>ÖSTHAMMAR</t>
        </is>
      </c>
      <c r="G590" t="n">
        <v>6.3</v>
      </c>
      <c r="H590" t="n">
        <v>0</v>
      </c>
      <c r="I590" t="n">
        <v>0</v>
      </c>
      <c r="J590" t="n">
        <v>0</v>
      </c>
      <c r="K590" t="n">
        <v>0</v>
      </c>
      <c r="L590" t="n">
        <v>0</v>
      </c>
      <c r="M590" t="n">
        <v>0</v>
      </c>
      <c r="N590" t="n">
        <v>0</v>
      </c>
      <c r="O590" t="n">
        <v>0</v>
      </c>
      <c r="P590" t="n">
        <v>0</v>
      </c>
      <c r="Q590" t="n">
        <v>0</v>
      </c>
      <c r="R590" s="2" t="inlineStr"/>
    </row>
    <row r="591" ht="15" customHeight="1">
      <c r="A591" t="inlineStr">
        <is>
          <t>A 14505-2023</t>
        </is>
      </c>
      <c r="B591" s="1" t="n">
        <v>45012.7975</v>
      </c>
      <c r="C591" s="1" t="n">
        <v>46117</v>
      </c>
      <c r="D591" t="inlineStr">
        <is>
          <t>UPPSALA LÄN</t>
        </is>
      </c>
      <c r="E591" t="inlineStr">
        <is>
          <t>ÖSTHAMMAR</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47341-2023</t>
        </is>
      </c>
      <c r="B592" s="1" t="n">
        <v>45202.55721064815</v>
      </c>
      <c r="C592" s="1" t="n">
        <v>46117</v>
      </c>
      <c r="D592" t="inlineStr">
        <is>
          <t>UPPSALA LÄN</t>
        </is>
      </c>
      <c r="E592" t="inlineStr">
        <is>
          <t>ÖSTHAMMAR</t>
        </is>
      </c>
      <c r="G592" t="n">
        <v>4.9</v>
      </c>
      <c r="H592" t="n">
        <v>0</v>
      </c>
      <c r="I592" t="n">
        <v>0</v>
      </c>
      <c r="J592" t="n">
        <v>0</v>
      </c>
      <c r="K592" t="n">
        <v>0</v>
      </c>
      <c r="L592" t="n">
        <v>0</v>
      </c>
      <c r="M592" t="n">
        <v>0</v>
      </c>
      <c r="N592" t="n">
        <v>0</v>
      </c>
      <c r="O592" t="n">
        <v>0</v>
      </c>
      <c r="P592" t="n">
        <v>0</v>
      </c>
      <c r="Q592" t="n">
        <v>0</v>
      </c>
      <c r="R592" s="2" t="inlineStr"/>
    </row>
    <row r="593" ht="15" customHeight="1">
      <c r="A593" t="inlineStr">
        <is>
          <t>A 3732-2022</t>
        </is>
      </c>
      <c r="B593" s="1" t="n">
        <v>44586.64851851852</v>
      </c>
      <c r="C593" s="1" t="n">
        <v>46117</v>
      </c>
      <c r="D593" t="inlineStr">
        <is>
          <t>UPPSALA LÄN</t>
        </is>
      </c>
      <c r="E593" t="inlineStr">
        <is>
          <t>ÖSTHAMMAR</t>
        </is>
      </c>
      <c r="F593" t="inlineStr">
        <is>
          <t>Bergvik skog öst AB</t>
        </is>
      </c>
      <c r="G593" t="n">
        <v>3.6</v>
      </c>
      <c r="H593" t="n">
        <v>0</v>
      </c>
      <c r="I593" t="n">
        <v>0</v>
      </c>
      <c r="J593" t="n">
        <v>0</v>
      </c>
      <c r="K593" t="n">
        <v>0</v>
      </c>
      <c r="L593" t="n">
        <v>0</v>
      </c>
      <c r="M593" t="n">
        <v>0</v>
      </c>
      <c r="N593" t="n">
        <v>0</v>
      </c>
      <c r="O593" t="n">
        <v>0</v>
      </c>
      <c r="P593" t="n">
        <v>0</v>
      </c>
      <c r="Q593" t="n">
        <v>0</v>
      </c>
      <c r="R593" s="2" t="inlineStr"/>
    </row>
    <row r="594" ht="15" customHeight="1">
      <c r="A594" t="inlineStr">
        <is>
          <t>A 33056-2021</t>
        </is>
      </c>
      <c r="B594" s="1" t="n">
        <v>44376.52438657408</v>
      </c>
      <c r="C594" s="1" t="n">
        <v>46117</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2615-2026</t>
        </is>
      </c>
      <c r="B595" s="1" t="n">
        <v>46037.58893518519</v>
      </c>
      <c r="C595" s="1" t="n">
        <v>46117</v>
      </c>
      <c r="D595" t="inlineStr">
        <is>
          <t>UPPSALA LÄN</t>
        </is>
      </c>
      <c r="E595" t="inlineStr">
        <is>
          <t>ÖSTHAMMAR</t>
        </is>
      </c>
      <c r="G595" t="n">
        <v>3.2</v>
      </c>
      <c r="H595" t="n">
        <v>0</v>
      </c>
      <c r="I595" t="n">
        <v>0</v>
      </c>
      <c r="J595" t="n">
        <v>0</v>
      </c>
      <c r="K595" t="n">
        <v>0</v>
      </c>
      <c r="L595" t="n">
        <v>0</v>
      </c>
      <c r="M595" t="n">
        <v>0</v>
      </c>
      <c r="N595" t="n">
        <v>0</v>
      </c>
      <c r="O595" t="n">
        <v>0</v>
      </c>
      <c r="P595" t="n">
        <v>0</v>
      </c>
      <c r="Q595" t="n">
        <v>0</v>
      </c>
      <c r="R595" s="2" t="inlineStr"/>
    </row>
    <row r="596" ht="15" customHeight="1">
      <c r="A596" t="inlineStr">
        <is>
          <t>A 2620-2026</t>
        </is>
      </c>
      <c r="B596" s="1" t="n">
        <v>46037.59137731481</v>
      </c>
      <c r="C596" s="1" t="n">
        <v>46117</v>
      </c>
      <c r="D596" t="inlineStr">
        <is>
          <t>UPPSALA LÄN</t>
        </is>
      </c>
      <c r="E596" t="inlineStr">
        <is>
          <t>ÖSTHAMMAR</t>
        </is>
      </c>
      <c r="G596" t="n">
        <v>4.4</v>
      </c>
      <c r="H596" t="n">
        <v>0</v>
      </c>
      <c r="I596" t="n">
        <v>0</v>
      </c>
      <c r="J596" t="n">
        <v>0</v>
      </c>
      <c r="K596" t="n">
        <v>0</v>
      </c>
      <c r="L596" t="n">
        <v>0</v>
      </c>
      <c r="M596" t="n">
        <v>0</v>
      </c>
      <c r="N596" t="n">
        <v>0</v>
      </c>
      <c r="O596" t="n">
        <v>0</v>
      </c>
      <c r="P596" t="n">
        <v>0</v>
      </c>
      <c r="Q596" t="n">
        <v>0</v>
      </c>
      <c r="R596" s="2" t="inlineStr"/>
    </row>
    <row r="597" ht="15" customHeight="1">
      <c r="A597" t="inlineStr">
        <is>
          <t>A 25269-2024</t>
        </is>
      </c>
      <c r="B597" s="1" t="n">
        <v>45462</v>
      </c>
      <c r="C597" s="1" t="n">
        <v>46117</v>
      </c>
      <c r="D597" t="inlineStr">
        <is>
          <t>UPPSALA LÄN</t>
        </is>
      </c>
      <c r="E597" t="inlineStr">
        <is>
          <t>ÖSTHAMMAR</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13352-2023</t>
        </is>
      </c>
      <c r="B598" s="1" t="n">
        <v>45005</v>
      </c>
      <c r="C598" s="1" t="n">
        <v>46117</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22804-2022</t>
        </is>
      </c>
      <c r="B599" s="1" t="n">
        <v>44715</v>
      </c>
      <c r="C599" s="1" t="n">
        <v>46117</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45795-2023</t>
        </is>
      </c>
      <c r="B600" s="1" t="n">
        <v>45195</v>
      </c>
      <c r="C600" s="1" t="n">
        <v>46117</v>
      </c>
      <c r="D600" t="inlineStr">
        <is>
          <t>UPPSALA LÄN</t>
        </is>
      </c>
      <c r="E600" t="inlineStr">
        <is>
          <t>ÖSTHAMMAR</t>
        </is>
      </c>
      <c r="G600" t="n">
        <v>4</v>
      </c>
      <c r="H600" t="n">
        <v>0</v>
      </c>
      <c r="I600" t="n">
        <v>0</v>
      </c>
      <c r="J600" t="n">
        <v>0</v>
      </c>
      <c r="K600" t="n">
        <v>0</v>
      </c>
      <c r="L600" t="n">
        <v>0</v>
      </c>
      <c r="M600" t="n">
        <v>0</v>
      </c>
      <c r="N600" t="n">
        <v>0</v>
      </c>
      <c r="O600" t="n">
        <v>0</v>
      </c>
      <c r="P600" t="n">
        <v>0</v>
      </c>
      <c r="Q600" t="n">
        <v>0</v>
      </c>
      <c r="R600" s="2" t="inlineStr"/>
    </row>
    <row r="601" ht="15" customHeight="1">
      <c r="A601" t="inlineStr">
        <is>
          <t>A 3095-2026</t>
        </is>
      </c>
      <c r="B601" s="1" t="n">
        <v>46040.90493055555</v>
      </c>
      <c r="C601" s="1" t="n">
        <v>46117</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46117</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7997-2022</t>
        </is>
      </c>
      <c r="B603" s="1" t="n">
        <v>44609</v>
      </c>
      <c r="C603" s="1" t="n">
        <v>46117</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67199-2021</t>
        </is>
      </c>
      <c r="B604" s="1" t="n">
        <v>44523.46197916667</v>
      </c>
      <c r="C604" s="1" t="n">
        <v>46117</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15449-2022</t>
        </is>
      </c>
      <c r="B605" s="1" t="n">
        <v>44660.91659722223</v>
      </c>
      <c r="C605" s="1" t="n">
        <v>46117</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18183-2022</t>
        </is>
      </c>
      <c r="B606" s="1" t="n">
        <v>44684</v>
      </c>
      <c r="C606" s="1" t="n">
        <v>46117</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46117</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46117</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6892-2022</t>
        </is>
      </c>
      <c r="B609" s="1" t="n">
        <v>44602</v>
      </c>
      <c r="C609" s="1" t="n">
        <v>46117</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62295-2022</t>
        </is>
      </c>
      <c r="B610" s="1" t="n">
        <v>44916</v>
      </c>
      <c r="C610" s="1" t="n">
        <v>46117</v>
      </c>
      <c r="D610" t="inlineStr">
        <is>
          <t>UPPSALA LÄN</t>
        </is>
      </c>
      <c r="E610" t="inlineStr">
        <is>
          <t>ÖSTHAMMAR</t>
        </is>
      </c>
      <c r="G610" t="n">
        <v>3.3</v>
      </c>
      <c r="H610" t="n">
        <v>0</v>
      </c>
      <c r="I610" t="n">
        <v>0</v>
      </c>
      <c r="J610" t="n">
        <v>0</v>
      </c>
      <c r="K610" t="n">
        <v>0</v>
      </c>
      <c r="L610" t="n">
        <v>0</v>
      </c>
      <c r="M610" t="n">
        <v>0</v>
      </c>
      <c r="N610" t="n">
        <v>0</v>
      </c>
      <c r="O610" t="n">
        <v>0</v>
      </c>
      <c r="P610" t="n">
        <v>0</v>
      </c>
      <c r="Q610" t="n">
        <v>0</v>
      </c>
      <c r="R610" s="2" t="inlineStr"/>
    </row>
    <row r="611" ht="15" customHeight="1">
      <c r="A611" t="inlineStr">
        <is>
          <t>A 12150-2026</t>
        </is>
      </c>
      <c r="B611" s="1" t="n">
        <v>46086.59512731482</v>
      </c>
      <c r="C611" s="1" t="n">
        <v>46117</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12151-2026</t>
        </is>
      </c>
      <c r="B612" s="1" t="n">
        <v>46086.5972800926</v>
      </c>
      <c r="C612" s="1" t="n">
        <v>46117</v>
      </c>
      <c r="D612" t="inlineStr">
        <is>
          <t>UPPSALA LÄN</t>
        </is>
      </c>
      <c r="E612" t="inlineStr">
        <is>
          <t>ÖSTHAMMAR</t>
        </is>
      </c>
      <c r="F612" t="inlineStr">
        <is>
          <t>Bergvik skog öst AB</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8830-2023</t>
        </is>
      </c>
      <c r="B613" s="1" t="n">
        <v>44978</v>
      </c>
      <c r="C613" s="1" t="n">
        <v>46117</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12172-2026</t>
        </is>
      </c>
      <c r="B614" s="1" t="n">
        <v>46086.6590625</v>
      </c>
      <c r="C614" s="1" t="n">
        <v>46117</v>
      </c>
      <c r="D614" t="inlineStr">
        <is>
          <t>UPPSALA LÄN</t>
        </is>
      </c>
      <c r="E614" t="inlineStr">
        <is>
          <t>ÖSTHAMMAR</t>
        </is>
      </c>
      <c r="F614" t="inlineStr">
        <is>
          <t>Bergvik skog öst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3926-2026</t>
        </is>
      </c>
      <c r="B615" s="1" t="n">
        <v>46043.781875</v>
      </c>
      <c r="C615" s="1" t="n">
        <v>46117</v>
      </c>
      <c r="D615" t="inlineStr">
        <is>
          <t>UPPSALA LÄN</t>
        </is>
      </c>
      <c r="E615" t="inlineStr">
        <is>
          <t>ÖSTHAMMAR</t>
        </is>
      </c>
      <c r="G615" t="n">
        <v>3.3</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46087.49299768519</v>
      </c>
      <c r="C616" s="1" t="n">
        <v>46117</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18091-2023</t>
        </is>
      </c>
      <c r="B617" s="1" t="n">
        <v>45040</v>
      </c>
      <c r="C617" s="1" t="n">
        <v>46117</v>
      </c>
      <c r="D617" t="inlineStr">
        <is>
          <t>UPPSALA LÄN</t>
        </is>
      </c>
      <c r="E617" t="inlineStr">
        <is>
          <t>ÖSTHAMMAR</t>
        </is>
      </c>
      <c r="G617" t="n">
        <v>2.4</v>
      </c>
      <c r="H617" t="n">
        <v>0</v>
      </c>
      <c r="I617" t="n">
        <v>0</v>
      </c>
      <c r="J617" t="n">
        <v>0</v>
      </c>
      <c r="K617" t="n">
        <v>0</v>
      </c>
      <c r="L617" t="n">
        <v>0</v>
      </c>
      <c r="M617" t="n">
        <v>0</v>
      </c>
      <c r="N617" t="n">
        <v>0</v>
      </c>
      <c r="O617" t="n">
        <v>0</v>
      </c>
      <c r="P617" t="n">
        <v>0</v>
      </c>
      <c r="Q617" t="n">
        <v>0</v>
      </c>
      <c r="R617" s="2" t="inlineStr"/>
    </row>
    <row r="618" ht="15" customHeight="1">
      <c r="A618" t="inlineStr">
        <is>
          <t>A 47522-2023</t>
        </is>
      </c>
      <c r="B618" s="1" t="n">
        <v>45203</v>
      </c>
      <c r="C618" s="1" t="n">
        <v>46117</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13358-2024</t>
        </is>
      </c>
      <c r="B619" s="1" t="n">
        <v>45387.3503125</v>
      </c>
      <c r="C619" s="1" t="n">
        <v>46117</v>
      </c>
      <c r="D619" t="inlineStr">
        <is>
          <t>UPPSALA LÄN</t>
        </is>
      </c>
      <c r="E619" t="inlineStr">
        <is>
          <t>ÖSTHAMMAR</t>
        </is>
      </c>
      <c r="G619" t="n">
        <v>2.2</v>
      </c>
      <c r="H619" t="n">
        <v>0</v>
      </c>
      <c r="I619" t="n">
        <v>0</v>
      </c>
      <c r="J619" t="n">
        <v>0</v>
      </c>
      <c r="K619" t="n">
        <v>0</v>
      </c>
      <c r="L619" t="n">
        <v>0</v>
      </c>
      <c r="M619" t="n">
        <v>0</v>
      </c>
      <c r="N619" t="n">
        <v>0</v>
      </c>
      <c r="O619" t="n">
        <v>0</v>
      </c>
      <c r="P619" t="n">
        <v>0</v>
      </c>
      <c r="Q619" t="n">
        <v>0</v>
      </c>
      <c r="R619" s="2" t="inlineStr"/>
    </row>
    <row r="620" ht="15" customHeight="1">
      <c r="A620" t="inlineStr">
        <is>
          <t>A 29282-2021</t>
        </is>
      </c>
      <c r="B620" s="1" t="n">
        <v>44361</v>
      </c>
      <c r="C620" s="1" t="n">
        <v>46117</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12261-2026</t>
        </is>
      </c>
      <c r="B621" s="1" t="n">
        <v>46087.48739583333</v>
      </c>
      <c r="C621" s="1" t="n">
        <v>46117</v>
      </c>
      <c r="D621" t="inlineStr">
        <is>
          <t>UPPSALA LÄN</t>
        </is>
      </c>
      <c r="E621" t="inlineStr">
        <is>
          <t>ÖSTHAMMAR</t>
        </is>
      </c>
      <c r="F621" t="inlineStr">
        <is>
          <t>Övriga Aktiebolag</t>
        </is>
      </c>
      <c r="G621" t="n">
        <v>1.6</v>
      </c>
      <c r="H621" t="n">
        <v>0</v>
      </c>
      <c r="I621" t="n">
        <v>0</v>
      </c>
      <c r="J621" t="n">
        <v>0</v>
      </c>
      <c r="K621" t="n">
        <v>0</v>
      </c>
      <c r="L621" t="n">
        <v>0</v>
      </c>
      <c r="M621" t="n">
        <v>0</v>
      </c>
      <c r="N621" t="n">
        <v>0</v>
      </c>
      <c r="O621" t="n">
        <v>0</v>
      </c>
      <c r="P621" t="n">
        <v>0</v>
      </c>
      <c r="Q621" t="n">
        <v>0</v>
      </c>
      <c r="R621" s="2" t="inlineStr"/>
    </row>
    <row r="622" ht="15" customHeight="1">
      <c r="A622" t="inlineStr">
        <is>
          <t>A 12262-2026</t>
        </is>
      </c>
      <c r="B622" s="1" t="n">
        <v>46087.4896875</v>
      </c>
      <c r="C622" s="1" t="n">
        <v>46117</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54366-2023</t>
        </is>
      </c>
      <c r="B623" s="1" t="n">
        <v>45233</v>
      </c>
      <c r="C623" s="1" t="n">
        <v>46117</v>
      </c>
      <c r="D623" t="inlineStr">
        <is>
          <t>UPPSALA LÄN</t>
        </is>
      </c>
      <c r="E623" t="inlineStr">
        <is>
          <t>ÖSTHAMMAR</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46117</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12387-2026</t>
        </is>
      </c>
      <c r="B625" s="1" t="n">
        <v>46090</v>
      </c>
      <c r="C625" s="1" t="n">
        <v>46117</v>
      </c>
      <c r="D625" t="inlineStr">
        <is>
          <t>UPPSALA LÄN</t>
        </is>
      </c>
      <c r="E625" t="inlineStr">
        <is>
          <t>ÖSTHAMMAR</t>
        </is>
      </c>
      <c r="G625" t="n">
        <v>1.2</v>
      </c>
      <c r="H625" t="n">
        <v>0</v>
      </c>
      <c r="I625" t="n">
        <v>0</v>
      </c>
      <c r="J625" t="n">
        <v>0</v>
      </c>
      <c r="K625" t="n">
        <v>0</v>
      </c>
      <c r="L625" t="n">
        <v>0</v>
      </c>
      <c r="M625" t="n">
        <v>0</v>
      </c>
      <c r="N625" t="n">
        <v>0</v>
      </c>
      <c r="O625" t="n">
        <v>0</v>
      </c>
      <c r="P625" t="n">
        <v>0</v>
      </c>
      <c r="Q625" t="n">
        <v>0</v>
      </c>
      <c r="R625" s="2" t="inlineStr"/>
    </row>
    <row r="626" ht="15" customHeight="1">
      <c r="A626" t="inlineStr">
        <is>
          <t>A 52694-2023</t>
        </is>
      </c>
      <c r="B626" s="1" t="n">
        <v>45225.76836805556</v>
      </c>
      <c r="C626" s="1" t="n">
        <v>46117</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23120-2021</t>
        </is>
      </c>
      <c r="B627" s="1" t="n">
        <v>44330</v>
      </c>
      <c r="C627" s="1" t="n">
        <v>46117</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36873-2022</t>
        </is>
      </c>
      <c r="B628" s="1" t="n">
        <v>44805.63708333333</v>
      </c>
      <c r="C628" s="1" t="n">
        <v>46117</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4570-2026</t>
        </is>
      </c>
      <c r="B629" s="1" t="n">
        <v>46048.00856481482</v>
      </c>
      <c r="C629" s="1" t="n">
        <v>46117</v>
      </c>
      <c r="D629" t="inlineStr">
        <is>
          <t>UPPSALA LÄN</t>
        </is>
      </c>
      <c r="E629" t="inlineStr">
        <is>
          <t>ÖSTHAMMAR</t>
        </is>
      </c>
      <c r="F629" t="inlineStr">
        <is>
          <t>Allmännings- och besparingsskogar</t>
        </is>
      </c>
      <c r="G629" t="n">
        <v>7.1</v>
      </c>
      <c r="H629" t="n">
        <v>0</v>
      </c>
      <c r="I629" t="n">
        <v>0</v>
      </c>
      <c r="J629" t="n">
        <v>0</v>
      </c>
      <c r="K629" t="n">
        <v>0</v>
      </c>
      <c r="L629" t="n">
        <v>0</v>
      </c>
      <c r="M629" t="n">
        <v>0</v>
      </c>
      <c r="N629" t="n">
        <v>0</v>
      </c>
      <c r="O629" t="n">
        <v>0</v>
      </c>
      <c r="P629" t="n">
        <v>0</v>
      </c>
      <c r="Q629" t="n">
        <v>0</v>
      </c>
      <c r="R629" s="2" t="inlineStr"/>
    </row>
    <row r="630" ht="15" customHeight="1">
      <c r="A630" t="inlineStr">
        <is>
          <t>A 54666-2022</t>
        </is>
      </c>
      <c r="B630" s="1" t="n">
        <v>44883</v>
      </c>
      <c r="C630" s="1" t="n">
        <v>46117</v>
      </c>
      <c r="D630" t="inlineStr">
        <is>
          <t>UPPSALA LÄN</t>
        </is>
      </c>
      <c r="E630" t="inlineStr">
        <is>
          <t>ÖSTHAMMAR</t>
        </is>
      </c>
      <c r="G630" t="n">
        <v>14.3</v>
      </c>
      <c r="H630" t="n">
        <v>0</v>
      </c>
      <c r="I630" t="n">
        <v>0</v>
      </c>
      <c r="J630" t="n">
        <v>0</v>
      </c>
      <c r="K630" t="n">
        <v>0</v>
      </c>
      <c r="L630" t="n">
        <v>0</v>
      </c>
      <c r="M630" t="n">
        <v>0</v>
      </c>
      <c r="N630" t="n">
        <v>0</v>
      </c>
      <c r="O630" t="n">
        <v>0</v>
      </c>
      <c r="P630" t="n">
        <v>0</v>
      </c>
      <c r="Q630" t="n">
        <v>0</v>
      </c>
      <c r="R630" s="2" t="inlineStr"/>
    </row>
    <row r="631" ht="15" customHeight="1">
      <c r="A631" t="inlineStr">
        <is>
          <t>A 61817-2021</t>
        </is>
      </c>
      <c r="B631" s="1" t="n">
        <v>44501.76855324074</v>
      </c>
      <c r="C631" s="1" t="n">
        <v>46117</v>
      </c>
      <c r="D631" t="inlineStr">
        <is>
          <t>UPPSALA LÄN</t>
        </is>
      </c>
      <c r="E631" t="inlineStr">
        <is>
          <t>ÖSTHAMMAR</t>
        </is>
      </c>
      <c r="F631" t="inlineStr">
        <is>
          <t>Bergvik skog öst AB</t>
        </is>
      </c>
      <c r="G631" t="n">
        <v>2.3</v>
      </c>
      <c r="H631" t="n">
        <v>0</v>
      </c>
      <c r="I631" t="n">
        <v>0</v>
      </c>
      <c r="J631" t="n">
        <v>0</v>
      </c>
      <c r="K631" t="n">
        <v>0</v>
      </c>
      <c r="L631" t="n">
        <v>0</v>
      </c>
      <c r="M631" t="n">
        <v>0</v>
      </c>
      <c r="N631" t="n">
        <v>0</v>
      </c>
      <c r="O631" t="n">
        <v>0</v>
      </c>
      <c r="P631" t="n">
        <v>0</v>
      </c>
      <c r="Q631" t="n">
        <v>0</v>
      </c>
      <c r="R631" s="2" t="inlineStr"/>
    </row>
    <row r="632" ht="15" customHeight="1">
      <c r="A632" t="inlineStr">
        <is>
          <t>A 54437-2024</t>
        </is>
      </c>
      <c r="B632" s="1" t="n">
        <v>45617</v>
      </c>
      <c r="C632" s="1" t="n">
        <v>46117</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9052-2023</t>
        </is>
      </c>
      <c r="B633" s="1" t="n">
        <v>44979</v>
      </c>
      <c r="C633" s="1" t="n">
        <v>46117</v>
      </c>
      <c r="D633" t="inlineStr">
        <is>
          <t>UPPSALA LÄN</t>
        </is>
      </c>
      <c r="E633" t="inlineStr">
        <is>
          <t>ÖSTHAMMAR</t>
        </is>
      </c>
      <c r="F633" t="inlineStr">
        <is>
          <t>Kyrkan</t>
        </is>
      </c>
      <c r="G633" t="n">
        <v>0.2</v>
      </c>
      <c r="H633" t="n">
        <v>0</v>
      </c>
      <c r="I633" t="n">
        <v>0</v>
      </c>
      <c r="J633" t="n">
        <v>0</v>
      </c>
      <c r="K633" t="n">
        <v>0</v>
      </c>
      <c r="L633" t="n">
        <v>0</v>
      </c>
      <c r="M633" t="n">
        <v>0</v>
      </c>
      <c r="N633" t="n">
        <v>0</v>
      </c>
      <c r="O633" t="n">
        <v>0</v>
      </c>
      <c r="P633" t="n">
        <v>0</v>
      </c>
      <c r="Q633" t="n">
        <v>0</v>
      </c>
      <c r="R633" s="2" t="inlineStr"/>
    </row>
    <row r="634" ht="15" customHeight="1">
      <c r="A634" t="inlineStr">
        <is>
          <t>A 28152-2024</t>
        </is>
      </c>
      <c r="B634" s="1" t="n">
        <v>45476.77056712963</v>
      </c>
      <c r="C634" s="1" t="n">
        <v>46117</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5469-2026</t>
        </is>
      </c>
      <c r="B635" s="1" t="n">
        <v>46050</v>
      </c>
      <c r="C635" s="1" t="n">
        <v>46117</v>
      </c>
      <c r="D635" t="inlineStr">
        <is>
          <t>UPPSALA LÄN</t>
        </is>
      </c>
      <c r="E635" t="inlineStr">
        <is>
          <t>ÖSTHAMMAR</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20326-2021</t>
        </is>
      </c>
      <c r="B636" s="1" t="n">
        <v>44308</v>
      </c>
      <c r="C636" s="1" t="n">
        <v>46117</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12913-2026</t>
        </is>
      </c>
      <c r="B637" s="1" t="n">
        <v>46092.58787037037</v>
      </c>
      <c r="C637" s="1" t="n">
        <v>46117</v>
      </c>
      <c r="D637" t="inlineStr">
        <is>
          <t>UPPSALA LÄN</t>
        </is>
      </c>
      <c r="E637" t="inlineStr">
        <is>
          <t>ÖSTHAMMAR</t>
        </is>
      </c>
      <c r="F637" t="inlineStr">
        <is>
          <t>Övriga Aktiebolag</t>
        </is>
      </c>
      <c r="G637" t="n">
        <v>9</v>
      </c>
      <c r="H637" t="n">
        <v>0</v>
      </c>
      <c r="I637" t="n">
        <v>0</v>
      </c>
      <c r="J637" t="n">
        <v>0</v>
      </c>
      <c r="K637" t="n">
        <v>0</v>
      </c>
      <c r="L637" t="n">
        <v>0</v>
      </c>
      <c r="M637" t="n">
        <v>0</v>
      </c>
      <c r="N637" t="n">
        <v>0</v>
      </c>
      <c r="O637" t="n">
        <v>0</v>
      </c>
      <c r="P637" t="n">
        <v>0</v>
      </c>
      <c r="Q637" t="n">
        <v>0</v>
      </c>
      <c r="R637" s="2" t="inlineStr"/>
    </row>
    <row r="638" ht="15" customHeight="1">
      <c r="A638" t="inlineStr">
        <is>
          <t>A 17643-2025</t>
        </is>
      </c>
      <c r="B638" s="1" t="n">
        <v>45758.32454861111</v>
      </c>
      <c r="C638" s="1" t="n">
        <v>46117</v>
      </c>
      <c r="D638" t="inlineStr">
        <is>
          <t>UPPSALA LÄN</t>
        </is>
      </c>
      <c r="E638" t="inlineStr">
        <is>
          <t>ÖSTHAMMAR</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12262-2023</t>
        </is>
      </c>
      <c r="B639" s="1" t="n">
        <v>44998.66662037037</v>
      </c>
      <c r="C639" s="1" t="n">
        <v>46117</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6238-2026</t>
        </is>
      </c>
      <c r="B640" s="1" t="n">
        <v>46055.45547453704</v>
      </c>
      <c r="C640" s="1" t="n">
        <v>46117</v>
      </c>
      <c r="D640" t="inlineStr">
        <is>
          <t>UPPSALA LÄN</t>
        </is>
      </c>
      <c r="E640" t="inlineStr">
        <is>
          <t>ÖSTHAMMAR</t>
        </is>
      </c>
      <c r="F640" t="inlineStr">
        <is>
          <t>Övriga Aktiebolag</t>
        </is>
      </c>
      <c r="G640" t="n">
        <v>26.7</v>
      </c>
      <c r="H640" t="n">
        <v>0</v>
      </c>
      <c r="I640" t="n">
        <v>0</v>
      </c>
      <c r="J640" t="n">
        <v>0</v>
      </c>
      <c r="K640" t="n">
        <v>0</v>
      </c>
      <c r="L640" t="n">
        <v>0</v>
      </c>
      <c r="M640" t="n">
        <v>0</v>
      </c>
      <c r="N640" t="n">
        <v>0</v>
      </c>
      <c r="O640" t="n">
        <v>0</v>
      </c>
      <c r="P640" t="n">
        <v>0</v>
      </c>
      <c r="Q640" t="n">
        <v>0</v>
      </c>
      <c r="R640" s="2" t="inlineStr"/>
    </row>
    <row r="641" ht="15" customHeight="1">
      <c r="A641" t="inlineStr">
        <is>
          <t>A 41478-2024</t>
        </is>
      </c>
      <c r="B641" s="1" t="n">
        <v>45560.44158564815</v>
      </c>
      <c r="C641" s="1" t="n">
        <v>46117</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16141-2022</t>
        </is>
      </c>
      <c r="B642" s="1" t="n">
        <v>44665</v>
      </c>
      <c r="C642" s="1" t="n">
        <v>46117</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34922-2023</t>
        </is>
      </c>
      <c r="B643" s="1" t="n">
        <v>45142.48359953704</v>
      </c>
      <c r="C643" s="1" t="n">
        <v>46117</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13472-2026</t>
        </is>
      </c>
      <c r="B644" s="1" t="n">
        <v>46094</v>
      </c>
      <c r="C644" s="1" t="n">
        <v>46117</v>
      </c>
      <c r="D644" t="inlineStr">
        <is>
          <t>UPPSALA LÄN</t>
        </is>
      </c>
      <c r="E644" t="inlineStr">
        <is>
          <t>ÖSTHAMMAR</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23495-2023</t>
        </is>
      </c>
      <c r="B645" s="1" t="n">
        <v>45076.71652777777</v>
      </c>
      <c r="C645" s="1" t="n">
        <v>46117</v>
      </c>
      <c r="D645" t="inlineStr">
        <is>
          <t>UPPSALA LÄN</t>
        </is>
      </c>
      <c r="E645" t="inlineStr">
        <is>
          <t>ÖSTHAMMAR</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13703-2026</t>
        </is>
      </c>
      <c r="B646" s="1" t="n">
        <v>46097.56766203704</v>
      </c>
      <c r="C646" s="1" t="n">
        <v>46117</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46117</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14030-2026</t>
        </is>
      </c>
      <c r="B648" s="1" t="n">
        <v>46098.77094907407</v>
      </c>
      <c r="C648" s="1" t="n">
        <v>46117</v>
      </c>
      <c r="D648" t="inlineStr">
        <is>
          <t>UPPSALA LÄN</t>
        </is>
      </c>
      <c r="E648" t="inlineStr">
        <is>
          <t>ÖSTHAMMAR</t>
        </is>
      </c>
      <c r="F648" t="inlineStr">
        <is>
          <t>Bergvik skog öst AB</t>
        </is>
      </c>
      <c r="G648" t="n">
        <v>8.4</v>
      </c>
      <c r="H648" t="n">
        <v>0</v>
      </c>
      <c r="I648" t="n">
        <v>0</v>
      </c>
      <c r="J648" t="n">
        <v>0</v>
      </c>
      <c r="K648" t="n">
        <v>0</v>
      </c>
      <c r="L648" t="n">
        <v>0</v>
      </c>
      <c r="M648" t="n">
        <v>0</v>
      </c>
      <c r="N648" t="n">
        <v>0</v>
      </c>
      <c r="O648" t="n">
        <v>0</v>
      </c>
      <c r="P648" t="n">
        <v>0</v>
      </c>
      <c r="Q648" t="n">
        <v>0</v>
      </c>
      <c r="R648" s="2" t="inlineStr"/>
    </row>
    <row r="649" ht="15" customHeight="1">
      <c r="A649" t="inlineStr">
        <is>
          <t>A 6712-2026</t>
        </is>
      </c>
      <c r="B649" s="1" t="n">
        <v>46056.65564814815</v>
      </c>
      <c r="C649" s="1" t="n">
        <v>46117</v>
      </c>
      <c r="D649" t="inlineStr">
        <is>
          <t>UPPSALA LÄN</t>
        </is>
      </c>
      <c r="E649" t="inlineStr">
        <is>
          <t>ÖSTHAMMAR</t>
        </is>
      </c>
      <c r="F649" t="inlineStr">
        <is>
          <t>Bergvik skog öst AB</t>
        </is>
      </c>
      <c r="G649" t="n">
        <v>5</v>
      </c>
      <c r="H649" t="n">
        <v>0</v>
      </c>
      <c r="I649" t="n">
        <v>0</v>
      </c>
      <c r="J649" t="n">
        <v>0</v>
      </c>
      <c r="K649" t="n">
        <v>0</v>
      </c>
      <c r="L649" t="n">
        <v>0</v>
      </c>
      <c r="M649" t="n">
        <v>0</v>
      </c>
      <c r="N649" t="n">
        <v>0</v>
      </c>
      <c r="O649" t="n">
        <v>0</v>
      </c>
      <c r="P649" t="n">
        <v>0</v>
      </c>
      <c r="Q649" t="n">
        <v>0</v>
      </c>
      <c r="R649" s="2" t="inlineStr"/>
    </row>
    <row r="650" ht="15" customHeight="1">
      <c r="A650" t="inlineStr">
        <is>
          <t>A 6511-2026</t>
        </is>
      </c>
      <c r="B650" s="1" t="n">
        <v>46056.38925925926</v>
      </c>
      <c r="C650" s="1" t="n">
        <v>46117</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46117</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46117</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14007-2026</t>
        </is>
      </c>
      <c r="B653" s="1" t="n">
        <v>46098.65329861111</v>
      </c>
      <c r="C653" s="1" t="n">
        <v>46117</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6517-2026</t>
        </is>
      </c>
      <c r="B654" s="1" t="n">
        <v>46056.39921296296</v>
      </c>
      <c r="C654" s="1" t="n">
        <v>46117</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22798-2023</t>
        </is>
      </c>
      <c r="B655" s="1" t="n">
        <v>45072</v>
      </c>
      <c r="C655" s="1" t="n">
        <v>46117</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6884-2026</t>
        </is>
      </c>
      <c r="B656" s="1" t="n">
        <v>46057.46614583334</v>
      </c>
      <c r="C656" s="1" t="n">
        <v>46117</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46117</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4561-2022</t>
        </is>
      </c>
      <c r="B658" s="1" t="n">
        <v>44591.59170138889</v>
      </c>
      <c r="C658" s="1" t="n">
        <v>46117</v>
      </c>
      <c r="D658" t="inlineStr">
        <is>
          <t>UPPSALA LÄN</t>
        </is>
      </c>
      <c r="E658" t="inlineStr">
        <is>
          <t>ÖSTHAMMAR</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6635-2026</t>
        </is>
      </c>
      <c r="B659" s="1" t="n">
        <v>46056.52885416667</v>
      </c>
      <c r="C659" s="1" t="n">
        <v>46117</v>
      </c>
      <c r="D659" t="inlineStr">
        <is>
          <t>UPPSALA LÄN</t>
        </is>
      </c>
      <c r="E659" t="inlineStr">
        <is>
          <t>ÖSTHAMMAR</t>
        </is>
      </c>
      <c r="F659" t="inlineStr">
        <is>
          <t>Bergvik skog öst AB</t>
        </is>
      </c>
      <c r="G659" t="n">
        <v>4.3</v>
      </c>
      <c r="H659" t="n">
        <v>0</v>
      </c>
      <c r="I659" t="n">
        <v>0</v>
      </c>
      <c r="J659" t="n">
        <v>0</v>
      </c>
      <c r="K659" t="n">
        <v>0</v>
      </c>
      <c r="L659" t="n">
        <v>0</v>
      </c>
      <c r="M659" t="n">
        <v>0</v>
      </c>
      <c r="N659" t="n">
        <v>0</v>
      </c>
      <c r="O659" t="n">
        <v>0</v>
      </c>
      <c r="P659" t="n">
        <v>0</v>
      </c>
      <c r="Q659" t="n">
        <v>0</v>
      </c>
      <c r="R659" s="2" t="inlineStr"/>
    </row>
    <row r="660" ht="15" customHeight="1">
      <c r="A660" t="inlineStr">
        <is>
          <t>A 6522-2026</t>
        </is>
      </c>
      <c r="B660" s="1" t="n">
        <v>46056.4025</v>
      </c>
      <c r="C660" s="1" t="n">
        <v>46117</v>
      </c>
      <c r="D660" t="inlineStr">
        <is>
          <t>UPPSALA LÄN</t>
        </is>
      </c>
      <c r="E660" t="inlineStr">
        <is>
          <t>ÖSTHAMMAR</t>
        </is>
      </c>
      <c r="F660" t="inlineStr">
        <is>
          <t>Bergvik skog öst AB</t>
        </is>
      </c>
      <c r="G660" t="n">
        <v>4.2</v>
      </c>
      <c r="H660" t="n">
        <v>0</v>
      </c>
      <c r="I660" t="n">
        <v>0</v>
      </c>
      <c r="J660" t="n">
        <v>0</v>
      </c>
      <c r="K660" t="n">
        <v>0</v>
      </c>
      <c r="L660" t="n">
        <v>0</v>
      </c>
      <c r="M660" t="n">
        <v>0</v>
      </c>
      <c r="N660" t="n">
        <v>0</v>
      </c>
      <c r="O660" t="n">
        <v>0</v>
      </c>
      <c r="P660" t="n">
        <v>0</v>
      </c>
      <c r="Q660" t="n">
        <v>0</v>
      </c>
      <c r="R660" s="2" t="inlineStr"/>
    </row>
    <row r="661" ht="15" customHeight="1">
      <c r="A661" t="inlineStr">
        <is>
          <t>A 23741-2024</t>
        </is>
      </c>
      <c r="B661" s="1" t="n">
        <v>45455</v>
      </c>
      <c r="C661" s="1" t="n">
        <v>46117</v>
      </c>
      <c r="D661" t="inlineStr">
        <is>
          <t>UPPSALA LÄN</t>
        </is>
      </c>
      <c r="E661" t="inlineStr">
        <is>
          <t>ÖSTHAMMAR</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26612-2023</t>
        </is>
      </c>
      <c r="B662" s="1" t="n">
        <v>45089</v>
      </c>
      <c r="C662" s="1" t="n">
        <v>46117</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14031-2026</t>
        </is>
      </c>
      <c r="B663" s="1" t="n">
        <v>46098.77274305555</v>
      </c>
      <c r="C663" s="1" t="n">
        <v>46117</v>
      </c>
      <c r="D663" t="inlineStr">
        <is>
          <t>UPPSALA LÄN</t>
        </is>
      </c>
      <c r="E663" t="inlineStr">
        <is>
          <t>ÖSTHAMMAR</t>
        </is>
      </c>
      <c r="F663" t="inlineStr">
        <is>
          <t>Bergvik skog öst AB</t>
        </is>
      </c>
      <c r="G663" t="n">
        <v>2.1</v>
      </c>
      <c r="H663" t="n">
        <v>0</v>
      </c>
      <c r="I663" t="n">
        <v>0</v>
      </c>
      <c r="J663" t="n">
        <v>0</v>
      </c>
      <c r="K663" t="n">
        <v>0</v>
      </c>
      <c r="L663" t="n">
        <v>0</v>
      </c>
      <c r="M663" t="n">
        <v>0</v>
      </c>
      <c r="N663" t="n">
        <v>0</v>
      </c>
      <c r="O663" t="n">
        <v>0</v>
      </c>
      <c r="P663" t="n">
        <v>0</v>
      </c>
      <c r="Q663" t="n">
        <v>0</v>
      </c>
      <c r="R663" s="2" t="inlineStr"/>
    </row>
    <row r="664" ht="15" customHeight="1">
      <c r="A664" t="inlineStr">
        <is>
          <t>A 6762-2026</t>
        </is>
      </c>
      <c r="B664" s="1" t="n">
        <v>46056.85776620371</v>
      </c>
      <c r="C664" s="1" t="n">
        <v>46117</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32244-2021</t>
        </is>
      </c>
      <c r="B665" s="1" t="n">
        <v>44371.45335648148</v>
      </c>
      <c r="C665" s="1" t="n">
        <v>46117</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14378-2026</t>
        </is>
      </c>
      <c r="B666" s="1" t="n">
        <v>46100.37180555556</v>
      </c>
      <c r="C666" s="1" t="n">
        <v>46117</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7241-2026</t>
        </is>
      </c>
      <c r="B667" s="1" t="n">
        <v>46058.58392361111</v>
      </c>
      <c r="C667" s="1" t="n">
        <v>46117</v>
      </c>
      <c r="D667" t="inlineStr">
        <is>
          <t>UPPSALA LÄN</t>
        </is>
      </c>
      <c r="E667" t="inlineStr">
        <is>
          <t>ÖSTHAMMAR</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7262-2026</t>
        </is>
      </c>
      <c r="B668" s="1" t="n">
        <v>46058.6049537037</v>
      </c>
      <c r="C668" s="1" t="n">
        <v>46117</v>
      </c>
      <c r="D668" t="inlineStr">
        <is>
          <t>UPPSALA LÄN</t>
        </is>
      </c>
      <c r="E668" t="inlineStr">
        <is>
          <t>ÖSTHAMMAR</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46117</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14618-2026</t>
        </is>
      </c>
      <c r="B670" s="1" t="n">
        <v>46101.38355324074</v>
      </c>
      <c r="C670" s="1" t="n">
        <v>46117</v>
      </c>
      <c r="D670" t="inlineStr">
        <is>
          <t>UPPSALA LÄN</t>
        </is>
      </c>
      <c r="E670" t="inlineStr">
        <is>
          <t>ÖSTHAMMAR</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14989-2026</t>
        </is>
      </c>
      <c r="B671" s="1" t="n">
        <v>46104.58371527777</v>
      </c>
      <c r="C671" s="1" t="n">
        <v>46117</v>
      </c>
      <c r="D671" t="inlineStr">
        <is>
          <t>UPPSALA LÄN</t>
        </is>
      </c>
      <c r="E671" t="inlineStr">
        <is>
          <t>ÖSTHAMMAR</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7855-2026</t>
        </is>
      </c>
      <c r="B672" s="1" t="n">
        <v>46062.67241898148</v>
      </c>
      <c r="C672" s="1" t="n">
        <v>46117</v>
      </c>
      <c r="D672" t="inlineStr">
        <is>
          <t>UPPSALA LÄN</t>
        </is>
      </c>
      <c r="E672" t="inlineStr">
        <is>
          <t>ÖSTHAMMAR</t>
        </is>
      </c>
      <c r="G672" t="n">
        <v>3.8</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46117</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14878-2026</t>
        </is>
      </c>
      <c r="B674" s="1" t="n">
        <v>46104.44351851852</v>
      </c>
      <c r="C674" s="1" t="n">
        <v>46117</v>
      </c>
      <c r="D674" t="inlineStr">
        <is>
          <t>UPPSALA LÄN</t>
        </is>
      </c>
      <c r="E674" t="inlineStr">
        <is>
          <t>ÖSTHAMMAR</t>
        </is>
      </c>
      <c r="F674" t="inlineStr">
        <is>
          <t>Övriga Aktiebolag</t>
        </is>
      </c>
      <c r="G674" t="n">
        <v>1.3</v>
      </c>
      <c r="H674" t="n">
        <v>0</v>
      </c>
      <c r="I674" t="n">
        <v>0</v>
      </c>
      <c r="J674" t="n">
        <v>0</v>
      </c>
      <c r="K674" t="n">
        <v>0</v>
      </c>
      <c r="L674" t="n">
        <v>0</v>
      </c>
      <c r="M674" t="n">
        <v>0</v>
      </c>
      <c r="N674" t="n">
        <v>0</v>
      </c>
      <c r="O674" t="n">
        <v>0</v>
      </c>
      <c r="P674" t="n">
        <v>0</v>
      </c>
      <c r="Q674" t="n">
        <v>0</v>
      </c>
      <c r="R674" s="2" t="inlineStr"/>
    </row>
    <row r="675" ht="15" customHeight="1">
      <c r="A675" t="inlineStr">
        <is>
          <t>A 56260-2022</t>
        </is>
      </c>
      <c r="B675" s="1" t="n">
        <v>44890</v>
      </c>
      <c r="C675" s="1" t="n">
        <v>46117</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8030-2026</t>
        </is>
      </c>
      <c r="B676" s="1" t="n">
        <v>46063.57956018519</v>
      </c>
      <c r="C676" s="1" t="n">
        <v>46117</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62394-2022</t>
        </is>
      </c>
      <c r="B677" s="1" t="n">
        <v>44923.82017361111</v>
      </c>
      <c r="C677" s="1" t="n">
        <v>46117</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8086-2026</t>
        </is>
      </c>
      <c r="B678" s="1" t="n">
        <v>46063.70094907407</v>
      </c>
      <c r="C678" s="1" t="n">
        <v>46117</v>
      </c>
      <c r="D678" t="inlineStr">
        <is>
          <t>UPPSALA LÄN</t>
        </is>
      </c>
      <c r="E678" t="inlineStr">
        <is>
          <t>ÖSTHAMMAR</t>
        </is>
      </c>
      <c r="G678" t="n">
        <v>3.8</v>
      </c>
      <c r="H678" t="n">
        <v>0</v>
      </c>
      <c r="I678" t="n">
        <v>0</v>
      </c>
      <c r="J678" t="n">
        <v>0</v>
      </c>
      <c r="K678" t="n">
        <v>0</v>
      </c>
      <c r="L678" t="n">
        <v>0</v>
      </c>
      <c r="M678" t="n">
        <v>0</v>
      </c>
      <c r="N678" t="n">
        <v>0</v>
      </c>
      <c r="O678" t="n">
        <v>0</v>
      </c>
      <c r="P678" t="n">
        <v>0</v>
      </c>
      <c r="Q678" t="n">
        <v>0</v>
      </c>
      <c r="R678" s="2" t="inlineStr"/>
    </row>
    <row r="679" ht="15" customHeight="1">
      <c r="A679" t="inlineStr">
        <is>
          <t>A 15006-2026</t>
        </is>
      </c>
      <c r="B679" s="1" t="n">
        <v>46104.6130324074</v>
      </c>
      <c r="C679" s="1" t="n">
        <v>46117</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13701-2026</t>
        </is>
      </c>
      <c r="B680" s="1" t="n">
        <v>46097</v>
      </c>
      <c r="C680" s="1" t="n">
        <v>46117</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22709-2021</t>
        </is>
      </c>
      <c r="B681" s="1" t="n">
        <v>44327.61518518518</v>
      </c>
      <c r="C681" s="1" t="n">
        <v>46117</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8014-2026</t>
        </is>
      </c>
      <c r="B682" s="1" t="n">
        <v>46063.54009259259</v>
      </c>
      <c r="C682" s="1" t="n">
        <v>46117</v>
      </c>
      <c r="D682" t="inlineStr">
        <is>
          <t>UPPSALA LÄN</t>
        </is>
      </c>
      <c r="E682" t="inlineStr">
        <is>
          <t>ÖSTHAMMAR</t>
        </is>
      </c>
      <c r="G682" t="n">
        <v>15.2</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46117</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14986-2026</t>
        </is>
      </c>
      <c r="B684" s="1" t="n">
        <v>46104.5802662037</v>
      </c>
      <c r="C684" s="1" t="n">
        <v>46117</v>
      </c>
      <c r="D684" t="inlineStr">
        <is>
          <t>UPPSALA LÄN</t>
        </is>
      </c>
      <c r="E684" t="inlineStr">
        <is>
          <t>ÖSTHAMMAR</t>
        </is>
      </c>
      <c r="F684" t="inlineStr">
        <is>
          <t>Övriga Aktiebolag</t>
        </is>
      </c>
      <c r="G684" t="n">
        <v>4.4</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46117</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46117</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8530-2026</t>
        </is>
      </c>
      <c r="B687" s="1" t="n">
        <v>46065.60075231481</v>
      </c>
      <c r="C687" s="1" t="n">
        <v>46117</v>
      </c>
      <c r="D687" t="inlineStr">
        <is>
          <t>UPPSALA LÄN</t>
        </is>
      </c>
      <c r="E687" t="inlineStr">
        <is>
          <t>ÖSTHAMMAR</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8269-2026</t>
        </is>
      </c>
      <c r="B688" s="1" t="n">
        <v>46064.54721064815</v>
      </c>
      <c r="C688" s="1" t="n">
        <v>46117</v>
      </c>
      <c r="D688" t="inlineStr">
        <is>
          <t>UPPSALA LÄN</t>
        </is>
      </c>
      <c r="E688" t="inlineStr">
        <is>
          <t>ÖSTHAMMAR</t>
        </is>
      </c>
      <c r="G688" t="n">
        <v>2.6</v>
      </c>
      <c r="H688" t="n">
        <v>0</v>
      </c>
      <c r="I688" t="n">
        <v>0</v>
      </c>
      <c r="J688" t="n">
        <v>0</v>
      </c>
      <c r="K688" t="n">
        <v>0</v>
      </c>
      <c r="L688" t="n">
        <v>0</v>
      </c>
      <c r="M688" t="n">
        <v>0</v>
      </c>
      <c r="N688" t="n">
        <v>0</v>
      </c>
      <c r="O688" t="n">
        <v>0</v>
      </c>
      <c r="P688" t="n">
        <v>0</v>
      </c>
      <c r="Q688" t="n">
        <v>0</v>
      </c>
      <c r="R688" s="2" t="inlineStr"/>
    </row>
    <row r="689" ht="15" customHeight="1">
      <c r="A689" t="inlineStr">
        <is>
          <t>A 15744-2026</t>
        </is>
      </c>
      <c r="B689" s="1" t="n">
        <v>46107.4175462963</v>
      </c>
      <c r="C689" s="1" t="n">
        <v>46117</v>
      </c>
      <c r="D689" t="inlineStr">
        <is>
          <t>UPPSALA LÄN</t>
        </is>
      </c>
      <c r="E689" t="inlineStr">
        <is>
          <t>ÖSTHAMMAR</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4096-2025</t>
        </is>
      </c>
      <c r="B690" s="1" t="n">
        <v>45684</v>
      </c>
      <c r="C690" s="1" t="n">
        <v>46117</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15475-2026</t>
        </is>
      </c>
      <c r="B691" s="1" t="n">
        <v>46106.43859953704</v>
      </c>
      <c r="C691" s="1" t="n">
        <v>46117</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15478-2026</t>
        </is>
      </c>
      <c r="B692" s="1" t="n">
        <v>46106.44582175926</v>
      </c>
      <c r="C692" s="1" t="n">
        <v>46117</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55090-2024</t>
        </is>
      </c>
      <c r="B693" s="1" t="n">
        <v>45621.4350462963</v>
      </c>
      <c r="C693" s="1" t="n">
        <v>46117</v>
      </c>
      <c r="D693" t="inlineStr">
        <is>
          <t>UPPSALA LÄN</t>
        </is>
      </c>
      <c r="E693" t="inlineStr">
        <is>
          <t>ÖSTHAMMAR</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55093-2024</t>
        </is>
      </c>
      <c r="B694" s="1" t="n">
        <v>45621.43712962963</v>
      </c>
      <c r="C694" s="1" t="n">
        <v>46117</v>
      </c>
      <c r="D694" t="inlineStr">
        <is>
          <t>UPPSALA LÄN</t>
        </is>
      </c>
      <c r="E694" t="inlineStr">
        <is>
          <t>ÖSTHAMMAR</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55097-2024</t>
        </is>
      </c>
      <c r="B695" s="1" t="n">
        <v>45621.43855324074</v>
      </c>
      <c r="C695" s="1" t="n">
        <v>46117</v>
      </c>
      <c r="D695" t="inlineStr">
        <is>
          <t>UPPSALA LÄN</t>
        </is>
      </c>
      <c r="E695" t="inlineStr">
        <is>
          <t>ÖSTHAMMAR</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15640-2026</t>
        </is>
      </c>
      <c r="B696" s="1" t="n">
        <v>46106.63700231481</v>
      </c>
      <c r="C696" s="1" t="n">
        <v>46117</v>
      </c>
      <c r="D696" t="inlineStr">
        <is>
          <t>UPPSALA LÄN</t>
        </is>
      </c>
      <c r="E696" t="inlineStr">
        <is>
          <t>ÖSTHAMMAR</t>
        </is>
      </c>
      <c r="F696" t="inlineStr">
        <is>
          <t>Övriga Aktiebolag</t>
        </is>
      </c>
      <c r="G696" t="n">
        <v>7.7</v>
      </c>
      <c r="H696" t="n">
        <v>0</v>
      </c>
      <c r="I696" t="n">
        <v>0</v>
      </c>
      <c r="J696" t="n">
        <v>0</v>
      </c>
      <c r="K696" t="n">
        <v>0</v>
      </c>
      <c r="L696" t="n">
        <v>0</v>
      </c>
      <c r="M696" t="n">
        <v>0</v>
      </c>
      <c r="N696" t="n">
        <v>0</v>
      </c>
      <c r="O696" t="n">
        <v>0</v>
      </c>
      <c r="P696" t="n">
        <v>0</v>
      </c>
      <c r="Q696" t="n">
        <v>0</v>
      </c>
      <c r="R696" s="2" t="inlineStr"/>
    </row>
    <row r="697" ht="15" customHeight="1">
      <c r="A697" t="inlineStr">
        <is>
          <t>A 15452-2026</t>
        </is>
      </c>
      <c r="B697" s="1" t="n">
        <v>46106.4181712963</v>
      </c>
      <c r="C697" s="1" t="n">
        <v>46117</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8291-2026</t>
        </is>
      </c>
      <c r="B698" s="1" t="n">
        <v>46064.56945601852</v>
      </c>
      <c r="C698" s="1" t="n">
        <v>46117</v>
      </c>
      <c r="D698" t="inlineStr">
        <is>
          <t>UPPSALA LÄN</t>
        </is>
      </c>
      <c r="E698" t="inlineStr">
        <is>
          <t>ÖSTHAMMAR</t>
        </is>
      </c>
      <c r="G698" t="n">
        <v>4.5</v>
      </c>
      <c r="H698" t="n">
        <v>0</v>
      </c>
      <c r="I698" t="n">
        <v>0</v>
      </c>
      <c r="J698" t="n">
        <v>0</v>
      </c>
      <c r="K698" t="n">
        <v>0</v>
      </c>
      <c r="L698" t="n">
        <v>0</v>
      </c>
      <c r="M698" t="n">
        <v>0</v>
      </c>
      <c r="N698" t="n">
        <v>0</v>
      </c>
      <c r="O698" t="n">
        <v>0</v>
      </c>
      <c r="P698" t="n">
        <v>0</v>
      </c>
      <c r="Q698" t="n">
        <v>0</v>
      </c>
      <c r="R698" s="2" t="inlineStr"/>
    </row>
    <row r="699" ht="15" customHeight="1">
      <c r="A699" t="inlineStr">
        <is>
          <t>A 8525-2026</t>
        </is>
      </c>
      <c r="B699" s="1" t="n">
        <v>46065.58760416666</v>
      </c>
      <c r="C699" s="1" t="n">
        <v>46117</v>
      </c>
      <c r="D699" t="inlineStr">
        <is>
          <t>UPPSALA LÄN</t>
        </is>
      </c>
      <c r="E699" t="inlineStr">
        <is>
          <t>ÖSTHAMMAR</t>
        </is>
      </c>
      <c r="F699" t="inlineStr">
        <is>
          <t>Övriga Aktiebolag</t>
        </is>
      </c>
      <c r="G699" t="n">
        <v>4.8</v>
      </c>
      <c r="H699" t="n">
        <v>0</v>
      </c>
      <c r="I699" t="n">
        <v>0</v>
      </c>
      <c r="J699" t="n">
        <v>0</v>
      </c>
      <c r="K699" t="n">
        <v>0</v>
      </c>
      <c r="L699" t="n">
        <v>0</v>
      </c>
      <c r="M699" t="n">
        <v>0</v>
      </c>
      <c r="N699" t="n">
        <v>0</v>
      </c>
      <c r="O699" t="n">
        <v>0</v>
      </c>
      <c r="P699" t="n">
        <v>0</v>
      </c>
      <c r="Q699" t="n">
        <v>0</v>
      </c>
      <c r="R699" s="2" t="inlineStr"/>
    </row>
    <row r="700" ht="15" customHeight="1">
      <c r="A700" t="inlineStr">
        <is>
          <t>A 3327-2023</t>
        </is>
      </c>
      <c r="B700" s="1" t="n">
        <v>44949.4377662037</v>
      </c>
      <c r="C700" s="1" t="n">
        <v>46117</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41821-2023</t>
        </is>
      </c>
      <c r="B701" s="1" t="n">
        <v>45176</v>
      </c>
      <c r="C701" s="1" t="n">
        <v>46117</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35309-2023</t>
        </is>
      </c>
      <c r="B702" s="1" t="n">
        <v>45146</v>
      </c>
      <c r="C702" s="1" t="n">
        <v>46117</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14272-2025</t>
        </is>
      </c>
      <c r="B703" s="1" t="n">
        <v>45740.64327546296</v>
      </c>
      <c r="C703" s="1" t="n">
        <v>46117</v>
      </c>
      <c r="D703" t="inlineStr">
        <is>
          <t>UPPSALA LÄN</t>
        </is>
      </c>
      <c r="E703" t="inlineStr">
        <is>
          <t>ÖSTHAMMAR</t>
        </is>
      </c>
      <c r="G703" t="n">
        <v>5.7</v>
      </c>
      <c r="H703" t="n">
        <v>0</v>
      </c>
      <c r="I703" t="n">
        <v>0</v>
      </c>
      <c r="J703" t="n">
        <v>0</v>
      </c>
      <c r="K703" t="n">
        <v>0</v>
      </c>
      <c r="L703" t="n">
        <v>0</v>
      </c>
      <c r="M703" t="n">
        <v>0</v>
      </c>
      <c r="N703" t="n">
        <v>0</v>
      </c>
      <c r="O703" t="n">
        <v>0</v>
      </c>
      <c r="P703" t="n">
        <v>0</v>
      </c>
      <c r="Q703" t="n">
        <v>0</v>
      </c>
      <c r="R703" s="2" t="inlineStr"/>
    </row>
    <row r="704" ht="15" customHeight="1">
      <c r="A704" t="inlineStr">
        <is>
          <t>A 17940-2025</t>
        </is>
      </c>
      <c r="B704" s="1" t="n">
        <v>45760.55842592593</v>
      </c>
      <c r="C704" s="1" t="n">
        <v>46117</v>
      </c>
      <c r="D704" t="inlineStr">
        <is>
          <t>UPPSALA LÄN</t>
        </is>
      </c>
      <c r="E704" t="inlineStr">
        <is>
          <t>ÖSTHAMMAR</t>
        </is>
      </c>
      <c r="F704" t="inlineStr">
        <is>
          <t>Bergvik skog öst AB</t>
        </is>
      </c>
      <c r="G704" t="n">
        <v>5.6</v>
      </c>
      <c r="H704" t="n">
        <v>0</v>
      </c>
      <c r="I704" t="n">
        <v>0</v>
      </c>
      <c r="J704" t="n">
        <v>0</v>
      </c>
      <c r="K704" t="n">
        <v>0</v>
      </c>
      <c r="L704" t="n">
        <v>0</v>
      </c>
      <c r="M704" t="n">
        <v>0</v>
      </c>
      <c r="N704" t="n">
        <v>0</v>
      </c>
      <c r="O704" t="n">
        <v>0</v>
      </c>
      <c r="P704" t="n">
        <v>0</v>
      </c>
      <c r="Q704" t="n">
        <v>0</v>
      </c>
      <c r="R704" s="2" t="inlineStr"/>
    </row>
    <row r="705" ht="15" customHeight="1">
      <c r="A705" t="inlineStr">
        <is>
          <t>A 12215-2023</t>
        </is>
      </c>
      <c r="B705" s="1" t="n">
        <v>44998</v>
      </c>
      <c r="C705" s="1" t="n">
        <v>46117</v>
      </c>
      <c r="D705" t="inlineStr">
        <is>
          <t>UPPSALA LÄN</t>
        </is>
      </c>
      <c r="E705" t="inlineStr">
        <is>
          <t>ÖSTHAMMAR</t>
        </is>
      </c>
      <c r="G705" t="n">
        <v>5.1</v>
      </c>
      <c r="H705" t="n">
        <v>0</v>
      </c>
      <c r="I705" t="n">
        <v>0</v>
      </c>
      <c r="J705" t="n">
        <v>0</v>
      </c>
      <c r="K705" t="n">
        <v>0</v>
      </c>
      <c r="L705" t="n">
        <v>0</v>
      </c>
      <c r="M705" t="n">
        <v>0</v>
      </c>
      <c r="N705" t="n">
        <v>0</v>
      </c>
      <c r="O705" t="n">
        <v>0</v>
      </c>
      <c r="P705" t="n">
        <v>0</v>
      </c>
      <c r="Q705" t="n">
        <v>0</v>
      </c>
      <c r="R705" s="2" t="inlineStr"/>
    </row>
    <row r="706" ht="15" customHeight="1">
      <c r="A706" t="inlineStr">
        <is>
          <t>A 8789-2026</t>
        </is>
      </c>
      <c r="B706" s="1" t="n">
        <v>46066.58792824074</v>
      </c>
      <c r="C706" s="1" t="n">
        <v>46117</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16359-2026</t>
        </is>
      </c>
      <c r="B707" s="1" t="n">
        <v>46111.60564814815</v>
      </c>
      <c r="C707" s="1" t="n">
        <v>46117</v>
      </c>
      <c r="D707" t="inlineStr">
        <is>
          <t>UPPSALA LÄN</t>
        </is>
      </c>
      <c r="E707" t="inlineStr">
        <is>
          <t>ÖSTHAMMAR</t>
        </is>
      </c>
      <c r="G707" t="n">
        <v>2.6</v>
      </c>
      <c r="H707" t="n">
        <v>0</v>
      </c>
      <c r="I707" t="n">
        <v>0</v>
      </c>
      <c r="J707" t="n">
        <v>0</v>
      </c>
      <c r="K707" t="n">
        <v>0</v>
      </c>
      <c r="L707" t="n">
        <v>0</v>
      </c>
      <c r="M707" t="n">
        <v>0</v>
      </c>
      <c r="N707" t="n">
        <v>0</v>
      </c>
      <c r="O707" t="n">
        <v>0</v>
      </c>
      <c r="P707" t="n">
        <v>0</v>
      </c>
      <c r="Q707" t="n">
        <v>0</v>
      </c>
      <c r="R707" s="2" t="inlineStr"/>
    </row>
    <row r="708" ht="15" customHeight="1">
      <c r="A708" t="inlineStr">
        <is>
          <t>A 16038-2026</t>
        </is>
      </c>
      <c r="B708" s="1" t="n">
        <v>46108</v>
      </c>
      <c r="C708" s="1" t="n">
        <v>46117</v>
      </c>
      <c r="D708" t="inlineStr">
        <is>
          <t>UPPSALA LÄN</t>
        </is>
      </c>
      <c r="E708" t="inlineStr">
        <is>
          <t>ÖSTHAMMAR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16042-2026</t>
        </is>
      </c>
      <c r="B709" s="1" t="n">
        <v>46108</v>
      </c>
      <c r="C709" s="1" t="n">
        <v>46117</v>
      </c>
      <c r="D709" t="inlineStr">
        <is>
          <t>UPPSALA LÄN</t>
        </is>
      </c>
      <c r="E709" t="inlineStr">
        <is>
          <t>ÖSTHAMMAR</t>
        </is>
      </c>
      <c r="G709" t="n">
        <v>0.8</v>
      </c>
      <c r="H709" t="n">
        <v>0</v>
      </c>
      <c r="I709" t="n">
        <v>0</v>
      </c>
      <c r="J709" t="n">
        <v>0</v>
      </c>
      <c r="K709" t="n">
        <v>0</v>
      </c>
      <c r="L709" t="n">
        <v>0</v>
      </c>
      <c r="M709" t="n">
        <v>0</v>
      </c>
      <c r="N709" t="n">
        <v>0</v>
      </c>
      <c r="O709" t="n">
        <v>0</v>
      </c>
      <c r="P709" t="n">
        <v>0</v>
      </c>
      <c r="Q709" t="n">
        <v>0</v>
      </c>
      <c r="R709" s="2" t="inlineStr"/>
    </row>
    <row r="710" ht="15" customHeight="1">
      <c r="A710" t="inlineStr">
        <is>
          <t>A 16608-2026</t>
        </is>
      </c>
      <c r="B710" s="1" t="n">
        <v>46112.60068287037</v>
      </c>
      <c r="C710" s="1" t="n">
        <v>46117</v>
      </c>
      <c r="D710" t="inlineStr">
        <is>
          <t>UPPSALA LÄN</t>
        </is>
      </c>
      <c r="E710" t="inlineStr">
        <is>
          <t>ÖSTHAMMAR</t>
        </is>
      </c>
      <c r="F710" t="inlineStr">
        <is>
          <t>Bergvik skog öst AB</t>
        </is>
      </c>
      <c r="G710" t="n">
        <v>2.6</v>
      </c>
      <c r="H710" t="n">
        <v>0</v>
      </c>
      <c r="I710" t="n">
        <v>0</v>
      </c>
      <c r="J710" t="n">
        <v>0</v>
      </c>
      <c r="K710" t="n">
        <v>0</v>
      </c>
      <c r="L710" t="n">
        <v>0</v>
      </c>
      <c r="M710" t="n">
        <v>0</v>
      </c>
      <c r="N710" t="n">
        <v>0</v>
      </c>
      <c r="O710" t="n">
        <v>0</v>
      </c>
      <c r="P710" t="n">
        <v>0</v>
      </c>
      <c r="Q710" t="n">
        <v>0</v>
      </c>
      <c r="R710" s="2" t="inlineStr"/>
    </row>
    <row r="711" ht="15" customHeight="1">
      <c r="A711" t="inlineStr">
        <is>
          <t>A 16612-2026</t>
        </is>
      </c>
      <c r="B711" s="1" t="n">
        <v>46112.60299768519</v>
      </c>
      <c r="C711" s="1" t="n">
        <v>46117</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15748-2026</t>
        </is>
      </c>
      <c r="B712" s="1" t="n">
        <v>46107.4227662037</v>
      </c>
      <c r="C712" s="1" t="n">
        <v>46117</v>
      </c>
      <c r="D712" t="inlineStr">
        <is>
          <t>UPPSALA LÄN</t>
        </is>
      </c>
      <c r="E712" t="inlineStr">
        <is>
          <t>ÖSTHAMMAR</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46117</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16614-2026</t>
        </is>
      </c>
      <c r="B714" s="1" t="n">
        <v>46112.60460648148</v>
      </c>
      <c r="C714" s="1" t="n">
        <v>46117</v>
      </c>
      <c r="D714" t="inlineStr">
        <is>
          <t>UPPSALA LÄN</t>
        </is>
      </c>
      <c r="E714" t="inlineStr">
        <is>
          <t>ÖSTHAMMAR</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16640-2026</t>
        </is>
      </c>
      <c r="B715" s="1" t="n">
        <v>46112.63155092593</v>
      </c>
      <c r="C715" s="1" t="n">
        <v>46117</v>
      </c>
      <c r="D715" t="inlineStr">
        <is>
          <t>UPPSALA LÄN</t>
        </is>
      </c>
      <c r="E715" t="inlineStr">
        <is>
          <t>ÖSTHAMMAR</t>
        </is>
      </c>
      <c r="G715" t="n">
        <v>1.2</v>
      </c>
      <c r="H715" t="n">
        <v>0</v>
      </c>
      <c r="I715" t="n">
        <v>0</v>
      </c>
      <c r="J715" t="n">
        <v>0</v>
      </c>
      <c r="K715" t="n">
        <v>0</v>
      </c>
      <c r="L715" t="n">
        <v>0</v>
      </c>
      <c r="M715" t="n">
        <v>0</v>
      </c>
      <c r="N715" t="n">
        <v>0</v>
      </c>
      <c r="O715" t="n">
        <v>0</v>
      </c>
      <c r="P715" t="n">
        <v>0</v>
      </c>
      <c r="Q715" t="n">
        <v>0</v>
      </c>
      <c r="R715" s="2" t="inlineStr"/>
    </row>
    <row r="716" ht="15" customHeight="1">
      <c r="A716" t="inlineStr">
        <is>
          <t>A 66779-2021</t>
        </is>
      </c>
      <c r="B716" s="1" t="n">
        <v>44522.31700231481</v>
      </c>
      <c r="C716" s="1" t="n">
        <v>46117</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16522-2026</t>
        </is>
      </c>
      <c r="B717" s="1" t="n">
        <v>46112.46268518519</v>
      </c>
      <c r="C717" s="1" t="n">
        <v>46117</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33062-2021</t>
        </is>
      </c>
      <c r="B718" s="1" t="n">
        <v>44376</v>
      </c>
      <c r="C718" s="1" t="n">
        <v>46117</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16494-2026</t>
        </is>
      </c>
      <c r="B719" s="1" t="n">
        <v>46112.43229166666</v>
      </c>
      <c r="C719" s="1" t="n">
        <v>46117</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46117</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16796-2026</t>
        </is>
      </c>
      <c r="B721" s="1" t="n">
        <v>46113.47394675926</v>
      </c>
      <c r="C721" s="1" t="n">
        <v>46117</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16498-2026</t>
        </is>
      </c>
      <c r="B722" s="1" t="n">
        <v>46112.43565972222</v>
      </c>
      <c r="C722" s="1" t="n">
        <v>46117</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17939-2025</t>
        </is>
      </c>
      <c r="B723" s="1" t="n">
        <v>45760.55671296296</v>
      </c>
      <c r="C723" s="1" t="n">
        <v>46117</v>
      </c>
      <c r="D723" t="inlineStr">
        <is>
          <t>UPPSALA LÄN</t>
        </is>
      </c>
      <c r="E723" t="inlineStr">
        <is>
          <t>ÖSTHAMMAR</t>
        </is>
      </c>
      <c r="F723" t="inlineStr">
        <is>
          <t>Bergvik skog öst AB</t>
        </is>
      </c>
      <c r="G723" t="n">
        <v>5.4</v>
      </c>
      <c r="H723" t="n">
        <v>0</v>
      </c>
      <c r="I723" t="n">
        <v>0</v>
      </c>
      <c r="J723" t="n">
        <v>0</v>
      </c>
      <c r="K723" t="n">
        <v>0</v>
      </c>
      <c r="L723" t="n">
        <v>0</v>
      </c>
      <c r="M723" t="n">
        <v>0</v>
      </c>
      <c r="N723" t="n">
        <v>0</v>
      </c>
      <c r="O723" t="n">
        <v>0</v>
      </c>
      <c r="P723" t="n">
        <v>0</v>
      </c>
      <c r="Q723" t="n">
        <v>0</v>
      </c>
      <c r="R723" s="2" t="inlineStr"/>
    </row>
    <row r="724" ht="15" customHeight="1">
      <c r="A724" t="inlineStr">
        <is>
          <t>A 3638-2022</t>
        </is>
      </c>
      <c r="B724" s="1" t="n">
        <v>44578</v>
      </c>
      <c r="C724" s="1" t="n">
        <v>46117</v>
      </c>
      <c r="D724" t="inlineStr">
        <is>
          <t>UPPSALA LÄN</t>
        </is>
      </c>
      <c r="E724" t="inlineStr">
        <is>
          <t>ÖSTHAMMAR</t>
        </is>
      </c>
      <c r="G724" t="n">
        <v>1.7</v>
      </c>
      <c r="H724" t="n">
        <v>0</v>
      </c>
      <c r="I724" t="n">
        <v>0</v>
      </c>
      <c r="J724" t="n">
        <v>0</v>
      </c>
      <c r="K724" t="n">
        <v>0</v>
      </c>
      <c r="L724" t="n">
        <v>0</v>
      </c>
      <c r="M724" t="n">
        <v>0</v>
      </c>
      <c r="N724" t="n">
        <v>0</v>
      </c>
      <c r="O724" t="n">
        <v>0</v>
      </c>
      <c r="P724" t="n">
        <v>0</v>
      </c>
      <c r="Q724" t="n">
        <v>0</v>
      </c>
      <c r="R724" s="2" t="inlineStr"/>
    </row>
    <row r="725" ht="15" customHeight="1">
      <c r="A725" t="inlineStr">
        <is>
          <t>A 16788-2026</t>
        </is>
      </c>
      <c r="B725" s="1" t="n">
        <v>46113.46101851852</v>
      </c>
      <c r="C725" s="1" t="n">
        <v>46117</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49897-2023</t>
        </is>
      </c>
      <c r="B726" s="1" t="n">
        <v>45213.84846064815</v>
      </c>
      <c r="C726" s="1" t="n">
        <v>46117</v>
      </c>
      <c r="D726" t="inlineStr">
        <is>
          <t>UPPSALA LÄN</t>
        </is>
      </c>
      <c r="E726" t="inlineStr">
        <is>
          <t>ÖSTHAMMAR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9666-2026</t>
        </is>
      </c>
      <c r="B727" s="1" t="n">
        <v>46072.36847222222</v>
      </c>
      <c r="C727" s="1" t="n">
        <v>46117</v>
      </c>
      <c r="D727" t="inlineStr">
        <is>
          <t>UPPSALA LÄN</t>
        </is>
      </c>
      <c r="E727" t="inlineStr">
        <is>
          <t>ÖSTHAMMAR</t>
        </is>
      </c>
      <c r="F727" t="inlineStr">
        <is>
          <t>Bergvik skog öst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9664-2026</t>
        </is>
      </c>
      <c r="B728" s="1" t="n">
        <v>46072.36732638889</v>
      </c>
      <c r="C728" s="1" t="n">
        <v>46117</v>
      </c>
      <c r="D728" t="inlineStr">
        <is>
          <t>UPPSALA LÄN</t>
        </is>
      </c>
      <c r="E728" t="inlineStr">
        <is>
          <t>ÖSTHAMMAR</t>
        </is>
      </c>
      <c r="F728" t="inlineStr">
        <is>
          <t>Bergvik skog öst AB</t>
        </is>
      </c>
      <c r="G728" t="n">
        <v>0.3</v>
      </c>
      <c r="H728" t="n">
        <v>0</v>
      </c>
      <c r="I728" t="n">
        <v>0</v>
      </c>
      <c r="J728" t="n">
        <v>0</v>
      </c>
      <c r="K728" t="n">
        <v>0</v>
      </c>
      <c r="L728" t="n">
        <v>0</v>
      </c>
      <c r="M728" t="n">
        <v>0</v>
      </c>
      <c r="N728" t="n">
        <v>0</v>
      </c>
      <c r="O728" t="n">
        <v>0</v>
      </c>
      <c r="P728" t="n">
        <v>0</v>
      </c>
      <c r="Q728" t="n">
        <v>0</v>
      </c>
      <c r="R728" s="2" t="inlineStr"/>
    </row>
    <row r="729" ht="15" customHeight="1">
      <c r="A729" t="inlineStr">
        <is>
          <t>A 37812-2022</t>
        </is>
      </c>
      <c r="B729" s="1" t="n">
        <v>44810</v>
      </c>
      <c r="C729" s="1" t="n">
        <v>46117</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60555-2023</t>
        </is>
      </c>
      <c r="B730" s="1" t="n">
        <v>45259</v>
      </c>
      <c r="C730" s="1" t="n">
        <v>46117</v>
      </c>
      <c r="D730" t="inlineStr">
        <is>
          <t>UPPSALA LÄN</t>
        </is>
      </c>
      <c r="E730" t="inlineStr">
        <is>
          <t>ÖSTHAMMAR</t>
        </is>
      </c>
      <c r="G730" t="n">
        <v>2</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46117</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46117</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6121-2024</t>
        </is>
      </c>
      <c r="B733" s="1" t="n">
        <v>45337.4219212963</v>
      </c>
      <c r="C733" s="1" t="n">
        <v>46117</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62391-2022</t>
        </is>
      </c>
      <c r="B734" s="1" t="n">
        <v>44923.7849537037</v>
      </c>
      <c r="C734" s="1" t="n">
        <v>46117</v>
      </c>
      <c r="D734" t="inlineStr">
        <is>
          <t>UPPSALA LÄN</t>
        </is>
      </c>
      <c r="E734" t="inlineStr">
        <is>
          <t>ÖSTHAMMAR</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54314-2023</t>
        </is>
      </c>
      <c r="B735" s="1" t="n">
        <v>45225</v>
      </c>
      <c r="C735" s="1" t="n">
        <v>46117</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23363-2023</t>
        </is>
      </c>
      <c r="B736" s="1" t="n">
        <v>45076</v>
      </c>
      <c r="C736" s="1" t="n">
        <v>46117</v>
      </c>
      <c r="D736" t="inlineStr">
        <is>
          <t>UPPSALA LÄN</t>
        </is>
      </c>
      <c r="E736" t="inlineStr">
        <is>
          <t>ÖSTHAMMAR</t>
        </is>
      </c>
      <c r="G736" t="n">
        <v>3</v>
      </c>
      <c r="H736" t="n">
        <v>0</v>
      </c>
      <c r="I736" t="n">
        <v>0</v>
      </c>
      <c r="J736" t="n">
        <v>0</v>
      </c>
      <c r="K736" t="n">
        <v>0</v>
      </c>
      <c r="L736" t="n">
        <v>0</v>
      </c>
      <c r="M736" t="n">
        <v>0</v>
      </c>
      <c r="N736" t="n">
        <v>0</v>
      </c>
      <c r="O736" t="n">
        <v>0</v>
      </c>
      <c r="P736" t="n">
        <v>0</v>
      </c>
      <c r="Q736" t="n">
        <v>0</v>
      </c>
      <c r="R736" s="2" t="inlineStr"/>
    </row>
    <row r="737" ht="15" customHeight="1">
      <c r="A737" t="inlineStr">
        <is>
          <t>A 4233-2023</t>
        </is>
      </c>
      <c r="B737" s="1" t="n">
        <v>44953.48619212963</v>
      </c>
      <c r="C737" s="1" t="n">
        <v>46117</v>
      </c>
      <c r="D737" t="inlineStr">
        <is>
          <t>UPPSALA LÄN</t>
        </is>
      </c>
      <c r="E737" t="inlineStr">
        <is>
          <t>ÖSTHAMMAR</t>
        </is>
      </c>
      <c r="G737" t="n">
        <v>0.9</v>
      </c>
      <c r="H737" t="n">
        <v>0</v>
      </c>
      <c r="I737" t="n">
        <v>0</v>
      </c>
      <c r="J737" t="n">
        <v>0</v>
      </c>
      <c r="K737" t="n">
        <v>0</v>
      </c>
      <c r="L737" t="n">
        <v>0</v>
      </c>
      <c r="M737" t="n">
        <v>0</v>
      </c>
      <c r="N737" t="n">
        <v>0</v>
      </c>
      <c r="O737" t="n">
        <v>0</v>
      </c>
      <c r="P737" t="n">
        <v>0</v>
      </c>
      <c r="Q737" t="n">
        <v>0</v>
      </c>
      <c r="R737" s="2" t="inlineStr"/>
    </row>
    <row r="738" ht="15" customHeight="1">
      <c r="A738" t="inlineStr">
        <is>
          <t>A 58270-2023</t>
        </is>
      </c>
      <c r="B738" s="1" t="n">
        <v>45250.49961805555</v>
      </c>
      <c r="C738" s="1" t="n">
        <v>46117</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73592-2021</t>
        </is>
      </c>
      <c r="B739" s="1" t="n">
        <v>44552.36974537037</v>
      </c>
      <c r="C739" s="1" t="n">
        <v>46117</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25938-2024</t>
        </is>
      </c>
      <c r="B740" s="1" t="n">
        <v>45467.63127314814</v>
      </c>
      <c r="C740" s="1" t="n">
        <v>46117</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35539-2023</t>
        </is>
      </c>
      <c r="B741" s="1" t="n">
        <v>45147.37006944444</v>
      </c>
      <c r="C741" s="1" t="n">
        <v>46117</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32744-2022</t>
        </is>
      </c>
      <c r="B742" s="1" t="n">
        <v>44783.70378472222</v>
      </c>
      <c r="C742" s="1" t="n">
        <v>46117</v>
      </c>
      <c r="D742" t="inlineStr">
        <is>
          <t>UPPSALA LÄN</t>
        </is>
      </c>
      <c r="E742" t="inlineStr">
        <is>
          <t>ÖSTHAMMAR</t>
        </is>
      </c>
      <c r="F742" t="inlineStr">
        <is>
          <t>Bergvik skog öst AB</t>
        </is>
      </c>
      <c r="G742" t="n">
        <v>3</v>
      </c>
      <c r="H742" t="n">
        <v>0</v>
      </c>
      <c r="I742" t="n">
        <v>0</v>
      </c>
      <c r="J742" t="n">
        <v>0</v>
      </c>
      <c r="K742" t="n">
        <v>0</v>
      </c>
      <c r="L742" t="n">
        <v>0</v>
      </c>
      <c r="M742" t="n">
        <v>0</v>
      </c>
      <c r="N742" t="n">
        <v>0</v>
      </c>
      <c r="O742" t="n">
        <v>0</v>
      </c>
      <c r="P742" t="n">
        <v>0</v>
      </c>
      <c r="Q742" t="n">
        <v>0</v>
      </c>
      <c r="R742" s="2" t="inlineStr"/>
    </row>
    <row r="743" ht="15" customHeight="1">
      <c r="A743" t="inlineStr">
        <is>
          <t>A 18230-2025</t>
        </is>
      </c>
      <c r="B743" s="1" t="n">
        <v>45761.87114583333</v>
      </c>
      <c r="C743" s="1" t="n">
        <v>46117</v>
      </c>
      <c r="D743" t="inlineStr">
        <is>
          <t>UPPSALA LÄN</t>
        </is>
      </c>
      <c r="E743" t="inlineStr">
        <is>
          <t>ÖSTHAMMAR</t>
        </is>
      </c>
      <c r="F743" t="inlineStr">
        <is>
          <t>Bergvik skog öst AB</t>
        </is>
      </c>
      <c r="G743" t="n">
        <v>4.2</v>
      </c>
      <c r="H743" t="n">
        <v>0</v>
      </c>
      <c r="I743" t="n">
        <v>0</v>
      </c>
      <c r="J743" t="n">
        <v>0</v>
      </c>
      <c r="K743" t="n">
        <v>0</v>
      </c>
      <c r="L743" t="n">
        <v>0</v>
      </c>
      <c r="M743" t="n">
        <v>0</v>
      </c>
      <c r="N743" t="n">
        <v>0</v>
      </c>
      <c r="O743" t="n">
        <v>0</v>
      </c>
      <c r="P743" t="n">
        <v>0</v>
      </c>
      <c r="Q743" t="n">
        <v>0</v>
      </c>
      <c r="R743" s="2" t="inlineStr"/>
    </row>
    <row r="744" ht="15" customHeight="1">
      <c r="A744" t="inlineStr">
        <is>
          <t>A 8006-2023</t>
        </is>
      </c>
      <c r="B744" s="1" t="n">
        <v>44973</v>
      </c>
      <c r="C744" s="1" t="n">
        <v>46117</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13755-2023</t>
        </is>
      </c>
      <c r="B745" s="1" t="n">
        <v>45007</v>
      </c>
      <c r="C745" s="1" t="n">
        <v>46117</v>
      </c>
      <c r="D745" t="inlineStr">
        <is>
          <t>UPPSALA LÄN</t>
        </is>
      </c>
      <c r="E745" t="inlineStr">
        <is>
          <t>ÖSTHAMMAR</t>
        </is>
      </c>
      <c r="G745" t="n">
        <v>2.4</v>
      </c>
      <c r="H745" t="n">
        <v>0</v>
      </c>
      <c r="I745" t="n">
        <v>0</v>
      </c>
      <c r="J745" t="n">
        <v>0</v>
      </c>
      <c r="K745" t="n">
        <v>0</v>
      </c>
      <c r="L745" t="n">
        <v>0</v>
      </c>
      <c r="M745" t="n">
        <v>0</v>
      </c>
      <c r="N745" t="n">
        <v>0</v>
      </c>
      <c r="O745" t="n">
        <v>0</v>
      </c>
      <c r="P745" t="n">
        <v>0</v>
      </c>
      <c r="Q745" t="n">
        <v>0</v>
      </c>
      <c r="R745" s="2" t="inlineStr"/>
    </row>
    <row r="746" ht="15" customHeight="1">
      <c r="A746" t="inlineStr">
        <is>
          <t>A 13771-2023</t>
        </is>
      </c>
      <c r="B746" s="1" t="n">
        <v>45007</v>
      </c>
      <c r="C746" s="1" t="n">
        <v>46117</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7543-2023</t>
        </is>
      </c>
      <c r="B747" s="1" t="n">
        <v>44972</v>
      </c>
      <c r="C747" s="1" t="n">
        <v>46117</v>
      </c>
      <c r="D747" t="inlineStr">
        <is>
          <t>UPPSALA LÄN</t>
        </is>
      </c>
      <c r="E747" t="inlineStr">
        <is>
          <t>ÖSTHAMMAR</t>
        </is>
      </c>
      <c r="F747" t="inlineStr">
        <is>
          <t>Bergvik skog öst AB</t>
        </is>
      </c>
      <c r="G747" t="n">
        <v>13.3</v>
      </c>
      <c r="H747" t="n">
        <v>0</v>
      </c>
      <c r="I747" t="n">
        <v>0</v>
      </c>
      <c r="J747" t="n">
        <v>0</v>
      </c>
      <c r="K747" t="n">
        <v>0</v>
      </c>
      <c r="L747" t="n">
        <v>0</v>
      </c>
      <c r="M747" t="n">
        <v>0</v>
      </c>
      <c r="N747" t="n">
        <v>0</v>
      </c>
      <c r="O747" t="n">
        <v>0</v>
      </c>
      <c r="P747" t="n">
        <v>0</v>
      </c>
      <c r="Q747" t="n">
        <v>0</v>
      </c>
      <c r="R747" s="2" t="inlineStr"/>
    </row>
    <row r="748" ht="15" customHeight="1">
      <c r="A748" t="inlineStr">
        <is>
          <t>A 49899-2023</t>
        </is>
      </c>
      <c r="B748" s="1" t="n">
        <v>45213</v>
      </c>
      <c r="C748" s="1" t="n">
        <v>46117</v>
      </c>
      <c r="D748" t="inlineStr">
        <is>
          <t>UPPSALA LÄN</t>
        </is>
      </c>
      <c r="E748" t="inlineStr">
        <is>
          <t>ÖSTHAMMAR</t>
        </is>
      </c>
      <c r="G748" t="n">
        <v>6.2</v>
      </c>
      <c r="H748" t="n">
        <v>0</v>
      </c>
      <c r="I748" t="n">
        <v>0</v>
      </c>
      <c r="J748" t="n">
        <v>0</v>
      </c>
      <c r="K748" t="n">
        <v>0</v>
      </c>
      <c r="L748" t="n">
        <v>0</v>
      </c>
      <c r="M748" t="n">
        <v>0</v>
      </c>
      <c r="N748" t="n">
        <v>0</v>
      </c>
      <c r="O748" t="n">
        <v>0</v>
      </c>
      <c r="P748" t="n">
        <v>0</v>
      </c>
      <c r="Q748" t="n">
        <v>0</v>
      </c>
      <c r="R748" s="2" t="inlineStr"/>
    </row>
    <row r="749" ht="15" customHeight="1">
      <c r="A749" t="inlineStr">
        <is>
          <t>A 4676-2025</t>
        </is>
      </c>
      <c r="B749" s="1" t="n">
        <v>45687.8313425926</v>
      </c>
      <c r="C749" s="1" t="n">
        <v>46117</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17009-2021</t>
        </is>
      </c>
      <c r="B750" s="1" t="n">
        <v>44295.63969907408</v>
      </c>
      <c r="C750" s="1" t="n">
        <v>46117</v>
      </c>
      <c r="D750" t="inlineStr">
        <is>
          <t>UPPSALA LÄN</t>
        </is>
      </c>
      <c r="E750" t="inlineStr">
        <is>
          <t>ÖSTHAMMAR</t>
        </is>
      </c>
      <c r="F750" t="inlineStr">
        <is>
          <t>Bergvik skog öst AB</t>
        </is>
      </c>
      <c r="G750" t="n">
        <v>3.2</v>
      </c>
      <c r="H750" t="n">
        <v>0</v>
      </c>
      <c r="I750" t="n">
        <v>0</v>
      </c>
      <c r="J750" t="n">
        <v>0</v>
      </c>
      <c r="K750" t="n">
        <v>0</v>
      </c>
      <c r="L750" t="n">
        <v>0</v>
      </c>
      <c r="M750" t="n">
        <v>0</v>
      </c>
      <c r="N750" t="n">
        <v>0</v>
      </c>
      <c r="O750" t="n">
        <v>0</v>
      </c>
      <c r="P750" t="n">
        <v>0</v>
      </c>
      <c r="Q750" t="n">
        <v>0</v>
      </c>
      <c r="R750" s="2" t="inlineStr"/>
    </row>
    <row r="751" ht="15" customHeight="1">
      <c r="A751" t="inlineStr">
        <is>
          <t>A 33758-2024</t>
        </is>
      </c>
      <c r="B751" s="1" t="n">
        <v>45520.56896990741</v>
      </c>
      <c r="C751" s="1" t="n">
        <v>46117</v>
      </c>
      <c r="D751" t="inlineStr">
        <is>
          <t>UPPSALA LÄN</t>
        </is>
      </c>
      <c r="E751" t="inlineStr">
        <is>
          <t>ÖSTHAMMAR</t>
        </is>
      </c>
      <c r="G751" t="n">
        <v>6.5</v>
      </c>
      <c r="H751" t="n">
        <v>0</v>
      </c>
      <c r="I751" t="n">
        <v>0</v>
      </c>
      <c r="J751" t="n">
        <v>0</v>
      </c>
      <c r="K751" t="n">
        <v>0</v>
      </c>
      <c r="L751" t="n">
        <v>0</v>
      </c>
      <c r="M751" t="n">
        <v>0</v>
      </c>
      <c r="N751" t="n">
        <v>0</v>
      </c>
      <c r="O751" t="n">
        <v>0</v>
      </c>
      <c r="P751" t="n">
        <v>0</v>
      </c>
      <c r="Q751" t="n">
        <v>0</v>
      </c>
      <c r="R751" s="2" t="inlineStr"/>
    </row>
    <row r="752" ht="15" customHeight="1">
      <c r="A752" t="inlineStr">
        <is>
          <t>A 24259-2022</t>
        </is>
      </c>
      <c r="B752" s="1" t="n">
        <v>44725</v>
      </c>
      <c r="C752" s="1" t="n">
        <v>46117</v>
      </c>
      <c r="D752" t="inlineStr">
        <is>
          <t>UPPSALA LÄN</t>
        </is>
      </c>
      <c r="E752" t="inlineStr">
        <is>
          <t>ÖSTHAMMAR</t>
        </is>
      </c>
      <c r="G752" t="n">
        <v>2.4</v>
      </c>
      <c r="H752" t="n">
        <v>0</v>
      </c>
      <c r="I752" t="n">
        <v>0</v>
      </c>
      <c r="J752" t="n">
        <v>0</v>
      </c>
      <c r="K752" t="n">
        <v>0</v>
      </c>
      <c r="L752" t="n">
        <v>0</v>
      </c>
      <c r="M752" t="n">
        <v>0</v>
      </c>
      <c r="N752" t="n">
        <v>0</v>
      </c>
      <c r="O752" t="n">
        <v>0</v>
      </c>
      <c r="P752" t="n">
        <v>0</v>
      </c>
      <c r="Q752" t="n">
        <v>0</v>
      </c>
      <c r="R752" s="2" t="inlineStr"/>
    </row>
    <row r="753" ht="15" customHeight="1">
      <c r="A753" t="inlineStr">
        <is>
          <t>A 18113-2023</t>
        </is>
      </c>
      <c r="B753" s="1" t="n">
        <v>45040</v>
      </c>
      <c r="C753" s="1" t="n">
        <v>46117</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61216-2022</t>
        </is>
      </c>
      <c r="B754" s="1" t="n">
        <v>44915.55423611111</v>
      </c>
      <c r="C754" s="1" t="n">
        <v>46117</v>
      </c>
      <c r="D754" t="inlineStr">
        <is>
          <t>UPPSALA LÄN</t>
        </is>
      </c>
      <c r="E754" t="inlineStr">
        <is>
          <t>ÖSTHAMMAR</t>
        </is>
      </c>
      <c r="G754" t="n">
        <v>2.9</v>
      </c>
      <c r="H754" t="n">
        <v>0</v>
      </c>
      <c r="I754" t="n">
        <v>0</v>
      </c>
      <c r="J754" t="n">
        <v>0</v>
      </c>
      <c r="K754" t="n">
        <v>0</v>
      </c>
      <c r="L754" t="n">
        <v>0</v>
      </c>
      <c r="M754" t="n">
        <v>0</v>
      </c>
      <c r="N754" t="n">
        <v>0</v>
      </c>
      <c r="O754" t="n">
        <v>0</v>
      </c>
      <c r="P754" t="n">
        <v>0</v>
      </c>
      <c r="Q754" t="n">
        <v>0</v>
      </c>
      <c r="R754" s="2" t="inlineStr"/>
    </row>
    <row r="755" ht="15" customHeight="1">
      <c r="A755" t="inlineStr">
        <is>
          <t>A 27660-2023</t>
        </is>
      </c>
      <c r="B755" s="1" t="n">
        <v>45097</v>
      </c>
      <c r="C755" s="1" t="n">
        <v>46117</v>
      </c>
      <c r="D755" t="inlineStr">
        <is>
          <t>UPPSALA LÄN</t>
        </is>
      </c>
      <c r="E755" t="inlineStr">
        <is>
          <t>ÖSTHAMMAR</t>
        </is>
      </c>
      <c r="G755" t="n">
        <v>2.8</v>
      </c>
      <c r="H755" t="n">
        <v>0</v>
      </c>
      <c r="I755" t="n">
        <v>0</v>
      </c>
      <c r="J755" t="n">
        <v>0</v>
      </c>
      <c r="K755" t="n">
        <v>0</v>
      </c>
      <c r="L755" t="n">
        <v>0</v>
      </c>
      <c r="M755" t="n">
        <v>0</v>
      </c>
      <c r="N755" t="n">
        <v>0</v>
      </c>
      <c r="O755" t="n">
        <v>0</v>
      </c>
      <c r="P755" t="n">
        <v>0</v>
      </c>
      <c r="Q755" t="n">
        <v>0</v>
      </c>
      <c r="R755" s="2" t="inlineStr"/>
    </row>
    <row r="756" ht="15" customHeight="1">
      <c r="A756" t="inlineStr">
        <is>
          <t>A 69411-2021</t>
        </is>
      </c>
      <c r="B756" s="1" t="n">
        <v>44531.61038194445</v>
      </c>
      <c r="C756" s="1" t="n">
        <v>46117</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26303-2024</t>
        </is>
      </c>
      <c r="B757" s="1" t="n">
        <v>45468</v>
      </c>
      <c r="C757" s="1" t="n">
        <v>46117</v>
      </c>
      <c r="D757" t="inlineStr">
        <is>
          <t>UPPSALA LÄN</t>
        </is>
      </c>
      <c r="E757" t="inlineStr">
        <is>
          <t>ÖSTHAMMAR</t>
        </is>
      </c>
      <c r="G757" t="n">
        <v>1.2</v>
      </c>
      <c r="H757" t="n">
        <v>0</v>
      </c>
      <c r="I757" t="n">
        <v>0</v>
      </c>
      <c r="J757" t="n">
        <v>0</v>
      </c>
      <c r="K757" t="n">
        <v>0</v>
      </c>
      <c r="L757" t="n">
        <v>0</v>
      </c>
      <c r="M757" t="n">
        <v>0</v>
      </c>
      <c r="N757" t="n">
        <v>0</v>
      </c>
      <c r="O757" t="n">
        <v>0</v>
      </c>
      <c r="P757" t="n">
        <v>0</v>
      </c>
      <c r="Q757" t="n">
        <v>0</v>
      </c>
      <c r="R757" s="2" t="inlineStr"/>
    </row>
    <row r="758" ht="15" customHeight="1">
      <c r="A758" t="inlineStr">
        <is>
          <t>A 7100-2025</t>
        </is>
      </c>
      <c r="B758" s="1" t="n">
        <v>45701.83930555556</v>
      </c>
      <c r="C758" s="1" t="n">
        <v>46117</v>
      </c>
      <c r="D758" t="inlineStr">
        <is>
          <t>UPPSALA LÄN</t>
        </is>
      </c>
      <c r="E758" t="inlineStr">
        <is>
          <t>ÖSTHAMMAR</t>
        </is>
      </c>
      <c r="G758" t="n">
        <v>4.3</v>
      </c>
      <c r="H758" t="n">
        <v>0</v>
      </c>
      <c r="I758" t="n">
        <v>0</v>
      </c>
      <c r="J758" t="n">
        <v>0</v>
      </c>
      <c r="K758" t="n">
        <v>0</v>
      </c>
      <c r="L758" t="n">
        <v>0</v>
      </c>
      <c r="M758" t="n">
        <v>0</v>
      </c>
      <c r="N758" t="n">
        <v>0</v>
      </c>
      <c r="O758" t="n">
        <v>0</v>
      </c>
      <c r="P758" t="n">
        <v>0</v>
      </c>
      <c r="Q758" t="n">
        <v>0</v>
      </c>
      <c r="R758" s="2" t="inlineStr"/>
    </row>
    <row r="759" ht="15" customHeight="1">
      <c r="A759" t="inlineStr">
        <is>
          <t>A 60577-2021</t>
        </is>
      </c>
      <c r="B759" s="1" t="n">
        <v>44496.57019675926</v>
      </c>
      <c r="C759" s="1" t="n">
        <v>46117</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10495-2025</t>
        </is>
      </c>
      <c r="B760" s="1" t="n">
        <v>45721</v>
      </c>
      <c r="C760" s="1" t="n">
        <v>46117</v>
      </c>
      <c r="D760" t="inlineStr">
        <is>
          <t>UPPSALA LÄN</t>
        </is>
      </c>
      <c r="E760" t="inlineStr">
        <is>
          <t>ÖSTHAMMAR</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1791-2023</t>
        </is>
      </c>
      <c r="B761" s="1" t="n">
        <v>44938</v>
      </c>
      <c r="C761" s="1" t="n">
        <v>46117</v>
      </c>
      <c r="D761" t="inlineStr">
        <is>
          <t>UPPSALA LÄN</t>
        </is>
      </c>
      <c r="E761" t="inlineStr">
        <is>
          <t>ÖSTHAMMAR</t>
        </is>
      </c>
      <c r="G761" t="n">
        <v>2</v>
      </c>
      <c r="H761" t="n">
        <v>0</v>
      </c>
      <c r="I761" t="n">
        <v>0</v>
      </c>
      <c r="J761" t="n">
        <v>0</v>
      </c>
      <c r="K761" t="n">
        <v>0</v>
      </c>
      <c r="L761" t="n">
        <v>0</v>
      </c>
      <c r="M761" t="n">
        <v>0</v>
      </c>
      <c r="N761" t="n">
        <v>0</v>
      </c>
      <c r="O761" t="n">
        <v>0</v>
      </c>
      <c r="P761" t="n">
        <v>0</v>
      </c>
      <c r="Q761" t="n">
        <v>0</v>
      </c>
      <c r="R761" s="2" t="inlineStr"/>
    </row>
    <row r="762" ht="15" customHeight="1">
      <c r="A762" t="inlineStr">
        <is>
          <t>A 49796-2024</t>
        </is>
      </c>
      <c r="B762" s="1" t="n">
        <v>45597</v>
      </c>
      <c r="C762" s="1" t="n">
        <v>46117</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21133-2025</t>
        </is>
      </c>
      <c r="B763" s="1" t="n">
        <v>45778.415625</v>
      </c>
      <c r="C763" s="1" t="n">
        <v>46117</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21132-2025</t>
        </is>
      </c>
      <c r="B764" s="1" t="n">
        <v>45778.4108912037</v>
      </c>
      <c r="C764" s="1" t="n">
        <v>46117</v>
      </c>
      <c r="D764" t="inlineStr">
        <is>
          <t>UPPSALA LÄN</t>
        </is>
      </c>
      <c r="E764" t="inlineStr">
        <is>
          <t>ÖSTHAMMAR</t>
        </is>
      </c>
      <c r="G764" t="n">
        <v>10.1</v>
      </c>
      <c r="H764" t="n">
        <v>0</v>
      </c>
      <c r="I764" t="n">
        <v>0</v>
      </c>
      <c r="J764" t="n">
        <v>0</v>
      </c>
      <c r="K764" t="n">
        <v>0</v>
      </c>
      <c r="L764" t="n">
        <v>0</v>
      </c>
      <c r="M764" t="n">
        <v>0</v>
      </c>
      <c r="N764" t="n">
        <v>0</v>
      </c>
      <c r="O764" t="n">
        <v>0</v>
      </c>
      <c r="P764" t="n">
        <v>0</v>
      </c>
      <c r="Q764" t="n">
        <v>0</v>
      </c>
      <c r="R764" s="2" t="inlineStr"/>
    </row>
    <row r="765" ht="15" customHeight="1">
      <c r="A765" t="inlineStr">
        <is>
          <t>A 42262-2024</t>
        </is>
      </c>
      <c r="B765" s="1" t="n">
        <v>45562</v>
      </c>
      <c r="C765" s="1" t="n">
        <v>46117</v>
      </c>
      <c r="D765" t="inlineStr">
        <is>
          <t>UPPSALA LÄN</t>
        </is>
      </c>
      <c r="E765" t="inlineStr">
        <is>
          <t>ÖSTHAMMAR</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36954-2024</t>
        </is>
      </c>
      <c r="B766" s="1" t="n">
        <v>45538.71109953704</v>
      </c>
      <c r="C766" s="1" t="n">
        <v>46117</v>
      </c>
      <c r="D766" t="inlineStr">
        <is>
          <t>UPPSALA LÄN</t>
        </is>
      </c>
      <c r="E766" t="inlineStr">
        <is>
          <t>ÖSTHAMMAR</t>
        </is>
      </c>
      <c r="F766" t="inlineStr">
        <is>
          <t>Bergvik skog öst AB</t>
        </is>
      </c>
      <c r="G766" t="n">
        <v>5.1</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46117</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43655-2024</t>
        </is>
      </c>
      <c r="B768" s="1" t="n">
        <v>45569</v>
      </c>
      <c r="C768" s="1" t="n">
        <v>46117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22488-2025</t>
        </is>
      </c>
      <c r="B769" s="1" t="n">
        <v>45786.64865740741</v>
      </c>
      <c r="C769" s="1" t="n">
        <v>46117</v>
      </c>
      <c r="D769" t="inlineStr">
        <is>
          <t>UPPSALA LÄN</t>
        </is>
      </c>
      <c r="E769" t="inlineStr">
        <is>
          <t>ÖSTHAMMAR</t>
        </is>
      </c>
      <c r="F769" t="inlineStr">
        <is>
          <t>Bergvik skog öst AB</t>
        </is>
      </c>
      <c r="G769" t="n">
        <v>14.9</v>
      </c>
      <c r="H769" t="n">
        <v>0</v>
      </c>
      <c r="I769" t="n">
        <v>0</v>
      </c>
      <c r="J769" t="n">
        <v>0</v>
      </c>
      <c r="K769" t="n">
        <v>0</v>
      </c>
      <c r="L769" t="n">
        <v>0</v>
      </c>
      <c r="M769" t="n">
        <v>0</v>
      </c>
      <c r="N769" t="n">
        <v>0</v>
      </c>
      <c r="O769" t="n">
        <v>0</v>
      </c>
      <c r="P769" t="n">
        <v>0</v>
      </c>
      <c r="Q769" t="n">
        <v>0</v>
      </c>
      <c r="R769" s="2" t="inlineStr"/>
    </row>
    <row r="770" ht="15" customHeight="1">
      <c r="A770" t="inlineStr">
        <is>
          <t>A 14595-2023</t>
        </is>
      </c>
      <c r="B770" s="1" t="n">
        <v>45013.57858796296</v>
      </c>
      <c r="C770" s="1" t="n">
        <v>46117</v>
      </c>
      <c r="D770" t="inlineStr">
        <is>
          <t>UPPSALA LÄN</t>
        </is>
      </c>
      <c r="E770" t="inlineStr">
        <is>
          <t>ÖSTHAMMAR</t>
        </is>
      </c>
      <c r="G770" t="n">
        <v>5</v>
      </c>
      <c r="H770" t="n">
        <v>0</v>
      </c>
      <c r="I770" t="n">
        <v>0</v>
      </c>
      <c r="J770" t="n">
        <v>0</v>
      </c>
      <c r="K770" t="n">
        <v>0</v>
      </c>
      <c r="L770" t="n">
        <v>0</v>
      </c>
      <c r="M770" t="n">
        <v>0</v>
      </c>
      <c r="N770" t="n">
        <v>0</v>
      </c>
      <c r="O770" t="n">
        <v>0</v>
      </c>
      <c r="P770" t="n">
        <v>0</v>
      </c>
      <c r="Q770" t="n">
        <v>0</v>
      </c>
      <c r="R770" s="2" t="inlineStr"/>
    </row>
    <row r="771" ht="15" customHeight="1">
      <c r="A771" t="inlineStr">
        <is>
          <t>A 32483-2024</t>
        </is>
      </c>
      <c r="B771" s="1" t="n">
        <v>45513.36644675926</v>
      </c>
      <c r="C771" s="1" t="n">
        <v>46117</v>
      </c>
      <c r="D771" t="inlineStr">
        <is>
          <t>UPPSALA LÄN</t>
        </is>
      </c>
      <c r="E771" t="inlineStr">
        <is>
          <t>ÖSTHAMMAR</t>
        </is>
      </c>
      <c r="F771" t="inlineStr">
        <is>
          <t>Kyrkan</t>
        </is>
      </c>
      <c r="G771" t="n">
        <v>4.7</v>
      </c>
      <c r="H771" t="n">
        <v>0</v>
      </c>
      <c r="I771" t="n">
        <v>0</v>
      </c>
      <c r="J771" t="n">
        <v>0</v>
      </c>
      <c r="K771" t="n">
        <v>0</v>
      </c>
      <c r="L771" t="n">
        <v>0</v>
      </c>
      <c r="M771" t="n">
        <v>0</v>
      </c>
      <c r="N771" t="n">
        <v>0</v>
      </c>
      <c r="O771" t="n">
        <v>0</v>
      </c>
      <c r="P771" t="n">
        <v>0</v>
      </c>
      <c r="Q771" t="n">
        <v>0</v>
      </c>
      <c r="R771" s="2" t="inlineStr"/>
    </row>
    <row r="772" ht="15" customHeight="1">
      <c r="A772" t="inlineStr">
        <is>
          <t>A 38575-2024</t>
        </is>
      </c>
      <c r="B772" s="1" t="n">
        <v>45546.64221064815</v>
      </c>
      <c r="C772" s="1" t="n">
        <v>46117</v>
      </c>
      <c r="D772" t="inlineStr">
        <is>
          <t>UPPSALA LÄN</t>
        </is>
      </c>
      <c r="E772" t="inlineStr">
        <is>
          <t>ÖSTHAMMAR</t>
        </is>
      </c>
      <c r="F772" t="inlineStr">
        <is>
          <t>Bergvik skog öst AB</t>
        </is>
      </c>
      <c r="G772" t="n">
        <v>5.1</v>
      </c>
      <c r="H772" t="n">
        <v>0</v>
      </c>
      <c r="I772" t="n">
        <v>0</v>
      </c>
      <c r="J772" t="n">
        <v>0</v>
      </c>
      <c r="K772" t="n">
        <v>0</v>
      </c>
      <c r="L772" t="n">
        <v>0</v>
      </c>
      <c r="M772" t="n">
        <v>0</v>
      </c>
      <c r="N772" t="n">
        <v>0</v>
      </c>
      <c r="O772" t="n">
        <v>0</v>
      </c>
      <c r="P772" t="n">
        <v>0</v>
      </c>
      <c r="Q772" t="n">
        <v>0</v>
      </c>
      <c r="R772" s="2" t="inlineStr"/>
    </row>
    <row r="773" ht="15" customHeight="1">
      <c r="A773" t="inlineStr">
        <is>
          <t>A 43685-2024</t>
        </is>
      </c>
      <c r="B773" s="1" t="n">
        <v>45569</v>
      </c>
      <c r="C773" s="1" t="n">
        <v>46117</v>
      </c>
      <c r="D773" t="inlineStr">
        <is>
          <t>UPPSALA LÄN</t>
        </is>
      </c>
      <c r="E773" t="inlineStr">
        <is>
          <t>ÖSTHAMMAR</t>
        </is>
      </c>
      <c r="G773" t="n">
        <v>1.1</v>
      </c>
      <c r="H773" t="n">
        <v>0</v>
      </c>
      <c r="I773" t="n">
        <v>0</v>
      </c>
      <c r="J773" t="n">
        <v>0</v>
      </c>
      <c r="K773" t="n">
        <v>0</v>
      </c>
      <c r="L773" t="n">
        <v>0</v>
      </c>
      <c r="M773" t="n">
        <v>0</v>
      </c>
      <c r="N773" t="n">
        <v>0</v>
      </c>
      <c r="O773" t="n">
        <v>0</v>
      </c>
      <c r="P773" t="n">
        <v>0</v>
      </c>
      <c r="Q773" t="n">
        <v>0</v>
      </c>
      <c r="R773" s="2" t="inlineStr"/>
    </row>
    <row r="774" ht="15" customHeight="1">
      <c r="A774" t="inlineStr">
        <is>
          <t>A 44796-2024</t>
        </is>
      </c>
      <c r="B774" s="1" t="n">
        <v>45574</v>
      </c>
      <c r="C774" s="1" t="n">
        <v>46117</v>
      </c>
      <c r="D774" t="inlineStr">
        <is>
          <t>UPPSALA LÄN</t>
        </is>
      </c>
      <c r="E774" t="inlineStr">
        <is>
          <t>ÖSTHAMMAR</t>
        </is>
      </c>
      <c r="G774" t="n">
        <v>4.7</v>
      </c>
      <c r="H774" t="n">
        <v>0</v>
      </c>
      <c r="I774" t="n">
        <v>0</v>
      </c>
      <c r="J774" t="n">
        <v>0</v>
      </c>
      <c r="K774" t="n">
        <v>0</v>
      </c>
      <c r="L774" t="n">
        <v>0</v>
      </c>
      <c r="M774" t="n">
        <v>0</v>
      </c>
      <c r="N774" t="n">
        <v>0</v>
      </c>
      <c r="O774" t="n">
        <v>0</v>
      </c>
      <c r="P774" t="n">
        <v>0</v>
      </c>
      <c r="Q774" t="n">
        <v>0</v>
      </c>
      <c r="R774" s="2" t="inlineStr"/>
    </row>
    <row r="775" ht="15" customHeight="1">
      <c r="A775" t="inlineStr">
        <is>
          <t>A 44027-2024</t>
        </is>
      </c>
      <c r="B775" s="1" t="n">
        <v>45572</v>
      </c>
      <c r="C775" s="1" t="n">
        <v>46117</v>
      </c>
      <c r="D775" t="inlineStr">
        <is>
          <t>UPPSALA LÄN</t>
        </is>
      </c>
      <c r="E775" t="inlineStr">
        <is>
          <t>ÖSTHAMMAR</t>
        </is>
      </c>
      <c r="G775" t="n">
        <v>6</v>
      </c>
      <c r="H775" t="n">
        <v>0</v>
      </c>
      <c r="I775" t="n">
        <v>0</v>
      </c>
      <c r="J775" t="n">
        <v>0</v>
      </c>
      <c r="K775" t="n">
        <v>0</v>
      </c>
      <c r="L775" t="n">
        <v>0</v>
      </c>
      <c r="M775" t="n">
        <v>0</v>
      </c>
      <c r="N775" t="n">
        <v>0</v>
      </c>
      <c r="O775" t="n">
        <v>0</v>
      </c>
      <c r="P775" t="n">
        <v>0</v>
      </c>
      <c r="Q775" t="n">
        <v>0</v>
      </c>
      <c r="R775" s="2" t="inlineStr"/>
    </row>
    <row r="776" ht="15" customHeight="1">
      <c r="A776" t="inlineStr">
        <is>
          <t>A 5931-2022</t>
        </is>
      </c>
      <c r="B776" s="1" t="n">
        <v>44598.82700231481</v>
      </c>
      <c r="C776" s="1" t="n">
        <v>46117</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43683-2024</t>
        </is>
      </c>
      <c r="B777" s="1" t="n">
        <v>45569.57518518518</v>
      </c>
      <c r="C777" s="1" t="n">
        <v>46117</v>
      </c>
      <c r="D777" t="inlineStr">
        <is>
          <t>UPPSALA LÄN</t>
        </is>
      </c>
      <c r="E777" t="inlineStr">
        <is>
          <t>ÖSTHAMMAR</t>
        </is>
      </c>
      <c r="G777" t="n">
        <v>4.7</v>
      </c>
      <c r="H777" t="n">
        <v>0</v>
      </c>
      <c r="I777" t="n">
        <v>0</v>
      </c>
      <c r="J777" t="n">
        <v>0</v>
      </c>
      <c r="K777" t="n">
        <v>0</v>
      </c>
      <c r="L777" t="n">
        <v>0</v>
      </c>
      <c r="M777" t="n">
        <v>0</v>
      </c>
      <c r="N777" t="n">
        <v>0</v>
      </c>
      <c r="O777" t="n">
        <v>0</v>
      </c>
      <c r="P777" t="n">
        <v>0</v>
      </c>
      <c r="Q777" t="n">
        <v>0</v>
      </c>
      <c r="R777" s="2" t="inlineStr"/>
    </row>
    <row r="778" ht="15" customHeight="1">
      <c r="A778" t="inlineStr">
        <is>
          <t>A 43993-2024</t>
        </is>
      </c>
      <c r="B778" s="1" t="n">
        <v>45572.52690972222</v>
      </c>
      <c r="C778" s="1" t="n">
        <v>46117</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22492-2025</t>
        </is>
      </c>
      <c r="B779" s="1" t="n">
        <v>45786.65072916666</v>
      </c>
      <c r="C779" s="1" t="n">
        <v>46117</v>
      </c>
      <c r="D779" t="inlineStr">
        <is>
          <t>UPPSALA LÄN</t>
        </is>
      </c>
      <c r="E779" t="inlineStr">
        <is>
          <t>ÖSTHAMMAR</t>
        </is>
      </c>
      <c r="F779" t="inlineStr">
        <is>
          <t>Bergvik skog öst AB</t>
        </is>
      </c>
      <c r="G779" t="n">
        <v>16.6</v>
      </c>
      <c r="H779" t="n">
        <v>0</v>
      </c>
      <c r="I779" t="n">
        <v>0</v>
      </c>
      <c r="J779" t="n">
        <v>0</v>
      </c>
      <c r="K779" t="n">
        <v>0</v>
      </c>
      <c r="L779" t="n">
        <v>0</v>
      </c>
      <c r="M779" t="n">
        <v>0</v>
      </c>
      <c r="N779" t="n">
        <v>0</v>
      </c>
      <c r="O779" t="n">
        <v>0</v>
      </c>
      <c r="P779" t="n">
        <v>0</v>
      </c>
      <c r="Q779" t="n">
        <v>0</v>
      </c>
      <c r="R779" s="2" t="inlineStr"/>
    </row>
    <row r="780" ht="15" customHeight="1">
      <c r="A780" t="inlineStr">
        <is>
          <t>A 22483-2025</t>
        </is>
      </c>
      <c r="B780" s="1" t="n">
        <v>45786.64141203704</v>
      </c>
      <c r="C780" s="1" t="n">
        <v>46117</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59291-2023</t>
        </is>
      </c>
      <c r="B781" s="1" t="n">
        <v>45253.57559027777</v>
      </c>
      <c r="C781" s="1" t="n">
        <v>46117</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23305-2025</t>
        </is>
      </c>
      <c r="B782" s="1" t="n">
        <v>45791.60127314815</v>
      </c>
      <c r="C782" s="1" t="n">
        <v>46117</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1584-2025</t>
        </is>
      </c>
      <c r="B783" s="1" t="n">
        <v>45670</v>
      </c>
      <c r="C783" s="1" t="n">
        <v>46117</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30972-2024</t>
        </is>
      </c>
      <c r="B784" s="1" t="n">
        <v>45499.47106481482</v>
      </c>
      <c r="C784" s="1" t="n">
        <v>46117</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24160-2024</t>
        </is>
      </c>
      <c r="B785" s="1" t="n">
        <v>45456</v>
      </c>
      <c r="C785" s="1" t="n">
        <v>46117</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24415-2025</t>
        </is>
      </c>
      <c r="B786" s="1" t="n">
        <v>45797.67381944445</v>
      </c>
      <c r="C786" s="1" t="n">
        <v>46117</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23968-2025</t>
        </is>
      </c>
      <c r="B787" s="1" t="n">
        <v>45796</v>
      </c>
      <c r="C787" s="1" t="n">
        <v>46117</v>
      </c>
      <c r="D787" t="inlineStr">
        <is>
          <t>UPPSALA LÄN</t>
        </is>
      </c>
      <c r="E787" t="inlineStr">
        <is>
          <t>ÖSTHAMMAR</t>
        </is>
      </c>
      <c r="F787" t="inlineStr">
        <is>
          <t>Bergvik skog öst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24174-2025</t>
        </is>
      </c>
      <c r="B788" s="1" t="n">
        <v>45796.69207175926</v>
      </c>
      <c r="C788" s="1" t="n">
        <v>46117</v>
      </c>
      <c r="D788" t="inlineStr">
        <is>
          <t>UPPSALA LÄN</t>
        </is>
      </c>
      <c r="E788" t="inlineStr">
        <is>
          <t>ÖSTHAMMAR</t>
        </is>
      </c>
      <c r="G788" t="n">
        <v>4.9</v>
      </c>
      <c r="H788" t="n">
        <v>0</v>
      </c>
      <c r="I788" t="n">
        <v>0</v>
      </c>
      <c r="J788" t="n">
        <v>0</v>
      </c>
      <c r="K788" t="n">
        <v>0</v>
      </c>
      <c r="L788" t="n">
        <v>0</v>
      </c>
      <c r="M788" t="n">
        <v>0</v>
      </c>
      <c r="N788" t="n">
        <v>0</v>
      </c>
      <c r="O788" t="n">
        <v>0</v>
      </c>
      <c r="P788" t="n">
        <v>0</v>
      </c>
      <c r="Q788" t="n">
        <v>0</v>
      </c>
      <c r="R788" s="2" t="inlineStr"/>
    </row>
    <row r="789" ht="15" customHeight="1">
      <c r="A789" t="inlineStr">
        <is>
          <t>A 24606-2024</t>
        </is>
      </c>
      <c r="B789" s="1" t="n">
        <v>45460</v>
      </c>
      <c r="C789" s="1" t="n">
        <v>46117</v>
      </c>
      <c r="D789" t="inlineStr">
        <is>
          <t>UPPSALA LÄN</t>
        </is>
      </c>
      <c r="E789" t="inlineStr">
        <is>
          <t>ÖSTHAMMAR</t>
        </is>
      </c>
      <c r="F789" t="inlineStr">
        <is>
          <t>Bergvik skog öst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25049-2025</t>
        </is>
      </c>
      <c r="B790" s="1" t="n">
        <v>45799.66876157407</v>
      </c>
      <c r="C790" s="1" t="n">
        <v>46117</v>
      </c>
      <c r="D790" t="inlineStr">
        <is>
          <t>UPPSALA LÄN</t>
        </is>
      </c>
      <c r="E790" t="inlineStr">
        <is>
          <t>ÖSTHAMMAR</t>
        </is>
      </c>
      <c r="F790" t="inlineStr">
        <is>
          <t>Bergvik skog öst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24944-2025</t>
        </is>
      </c>
      <c r="B791" s="1" t="n">
        <v>45799.56347222222</v>
      </c>
      <c r="C791" s="1" t="n">
        <v>46117</v>
      </c>
      <c r="D791" t="inlineStr">
        <is>
          <t>UPPSALA LÄN</t>
        </is>
      </c>
      <c r="E791" t="inlineStr">
        <is>
          <t>ÖSTHAMMAR</t>
        </is>
      </c>
      <c r="G791" t="n">
        <v>7.3</v>
      </c>
      <c r="H791" t="n">
        <v>0</v>
      </c>
      <c r="I791" t="n">
        <v>0</v>
      </c>
      <c r="J791" t="n">
        <v>0</v>
      </c>
      <c r="K791" t="n">
        <v>0</v>
      </c>
      <c r="L791" t="n">
        <v>0</v>
      </c>
      <c r="M791" t="n">
        <v>0</v>
      </c>
      <c r="N791" t="n">
        <v>0</v>
      </c>
      <c r="O791" t="n">
        <v>0</v>
      </c>
      <c r="P791" t="n">
        <v>0</v>
      </c>
      <c r="Q791" t="n">
        <v>0</v>
      </c>
      <c r="R791" s="2" t="inlineStr"/>
    </row>
    <row r="792" ht="15" customHeight="1">
      <c r="A792" t="inlineStr">
        <is>
          <t>A 12945-2025</t>
        </is>
      </c>
      <c r="B792" s="1" t="n">
        <v>45734.38159722222</v>
      </c>
      <c r="C792" s="1" t="n">
        <v>46117</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34185-2024</t>
        </is>
      </c>
      <c r="B793" s="1" t="n">
        <v>45524</v>
      </c>
      <c r="C793" s="1" t="n">
        <v>46117</v>
      </c>
      <c r="D793" t="inlineStr">
        <is>
          <t>UPPSALA LÄN</t>
        </is>
      </c>
      <c r="E793" t="inlineStr">
        <is>
          <t>ÖSTHAMMAR</t>
        </is>
      </c>
      <c r="G793" t="n">
        <v>2.5</v>
      </c>
      <c r="H793" t="n">
        <v>0</v>
      </c>
      <c r="I793" t="n">
        <v>0</v>
      </c>
      <c r="J793" t="n">
        <v>0</v>
      </c>
      <c r="K793" t="n">
        <v>0</v>
      </c>
      <c r="L793" t="n">
        <v>0</v>
      </c>
      <c r="M793" t="n">
        <v>0</v>
      </c>
      <c r="N793" t="n">
        <v>0</v>
      </c>
      <c r="O793" t="n">
        <v>0</v>
      </c>
      <c r="P793" t="n">
        <v>0</v>
      </c>
      <c r="Q793" t="n">
        <v>0</v>
      </c>
      <c r="R793" s="2" t="inlineStr"/>
    </row>
    <row r="794" ht="15" customHeight="1">
      <c r="A794" t="inlineStr">
        <is>
          <t>A 16089-2025</t>
        </is>
      </c>
      <c r="B794" s="1" t="n">
        <v>45749.84232638889</v>
      </c>
      <c r="C794" s="1" t="n">
        <v>46117</v>
      </c>
      <c r="D794" t="inlineStr">
        <is>
          <t>UPPSALA LÄN</t>
        </is>
      </c>
      <c r="E794" t="inlineStr">
        <is>
          <t>ÖSTHAMMAR</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14170-2025</t>
        </is>
      </c>
      <c r="B795" s="1" t="n">
        <v>45740.51895833333</v>
      </c>
      <c r="C795" s="1" t="n">
        <v>46117</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58297-2024</t>
        </is>
      </c>
      <c r="B796" s="1" t="n">
        <v>45632.59780092593</v>
      </c>
      <c r="C796" s="1" t="n">
        <v>46117</v>
      </c>
      <c r="D796" t="inlineStr">
        <is>
          <t>UPPSALA LÄN</t>
        </is>
      </c>
      <c r="E796" t="inlineStr">
        <is>
          <t>ÖSTHAMMAR</t>
        </is>
      </c>
      <c r="G796" t="n">
        <v>5.1</v>
      </c>
      <c r="H796" t="n">
        <v>0</v>
      </c>
      <c r="I796" t="n">
        <v>0</v>
      </c>
      <c r="J796" t="n">
        <v>0</v>
      </c>
      <c r="K796" t="n">
        <v>0</v>
      </c>
      <c r="L796" t="n">
        <v>0</v>
      </c>
      <c r="M796" t="n">
        <v>0</v>
      </c>
      <c r="N796" t="n">
        <v>0</v>
      </c>
      <c r="O796" t="n">
        <v>0</v>
      </c>
      <c r="P796" t="n">
        <v>0</v>
      </c>
      <c r="Q796" t="n">
        <v>0</v>
      </c>
      <c r="R796" s="2" t="inlineStr"/>
    </row>
    <row r="797" ht="15" customHeight="1">
      <c r="A797" t="inlineStr">
        <is>
          <t>A 26330-2025</t>
        </is>
      </c>
      <c r="B797" s="1" t="n">
        <v>45805.68263888889</v>
      </c>
      <c r="C797" s="1" t="n">
        <v>46117</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26319-2025</t>
        </is>
      </c>
      <c r="B798" s="1" t="n">
        <v>45805.65960648148</v>
      </c>
      <c r="C798" s="1" t="n">
        <v>46117</v>
      </c>
      <c r="D798" t="inlineStr">
        <is>
          <t>UPPSALA LÄN</t>
        </is>
      </c>
      <c r="E798" t="inlineStr">
        <is>
          <t>ÖSTHAMMAR</t>
        </is>
      </c>
      <c r="G798" t="n">
        <v>1</v>
      </c>
      <c r="H798" t="n">
        <v>0</v>
      </c>
      <c r="I798" t="n">
        <v>0</v>
      </c>
      <c r="J798" t="n">
        <v>0</v>
      </c>
      <c r="K798" t="n">
        <v>0</v>
      </c>
      <c r="L798" t="n">
        <v>0</v>
      </c>
      <c r="M798" t="n">
        <v>0</v>
      </c>
      <c r="N798" t="n">
        <v>0</v>
      </c>
      <c r="O798" t="n">
        <v>0</v>
      </c>
      <c r="P798" t="n">
        <v>0</v>
      </c>
      <c r="Q798" t="n">
        <v>0</v>
      </c>
      <c r="R798" s="2" t="inlineStr"/>
    </row>
    <row r="799" ht="15" customHeight="1">
      <c r="A799" t="inlineStr">
        <is>
          <t>A 26055-2025</t>
        </is>
      </c>
      <c r="B799" s="1" t="n">
        <v>45804.77559027778</v>
      </c>
      <c r="C799" s="1" t="n">
        <v>46117</v>
      </c>
      <c r="D799" t="inlineStr">
        <is>
          <t>UPPSALA LÄN</t>
        </is>
      </c>
      <c r="E799" t="inlineStr">
        <is>
          <t>ÖSTHAMMAR</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26521-2025</t>
        </is>
      </c>
      <c r="B800" s="1" t="n">
        <v>45807.56275462963</v>
      </c>
      <c r="C800" s="1" t="n">
        <v>46117</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26526-2025</t>
        </is>
      </c>
      <c r="B801" s="1" t="n">
        <v>45807.56612268519</v>
      </c>
      <c r="C801" s="1" t="n">
        <v>46117</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27131-2025</t>
        </is>
      </c>
      <c r="B802" s="1" t="n">
        <v>45811</v>
      </c>
      <c r="C802" s="1" t="n">
        <v>46117</v>
      </c>
      <c r="D802" t="inlineStr">
        <is>
          <t>UPPSALA LÄN</t>
        </is>
      </c>
      <c r="E802" t="inlineStr">
        <is>
          <t>ÖSTHAMMAR</t>
        </is>
      </c>
      <c r="G802" t="n">
        <v>1.9</v>
      </c>
      <c r="H802" t="n">
        <v>0</v>
      </c>
      <c r="I802" t="n">
        <v>0</v>
      </c>
      <c r="J802" t="n">
        <v>0</v>
      </c>
      <c r="K802" t="n">
        <v>0</v>
      </c>
      <c r="L802" t="n">
        <v>0</v>
      </c>
      <c r="M802" t="n">
        <v>0</v>
      </c>
      <c r="N802" t="n">
        <v>0</v>
      </c>
      <c r="O802" t="n">
        <v>0</v>
      </c>
      <c r="P802" t="n">
        <v>0</v>
      </c>
      <c r="Q802" t="n">
        <v>0</v>
      </c>
      <c r="R802" s="2" t="inlineStr"/>
    </row>
    <row r="803" ht="15" customHeight="1">
      <c r="A803" t="inlineStr">
        <is>
          <t>A 27132-2025</t>
        </is>
      </c>
      <c r="B803" s="1" t="n">
        <v>45811</v>
      </c>
      <c r="C803" s="1" t="n">
        <v>46117</v>
      </c>
      <c r="D803" t="inlineStr">
        <is>
          <t>UPPSALA LÄN</t>
        </is>
      </c>
      <c r="E803" t="inlineStr">
        <is>
          <t>ÖSTHAMMAR</t>
        </is>
      </c>
      <c r="G803" t="n">
        <v>2.3</v>
      </c>
      <c r="H803" t="n">
        <v>0</v>
      </c>
      <c r="I803" t="n">
        <v>0</v>
      </c>
      <c r="J803" t="n">
        <v>0</v>
      </c>
      <c r="K803" t="n">
        <v>0</v>
      </c>
      <c r="L803" t="n">
        <v>0</v>
      </c>
      <c r="M803" t="n">
        <v>0</v>
      </c>
      <c r="N803" t="n">
        <v>0</v>
      </c>
      <c r="O803" t="n">
        <v>0</v>
      </c>
      <c r="P803" t="n">
        <v>0</v>
      </c>
      <c r="Q803" t="n">
        <v>0</v>
      </c>
      <c r="R803" s="2" t="inlineStr"/>
    </row>
    <row r="804" ht="15" customHeight="1">
      <c r="A804" t="inlineStr">
        <is>
          <t>A 27058-2025</t>
        </is>
      </c>
      <c r="B804" s="1" t="n">
        <v>45811.63436342592</v>
      </c>
      <c r="C804" s="1" t="n">
        <v>46117</v>
      </c>
      <c r="D804" t="inlineStr">
        <is>
          <t>UPPSALA LÄN</t>
        </is>
      </c>
      <c r="E804" t="inlineStr">
        <is>
          <t>ÖSTHAMMAR</t>
        </is>
      </c>
      <c r="F804" t="inlineStr">
        <is>
          <t>Bergvik skog öst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27347-2025</t>
        </is>
      </c>
      <c r="B805" s="1" t="n">
        <v>45812.62390046296</v>
      </c>
      <c r="C805" s="1" t="n">
        <v>46117</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27392-2025</t>
        </is>
      </c>
      <c r="B806" s="1" t="n">
        <v>45812.68268518519</v>
      </c>
      <c r="C806" s="1" t="n">
        <v>46117</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27352-2025</t>
        </is>
      </c>
      <c r="B807" s="1" t="n">
        <v>45812.62694444445</v>
      </c>
      <c r="C807" s="1" t="n">
        <v>46117</v>
      </c>
      <c r="D807" t="inlineStr">
        <is>
          <t>UPPSALA LÄN</t>
        </is>
      </c>
      <c r="E807" t="inlineStr">
        <is>
          <t>ÖSTHAMMAR</t>
        </is>
      </c>
      <c r="G807" t="n">
        <v>2.5</v>
      </c>
      <c r="H807" t="n">
        <v>0</v>
      </c>
      <c r="I807" t="n">
        <v>0</v>
      </c>
      <c r="J807" t="n">
        <v>0</v>
      </c>
      <c r="K807" t="n">
        <v>0</v>
      </c>
      <c r="L807" t="n">
        <v>0</v>
      </c>
      <c r="M807" t="n">
        <v>0</v>
      </c>
      <c r="N807" t="n">
        <v>0</v>
      </c>
      <c r="O807" t="n">
        <v>0</v>
      </c>
      <c r="P807" t="n">
        <v>0</v>
      </c>
      <c r="Q807" t="n">
        <v>0</v>
      </c>
      <c r="R807" s="2" t="inlineStr"/>
    </row>
    <row r="808" ht="15" customHeight="1">
      <c r="A808" t="inlineStr">
        <is>
          <t>A 27350-2025</t>
        </is>
      </c>
      <c r="B808" s="1" t="n">
        <v>45812.62571759259</v>
      </c>
      <c r="C808" s="1" t="n">
        <v>46117</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27383-2025</t>
        </is>
      </c>
      <c r="B809" s="1" t="n">
        <v>45812.66628472223</v>
      </c>
      <c r="C809" s="1" t="n">
        <v>46117</v>
      </c>
      <c r="D809" t="inlineStr">
        <is>
          <t>UPPSALA LÄN</t>
        </is>
      </c>
      <c r="E809" t="inlineStr">
        <is>
          <t>ÖSTHAMMAR</t>
        </is>
      </c>
      <c r="G809" t="n">
        <v>0.7</v>
      </c>
      <c r="H809" t="n">
        <v>0</v>
      </c>
      <c r="I809" t="n">
        <v>0</v>
      </c>
      <c r="J809" t="n">
        <v>0</v>
      </c>
      <c r="K809" t="n">
        <v>0</v>
      </c>
      <c r="L809" t="n">
        <v>0</v>
      </c>
      <c r="M809" t="n">
        <v>0</v>
      </c>
      <c r="N809" t="n">
        <v>0</v>
      </c>
      <c r="O809" t="n">
        <v>0</v>
      </c>
      <c r="P809" t="n">
        <v>0</v>
      </c>
      <c r="Q809" t="n">
        <v>0</v>
      </c>
      <c r="R809" s="2" t="inlineStr"/>
    </row>
    <row r="810" ht="15" customHeight="1">
      <c r="A810" t="inlineStr">
        <is>
          <t>A 27385-2025</t>
        </is>
      </c>
      <c r="B810" s="1" t="n">
        <v>45812.66829861111</v>
      </c>
      <c r="C810" s="1" t="n">
        <v>46117</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27395-2025</t>
        </is>
      </c>
      <c r="B811" s="1" t="n">
        <v>45812.6850462963</v>
      </c>
      <c r="C811" s="1" t="n">
        <v>46117</v>
      </c>
      <c r="D811" t="inlineStr">
        <is>
          <t>UPPSALA LÄN</t>
        </is>
      </c>
      <c r="E811" t="inlineStr">
        <is>
          <t>ÖSTHAMMAR</t>
        </is>
      </c>
      <c r="F811" t="inlineStr">
        <is>
          <t>Bergvik skog öst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27563-2025</t>
        </is>
      </c>
      <c r="B812" s="1" t="n">
        <v>45813.48471064815</v>
      </c>
      <c r="C812" s="1" t="n">
        <v>46117</v>
      </c>
      <c r="D812" t="inlineStr">
        <is>
          <t>UPPSALA LÄN</t>
        </is>
      </c>
      <c r="E812" t="inlineStr">
        <is>
          <t>ÖSTHAMMAR</t>
        </is>
      </c>
      <c r="F812" t="inlineStr">
        <is>
          <t>Bergvik skog öst AB</t>
        </is>
      </c>
      <c r="G812" t="n">
        <v>4</v>
      </c>
      <c r="H812" t="n">
        <v>0</v>
      </c>
      <c r="I812" t="n">
        <v>0</v>
      </c>
      <c r="J812" t="n">
        <v>0</v>
      </c>
      <c r="K812" t="n">
        <v>0</v>
      </c>
      <c r="L812" t="n">
        <v>0</v>
      </c>
      <c r="M812" t="n">
        <v>0</v>
      </c>
      <c r="N812" t="n">
        <v>0</v>
      </c>
      <c r="O812" t="n">
        <v>0</v>
      </c>
      <c r="P812" t="n">
        <v>0</v>
      </c>
      <c r="Q812" t="n">
        <v>0</v>
      </c>
      <c r="R812" s="2" t="inlineStr"/>
    </row>
    <row r="813" ht="15" customHeight="1">
      <c r="A813" t="inlineStr">
        <is>
          <t>A 27919-2025</t>
        </is>
      </c>
      <c r="B813" s="1" t="n">
        <v>45817.48384259259</v>
      </c>
      <c r="C813" s="1" t="n">
        <v>46117</v>
      </c>
      <c r="D813" t="inlineStr">
        <is>
          <t>UPPSALA LÄN</t>
        </is>
      </c>
      <c r="E813" t="inlineStr">
        <is>
          <t>ÖSTHAMMAR</t>
        </is>
      </c>
      <c r="F813" t="inlineStr">
        <is>
          <t>Bergvik skog öst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27853-2025</t>
        </is>
      </c>
      <c r="B814" s="1" t="n">
        <v>45817.40178240741</v>
      </c>
      <c r="C814" s="1" t="n">
        <v>46117</v>
      </c>
      <c r="D814" t="inlineStr">
        <is>
          <t>UPPSALA LÄN</t>
        </is>
      </c>
      <c r="E814" t="inlineStr">
        <is>
          <t>ÖSTHAMMAR</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27812-2025</t>
        </is>
      </c>
      <c r="B815" s="1" t="n">
        <v>45817.32150462963</v>
      </c>
      <c r="C815" s="1" t="n">
        <v>46117</v>
      </c>
      <c r="D815" t="inlineStr">
        <is>
          <t>UPPSALA LÄN</t>
        </is>
      </c>
      <c r="E815" t="inlineStr">
        <is>
          <t>ÖSTHAMMAR</t>
        </is>
      </c>
      <c r="F815" t="inlineStr">
        <is>
          <t>Bergvik skog öst AB</t>
        </is>
      </c>
      <c r="G815" t="n">
        <v>1.8</v>
      </c>
      <c r="H815" t="n">
        <v>0</v>
      </c>
      <c r="I815" t="n">
        <v>0</v>
      </c>
      <c r="J815" t="n">
        <v>0</v>
      </c>
      <c r="K815" t="n">
        <v>0</v>
      </c>
      <c r="L815" t="n">
        <v>0</v>
      </c>
      <c r="M815" t="n">
        <v>0</v>
      </c>
      <c r="N815" t="n">
        <v>0</v>
      </c>
      <c r="O815" t="n">
        <v>0</v>
      </c>
      <c r="P815" t="n">
        <v>0</v>
      </c>
      <c r="Q815" t="n">
        <v>0</v>
      </c>
      <c r="R815" s="2" t="inlineStr"/>
    </row>
    <row r="816" ht="15" customHeight="1">
      <c r="A816" t="inlineStr">
        <is>
          <t>A 27920-2025</t>
        </is>
      </c>
      <c r="B816" s="1" t="n">
        <v>45817.48454861111</v>
      </c>
      <c r="C816" s="1" t="n">
        <v>46117</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8330-2025</t>
        </is>
      </c>
      <c r="B817" s="1" t="n">
        <v>45708</v>
      </c>
      <c r="C817" s="1" t="n">
        <v>46117</v>
      </c>
      <c r="D817" t="inlineStr">
        <is>
          <t>UPPSALA LÄN</t>
        </is>
      </c>
      <c r="E817" t="inlineStr">
        <is>
          <t>ÖSTHAMMAR</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27509-2025</t>
        </is>
      </c>
      <c r="B818" s="1" t="n">
        <v>45813.4278125</v>
      </c>
      <c r="C818" s="1" t="n">
        <v>46117</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28442-2025</t>
        </is>
      </c>
      <c r="B819" s="1" t="n">
        <v>45819</v>
      </c>
      <c r="C819" s="1" t="n">
        <v>46117</v>
      </c>
      <c r="D819" t="inlineStr">
        <is>
          <t>UPPSALA LÄN</t>
        </is>
      </c>
      <c r="E819" t="inlineStr">
        <is>
          <t>ÖSTHAMMAR</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23728-2025</t>
        </is>
      </c>
      <c r="B820" s="1" t="n">
        <v>45793.41719907407</v>
      </c>
      <c r="C820" s="1" t="n">
        <v>46117</v>
      </c>
      <c r="D820" t="inlineStr">
        <is>
          <t>UPPSALA LÄN</t>
        </is>
      </c>
      <c r="E820" t="inlineStr">
        <is>
          <t>ÖSTHAMMAR</t>
        </is>
      </c>
      <c r="G820" t="n">
        <v>1.1</v>
      </c>
      <c r="H820" t="n">
        <v>0</v>
      </c>
      <c r="I820" t="n">
        <v>0</v>
      </c>
      <c r="J820" t="n">
        <v>0</v>
      </c>
      <c r="K820" t="n">
        <v>0</v>
      </c>
      <c r="L820" t="n">
        <v>0</v>
      </c>
      <c r="M820" t="n">
        <v>0</v>
      </c>
      <c r="N820" t="n">
        <v>0</v>
      </c>
      <c r="O820" t="n">
        <v>0</v>
      </c>
      <c r="P820" t="n">
        <v>0</v>
      </c>
      <c r="Q820" t="n">
        <v>0</v>
      </c>
      <c r="R820" s="2" t="inlineStr"/>
    </row>
    <row r="821" ht="15" customHeight="1">
      <c r="A821" t="inlineStr">
        <is>
          <t>A 28745-2025</t>
        </is>
      </c>
      <c r="B821" s="1" t="n">
        <v>45820.39076388889</v>
      </c>
      <c r="C821" s="1" t="n">
        <v>46117</v>
      </c>
      <c r="D821" t="inlineStr">
        <is>
          <t>UPPSALA LÄN</t>
        </is>
      </c>
      <c r="E821" t="inlineStr">
        <is>
          <t>ÖSTHAMMAR</t>
        </is>
      </c>
      <c r="G821" t="n">
        <v>1.7</v>
      </c>
      <c r="H821" t="n">
        <v>0</v>
      </c>
      <c r="I821" t="n">
        <v>0</v>
      </c>
      <c r="J821" t="n">
        <v>0</v>
      </c>
      <c r="K821" t="n">
        <v>0</v>
      </c>
      <c r="L821" t="n">
        <v>0</v>
      </c>
      <c r="M821" t="n">
        <v>0</v>
      </c>
      <c r="N821" t="n">
        <v>0</v>
      </c>
      <c r="O821" t="n">
        <v>0</v>
      </c>
      <c r="P821" t="n">
        <v>0</v>
      </c>
      <c r="Q821" t="n">
        <v>0</v>
      </c>
      <c r="R821" s="2" t="inlineStr"/>
    </row>
    <row r="822" ht="15" customHeight="1">
      <c r="A822" t="inlineStr">
        <is>
          <t>A 28748-2025</t>
        </is>
      </c>
      <c r="B822" s="1" t="n">
        <v>45820.39540509259</v>
      </c>
      <c r="C822" s="1" t="n">
        <v>46117</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29024-2025</t>
        </is>
      </c>
      <c r="B823" s="1" t="n">
        <v>45821.43233796296</v>
      </c>
      <c r="C823" s="1" t="n">
        <v>46117</v>
      </c>
      <c r="D823" t="inlineStr">
        <is>
          <t>UPPSALA LÄN</t>
        </is>
      </c>
      <c r="E823" t="inlineStr">
        <is>
          <t>ÖSTHAMMAR</t>
        </is>
      </c>
      <c r="G823" t="n">
        <v>1</v>
      </c>
      <c r="H823" t="n">
        <v>0</v>
      </c>
      <c r="I823" t="n">
        <v>0</v>
      </c>
      <c r="J823" t="n">
        <v>0</v>
      </c>
      <c r="K823" t="n">
        <v>0</v>
      </c>
      <c r="L823" t="n">
        <v>0</v>
      </c>
      <c r="M823" t="n">
        <v>0</v>
      </c>
      <c r="N823" t="n">
        <v>0</v>
      </c>
      <c r="O823" t="n">
        <v>0</v>
      </c>
      <c r="P823" t="n">
        <v>0</v>
      </c>
      <c r="Q823" t="n">
        <v>0</v>
      </c>
      <c r="R823" s="2" t="inlineStr"/>
    </row>
    <row r="824" ht="15" customHeight="1">
      <c r="A824" t="inlineStr">
        <is>
          <t>A 29031-2025</t>
        </is>
      </c>
      <c r="B824" s="1" t="n">
        <v>45821.44159722222</v>
      </c>
      <c r="C824" s="1" t="n">
        <v>46117</v>
      </c>
      <c r="D824" t="inlineStr">
        <is>
          <t>UPPSALA LÄN</t>
        </is>
      </c>
      <c r="E824" t="inlineStr">
        <is>
          <t>ÖSTHAMMAR</t>
        </is>
      </c>
      <c r="F824" t="inlineStr">
        <is>
          <t>Bergvik skog öst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28739-2025</t>
        </is>
      </c>
      <c r="B825" s="1" t="n">
        <v>45820</v>
      </c>
      <c r="C825" s="1" t="n">
        <v>46117</v>
      </c>
      <c r="D825" t="inlineStr">
        <is>
          <t>UPPSALA LÄN</t>
        </is>
      </c>
      <c r="E825" t="inlineStr">
        <is>
          <t>ÖSTHAMMAR</t>
        </is>
      </c>
      <c r="G825" t="n">
        <v>1.4</v>
      </c>
      <c r="H825" t="n">
        <v>0</v>
      </c>
      <c r="I825" t="n">
        <v>0</v>
      </c>
      <c r="J825" t="n">
        <v>0</v>
      </c>
      <c r="K825" t="n">
        <v>0</v>
      </c>
      <c r="L825" t="n">
        <v>0</v>
      </c>
      <c r="M825" t="n">
        <v>0</v>
      </c>
      <c r="N825" t="n">
        <v>0</v>
      </c>
      <c r="O825" t="n">
        <v>0</v>
      </c>
      <c r="P825" t="n">
        <v>0</v>
      </c>
      <c r="Q825" t="n">
        <v>0</v>
      </c>
      <c r="R825" s="2" t="inlineStr"/>
    </row>
    <row r="826" ht="15" customHeight="1">
      <c r="A826" t="inlineStr">
        <is>
          <t>A 29028-2025</t>
        </is>
      </c>
      <c r="B826" s="1" t="n">
        <v>45821.4384375</v>
      </c>
      <c r="C826" s="1" t="n">
        <v>46117</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29029-2025</t>
        </is>
      </c>
      <c r="B827" s="1" t="n">
        <v>45821.43973379629</v>
      </c>
      <c r="C827" s="1" t="n">
        <v>46117</v>
      </c>
      <c r="D827" t="inlineStr">
        <is>
          <t>UPPSALA LÄN</t>
        </is>
      </c>
      <c r="E827" t="inlineStr">
        <is>
          <t>ÖSTHAMMAR</t>
        </is>
      </c>
      <c r="F827" t="inlineStr">
        <is>
          <t>Bergvik skog öst AB</t>
        </is>
      </c>
      <c r="G827" t="n">
        <v>4.2</v>
      </c>
      <c r="H827" t="n">
        <v>0</v>
      </c>
      <c r="I827" t="n">
        <v>0</v>
      </c>
      <c r="J827" t="n">
        <v>0</v>
      </c>
      <c r="K827" t="n">
        <v>0</v>
      </c>
      <c r="L827" t="n">
        <v>0</v>
      </c>
      <c r="M827" t="n">
        <v>0</v>
      </c>
      <c r="N827" t="n">
        <v>0</v>
      </c>
      <c r="O827" t="n">
        <v>0</v>
      </c>
      <c r="P827" t="n">
        <v>0</v>
      </c>
      <c r="Q827" t="n">
        <v>0</v>
      </c>
      <c r="R827" s="2" t="inlineStr"/>
    </row>
    <row r="828" ht="15" customHeight="1">
      <c r="A828" t="inlineStr">
        <is>
          <t>A 27494-2025</t>
        </is>
      </c>
      <c r="B828" s="1" t="n">
        <v>45813.39756944445</v>
      </c>
      <c r="C828" s="1" t="n">
        <v>46117</v>
      </c>
      <c r="D828" t="inlineStr">
        <is>
          <t>UPPSALA LÄN</t>
        </is>
      </c>
      <c r="E828" t="inlineStr">
        <is>
          <t>ÖSTHAMMAR</t>
        </is>
      </c>
      <c r="F828" t="inlineStr">
        <is>
          <t>Bergvik skog öst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29384-2025</t>
        </is>
      </c>
      <c r="B829" s="1" t="n">
        <v>45824</v>
      </c>
      <c r="C829" s="1" t="n">
        <v>46117</v>
      </c>
      <c r="D829" t="inlineStr">
        <is>
          <t>UPPSALA LÄN</t>
        </is>
      </c>
      <c r="E829" t="inlineStr">
        <is>
          <t>ÖSTHAMMAR</t>
        </is>
      </c>
      <c r="G829" t="n">
        <v>3.1</v>
      </c>
      <c r="H829" t="n">
        <v>0</v>
      </c>
      <c r="I829" t="n">
        <v>0</v>
      </c>
      <c r="J829" t="n">
        <v>0</v>
      </c>
      <c r="K829" t="n">
        <v>0</v>
      </c>
      <c r="L829" t="n">
        <v>0</v>
      </c>
      <c r="M829" t="n">
        <v>0</v>
      </c>
      <c r="N829" t="n">
        <v>0</v>
      </c>
      <c r="O829" t="n">
        <v>0</v>
      </c>
      <c r="P829" t="n">
        <v>0</v>
      </c>
      <c r="Q829" t="n">
        <v>0</v>
      </c>
      <c r="R829" s="2" t="inlineStr"/>
    </row>
    <row r="830" ht="15" customHeight="1">
      <c r="A830" t="inlineStr">
        <is>
          <t>A 27490-2025</t>
        </is>
      </c>
      <c r="B830" s="1" t="n">
        <v>45813.39273148148</v>
      </c>
      <c r="C830" s="1" t="n">
        <v>46117</v>
      </c>
      <c r="D830" t="inlineStr">
        <is>
          <t>UPPSALA LÄN</t>
        </is>
      </c>
      <c r="E830" t="inlineStr">
        <is>
          <t>ÖSTHAMMAR</t>
        </is>
      </c>
      <c r="F830" t="inlineStr">
        <is>
          <t>Bergvik skog öst AB</t>
        </is>
      </c>
      <c r="G830" t="n">
        <v>6.1</v>
      </c>
      <c r="H830" t="n">
        <v>0</v>
      </c>
      <c r="I830" t="n">
        <v>0</v>
      </c>
      <c r="J830" t="n">
        <v>0</v>
      </c>
      <c r="K830" t="n">
        <v>0</v>
      </c>
      <c r="L830" t="n">
        <v>0</v>
      </c>
      <c r="M830" t="n">
        <v>0</v>
      </c>
      <c r="N830" t="n">
        <v>0</v>
      </c>
      <c r="O830" t="n">
        <v>0</v>
      </c>
      <c r="P830" t="n">
        <v>0</v>
      </c>
      <c r="Q830" t="n">
        <v>0</v>
      </c>
      <c r="R830" s="2" t="inlineStr"/>
    </row>
    <row r="831" ht="15" customHeight="1">
      <c r="A831" t="inlineStr">
        <is>
          <t>A 29775-2025</t>
        </is>
      </c>
      <c r="B831" s="1" t="n">
        <v>45825.63803240741</v>
      </c>
      <c r="C831" s="1" t="n">
        <v>46117</v>
      </c>
      <c r="D831" t="inlineStr">
        <is>
          <t>UPPSALA LÄN</t>
        </is>
      </c>
      <c r="E831" t="inlineStr">
        <is>
          <t>ÖSTHAMMAR</t>
        </is>
      </c>
      <c r="G831" t="n">
        <v>0.9</v>
      </c>
      <c r="H831" t="n">
        <v>0</v>
      </c>
      <c r="I831" t="n">
        <v>0</v>
      </c>
      <c r="J831" t="n">
        <v>0</v>
      </c>
      <c r="K831" t="n">
        <v>0</v>
      </c>
      <c r="L831" t="n">
        <v>0</v>
      </c>
      <c r="M831" t="n">
        <v>0</v>
      </c>
      <c r="N831" t="n">
        <v>0</v>
      </c>
      <c r="O831" t="n">
        <v>0</v>
      </c>
      <c r="P831" t="n">
        <v>0</v>
      </c>
      <c r="Q831" t="n">
        <v>0</v>
      </c>
      <c r="R831" s="2" t="inlineStr"/>
    </row>
    <row r="832" ht="15" customHeight="1">
      <c r="A832" t="inlineStr">
        <is>
          <t>A 27486-2025</t>
        </is>
      </c>
      <c r="B832" s="1" t="n">
        <v>45813.38521990741</v>
      </c>
      <c r="C832" s="1" t="n">
        <v>46117</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30244-2025</t>
        </is>
      </c>
      <c r="B833" s="1" t="n">
        <v>45827.40902777778</v>
      </c>
      <c r="C833" s="1" t="n">
        <v>46117</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30610-2025</t>
        </is>
      </c>
      <c r="B834" s="1" t="n">
        <v>45831.45965277778</v>
      </c>
      <c r="C834" s="1" t="n">
        <v>46117</v>
      </c>
      <c r="D834" t="inlineStr">
        <is>
          <t>UPPSALA LÄN</t>
        </is>
      </c>
      <c r="E834" t="inlineStr">
        <is>
          <t>ÖSTHAMMAR</t>
        </is>
      </c>
      <c r="G834" t="n">
        <v>0.2</v>
      </c>
      <c r="H834" t="n">
        <v>0</v>
      </c>
      <c r="I834" t="n">
        <v>0</v>
      </c>
      <c r="J834" t="n">
        <v>0</v>
      </c>
      <c r="K834" t="n">
        <v>0</v>
      </c>
      <c r="L834" t="n">
        <v>0</v>
      </c>
      <c r="M834" t="n">
        <v>0</v>
      </c>
      <c r="N834" t="n">
        <v>0</v>
      </c>
      <c r="O834" t="n">
        <v>0</v>
      </c>
      <c r="P834" t="n">
        <v>0</v>
      </c>
      <c r="Q834" t="n">
        <v>0</v>
      </c>
      <c r="R834" s="2" t="inlineStr"/>
    </row>
    <row r="835" ht="15" customHeight="1">
      <c r="A835" t="inlineStr">
        <is>
          <t>A 30504-2025</t>
        </is>
      </c>
      <c r="B835" s="1" t="n">
        <v>45830.8558912037</v>
      </c>
      <c r="C835" s="1" t="n">
        <v>46117</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30503-2025</t>
        </is>
      </c>
      <c r="B836" s="1" t="n">
        <v>45830.8500462963</v>
      </c>
      <c r="C836" s="1" t="n">
        <v>46117</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31249-2025</t>
        </is>
      </c>
      <c r="B837" s="1" t="n">
        <v>45832.89476851852</v>
      </c>
      <c r="C837" s="1" t="n">
        <v>46117</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31579-2025</t>
        </is>
      </c>
      <c r="B838" s="1" t="n">
        <v>45833.68211805556</v>
      </c>
      <c r="C838" s="1" t="n">
        <v>46117</v>
      </c>
      <c r="D838" t="inlineStr">
        <is>
          <t>UPPSALA LÄN</t>
        </is>
      </c>
      <c r="E838" t="inlineStr">
        <is>
          <t>ÖSTHAMMAR</t>
        </is>
      </c>
      <c r="G838" t="n">
        <v>1.5</v>
      </c>
      <c r="H838" t="n">
        <v>0</v>
      </c>
      <c r="I838" t="n">
        <v>0</v>
      </c>
      <c r="J838" t="n">
        <v>0</v>
      </c>
      <c r="K838" t="n">
        <v>0</v>
      </c>
      <c r="L838" t="n">
        <v>0</v>
      </c>
      <c r="M838" t="n">
        <v>0</v>
      </c>
      <c r="N838" t="n">
        <v>0</v>
      </c>
      <c r="O838" t="n">
        <v>0</v>
      </c>
      <c r="P838" t="n">
        <v>0</v>
      </c>
      <c r="Q838" t="n">
        <v>0</v>
      </c>
      <c r="R838" s="2" t="inlineStr"/>
    </row>
    <row r="839" ht="15" customHeight="1">
      <c r="A839" t="inlineStr">
        <is>
          <t>A 31360-2025</t>
        </is>
      </c>
      <c r="B839" s="1" t="n">
        <v>45833.43527777777</v>
      </c>
      <c r="C839" s="1" t="n">
        <v>46117</v>
      </c>
      <c r="D839" t="inlineStr">
        <is>
          <t>UPPSALA LÄN</t>
        </is>
      </c>
      <c r="E839" t="inlineStr">
        <is>
          <t>ÖSTHAMMAR</t>
        </is>
      </c>
      <c r="G839" t="n">
        <v>1.1</v>
      </c>
      <c r="H839" t="n">
        <v>0</v>
      </c>
      <c r="I839" t="n">
        <v>0</v>
      </c>
      <c r="J839" t="n">
        <v>0</v>
      </c>
      <c r="K839" t="n">
        <v>0</v>
      </c>
      <c r="L839" t="n">
        <v>0</v>
      </c>
      <c r="M839" t="n">
        <v>0</v>
      </c>
      <c r="N839" t="n">
        <v>0</v>
      </c>
      <c r="O839" t="n">
        <v>0</v>
      </c>
      <c r="P839" t="n">
        <v>0</v>
      </c>
      <c r="Q839" t="n">
        <v>0</v>
      </c>
      <c r="R839" s="2" t="inlineStr"/>
    </row>
    <row r="840" ht="15" customHeight="1">
      <c r="A840" t="inlineStr">
        <is>
          <t>A 31956-2025</t>
        </is>
      </c>
      <c r="B840" s="1" t="n">
        <v>45835.34184027778</v>
      </c>
      <c r="C840" s="1" t="n">
        <v>46117</v>
      </c>
      <c r="D840" t="inlineStr">
        <is>
          <t>UPPSALA LÄN</t>
        </is>
      </c>
      <c r="E840" t="inlineStr">
        <is>
          <t>ÖSTHAMMAR</t>
        </is>
      </c>
      <c r="F840" t="inlineStr">
        <is>
          <t>Övriga Aktiebolag</t>
        </is>
      </c>
      <c r="G840" t="n">
        <v>4.2</v>
      </c>
      <c r="H840" t="n">
        <v>0</v>
      </c>
      <c r="I840" t="n">
        <v>0</v>
      </c>
      <c r="J840" t="n">
        <v>0</v>
      </c>
      <c r="K840" t="n">
        <v>0</v>
      </c>
      <c r="L840" t="n">
        <v>0</v>
      </c>
      <c r="M840" t="n">
        <v>0</v>
      </c>
      <c r="N840" t="n">
        <v>0</v>
      </c>
      <c r="O840" t="n">
        <v>0</v>
      </c>
      <c r="P840" t="n">
        <v>0</v>
      </c>
      <c r="Q840" t="n">
        <v>0</v>
      </c>
      <c r="R840" s="2" t="inlineStr"/>
    </row>
    <row r="841" ht="15" customHeight="1">
      <c r="A841" t="inlineStr">
        <is>
          <t>A 31977-2025</t>
        </is>
      </c>
      <c r="B841" s="1" t="n">
        <v>45835.3554050926</v>
      </c>
      <c r="C841" s="1" t="n">
        <v>46117</v>
      </c>
      <c r="D841" t="inlineStr">
        <is>
          <t>UPPSALA LÄN</t>
        </is>
      </c>
      <c r="E841" t="inlineStr">
        <is>
          <t>ÖSTHAMMAR</t>
        </is>
      </c>
      <c r="F841" t="inlineStr">
        <is>
          <t>Övriga Aktiebolag</t>
        </is>
      </c>
      <c r="G841" t="n">
        <v>35.3</v>
      </c>
      <c r="H841" t="n">
        <v>0</v>
      </c>
      <c r="I841" t="n">
        <v>0</v>
      </c>
      <c r="J841" t="n">
        <v>0</v>
      </c>
      <c r="K841" t="n">
        <v>0</v>
      </c>
      <c r="L841" t="n">
        <v>0</v>
      </c>
      <c r="M841" t="n">
        <v>0</v>
      </c>
      <c r="N841" t="n">
        <v>0</v>
      </c>
      <c r="O841" t="n">
        <v>0</v>
      </c>
      <c r="P841" t="n">
        <v>0</v>
      </c>
      <c r="Q841" t="n">
        <v>0</v>
      </c>
      <c r="R841" s="2" t="inlineStr"/>
    </row>
    <row r="842" ht="15" customHeight="1">
      <c r="A842" t="inlineStr">
        <is>
          <t>A 27476-2025</t>
        </is>
      </c>
      <c r="B842" s="1" t="n">
        <v>45813.37517361111</v>
      </c>
      <c r="C842" s="1" t="n">
        <v>46117</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32718-2025</t>
        </is>
      </c>
      <c r="B843" s="1" t="n">
        <v>45839.37740740741</v>
      </c>
      <c r="C843" s="1" t="n">
        <v>46117</v>
      </c>
      <c r="D843" t="inlineStr">
        <is>
          <t>UPPSALA LÄN</t>
        </is>
      </c>
      <c r="E843" t="inlineStr">
        <is>
          <t>ÖSTHAMMAR</t>
        </is>
      </c>
      <c r="G843" t="n">
        <v>10.4</v>
      </c>
      <c r="H843" t="n">
        <v>0</v>
      </c>
      <c r="I843" t="n">
        <v>0</v>
      </c>
      <c r="J843" t="n">
        <v>0</v>
      </c>
      <c r="K843" t="n">
        <v>0</v>
      </c>
      <c r="L843" t="n">
        <v>0</v>
      </c>
      <c r="M843" t="n">
        <v>0</v>
      </c>
      <c r="N843" t="n">
        <v>0</v>
      </c>
      <c r="O843" t="n">
        <v>0</v>
      </c>
      <c r="P843" t="n">
        <v>0</v>
      </c>
      <c r="Q843" t="n">
        <v>0</v>
      </c>
      <c r="R843" s="2" t="inlineStr"/>
    </row>
    <row r="844" ht="15" customHeight="1">
      <c r="A844" t="inlineStr">
        <is>
          <t>A 33529-2025</t>
        </is>
      </c>
      <c r="B844" s="1" t="n">
        <v>45841.55199074074</v>
      </c>
      <c r="C844" s="1" t="n">
        <v>46117</v>
      </c>
      <c r="D844" t="inlineStr">
        <is>
          <t>UPPSALA LÄN</t>
        </is>
      </c>
      <c r="E844" t="inlineStr">
        <is>
          <t>ÖSTHAMMAR</t>
        </is>
      </c>
      <c r="F844" t="inlineStr">
        <is>
          <t>Bergvik skog öst AB</t>
        </is>
      </c>
      <c r="G844" t="n">
        <v>11.8</v>
      </c>
      <c r="H844" t="n">
        <v>0</v>
      </c>
      <c r="I844" t="n">
        <v>0</v>
      </c>
      <c r="J844" t="n">
        <v>0</v>
      </c>
      <c r="K844" t="n">
        <v>0</v>
      </c>
      <c r="L844" t="n">
        <v>0</v>
      </c>
      <c r="M844" t="n">
        <v>0</v>
      </c>
      <c r="N844" t="n">
        <v>0</v>
      </c>
      <c r="O844" t="n">
        <v>0</v>
      </c>
      <c r="P844" t="n">
        <v>0</v>
      </c>
      <c r="Q844" t="n">
        <v>0</v>
      </c>
      <c r="R844" s="2" t="inlineStr"/>
    </row>
    <row r="845" ht="15" customHeight="1">
      <c r="A845" t="inlineStr">
        <is>
          <t>A 33048-2025</t>
        </is>
      </c>
      <c r="B845" s="1" t="n">
        <v>45840.41451388889</v>
      </c>
      <c r="C845" s="1" t="n">
        <v>46117</v>
      </c>
      <c r="D845" t="inlineStr">
        <is>
          <t>UPPSALA LÄN</t>
        </is>
      </c>
      <c r="E845" t="inlineStr">
        <is>
          <t>ÖSTHAMMAR</t>
        </is>
      </c>
      <c r="G845" t="n">
        <v>1.8</v>
      </c>
      <c r="H845" t="n">
        <v>0</v>
      </c>
      <c r="I845" t="n">
        <v>0</v>
      </c>
      <c r="J845" t="n">
        <v>0</v>
      </c>
      <c r="K845" t="n">
        <v>0</v>
      </c>
      <c r="L845" t="n">
        <v>0</v>
      </c>
      <c r="M845" t="n">
        <v>0</v>
      </c>
      <c r="N845" t="n">
        <v>0</v>
      </c>
      <c r="O845" t="n">
        <v>0</v>
      </c>
      <c r="P845" t="n">
        <v>0</v>
      </c>
      <c r="Q845" t="n">
        <v>0</v>
      </c>
      <c r="R845" s="2" t="inlineStr"/>
    </row>
    <row r="846" ht="15" customHeight="1">
      <c r="A846" t="inlineStr">
        <is>
          <t>A 33271-2025</t>
        </is>
      </c>
      <c r="B846" s="1" t="n">
        <v>45840.68381944444</v>
      </c>
      <c r="C846" s="1" t="n">
        <v>46117</v>
      </c>
      <c r="D846" t="inlineStr">
        <is>
          <t>UPPSALA LÄN</t>
        </is>
      </c>
      <c r="E846" t="inlineStr">
        <is>
          <t>ÖSTHAMMAR</t>
        </is>
      </c>
      <c r="G846" t="n">
        <v>1.3</v>
      </c>
      <c r="H846" t="n">
        <v>0</v>
      </c>
      <c r="I846" t="n">
        <v>0</v>
      </c>
      <c r="J846" t="n">
        <v>0</v>
      </c>
      <c r="K846" t="n">
        <v>0</v>
      </c>
      <c r="L846" t="n">
        <v>0</v>
      </c>
      <c r="M846" t="n">
        <v>0</v>
      </c>
      <c r="N846" t="n">
        <v>0</v>
      </c>
      <c r="O846" t="n">
        <v>0</v>
      </c>
      <c r="P846" t="n">
        <v>0</v>
      </c>
      <c r="Q846" t="n">
        <v>0</v>
      </c>
      <c r="R846" s="2" t="inlineStr"/>
    </row>
    <row r="847" ht="15" customHeight="1">
      <c r="A847" t="inlineStr">
        <is>
          <t>A 26395-2025</t>
        </is>
      </c>
      <c r="B847" s="1" t="n">
        <v>45807</v>
      </c>
      <c r="C847" s="1" t="n">
        <v>46117</v>
      </c>
      <c r="D847" t="inlineStr">
        <is>
          <t>UPPSALA LÄN</t>
        </is>
      </c>
      <c r="E847" t="inlineStr">
        <is>
          <t>ÖSTHAMMAR</t>
        </is>
      </c>
      <c r="G847" t="n">
        <v>7</v>
      </c>
      <c r="H847" t="n">
        <v>0</v>
      </c>
      <c r="I847" t="n">
        <v>0</v>
      </c>
      <c r="J847" t="n">
        <v>0</v>
      </c>
      <c r="K847" t="n">
        <v>0</v>
      </c>
      <c r="L847" t="n">
        <v>0</v>
      </c>
      <c r="M847" t="n">
        <v>0</v>
      </c>
      <c r="N847" t="n">
        <v>0</v>
      </c>
      <c r="O847" t="n">
        <v>0</v>
      </c>
      <c r="P847" t="n">
        <v>0</v>
      </c>
      <c r="Q847" t="n">
        <v>0</v>
      </c>
      <c r="R847" s="2" t="inlineStr"/>
    </row>
    <row r="848" ht="15" customHeight="1">
      <c r="A848" t="inlineStr">
        <is>
          <t>A 33972-2025</t>
        </is>
      </c>
      <c r="B848" s="1" t="n">
        <v>45842.97236111111</v>
      </c>
      <c r="C848" s="1" t="n">
        <v>46117</v>
      </c>
      <c r="D848" t="inlineStr">
        <is>
          <t>UPPSALA LÄN</t>
        </is>
      </c>
      <c r="E848" t="inlineStr">
        <is>
          <t>ÖSTHAMMAR</t>
        </is>
      </c>
      <c r="G848" t="n">
        <v>0.8</v>
      </c>
      <c r="H848" t="n">
        <v>0</v>
      </c>
      <c r="I848" t="n">
        <v>0</v>
      </c>
      <c r="J848" t="n">
        <v>0</v>
      </c>
      <c r="K848" t="n">
        <v>0</v>
      </c>
      <c r="L848" t="n">
        <v>0</v>
      </c>
      <c r="M848" t="n">
        <v>0</v>
      </c>
      <c r="N848" t="n">
        <v>0</v>
      </c>
      <c r="O848" t="n">
        <v>0</v>
      </c>
      <c r="P848" t="n">
        <v>0</v>
      </c>
      <c r="Q848" t="n">
        <v>0</v>
      </c>
      <c r="R848" s="2" t="inlineStr"/>
    </row>
    <row r="849">
      <c r="A849" t="inlineStr">
        <is>
          <t>A 33973-2025</t>
        </is>
      </c>
      <c r="B849" s="1" t="n">
        <v>45842.98429398148</v>
      </c>
      <c r="C849" s="1" t="n">
        <v>46117</v>
      </c>
      <c r="D849" t="inlineStr">
        <is>
          <t>UPPSALA LÄN</t>
        </is>
      </c>
      <c r="E849" t="inlineStr">
        <is>
          <t>ÖSTHAMMAR</t>
        </is>
      </c>
      <c r="G849" t="n">
        <v>1.9</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2026-04-05T10:42:09Z</dcterms:created>
  <dcterms:modified xmlns:dcterms="http://purl.org/dc/terms/" xmlns:xsi="http://www.w3.org/2001/XMLSchema-instance" xsi:type="dcterms:W3CDTF">2026-04-05T10:42:10Z</dcterms:modified>
</cp:coreProperties>
</file>