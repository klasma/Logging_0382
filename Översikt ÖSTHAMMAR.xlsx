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45914</v>
      </c>
      <c r="D2" t="inlineStr">
        <is>
          <t>UPPSALA LÄN</t>
        </is>
      </c>
      <c r="E2" t="inlineStr">
        <is>
          <t>ÖSTHAMMAR</t>
        </is>
      </c>
      <c r="F2" t="inlineStr">
        <is>
          <t>Bergvik skog öst AB</t>
        </is>
      </c>
      <c r="G2" t="n">
        <v>15.7</v>
      </c>
      <c r="H2" t="n">
        <v>5</v>
      </c>
      <c r="I2" t="n">
        <v>11</v>
      </c>
      <c r="J2" t="n">
        <v>7</v>
      </c>
      <c r="K2" t="n">
        <v>6</v>
      </c>
      <c r="L2" t="n">
        <v>0</v>
      </c>
      <c r="M2" t="n">
        <v>0</v>
      </c>
      <c r="N2" t="n">
        <v>0</v>
      </c>
      <c r="O2" t="n">
        <v>13</v>
      </c>
      <c r="P2" t="n">
        <v>6</v>
      </c>
      <c r="Q2" t="n">
        <v>26</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45914</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45914</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45914</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45914</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45914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45914</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45914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45914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45914</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45914</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45914</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45914</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45914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16242-2025</t>
        </is>
      </c>
      <c r="B16" s="1" t="n">
        <v>45746</v>
      </c>
      <c r="C16" s="1" t="n">
        <v>45914</v>
      </c>
      <c r="D16" t="inlineStr">
        <is>
          <t>UPPSALA LÄN</t>
        </is>
      </c>
      <c r="E16" t="inlineStr">
        <is>
          <t>ÖSTHAMMAR</t>
        </is>
      </c>
      <c r="G16" t="n">
        <v>28</v>
      </c>
      <c r="H16" t="n">
        <v>3</v>
      </c>
      <c r="I16" t="n">
        <v>3</v>
      </c>
      <c r="J16" t="n">
        <v>3</v>
      </c>
      <c r="K16" t="n">
        <v>0</v>
      </c>
      <c r="L16" t="n">
        <v>0</v>
      </c>
      <c r="M16" t="n">
        <v>0</v>
      </c>
      <c r="N16" t="n">
        <v>0</v>
      </c>
      <c r="O16" t="n">
        <v>3</v>
      </c>
      <c r="P16" t="n">
        <v>0</v>
      </c>
      <c r="Q16" t="n">
        <v>7</v>
      </c>
      <c r="R16" s="2" t="inlineStr">
        <is>
          <t>Spillkråka
Ullticka
Vedtrappmossa
Grön sköldmossa
Jättesvampmal
Vågbandad barkbock
Blåsippa</t>
        </is>
      </c>
      <c r="S16">
        <f>HYPERLINK("https://klasma.github.io/Logging_0382/artfynd/A 16242-2025 artfynd.xlsx", "A 16242-2025")</f>
        <v/>
      </c>
      <c r="T16">
        <f>HYPERLINK("https://klasma.github.io/Logging_0382/kartor/A 16242-2025 karta.png", "A 16242-2025")</f>
        <v/>
      </c>
      <c r="V16">
        <f>HYPERLINK("https://klasma.github.io/Logging_0382/klagomål/A 16242-2025 FSC-klagomål.docx", "A 16242-2025")</f>
        <v/>
      </c>
      <c r="W16">
        <f>HYPERLINK("https://klasma.github.io/Logging_0382/klagomålsmail/A 16242-2025 FSC-klagomål mail.docx", "A 16242-2025")</f>
        <v/>
      </c>
      <c r="X16">
        <f>HYPERLINK("https://klasma.github.io/Logging_0382/tillsyn/A 16242-2025 tillsynsbegäran.docx", "A 16242-2025")</f>
        <v/>
      </c>
      <c r="Y16">
        <f>HYPERLINK("https://klasma.github.io/Logging_0382/tillsynsmail/A 16242-2025 tillsynsbegäran mail.docx", "A 16242-2025")</f>
        <v/>
      </c>
      <c r="Z16">
        <f>HYPERLINK("https://klasma.github.io/Logging_0382/fåglar/A 16242-2025 prioriterade fågelarter.docx", "A 16242-2025")</f>
        <v/>
      </c>
    </row>
    <row r="17" ht="15" customHeight="1">
      <c r="A17" t="inlineStr">
        <is>
          <t>A 16239-2025</t>
        </is>
      </c>
      <c r="B17" s="1" t="n">
        <v>45746</v>
      </c>
      <c r="C17" s="1" t="n">
        <v>45914</v>
      </c>
      <c r="D17" t="inlineStr">
        <is>
          <t>UPPSALA LÄN</t>
        </is>
      </c>
      <c r="E17" t="inlineStr">
        <is>
          <t>ÖSTHAMMAR</t>
        </is>
      </c>
      <c r="G17" t="n">
        <v>6.9</v>
      </c>
      <c r="H17" t="n">
        <v>5</v>
      </c>
      <c r="I17" t="n">
        <v>3</v>
      </c>
      <c r="J17" t="n">
        <v>2</v>
      </c>
      <c r="K17" t="n">
        <v>1</v>
      </c>
      <c r="L17" t="n">
        <v>0</v>
      </c>
      <c r="M17" t="n">
        <v>0</v>
      </c>
      <c r="N17" t="n">
        <v>0</v>
      </c>
      <c r="O17" t="n">
        <v>3</v>
      </c>
      <c r="P17" t="n">
        <v>1</v>
      </c>
      <c r="Q17" t="n">
        <v>7</v>
      </c>
      <c r="R17" s="2" t="inlineStr">
        <is>
          <t>Knärot
Talltita
Ullticka
Grön sköldmossa
Grönpyrola
Nästrot
Blåsippa</t>
        </is>
      </c>
      <c r="S17">
        <f>HYPERLINK("https://klasma.github.io/Logging_0382/artfynd/A 16239-2025 artfynd.xlsx", "A 16239-2025")</f>
        <v/>
      </c>
      <c r="T17">
        <f>HYPERLINK("https://klasma.github.io/Logging_0382/kartor/A 16239-2025 karta.png", "A 16239-2025")</f>
        <v/>
      </c>
      <c r="U17">
        <f>HYPERLINK("https://klasma.github.io/Logging_0382/knärot/A 16239-2025 karta knärot.png", "A 16239-2025")</f>
        <v/>
      </c>
      <c r="V17">
        <f>HYPERLINK("https://klasma.github.io/Logging_0382/klagomål/A 16239-2025 FSC-klagomål.docx", "A 16239-2025")</f>
        <v/>
      </c>
      <c r="W17">
        <f>HYPERLINK("https://klasma.github.io/Logging_0382/klagomålsmail/A 16239-2025 FSC-klagomål mail.docx", "A 16239-2025")</f>
        <v/>
      </c>
      <c r="X17">
        <f>HYPERLINK("https://klasma.github.io/Logging_0382/tillsyn/A 16239-2025 tillsynsbegäran.docx", "A 16239-2025")</f>
        <v/>
      </c>
      <c r="Y17">
        <f>HYPERLINK("https://klasma.github.io/Logging_0382/tillsynsmail/A 16239-2025 tillsynsbegäran mail.docx", "A 16239-2025")</f>
        <v/>
      </c>
      <c r="Z17">
        <f>HYPERLINK("https://klasma.github.io/Logging_0382/fåglar/A 16239-2025 prioriterade fågelarter.docx", "A 16239-2025")</f>
        <v/>
      </c>
    </row>
    <row r="18" ht="15" customHeight="1">
      <c r="A18" t="inlineStr">
        <is>
          <t>A 49910-2022</t>
        </is>
      </c>
      <c r="B18" s="1" t="n">
        <v>44865</v>
      </c>
      <c r="C18" s="1" t="n">
        <v>45914</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45914</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45914</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23496-2023</t>
        </is>
      </c>
      <c r="B21" s="1" t="n">
        <v>45076</v>
      </c>
      <c r="C21" s="1" t="n">
        <v>45914</v>
      </c>
      <c r="D21" t="inlineStr">
        <is>
          <t>UPPSALA LÄN</t>
        </is>
      </c>
      <c r="E21" t="inlineStr">
        <is>
          <t>ÖSTHAMMAR</t>
        </is>
      </c>
      <c r="F21" t="inlineStr">
        <is>
          <t>Sveaskog</t>
        </is>
      </c>
      <c r="G21" t="n">
        <v>2</v>
      </c>
      <c r="H21" t="n">
        <v>6</v>
      </c>
      <c r="I21" t="n">
        <v>0</v>
      </c>
      <c r="J21" t="n">
        <v>4</v>
      </c>
      <c r="K21" t="n">
        <v>0</v>
      </c>
      <c r="L21" t="n">
        <v>2</v>
      </c>
      <c r="M21" t="n">
        <v>0</v>
      </c>
      <c r="N21" t="n">
        <v>0</v>
      </c>
      <c r="O21" t="n">
        <v>6</v>
      </c>
      <c r="P21" t="n">
        <v>2</v>
      </c>
      <c r="Q21" t="n">
        <v>6</v>
      </c>
      <c r="R21" s="2" t="inlineStr">
        <is>
          <t>Grönfink
Tornseglare
Gulsparv
Svartvit flugsnappare
Sävsparv
Talltita</t>
        </is>
      </c>
      <c r="S21">
        <f>HYPERLINK("https://klasma.github.io/Logging_0382/artfynd/A 23496-2023 artfynd.xlsx", "A 23496-2023")</f>
        <v/>
      </c>
      <c r="T21">
        <f>HYPERLINK("https://klasma.github.io/Logging_0382/kartor/A 23496-2023 karta.png", "A 23496-2023")</f>
        <v/>
      </c>
      <c r="V21">
        <f>HYPERLINK("https://klasma.github.io/Logging_0382/klagomål/A 23496-2023 FSC-klagomål.docx", "A 23496-2023")</f>
        <v/>
      </c>
      <c r="W21">
        <f>HYPERLINK("https://klasma.github.io/Logging_0382/klagomålsmail/A 23496-2023 FSC-klagomål mail.docx", "A 23496-2023")</f>
        <v/>
      </c>
      <c r="X21">
        <f>HYPERLINK("https://klasma.github.io/Logging_0382/tillsyn/A 23496-2023 tillsynsbegäran.docx", "A 23496-2023")</f>
        <v/>
      </c>
      <c r="Y21">
        <f>HYPERLINK("https://klasma.github.io/Logging_0382/tillsynsmail/A 23496-2023 tillsynsbegäran mail.docx", "A 23496-2023")</f>
        <v/>
      </c>
      <c r="Z21">
        <f>HYPERLINK("https://klasma.github.io/Logging_0382/fåglar/A 23496-2023 prioriterade fågelarter.docx", "A 23496-2023")</f>
        <v/>
      </c>
    </row>
    <row r="22" ht="15" customHeight="1">
      <c r="A22" t="inlineStr">
        <is>
          <t>A 48277-2023</t>
        </is>
      </c>
      <c r="B22" s="1" t="n">
        <v>45205</v>
      </c>
      <c r="C22" s="1" t="n">
        <v>45914</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39834-2025</t>
        </is>
      </c>
      <c r="B23" s="1" t="n">
        <v>45891.56333333333</v>
      </c>
      <c r="C23" s="1" t="n">
        <v>45914</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45914</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45914</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45914</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45914</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45914</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26056-2025</t>
        </is>
      </c>
      <c r="B29" s="1" t="n">
        <v>45804.79280092593</v>
      </c>
      <c r="C29" s="1" t="n">
        <v>45914</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15556-2022</t>
        </is>
      </c>
      <c r="B30" s="1" t="n">
        <v>44662</v>
      </c>
      <c r="C30" s="1" t="n">
        <v>45914</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23498-2023</t>
        </is>
      </c>
      <c r="B31" s="1" t="n">
        <v>45076</v>
      </c>
      <c r="C31" s="1" t="n">
        <v>45914</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45914</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40395-2025</t>
        </is>
      </c>
      <c r="B33" s="1" t="n">
        <v>45895.55805555556</v>
      </c>
      <c r="C33" s="1" t="n">
        <v>45914</v>
      </c>
      <c r="D33" t="inlineStr">
        <is>
          <t>UPPSALA LÄN</t>
        </is>
      </c>
      <c r="E33" t="inlineStr">
        <is>
          <t>ÖSTHAMMAR</t>
        </is>
      </c>
      <c r="G33" t="n">
        <v>1.8</v>
      </c>
      <c r="H33" t="n">
        <v>3</v>
      </c>
      <c r="I33" t="n">
        <v>2</v>
      </c>
      <c r="J33" t="n">
        <v>3</v>
      </c>
      <c r="K33" t="n">
        <v>0</v>
      </c>
      <c r="L33" t="n">
        <v>0</v>
      </c>
      <c r="M33" t="n">
        <v>0</v>
      </c>
      <c r="N33" t="n">
        <v>0</v>
      </c>
      <c r="O33" t="n">
        <v>3</v>
      </c>
      <c r="P33" t="n">
        <v>0</v>
      </c>
      <c r="Q33" t="n">
        <v>5</v>
      </c>
      <c r="R33" s="2" t="inlineStr">
        <is>
          <t>Järpe
Spillkråka
Talltita
Brandticka
Stor aspticka</t>
        </is>
      </c>
      <c r="S33">
        <f>HYPERLINK("https://klasma.github.io/Logging_0382/artfynd/A 40395-2025 artfynd.xlsx", "A 40395-2025")</f>
        <v/>
      </c>
      <c r="T33">
        <f>HYPERLINK("https://klasma.github.io/Logging_0382/kartor/A 40395-2025 karta.png", "A 40395-2025")</f>
        <v/>
      </c>
      <c r="V33">
        <f>HYPERLINK("https://klasma.github.io/Logging_0382/klagomål/A 40395-2025 FSC-klagomål.docx", "A 40395-2025")</f>
        <v/>
      </c>
      <c r="W33">
        <f>HYPERLINK("https://klasma.github.io/Logging_0382/klagomålsmail/A 40395-2025 FSC-klagomål mail.docx", "A 40395-2025")</f>
        <v/>
      </c>
      <c r="X33">
        <f>HYPERLINK("https://klasma.github.io/Logging_0382/tillsyn/A 40395-2025 tillsynsbegäran.docx", "A 40395-2025")</f>
        <v/>
      </c>
      <c r="Y33">
        <f>HYPERLINK("https://klasma.github.io/Logging_0382/tillsynsmail/A 40395-2025 tillsynsbegäran mail.docx", "A 40395-2025")</f>
        <v/>
      </c>
      <c r="Z33">
        <f>HYPERLINK("https://klasma.github.io/Logging_0382/fåglar/A 40395-2025 prioriterade fågelarter.docx", "A 40395-2025")</f>
        <v/>
      </c>
    </row>
    <row r="34" ht="15" customHeight="1">
      <c r="A34" t="inlineStr">
        <is>
          <t>A 52808-2022</t>
        </is>
      </c>
      <c r="B34" s="1" t="n">
        <v>44875</v>
      </c>
      <c r="C34" s="1" t="n">
        <v>45914</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45914</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33051-2021</t>
        </is>
      </c>
      <c r="B36" s="1" t="n">
        <v>44376</v>
      </c>
      <c r="C36" s="1" t="n">
        <v>45914</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45914</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45914</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45914</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45914</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45914</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45714-2020</t>
        </is>
      </c>
      <c r="B42" s="1" t="n">
        <v>44090</v>
      </c>
      <c r="C42" s="1" t="n">
        <v>45914</v>
      </c>
      <c r="D42" t="inlineStr">
        <is>
          <t>UPPSALA LÄN</t>
        </is>
      </c>
      <c r="E42" t="inlineStr">
        <is>
          <t>ÖSTHAMMAR</t>
        </is>
      </c>
      <c r="F42" t="inlineStr">
        <is>
          <t>Övriga Aktiebolag</t>
        </is>
      </c>
      <c r="G42" t="n">
        <v>10.8</v>
      </c>
      <c r="H42" t="n">
        <v>1</v>
      </c>
      <c r="I42" t="n">
        <v>1</v>
      </c>
      <c r="J42" t="n">
        <v>2</v>
      </c>
      <c r="K42" t="n">
        <v>0</v>
      </c>
      <c r="L42" t="n">
        <v>0</v>
      </c>
      <c r="M42" t="n">
        <v>0</v>
      </c>
      <c r="N42" t="n">
        <v>0</v>
      </c>
      <c r="O42" t="n">
        <v>2</v>
      </c>
      <c r="P42" t="n">
        <v>0</v>
      </c>
      <c r="Q42" t="n">
        <v>3</v>
      </c>
      <c r="R42" s="2" t="inlineStr">
        <is>
          <t>Slåtterfibbla
Solvända
Skogsknipprot</t>
        </is>
      </c>
      <c r="S42">
        <f>HYPERLINK("https://klasma.github.io/Logging_0382/artfynd/A 45714-2020 artfynd.xlsx", "A 45714-2020")</f>
        <v/>
      </c>
      <c r="T42">
        <f>HYPERLINK("https://klasma.github.io/Logging_0382/kartor/A 45714-2020 karta.png", "A 45714-2020")</f>
        <v/>
      </c>
      <c r="V42">
        <f>HYPERLINK("https://klasma.github.io/Logging_0382/klagomål/A 45714-2020 FSC-klagomål.docx", "A 45714-2020")</f>
        <v/>
      </c>
      <c r="W42">
        <f>HYPERLINK("https://klasma.github.io/Logging_0382/klagomålsmail/A 45714-2020 FSC-klagomål mail.docx", "A 45714-2020")</f>
        <v/>
      </c>
      <c r="X42">
        <f>HYPERLINK("https://klasma.github.io/Logging_0382/tillsyn/A 45714-2020 tillsynsbegäran.docx", "A 45714-2020")</f>
        <v/>
      </c>
      <c r="Y42">
        <f>HYPERLINK("https://klasma.github.io/Logging_0382/tillsynsmail/A 45714-2020 tillsynsbegäran mail.docx", "A 45714-2020")</f>
        <v/>
      </c>
    </row>
    <row r="43" ht="15" customHeight="1">
      <c r="A43" t="inlineStr">
        <is>
          <t>A 25044-2025</t>
        </is>
      </c>
      <c r="B43" s="1" t="n">
        <v>45799.66607638889</v>
      </c>
      <c r="C43" s="1" t="n">
        <v>45914</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45914</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46204-2023</t>
        </is>
      </c>
      <c r="B45" s="1" t="n">
        <v>45190</v>
      </c>
      <c r="C45" s="1" t="n">
        <v>45914</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45914</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9715-2024</t>
        </is>
      </c>
      <c r="B47" s="1" t="n">
        <v>45362.53928240741</v>
      </c>
      <c r="C47" s="1" t="n">
        <v>45914</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33035-2021</t>
        </is>
      </c>
      <c r="B48" s="1" t="n">
        <v>44376</v>
      </c>
      <c r="C48" s="1" t="n">
        <v>45914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26557-2022</t>
        </is>
      </c>
      <c r="B49" s="1" t="n">
        <v>44739</v>
      </c>
      <c r="C49" s="1" t="n">
        <v>45914</v>
      </c>
      <c r="D49" t="inlineStr">
        <is>
          <t>UPPSALA LÄN</t>
        </is>
      </c>
      <c r="E49" t="inlineStr">
        <is>
          <t>ÖSTHAMMAR</t>
        </is>
      </c>
      <c r="F49" t="inlineStr">
        <is>
          <t>Övriga statliga verk och myndigheter</t>
        </is>
      </c>
      <c r="G49" t="n">
        <v>1.7</v>
      </c>
      <c r="H49" t="n">
        <v>3</v>
      </c>
      <c r="I49" t="n">
        <v>0</v>
      </c>
      <c r="J49" t="n">
        <v>3</v>
      </c>
      <c r="K49" t="n">
        <v>0</v>
      </c>
      <c r="L49" t="n">
        <v>0</v>
      </c>
      <c r="M49" t="n">
        <v>0</v>
      </c>
      <c r="N49" t="n">
        <v>0</v>
      </c>
      <c r="O49" t="n">
        <v>3</v>
      </c>
      <c r="P49" t="n">
        <v>0</v>
      </c>
      <c r="Q49" t="n">
        <v>3</v>
      </c>
      <c r="R49" s="2" t="inlineStr">
        <is>
          <t>Järpe
Mindre hackspett
Spillkråka</t>
        </is>
      </c>
      <c r="S49">
        <f>HYPERLINK("https://klasma.github.io/Logging_0382/artfynd/A 26557-2022 artfynd.xlsx", "A 26557-2022")</f>
        <v/>
      </c>
      <c r="T49">
        <f>HYPERLINK("https://klasma.github.io/Logging_0382/kartor/A 26557-2022 karta.png", "A 26557-2022")</f>
        <v/>
      </c>
      <c r="V49">
        <f>HYPERLINK("https://klasma.github.io/Logging_0382/klagomål/A 26557-2022 FSC-klagomål.docx", "A 26557-2022")</f>
        <v/>
      </c>
      <c r="W49">
        <f>HYPERLINK("https://klasma.github.io/Logging_0382/klagomålsmail/A 26557-2022 FSC-klagomål mail.docx", "A 26557-2022")</f>
        <v/>
      </c>
      <c r="X49">
        <f>HYPERLINK("https://klasma.github.io/Logging_0382/tillsyn/A 26557-2022 tillsynsbegäran.docx", "A 26557-2022")</f>
        <v/>
      </c>
      <c r="Y49">
        <f>HYPERLINK("https://klasma.github.io/Logging_0382/tillsynsmail/A 26557-2022 tillsynsbegäran mail.docx", "A 26557-2022")</f>
        <v/>
      </c>
      <c r="Z49">
        <f>HYPERLINK("https://klasma.github.io/Logging_0382/fåglar/A 26557-2022 prioriterade fågelarter.docx", "A 26557-2022")</f>
        <v/>
      </c>
    </row>
    <row r="50" ht="15" customHeight="1">
      <c r="A50" t="inlineStr">
        <is>
          <t>A 9683-2023</t>
        </is>
      </c>
      <c r="B50" s="1" t="n">
        <v>44984.43856481482</v>
      </c>
      <c r="C50" s="1" t="n">
        <v>45914</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60078-2021</t>
        </is>
      </c>
      <c r="B51" s="1" t="n">
        <v>44495</v>
      </c>
      <c r="C51" s="1" t="n">
        <v>45914</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45914</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45914</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45914</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45914</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18539-2024</t>
        </is>
      </c>
      <c r="B56" s="1" t="n">
        <v>45425.63697916667</v>
      </c>
      <c r="C56" s="1" t="n">
        <v>45914</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73981-2021</t>
        </is>
      </c>
      <c r="B57" s="1" t="n">
        <v>44555</v>
      </c>
      <c r="C57" s="1" t="n">
        <v>45914</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45914</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2916-2025</t>
        </is>
      </c>
      <c r="B59" s="1" t="n">
        <v>45677</v>
      </c>
      <c r="C59" s="1" t="n">
        <v>45914</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25098-2022</t>
        </is>
      </c>
      <c r="B60" s="1" t="n">
        <v>44729.44149305556</v>
      </c>
      <c r="C60" s="1" t="n">
        <v>45914</v>
      </c>
      <c r="D60" t="inlineStr">
        <is>
          <t>UPPSALA LÄN</t>
        </is>
      </c>
      <c r="E60" t="inlineStr">
        <is>
          <t>ÖSTHAMMAR</t>
        </is>
      </c>
      <c r="G60" t="n">
        <v>2.9</v>
      </c>
      <c r="H60" t="n">
        <v>2</v>
      </c>
      <c r="I60" t="n">
        <v>0</v>
      </c>
      <c r="J60" t="n">
        <v>0</v>
      </c>
      <c r="K60" t="n">
        <v>0</v>
      </c>
      <c r="L60" t="n">
        <v>0</v>
      </c>
      <c r="M60" t="n">
        <v>0</v>
      </c>
      <c r="N60" t="n">
        <v>0</v>
      </c>
      <c r="O60" t="n">
        <v>0</v>
      </c>
      <c r="P60" t="n">
        <v>0</v>
      </c>
      <c r="Q60" t="n">
        <v>2</v>
      </c>
      <c r="R60" s="2" t="inlineStr">
        <is>
          <t>Blåsippa
Gullviva</t>
        </is>
      </c>
      <c r="S60">
        <f>HYPERLINK("https://klasma.github.io/Logging_0382/artfynd/A 25098-2022 artfynd.xlsx", "A 25098-2022")</f>
        <v/>
      </c>
      <c r="T60">
        <f>HYPERLINK("https://klasma.github.io/Logging_0382/kartor/A 25098-2022 karta.png", "A 25098-2022")</f>
        <v/>
      </c>
      <c r="V60">
        <f>HYPERLINK("https://klasma.github.io/Logging_0382/klagomål/A 25098-2022 FSC-klagomål.docx", "A 25098-2022")</f>
        <v/>
      </c>
      <c r="W60">
        <f>HYPERLINK("https://klasma.github.io/Logging_0382/klagomålsmail/A 25098-2022 FSC-klagomål mail.docx", "A 25098-2022")</f>
        <v/>
      </c>
      <c r="X60">
        <f>HYPERLINK("https://klasma.github.io/Logging_0382/tillsyn/A 25098-2022 tillsynsbegäran.docx", "A 25098-2022")</f>
        <v/>
      </c>
      <c r="Y60">
        <f>HYPERLINK("https://klasma.github.io/Logging_0382/tillsynsmail/A 25098-2022 tillsynsbegäran mail.docx", "A 25098-2022")</f>
        <v/>
      </c>
    </row>
    <row r="61" ht="15" customHeight="1">
      <c r="A61" t="inlineStr">
        <is>
          <t>A 26277-2024</t>
        </is>
      </c>
      <c r="B61" s="1" t="n">
        <v>45468</v>
      </c>
      <c r="C61" s="1" t="n">
        <v>45914</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33269-2025</t>
        </is>
      </c>
      <c r="B62" s="1" t="n">
        <v>45840.68208333333</v>
      </c>
      <c r="C62" s="1" t="n">
        <v>45914</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9646-2024</t>
        </is>
      </c>
      <c r="B63" s="1" t="n">
        <v>45362.37055555556</v>
      </c>
      <c r="C63" s="1" t="n">
        <v>45914</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37768-2025</t>
        </is>
      </c>
      <c r="B64" s="1" t="n">
        <v>45880</v>
      </c>
      <c r="C64" s="1" t="n">
        <v>45914</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41303-2025</t>
        </is>
      </c>
      <c r="B65" s="1" t="n">
        <v>45898.69215277778</v>
      </c>
      <c r="C65" s="1" t="n">
        <v>45914</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67855-2021</t>
        </is>
      </c>
      <c r="B66" s="1" t="n">
        <v>44525</v>
      </c>
      <c r="C66" s="1" t="n">
        <v>45914</v>
      </c>
      <c r="D66" t="inlineStr">
        <is>
          <t>UPPSALA LÄN</t>
        </is>
      </c>
      <c r="E66" t="inlineStr">
        <is>
          <t>ÖSTHAMMAR</t>
        </is>
      </c>
      <c r="G66" t="n">
        <v>7.5</v>
      </c>
      <c r="H66" t="n">
        <v>0</v>
      </c>
      <c r="I66" t="n">
        <v>2</v>
      </c>
      <c r="J66" t="n">
        <v>0</v>
      </c>
      <c r="K66" t="n">
        <v>0</v>
      </c>
      <c r="L66" t="n">
        <v>0</v>
      </c>
      <c r="M66" t="n">
        <v>0</v>
      </c>
      <c r="N66" t="n">
        <v>0</v>
      </c>
      <c r="O66" t="n">
        <v>0</v>
      </c>
      <c r="P66" t="n">
        <v>0</v>
      </c>
      <c r="Q66" t="n">
        <v>2</v>
      </c>
      <c r="R66" s="2" t="inlineStr">
        <is>
          <t>Guldkremla
Kamjordstjärna</t>
        </is>
      </c>
      <c r="S66">
        <f>HYPERLINK("https://klasma.github.io/Logging_0382/artfynd/A 67855-2021 artfynd.xlsx", "A 67855-2021")</f>
        <v/>
      </c>
      <c r="T66">
        <f>HYPERLINK("https://klasma.github.io/Logging_0382/kartor/A 67855-2021 karta.png", "A 67855-2021")</f>
        <v/>
      </c>
      <c r="V66">
        <f>HYPERLINK("https://klasma.github.io/Logging_0382/klagomål/A 67855-2021 FSC-klagomål.docx", "A 67855-2021")</f>
        <v/>
      </c>
      <c r="W66">
        <f>HYPERLINK("https://klasma.github.io/Logging_0382/klagomålsmail/A 67855-2021 FSC-klagomål mail.docx", "A 67855-2021")</f>
        <v/>
      </c>
      <c r="X66">
        <f>HYPERLINK("https://klasma.github.io/Logging_0382/tillsyn/A 67855-2021 tillsynsbegäran.docx", "A 67855-2021")</f>
        <v/>
      </c>
      <c r="Y66">
        <f>HYPERLINK("https://klasma.github.io/Logging_0382/tillsynsmail/A 67855-2021 tillsynsbegäran mail.docx", "A 67855-2021")</f>
        <v/>
      </c>
    </row>
    <row r="67" ht="15" customHeight="1">
      <c r="A67" t="inlineStr">
        <is>
          <t>A 21453-2023</t>
        </is>
      </c>
      <c r="B67" s="1" t="n">
        <v>45063</v>
      </c>
      <c r="C67" s="1" t="n">
        <v>45914</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20553-2025</t>
        </is>
      </c>
      <c r="B68" s="1" t="n">
        <v>45775.63983796296</v>
      </c>
      <c r="C68" s="1" t="n">
        <v>45914</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30943-2024</t>
        </is>
      </c>
      <c r="B69" s="1" t="n">
        <v>45499</v>
      </c>
      <c r="C69" s="1" t="n">
        <v>45914</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38442-2022</t>
        </is>
      </c>
      <c r="B70" s="1" t="n">
        <v>44813</v>
      </c>
      <c r="C70" s="1" t="n">
        <v>45914</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45914</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45914</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45914</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45914</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11017-2023</t>
        </is>
      </c>
      <c r="B75" s="1" t="n">
        <v>44991</v>
      </c>
      <c r="C75" s="1" t="n">
        <v>45914</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14203-2024</t>
        </is>
      </c>
      <c r="B76" s="1" t="n">
        <v>45393</v>
      </c>
      <c r="C76" s="1" t="n">
        <v>45914</v>
      </c>
      <c r="D76" t="inlineStr">
        <is>
          <t>UPPSALA LÄN</t>
        </is>
      </c>
      <c r="E76" t="inlineStr">
        <is>
          <t>ÖSTHAMMAR</t>
        </is>
      </c>
      <c r="G76" t="n">
        <v>1.4</v>
      </c>
      <c r="H76" t="n">
        <v>0</v>
      </c>
      <c r="I76" t="n">
        <v>0</v>
      </c>
      <c r="J76" t="n">
        <v>1</v>
      </c>
      <c r="K76" t="n">
        <v>0</v>
      </c>
      <c r="L76" t="n">
        <v>0</v>
      </c>
      <c r="M76" t="n">
        <v>0</v>
      </c>
      <c r="N76" t="n">
        <v>0</v>
      </c>
      <c r="O76" t="n">
        <v>1</v>
      </c>
      <c r="P76" t="n">
        <v>0</v>
      </c>
      <c r="Q76" t="n">
        <v>1</v>
      </c>
      <c r="R76" s="2" t="inlineStr">
        <is>
          <t>Scharlakansvaxing</t>
        </is>
      </c>
      <c r="S76">
        <f>HYPERLINK("https://klasma.github.io/Logging_0382/artfynd/A 14203-2024 artfynd.xlsx", "A 14203-2024")</f>
        <v/>
      </c>
      <c r="T76">
        <f>HYPERLINK("https://klasma.github.io/Logging_0382/kartor/A 14203-2024 karta.png", "A 14203-2024")</f>
        <v/>
      </c>
      <c r="V76">
        <f>HYPERLINK("https://klasma.github.io/Logging_0382/klagomål/A 14203-2024 FSC-klagomål.docx", "A 14203-2024")</f>
        <v/>
      </c>
      <c r="W76">
        <f>HYPERLINK("https://klasma.github.io/Logging_0382/klagomålsmail/A 14203-2024 FSC-klagomål mail.docx", "A 14203-2024")</f>
        <v/>
      </c>
      <c r="X76">
        <f>HYPERLINK("https://klasma.github.io/Logging_0382/tillsyn/A 14203-2024 tillsynsbegäran.docx", "A 14203-2024")</f>
        <v/>
      </c>
      <c r="Y76">
        <f>HYPERLINK("https://klasma.github.io/Logging_0382/tillsynsmail/A 14203-2024 tillsynsbegäran mail.docx", "A 14203-2024")</f>
        <v/>
      </c>
    </row>
    <row r="77" ht="15" customHeight="1">
      <c r="A77" t="inlineStr">
        <is>
          <t>A 63615-2021</t>
        </is>
      </c>
      <c r="B77" s="1" t="n">
        <v>44509</v>
      </c>
      <c r="C77" s="1" t="n">
        <v>45914</v>
      </c>
      <c r="D77" t="inlineStr">
        <is>
          <t>UPPSALA LÄN</t>
        </is>
      </c>
      <c r="E77" t="inlineStr">
        <is>
          <t>ÖSTHAMMAR</t>
        </is>
      </c>
      <c r="G77" t="n">
        <v>1.9</v>
      </c>
      <c r="H77" t="n">
        <v>0</v>
      </c>
      <c r="I77" t="n">
        <v>0</v>
      </c>
      <c r="J77" t="n">
        <v>1</v>
      </c>
      <c r="K77" t="n">
        <v>0</v>
      </c>
      <c r="L77" t="n">
        <v>0</v>
      </c>
      <c r="M77" t="n">
        <v>0</v>
      </c>
      <c r="N77" t="n">
        <v>0</v>
      </c>
      <c r="O77" t="n">
        <v>1</v>
      </c>
      <c r="P77" t="n">
        <v>0</v>
      </c>
      <c r="Q77" t="n">
        <v>1</v>
      </c>
      <c r="R77" s="2" t="inlineStr">
        <is>
          <t>Gul taggsvamp</t>
        </is>
      </c>
      <c r="S77">
        <f>HYPERLINK("https://klasma.github.io/Logging_0382/artfynd/A 63615-2021 artfynd.xlsx", "A 63615-2021")</f>
        <v/>
      </c>
      <c r="T77">
        <f>HYPERLINK("https://klasma.github.io/Logging_0382/kartor/A 63615-2021 karta.png", "A 63615-2021")</f>
        <v/>
      </c>
      <c r="V77">
        <f>HYPERLINK("https://klasma.github.io/Logging_0382/klagomål/A 63615-2021 FSC-klagomål.docx", "A 63615-2021")</f>
        <v/>
      </c>
      <c r="W77">
        <f>HYPERLINK("https://klasma.github.io/Logging_0382/klagomålsmail/A 63615-2021 FSC-klagomål mail.docx", "A 63615-2021")</f>
        <v/>
      </c>
      <c r="X77">
        <f>HYPERLINK("https://klasma.github.io/Logging_0382/tillsyn/A 63615-2021 tillsynsbegäran.docx", "A 63615-2021")</f>
        <v/>
      </c>
      <c r="Y77">
        <f>HYPERLINK("https://klasma.github.io/Logging_0382/tillsynsmail/A 63615-2021 tillsynsbegäran mail.docx", "A 63615-2021")</f>
        <v/>
      </c>
    </row>
    <row r="78" ht="15" customHeight="1">
      <c r="A78" t="inlineStr">
        <is>
          <t>A 37296-2023</t>
        </is>
      </c>
      <c r="B78" s="1" t="n">
        <v>45156</v>
      </c>
      <c r="C78" s="1" t="n">
        <v>45914</v>
      </c>
      <c r="D78" t="inlineStr">
        <is>
          <t>UPPSALA LÄN</t>
        </is>
      </c>
      <c r="E78" t="inlineStr">
        <is>
          <t>ÖSTHAMMAR</t>
        </is>
      </c>
      <c r="G78" t="n">
        <v>4.7</v>
      </c>
      <c r="H78" t="n">
        <v>1</v>
      </c>
      <c r="I78" t="n">
        <v>0</v>
      </c>
      <c r="J78" t="n">
        <v>0</v>
      </c>
      <c r="K78" t="n">
        <v>1</v>
      </c>
      <c r="L78" t="n">
        <v>0</v>
      </c>
      <c r="M78" t="n">
        <v>0</v>
      </c>
      <c r="N78" t="n">
        <v>0</v>
      </c>
      <c r="O78" t="n">
        <v>1</v>
      </c>
      <c r="P78" t="n">
        <v>1</v>
      </c>
      <c r="Q78" t="n">
        <v>1</v>
      </c>
      <c r="R78" s="2" t="inlineStr">
        <is>
          <t>Backsippa</t>
        </is>
      </c>
      <c r="S78">
        <f>HYPERLINK("https://klasma.github.io/Logging_0382/artfynd/A 37296-2023 artfynd.xlsx", "A 37296-2023")</f>
        <v/>
      </c>
      <c r="T78">
        <f>HYPERLINK("https://klasma.github.io/Logging_0382/kartor/A 37296-2023 karta.png", "A 37296-2023")</f>
        <v/>
      </c>
      <c r="V78">
        <f>HYPERLINK("https://klasma.github.io/Logging_0382/klagomål/A 37296-2023 FSC-klagomål.docx", "A 37296-2023")</f>
        <v/>
      </c>
      <c r="W78">
        <f>HYPERLINK("https://klasma.github.io/Logging_0382/klagomålsmail/A 37296-2023 FSC-klagomål mail.docx", "A 37296-2023")</f>
        <v/>
      </c>
      <c r="X78">
        <f>HYPERLINK("https://klasma.github.io/Logging_0382/tillsyn/A 37296-2023 tillsynsbegäran.docx", "A 37296-2023")</f>
        <v/>
      </c>
      <c r="Y78">
        <f>HYPERLINK("https://klasma.github.io/Logging_0382/tillsynsmail/A 37296-2023 tillsynsbegäran mail.docx", "A 37296-2023")</f>
        <v/>
      </c>
    </row>
    <row r="79" ht="15" customHeight="1">
      <c r="A79" t="inlineStr">
        <is>
          <t>A 65989-2021</t>
        </is>
      </c>
      <c r="B79" s="1" t="n">
        <v>44517</v>
      </c>
      <c r="C79" s="1" t="n">
        <v>45914</v>
      </c>
      <c r="D79" t="inlineStr">
        <is>
          <t>UPPSALA LÄN</t>
        </is>
      </c>
      <c r="E79" t="inlineStr">
        <is>
          <t>ÖSTHAMMAR</t>
        </is>
      </c>
      <c r="G79" t="n">
        <v>6.9</v>
      </c>
      <c r="H79" t="n">
        <v>1</v>
      </c>
      <c r="I79" t="n">
        <v>1</v>
      </c>
      <c r="J79" t="n">
        <v>0</v>
      </c>
      <c r="K79" t="n">
        <v>0</v>
      </c>
      <c r="L79" t="n">
        <v>0</v>
      </c>
      <c r="M79" t="n">
        <v>0</v>
      </c>
      <c r="N79" t="n">
        <v>0</v>
      </c>
      <c r="O79" t="n">
        <v>0</v>
      </c>
      <c r="P79" t="n">
        <v>0</v>
      </c>
      <c r="Q79" t="n">
        <v>1</v>
      </c>
      <c r="R79" s="2" t="inlineStr">
        <is>
          <t>Skogsknipprot</t>
        </is>
      </c>
      <c r="S79">
        <f>HYPERLINK("https://klasma.github.io/Logging_0382/artfynd/A 65989-2021 artfynd.xlsx", "A 65989-2021")</f>
        <v/>
      </c>
      <c r="T79">
        <f>HYPERLINK("https://klasma.github.io/Logging_0382/kartor/A 65989-2021 karta.png", "A 65989-2021")</f>
        <v/>
      </c>
      <c r="V79">
        <f>HYPERLINK("https://klasma.github.io/Logging_0382/klagomål/A 65989-2021 FSC-klagomål.docx", "A 65989-2021")</f>
        <v/>
      </c>
      <c r="W79">
        <f>HYPERLINK("https://klasma.github.io/Logging_0382/klagomålsmail/A 65989-2021 FSC-klagomål mail.docx", "A 65989-2021")</f>
        <v/>
      </c>
      <c r="X79">
        <f>HYPERLINK("https://klasma.github.io/Logging_0382/tillsyn/A 65989-2021 tillsynsbegäran.docx", "A 65989-2021")</f>
        <v/>
      </c>
      <c r="Y79">
        <f>HYPERLINK("https://klasma.github.io/Logging_0382/tillsynsmail/A 65989-2021 tillsynsbegäran mail.docx", "A 65989-2021")</f>
        <v/>
      </c>
    </row>
    <row r="80" ht="15" customHeight="1">
      <c r="A80" t="inlineStr">
        <is>
          <t>A 7446-2022</t>
        </is>
      </c>
      <c r="B80" s="1" t="n">
        <v>44606</v>
      </c>
      <c r="C80" s="1" t="n">
        <v>45914</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52818-2022</t>
        </is>
      </c>
      <c r="B81" s="1" t="n">
        <v>44875</v>
      </c>
      <c r="C81" s="1" t="n">
        <v>45914</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1227-2022</t>
        </is>
      </c>
      <c r="B82" s="1" t="n">
        <v>44572.57641203704</v>
      </c>
      <c r="C82" s="1" t="n">
        <v>45914</v>
      </c>
      <c r="D82" t="inlineStr">
        <is>
          <t>UPPSALA LÄN</t>
        </is>
      </c>
      <c r="E82" t="inlineStr">
        <is>
          <t>ÖSTHAMMAR</t>
        </is>
      </c>
      <c r="G82" t="n">
        <v>1.7</v>
      </c>
      <c r="H82" t="n">
        <v>0</v>
      </c>
      <c r="I82" t="n">
        <v>1</v>
      </c>
      <c r="J82" t="n">
        <v>0</v>
      </c>
      <c r="K82" t="n">
        <v>0</v>
      </c>
      <c r="L82" t="n">
        <v>0</v>
      </c>
      <c r="M82" t="n">
        <v>0</v>
      </c>
      <c r="N82" t="n">
        <v>0</v>
      </c>
      <c r="O82" t="n">
        <v>0</v>
      </c>
      <c r="P82" t="n">
        <v>0</v>
      </c>
      <c r="Q82" t="n">
        <v>1</v>
      </c>
      <c r="R82" s="2" t="inlineStr">
        <is>
          <t>Guldkremla</t>
        </is>
      </c>
      <c r="S82">
        <f>HYPERLINK("https://klasma.github.io/Logging_0382/artfynd/A 1227-2022 artfynd.xlsx", "A 1227-2022")</f>
        <v/>
      </c>
      <c r="T82">
        <f>HYPERLINK("https://klasma.github.io/Logging_0382/kartor/A 1227-2022 karta.png", "A 1227-2022")</f>
        <v/>
      </c>
      <c r="V82">
        <f>HYPERLINK("https://klasma.github.io/Logging_0382/klagomål/A 1227-2022 FSC-klagomål.docx", "A 1227-2022")</f>
        <v/>
      </c>
      <c r="W82">
        <f>HYPERLINK("https://klasma.github.io/Logging_0382/klagomålsmail/A 1227-2022 FSC-klagomål mail.docx", "A 1227-2022")</f>
        <v/>
      </c>
      <c r="X82">
        <f>HYPERLINK("https://klasma.github.io/Logging_0382/tillsyn/A 1227-2022 tillsynsbegäran.docx", "A 1227-2022")</f>
        <v/>
      </c>
      <c r="Y82">
        <f>HYPERLINK("https://klasma.github.io/Logging_0382/tillsynsmail/A 1227-2022 tillsynsbegäran mail.docx", "A 1227-2022")</f>
        <v/>
      </c>
    </row>
    <row r="83" ht="15" customHeight="1">
      <c r="A83" t="inlineStr">
        <is>
          <t>A 61479-2020</t>
        </is>
      </c>
      <c r="B83" s="1" t="n">
        <v>44154</v>
      </c>
      <c r="C83" s="1" t="n">
        <v>45914</v>
      </c>
      <c r="D83" t="inlineStr">
        <is>
          <t>UPPSALA LÄN</t>
        </is>
      </c>
      <c r="E83" t="inlineStr">
        <is>
          <t>ÖSTHAMMAR</t>
        </is>
      </c>
      <c r="G83" t="n">
        <v>2.5</v>
      </c>
      <c r="H83" t="n">
        <v>0</v>
      </c>
      <c r="I83" t="n">
        <v>1</v>
      </c>
      <c r="J83" t="n">
        <v>0</v>
      </c>
      <c r="K83" t="n">
        <v>0</v>
      </c>
      <c r="L83" t="n">
        <v>0</v>
      </c>
      <c r="M83" t="n">
        <v>0</v>
      </c>
      <c r="N83" t="n">
        <v>0</v>
      </c>
      <c r="O83" t="n">
        <v>0</v>
      </c>
      <c r="P83" t="n">
        <v>0</v>
      </c>
      <c r="Q83" t="n">
        <v>1</v>
      </c>
      <c r="R83" s="2" t="inlineStr">
        <is>
          <t>Olivspindling</t>
        </is>
      </c>
      <c r="S83">
        <f>HYPERLINK("https://klasma.github.io/Logging_0382/artfynd/A 61479-2020 artfynd.xlsx", "A 61479-2020")</f>
        <v/>
      </c>
      <c r="T83">
        <f>HYPERLINK("https://klasma.github.io/Logging_0382/kartor/A 61479-2020 karta.png", "A 61479-2020")</f>
        <v/>
      </c>
      <c r="V83">
        <f>HYPERLINK("https://klasma.github.io/Logging_0382/klagomål/A 61479-2020 FSC-klagomål.docx", "A 61479-2020")</f>
        <v/>
      </c>
      <c r="W83">
        <f>HYPERLINK("https://klasma.github.io/Logging_0382/klagomålsmail/A 61479-2020 FSC-klagomål mail.docx", "A 61479-2020")</f>
        <v/>
      </c>
      <c r="X83">
        <f>HYPERLINK("https://klasma.github.io/Logging_0382/tillsyn/A 61479-2020 tillsynsbegäran.docx", "A 61479-2020")</f>
        <v/>
      </c>
      <c r="Y83">
        <f>HYPERLINK("https://klasma.github.io/Logging_0382/tillsynsmail/A 61479-2020 tillsynsbegäran mail.docx", "A 61479-2020")</f>
        <v/>
      </c>
    </row>
    <row r="84" ht="15" customHeight="1">
      <c r="A84" t="inlineStr">
        <is>
          <t>A 29564-2023</t>
        </is>
      </c>
      <c r="B84" s="1" t="n">
        <v>45106</v>
      </c>
      <c r="C84" s="1" t="n">
        <v>45914</v>
      </c>
      <c r="D84" t="inlineStr">
        <is>
          <t>UPPSALA LÄN</t>
        </is>
      </c>
      <c r="E84" t="inlineStr">
        <is>
          <t>ÖSTHAMMAR</t>
        </is>
      </c>
      <c r="F84" t="inlineStr">
        <is>
          <t>Naturvårdsverket</t>
        </is>
      </c>
      <c r="G84" t="n">
        <v>1.2</v>
      </c>
      <c r="H84" t="n">
        <v>1</v>
      </c>
      <c r="I84" t="n">
        <v>0</v>
      </c>
      <c r="J84" t="n">
        <v>0</v>
      </c>
      <c r="K84" t="n">
        <v>0</v>
      </c>
      <c r="L84" t="n">
        <v>0</v>
      </c>
      <c r="M84" t="n">
        <v>0</v>
      </c>
      <c r="N84" t="n">
        <v>0</v>
      </c>
      <c r="O84" t="n">
        <v>0</v>
      </c>
      <c r="P84" t="n">
        <v>0</v>
      </c>
      <c r="Q84" t="n">
        <v>1</v>
      </c>
      <c r="R84" s="2" t="inlineStr">
        <is>
          <t>Blåsippa</t>
        </is>
      </c>
      <c r="S84">
        <f>HYPERLINK("https://klasma.github.io/Logging_0382/artfynd/A 29564-2023 artfynd.xlsx", "A 29564-2023")</f>
        <v/>
      </c>
      <c r="T84">
        <f>HYPERLINK("https://klasma.github.io/Logging_0382/kartor/A 29564-2023 karta.png", "A 29564-2023")</f>
        <v/>
      </c>
      <c r="V84">
        <f>HYPERLINK("https://klasma.github.io/Logging_0382/klagomål/A 29564-2023 FSC-klagomål.docx", "A 29564-2023")</f>
        <v/>
      </c>
      <c r="W84">
        <f>HYPERLINK("https://klasma.github.io/Logging_0382/klagomålsmail/A 29564-2023 FSC-klagomål mail.docx", "A 29564-2023")</f>
        <v/>
      </c>
      <c r="X84">
        <f>HYPERLINK("https://klasma.github.io/Logging_0382/tillsyn/A 29564-2023 tillsynsbegäran.docx", "A 29564-2023")</f>
        <v/>
      </c>
      <c r="Y84">
        <f>HYPERLINK("https://klasma.github.io/Logging_0382/tillsynsmail/A 29564-2023 tillsynsbegäran mail.docx", "A 29564-2023")</f>
        <v/>
      </c>
    </row>
    <row r="85" ht="15" customHeight="1">
      <c r="A85" t="inlineStr">
        <is>
          <t>A 29679-2023</t>
        </is>
      </c>
      <c r="B85" s="1" t="n">
        <v>45107</v>
      </c>
      <c r="C85" s="1" t="n">
        <v>45914</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70495-2021</t>
        </is>
      </c>
      <c r="B86" s="1" t="n">
        <v>44536</v>
      </c>
      <c r="C86" s="1" t="n">
        <v>45914</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24797-2022</t>
        </is>
      </c>
      <c r="B87" s="1" t="n">
        <v>44728</v>
      </c>
      <c r="C87" s="1" t="n">
        <v>45914</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6143-2025</t>
        </is>
      </c>
      <c r="B88" s="1" t="n">
        <v>45698.38697916667</v>
      </c>
      <c r="C88" s="1" t="n">
        <v>45914</v>
      </c>
      <c r="D88" t="inlineStr">
        <is>
          <t>UPPSALA LÄN</t>
        </is>
      </c>
      <c r="E88" t="inlineStr">
        <is>
          <t>ÖSTHAMMAR</t>
        </is>
      </c>
      <c r="F88" t="inlineStr">
        <is>
          <t>Bergvik skog öst AB</t>
        </is>
      </c>
      <c r="G88" t="n">
        <v>3.6</v>
      </c>
      <c r="H88" t="n">
        <v>0</v>
      </c>
      <c r="I88" t="n">
        <v>1</v>
      </c>
      <c r="J88" t="n">
        <v>0</v>
      </c>
      <c r="K88" t="n">
        <v>0</v>
      </c>
      <c r="L88" t="n">
        <v>0</v>
      </c>
      <c r="M88" t="n">
        <v>0</v>
      </c>
      <c r="N88" t="n">
        <v>0</v>
      </c>
      <c r="O88" t="n">
        <v>0</v>
      </c>
      <c r="P88" t="n">
        <v>0</v>
      </c>
      <c r="Q88" t="n">
        <v>1</v>
      </c>
      <c r="R88" s="2" t="inlineStr">
        <is>
          <t>Svavelriska</t>
        </is>
      </c>
      <c r="S88">
        <f>HYPERLINK("https://klasma.github.io/Logging_0382/artfynd/A 6143-2025 artfynd.xlsx", "A 6143-2025")</f>
        <v/>
      </c>
      <c r="T88">
        <f>HYPERLINK("https://klasma.github.io/Logging_0382/kartor/A 6143-2025 karta.png", "A 6143-2025")</f>
        <v/>
      </c>
      <c r="V88">
        <f>HYPERLINK("https://klasma.github.io/Logging_0382/klagomål/A 6143-2025 FSC-klagomål.docx", "A 6143-2025")</f>
        <v/>
      </c>
      <c r="W88">
        <f>HYPERLINK("https://klasma.github.io/Logging_0382/klagomålsmail/A 6143-2025 FSC-klagomål mail.docx", "A 6143-2025")</f>
        <v/>
      </c>
      <c r="X88">
        <f>HYPERLINK("https://klasma.github.io/Logging_0382/tillsyn/A 6143-2025 tillsynsbegäran.docx", "A 6143-2025")</f>
        <v/>
      </c>
      <c r="Y88">
        <f>HYPERLINK("https://klasma.github.io/Logging_0382/tillsynsmail/A 6143-2025 tillsynsbegäran mail.docx", "A 6143-2025")</f>
        <v/>
      </c>
    </row>
    <row r="89" ht="15" customHeight="1">
      <c r="A89" t="inlineStr">
        <is>
          <t>A 10034-2023</t>
        </is>
      </c>
      <c r="B89" s="1" t="n">
        <v>44985</v>
      </c>
      <c r="C89" s="1" t="n">
        <v>45914</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45914</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34090-2023</t>
        </is>
      </c>
      <c r="B91" s="1" t="n">
        <v>45135</v>
      </c>
      <c r="C91" s="1" t="n">
        <v>45914</v>
      </c>
      <c r="D91" t="inlineStr">
        <is>
          <t>UPPSALA LÄN</t>
        </is>
      </c>
      <c r="E91" t="inlineStr">
        <is>
          <t>ÖSTHAMMAR</t>
        </is>
      </c>
      <c r="F91" t="inlineStr">
        <is>
          <t>Bergvik skog öst AB</t>
        </is>
      </c>
      <c r="G91" t="n">
        <v>5.7</v>
      </c>
      <c r="H91" t="n">
        <v>1</v>
      </c>
      <c r="I91" t="n">
        <v>0</v>
      </c>
      <c r="J91" t="n">
        <v>1</v>
      </c>
      <c r="K91" t="n">
        <v>0</v>
      </c>
      <c r="L91" t="n">
        <v>0</v>
      </c>
      <c r="M91" t="n">
        <v>0</v>
      </c>
      <c r="N91" t="n">
        <v>0</v>
      </c>
      <c r="O91" t="n">
        <v>1</v>
      </c>
      <c r="P91" t="n">
        <v>0</v>
      </c>
      <c r="Q91" t="n">
        <v>1</v>
      </c>
      <c r="R91" s="2" t="inlineStr">
        <is>
          <t>Spillkråka</t>
        </is>
      </c>
      <c r="S91">
        <f>HYPERLINK("https://klasma.github.io/Logging_0382/artfynd/A 34090-2023 artfynd.xlsx", "A 34090-2023")</f>
        <v/>
      </c>
      <c r="T91">
        <f>HYPERLINK("https://klasma.github.io/Logging_0382/kartor/A 34090-2023 karta.png", "A 34090-2023")</f>
        <v/>
      </c>
      <c r="V91">
        <f>HYPERLINK("https://klasma.github.io/Logging_0382/klagomål/A 34090-2023 FSC-klagomål.docx", "A 34090-2023")</f>
        <v/>
      </c>
      <c r="W91">
        <f>HYPERLINK("https://klasma.github.io/Logging_0382/klagomålsmail/A 34090-2023 FSC-klagomål mail.docx", "A 34090-2023")</f>
        <v/>
      </c>
      <c r="X91">
        <f>HYPERLINK("https://klasma.github.io/Logging_0382/tillsyn/A 34090-2023 tillsynsbegäran.docx", "A 34090-2023")</f>
        <v/>
      </c>
      <c r="Y91">
        <f>HYPERLINK("https://klasma.github.io/Logging_0382/tillsynsmail/A 34090-2023 tillsynsbegäran mail.docx", "A 34090-2023")</f>
        <v/>
      </c>
      <c r="Z91">
        <f>HYPERLINK("https://klasma.github.io/Logging_0382/fåglar/A 34090-2023 prioriterade fågelarter.docx", "A 34090-2023")</f>
        <v/>
      </c>
    </row>
    <row r="92" ht="15" customHeight="1">
      <c r="A92" t="inlineStr">
        <is>
          <t>A 30605-2025</t>
        </is>
      </c>
      <c r="B92" s="1" t="n">
        <v>45831.45510416666</v>
      </c>
      <c r="C92" s="1" t="n">
        <v>45914</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45914</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45914</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45914</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45914</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45914</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45914</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45914</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41220-2025</t>
        </is>
      </c>
      <c r="B100" s="1" t="n">
        <v>45898.58630787037</v>
      </c>
      <c r="C100" s="1" t="n">
        <v>45914</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14706-2023</t>
        </is>
      </c>
      <c r="B101" s="1" t="n">
        <v>45013</v>
      </c>
      <c r="C101" s="1" t="n">
        <v>45914</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3693-2021</t>
        </is>
      </c>
      <c r="B102" s="1" t="n">
        <v>44221</v>
      </c>
      <c r="C102" s="1" t="n">
        <v>45914</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45914</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45914</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45914</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45914</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45914</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45914</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61555-2021</t>
        </is>
      </c>
      <c r="B109" s="1" t="n">
        <v>44501.4250462963</v>
      </c>
      <c r="C109" s="1" t="n">
        <v>45914</v>
      </c>
      <c r="D109" t="inlineStr">
        <is>
          <t>UPPSALA LÄN</t>
        </is>
      </c>
      <c r="E109" t="inlineStr">
        <is>
          <t>ÖSTHAMMAR</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69681-2020</t>
        </is>
      </c>
      <c r="B110" s="1" t="n">
        <v>44196</v>
      </c>
      <c r="C110" s="1" t="n">
        <v>45914</v>
      </c>
      <c r="D110" t="inlineStr">
        <is>
          <t>UPPSALA LÄN</t>
        </is>
      </c>
      <c r="E110" t="inlineStr">
        <is>
          <t>ÖSTHAMMAR</t>
        </is>
      </c>
      <c r="F110" t="inlineStr">
        <is>
          <t>Bergvik skog öst AB</t>
        </is>
      </c>
      <c r="G110" t="n">
        <v>21.9</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45914</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45914</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45914</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45914</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45914</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45914</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45914</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45914</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45914</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45914</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45914</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45914</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45914</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45914</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45914</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45914</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45914</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45914</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45914</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45914</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45914</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45914</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45914</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45914</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45914</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45914</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45914</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45914</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45914</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45914</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45914</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45914</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45914</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45914</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45914</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45914</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45914</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45914</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45914</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45914</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45914</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45914</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45914</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45914</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45914</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45914</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45914</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51906-2022</t>
        </is>
      </c>
      <c r="B158" s="1" t="n">
        <v>44872.62109953703</v>
      </c>
      <c r="C158" s="1" t="n">
        <v>45914</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11987-2022</t>
        </is>
      </c>
      <c r="B159" s="1" t="n">
        <v>44635.68695601852</v>
      </c>
      <c r="C159" s="1" t="n">
        <v>45914</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19214-2021</t>
        </is>
      </c>
      <c r="B160" s="1" t="n">
        <v>44309.28576388889</v>
      </c>
      <c r="C160" s="1" t="n">
        <v>45914</v>
      </c>
      <c r="D160" t="inlineStr">
        <is>
          <t>UPPSALA LÄN</t>
        </is>
      </c>
      <c r="E160" t="inlineStr">
        <is>
          <t>ÖSTHAMMAR</t>
        </is>
      </c>
      <c r="F160" t="inlineStr">
        <is>
          <t>Bergvik skog öst AB</t>
        </is>
      </c>
      <c r="G160" t="n">
        <v>6</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45914</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45914</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45914</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45914</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6221-2021</t>
        </is>
      </c>
      <c r="B165" s="1" t="n">
        <v>44235</v>
      </c>
      <c r="C165" s="1" t="n">
        <v>45914</v>
      </c>
      <c r="D165" t="inlineStr">
        <is>
          <t>UPPSALA LÄN</t>
        </is>
      </c>
      <c r="E165" t="inlineStr">
        <is>
          <t>ÖSTHAMMAR</t>
        </is>
      </c>
      <c r="G165" t="n">
        <v>0.8</v>
      </c>
      <c r="H165" t="n">
        <v>0</v>
      </c>
      <c r="I165" t="n">
        <v>0</v>
      </c>
      <c r="J165" t="n">
        <v>0</v>
      </c>
      <c r="K165" t="n">
        <v>0</v>
      </c>
      <c r="L165" t="n">
        <v>0</v>
      </c>
      <c r="M165" t="n">
        <v>0</v>
      </c>
      <c r="N165" t="n">
        <v>0</v>
      </c>
      <c r="O165" t="n">
        <v>0</v>
      </c>
      <c r="P165" t="n">
        <v>0</v>
      </c>
      <c r="Q165" t="n">
        <v>0</v>
      </c>
      <c r="R165" s="2" t="inlineStr"/>
    </row>
    <row r="166" ht="15" customHeight="1">
      <c r="A166" t="inlineStr">
        <is>
          <t>A 12999-2022</t>
        </is>
      </c>
      <c r="B166" s="1" t="n">
        <v>44643.4372337963</v>
      </c>
      <c r="C166" s="1" t="n">
        <v>45914</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45914</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45914</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52432-2020</t>
        </is>
      </c>
      <c r="B169" s="1" t="n">
        <v>44118</v>
      </c>
      <c r="C169" s="1" t="n">
        <v>45914</v>
      </c>
      <c r="D169" t="inlineStr">
        <is>
          <t>UPPSALA LÄN</t>
        </is>
      </c>
      <c r="E169" t="inlineStr">
        <is>
          <t>ÖSTHAMMAR</t>
        </is>
      </c>
      <c r="G169" t="n">
        <v>2.7</v>
      </c>
      <c r="H169" t="n">
        <v>0</v>
      </c>
      <c r="I169" t="n">
        <v>0</v>
      </c>
      <c r="J169" t="n">
        <v>0</v>
      </c>
      <c r="K169" t="n">
        <v>0</v>
      </c>
      <c r="L169" t="n">
        <v>0</v>
      </c>
      <c r="M169" t="n">
        <v>0</v>
      </c>
      <c r="N169" t="n">
        <v>0</v>
      </c>
      <c r="O169" t="n">
        <v>0</v>
      </c>
      <c r="P169" t="n">
        <v>0</v>
      </c>
      <c r="Q169" t="n">
        <v>0</v>
      </c>
      <c r="R169" s="2" t="inlineStr"/>
    </row>
    <row r="170" ht="15" customHeight="1">
      <c r="A170" t="inlineStr">
        <is>
          <t>A 52434-2020</t>
        </is>
      </c>
      <c r="B170" s="1" t="n">
        <v>44118</v>
      </c>
      <c r="C170" s="1" t="n">
        <v>45914</v>
      </c>
      <c r="D170" t="inlineStr">
        <is>
          <t>UPPSALA LÄN</t>
        </is>
      </c>
      <c r="E170" t="inlineStr">
        <is>
          <t>ÖSTHAMMAR</t>
        </is>
      </c>
      <c r="G170" t="n">
        <v>2.8</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45914</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45914</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45914</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16185-2022</t>
        </is>
      </c>
      <c r="B174" s="1" t="n">
        <v>44669</v>
      </c>
      <c r="C174" s="1" t="n">
        <v>45914</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24316-2021</t>
        </is>
      </c>
      <c r="B175" s="1" t="n">
        <v>44337</v>
      </c>
      <c r="C175" s="1" t="n">
        <v>45914</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45914</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41558-2021</t>
        </is>
      </c>
      <c r="B177" s="1" t="n">
        <v>44425.37835648148</v>
      </c>
      <c r="C177" s="1" t="n">
        <v>45914</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22887-2022</t>
        </is>
      </c>
      <c r="B178" s="1" t="n">
        <v>44715</v>
      </c>
      <c r="C178" s="1" t="n">
        <v>45914</v>
      </c>
      <c r="D178" t="inlineStr">
        <is>
          <t>UPPSALA LÄN</t>
        </is>
      </c>
      <c r="E178" t="inlineStr">
        <is>
          <t>ÖSTHAMMAR</t>
        </is>
      </c>
      <c r="G178" t="n">
        <v>0.2</v>
      </c>
      <c r="H178" t="n">
        <v>0</v>
      </c>
      <c r="I178" t="n">
        <v>0</v>
      </c>
      <c r="J178" t="n">
        <v>0</v>
      </c>
      <c r="K178" t="n">
        <v>0</v>
      </c>
      <c r="L178" t="n">
        <v>0</v>
      </c>
      <c r="M178" t="n">
        <v>0</v>
      </c>
      <c r="N178" t="n">
        <v>0</v>
      </c>
      <c r="O178" t="n">
        <v>0</v>
      </c>
      <c r="P178" t="n">
        <v>0</v>
      </c>
      <c r="Q178" t="n">
        <v>0</v>
      </c>
      <c r="R178" s="2" t="inlineStr"/>
    </row>
    <row r="179" ht="15" customHeight="1">
      <c r="A179" t="inlineStr">
        <is>
          <t>A 52544-2021</t>
        </is>
      </c>
      <c r="B179" s="1" t="n">
        <v>44466</v>
      </c>
      <c r="C179" s="1" t="n">
        <v>45914</v>
      </c>
      <c r="D179" t="inlineStr">
        <is>
          <t>UPPSALA LÄN</t>
        </is>
      </c>
      <c r="E179" t="inlineStr">
        <is>
          <t>ÖSTHAMMAR</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45914</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45914</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45914</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45914</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34418-2022</t>
        </is>
      </c>
      <c r="B184" s="1" t="n">
        <v>44792</v>
      </c>
      <c r="C184" s="1" t="n">
        <v>45914</v>
      </c>
      <c r="D184" t="inlineStr">
        <is>
          <t>UPPSALA LÄN</t>
        </is>
      </c>
      <c r="E184" t="inlineStr">
        <is>
          <t>ÖSTHAMMAR</t>
        </is>
      </c>
      <c r="G184" t="n">
        <v>0.3</v>
      </c>
      <c r="H184" t="n">
        <v>0</v>
      </c>
      <c r="I184" t="n">
        <v>0</v>
      </c>
      <c r="J184" t="n">
        <v>0</v>
      </c>
      <c r="K184" t="n">
        <v>0</v>
      </c>
      <c r="L184" t="n">
        <v>0</v>
      </c>
      <c r="M184" t="n">
        <v>0</v>
      </c>
      <c r="N184" t="n">
        <v>0</v>
      </c>
      <c r="O184" t="n">
        <v>0</v>
      </c>
      <c r="P184" t="n">
        <v>0</v>
      </c>
      <c r="Q184" t="n">
        <v>0</v>
      </c>
      <c r="R184" s="2" t="inlineStr"/>
    </row>
    <row r="185" ht="15" customHeight="1">
      <c r="A185" t="inlineStr">
        <is>
          <t>A 61560-2021</t>
        </is>
      </c>
      <c r="B185" s="1" t="n">
        <v>44501.42905092592</v>
      </c>
      <c r="C185" s="1" t="n">
        <v>45914</v>
      </c>
      <c r="D185" t="inlineStr">
        <is>
          <t>UPPSALA LÄN</t>
        </is>
      </c>
      <c r="E185" t="inlineStr">
        <is>
          <t>ÖSTHAMMAR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45914</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37545-2022</t>
        </is>
      </c>
      <c r="B187" s="1" t="n">
        <v>44809.63373842592</v>
      </c>
      <c r="C187" s="1" t="n">
        <v>45914</v>
      </c>
      <c r="D187" t="inlineStr">
        <is>
          <t>UPPSALA LÄN</t>
        </is>
      </c>
      <c r="E187" t="inlineStr">
        <is>
          <t>ÖSTHAMMAR</t>
        </is>
      </c>
      <c r="G187" t="n">
        <v>3.1</v>
      </c>
      <c r="H187" t="n">
        <v>0</v>
      </c>
      <c r="I187" t="n">
        <v>0</v>
      </c>
      <c r="J187" t="n">
        <v>0</v>
      </c>
      <c r="K187" t="n">
        <v>0</v>
      </c>
      <c r="L187" t="n">
        <v>0</v>
      </c>
      <c r="M187" t="n">
        <v>0</v>
      </c>
      <c r="N187" t="n">
        <v>0</v>
      </c>
      <c r="O187" t="n">
        <v>0</v>
      </c>
      <c r="P187" t="n">
        <v>0</v>
      </c>
      <c r="Q187" t="n">
        <v>0</v>
      </c>
      <c r="R187" s="2" t="inlineStr"/>
    </row>
    <row r="188" ht="15" customHeight="1">
      <c r="A188" t="inlineStr">
        <is>
          <t>A 19040-2023</t>
        </is>
      </c>
      <c r="B188" s="1" t="n">
        <v>45047</v>
      </c>
      <c r="C188" s="1" t="n">
        <v>45914</v>
      </c>
      <c r="D188" t="inlineStr">
        <is>
          <t>UPPSALA LÄN</t>
        </is>
      </c>
      <c r="E188" t="inlineStr">
        <is>
          <t>ÖSTHAMMAR</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18838-2023</t>
        </is>
      </c>
      <c r="B189" s="1" t="n">
        <v>45044</v>
      </c>
      <c r="C189" s="1" t="n">
        <v>45914</v>
      </c>
      <c r="D189" t="inlineStr">
        <is>
          <t>UPPSALA LÄN</t>
        </is>
      </c>
      <c r="E189" t="inlineStr">
        <is>
          <t>ÖSTHAMMAR</t>
        </is>
      </c>
      <c r="G189" t="n">
        <v>2.8</v>
      </c>
      <c r="H189" t="n">
        <v>0</v>
      </c>
      <c r="I189" t="n">
        <v>0</v>
      </c>
      <c r="J189" t="n">
        <v>0</v>
      </c>
      <c r="K189" t="n">
        <v>0</v>
      </c>
      <c r="L189" t="n">
        <v>0</v>
      </c>
      <c r="M189" t="n">
        <v>0</v>
      </c>
      <c r="N189" t="n">
        <v>0</v>
      </c>
      <c r="O189" t="n">
        <v>0</v>
      </c>
      <c r="P189" t="n">
        <v>0</v>
      </c>
      <c r="Q189" t="n">
        <v>0</v>
      </c>
      <c r="R189" s="2" t="inlineStr"/>
    </row>
    <row r="190" ht="15" customHeight="1">
      <c r="A190" t="inlineStr">
        <is>
          <t>A 17022-2021</t>
        </is>
      </c>
      <c r="B190" s="1" t="n">
        <v>44295.65875</v>
      </c>
      <c r="C190" s="1" t="n">
        <v>45914</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1436-2025</t>
        </is>
      </c>
      <c r="B191" s="1" t="n">
        <v>45669.67625</v>
      </c>
      <c r="C191" s="1" t="n">
        <v>45914</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45914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45914</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49097-2022</t>
        </is>
      </c>
      <c r="B194" s="1" t="n">
        <v>44860</v>
      </c>
      <c r="C194" s="1" t="n">
        <v>45914</v>
      </c>
      <c r="D194" t="inlineStr">
        <is>
          <t>UPPSALA LÄN</t>
        </is>
      </c>
      <c r="E194" t="inlineStr">
        <is>
          <t>ÖSTHAMMAR</t>
        </is>
      </c>
      <c r="G194" t="n">
        <v>6.9</v>
      </c>
      <c r="H194" t="n">
        <v>0</v>
      </c>
      <c r="I194" t="n">
        <v>0</v>
      </c>
      <c r="J194" t="n">
        <v>0</v>
      </c>
      <c r="K194" t="n">
        <v>0</v>
      </c>
      <c r="L194" t="n">
        <v>0</v>
      </c>
      <c r="M194" t="n">
        <v>0</v>
      </c>
      <c r="N194" t="n">
        <v>0</v>
      </c>
      <c r="O194" t="n">
        <v>0</v>
      </c>
      <c r="P194" t="n">
        <v>0</v>
      </c>
      <c r="Q194" t="n">
        <v>0</v>
      </c>
      <c r="R194" s="2" t="inlineStr"/>
    </row>
    <row r="195" ht="15" customHeight="1">
      <c r="A195" t="inlineStr">
        <is>
          <t>A 37813-2022</t>
        </is>
      </c>
      <c r="B195" s="1" t="n">
        <v>44810</v>
      </c>
      <c r="C195" s="1" t="n">
        <v>45914</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20326-2021</t>
        </is>
      </c>
      <c r="B196" s="1" t="n">
        <v>44308</v>
      </c>
      <c r="C196" s="1" t="n">
        <v>45914</v>
      </c>
      <c r="D196" t="inlineStr">
        <is>
          <t>UPPSALA LÄN</t>
        </is>
      </c>
      <c r="E196" t="inlineStr">
        <is>
          <t>ÖSTHAMMAR</t>
        </is>
      </c>
      <c r="G196" t="n">
        <v>0.7</v>
      </c>
      <c r="H196" t="n">
        <v>0</v>
      </c>
      <c r="I196" t="n">
        <v>0</v>
      </c>
      <c r="J196" t="n">
        <v>0</v>
      </c>
      <c r="K196" t="n">
        <v>0</v>
      </c>
      <c r="L196" t="n">
        <v>0</v>
      </c>
      <c r="M196" t="n">
        <v>0</v>
      </c>
      <c r="N196" t="n">
        <v>0</v>
      </c>
      <c r="O196" t="n">
        <v>0</v>
      </c>
      <c r="P196" t="n">
        <v>0</v>
      </c>
      <c r="Q196" t="n">
        <v>0</v>
      </c>
      <c r="R196" s="2" t="inlineStr"/>
    </row>
    <row r="197" ht="15" customHeight="1">
      <c r="A197" t="inlineStr">
        <is>
          <t>A 28421-2023</t>
        </is>
      </c>
      <c r="B197" s="1" t="n">
        <v>45102</v>
      </c>
      <c r="C197" s="1" t="n">
        <v>45914</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33062-2021</t>
        </is>
      </c>
      <c r="B198" s="1" t="n">
        <v>44376</v>
      </c>
      <c r="C198" s="1" t="n">
        <v>45914</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17867-2024</t>
        </is>
      </c>
      <c r="B199" s="1" t="n">
        <v>45419.44106481481</v>
      </c>
      <c r="C199" s="1" t="n">
        <v>45914</v>
      </c>
      <c r="D199" t="inlineStr">
        <is>
          <t>UPPSALA LÄN</t>
        </is>
      </c>
      <c r="E199" t="inlineStr">
        <is>
          <t>ÖSTHAMMAR</t>
        </is>
      </c>
      <c r="G199" t="n">
        <v>7.2</v>
      </c>
      <c r="H199" t="n">
        <v>0</v>
      </c>
      <c r="I199" t="n">
        <v>0</v>
      </c>
      <c r="J199" t="n">
        <v>0</v>
      </c>
      <c r="K199" t="n">
        <v>0</v>
      </c>
      <c r="L199" t="n">
        <v>0</v>
      </c>
      <c r="M199" t="n">
        <v>0</v>
      </c>
      <c r="N199" t="n">
        <v>0</v>
      </c>
      <c r="O199" t="n">
        <v>0</v>
      </c>
      <c r="P199" t="n">
        <v>0</v>
      </c>
      <c r="Q199" t="n">
        <v>0</v>
      </c>
      <c r="R199" s="2" t="inlineStr"/>
    </row>
    <row r="200" ht="15" customHeight="1">
      <c r="A200" t="inlineStr">
        <is>
          <t>A 55097-2024</t>
        </is>
      </c>
      <c r="B200" s="1" t="n">
        <v>45621.43855324074</v>
      </c>
      <c r="C200" s="1" t="n">
        <v>45914</v>
      </c>
      <c r="D200" t="inlineStr">
        <is>
          <t>UPPSALA LÄN</t>
        </is>
      </c>
      <c r="E200" t="inlineStr">
        <is>
          <t>ÖSTHAMMAR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58878-2022</t>
        </is>
      </c>
      <c r="B201" s="1" t="n">
        <v>44903</v>
      </c>
      <c r="C201" s="1" t="n">
        <v>45914</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18230-2025</t>
        </is>
      </c>
      <c r="B202" s="1" t="n">
        <v>45761.87114583333</v>
      </c>
      <c r="C202" s="1" t="n">
        <v>45914</v>
      </c>
      <c r="D202" t="inlineStr">
        <is>
          <t>UPPSALA LÄN</t>
        </is>
      </c>
      <c r="E202" t="inlineStr">
        <is>
          <t>ÖSTHAMMAR</t>
        </is>
      </c>
      <c r="F202" t="inlineStr">
        <is>
          <t>Bergvik skog öst AB</t>
        </is>
      </c>
      <c r="G202" t="n">
        <v>4.2</v>
      </c>
      <c r="H202" t="n">
        <v>0</v>
      </c>
      <c r="I202" t="n">
        <v>0</v>
      </c>
      <c r="J202" t="n">
        <v>0</v>
      </c>
      <c r="K202" t="n">
        <v>0</v>
      </c>
      <c r="L202" t="n">
        <v>0</v>
      </c>
      <c r="M202" t="n">
        <v>0</v>
      </c>
      <c r="N202" t="n">
        <v>0</v>
      </c>
      <c r="O202" t="n">
        <v>0</v>
      </c>
      <c r="P202" t="n">
        <v>0</v>
      </c>
      <c r="Q202" t="n">
        <v>0</v>
      </c>
      <c r="R202" s="2" t="inlineStr"/>
    </row>
    <row r="203" ht="15" customHeight="1">
      <c r="A203" t="inlineStr">
        <is>
          <t>A 37865-2023</t>
        </is>
      </c>
      <c r="B203" s="1" t="n">
        <v>45160</v>
      </c>
      <c r="C203" s="1" t="n">
        <v>45914</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12528-2024</t>
        </is>
      </c>
      <c r="B204" s="1" t="n">
        <v>45379.61878472222</v>
      </c>
      <c r="C204" s="1" t="n">
        <v>45914</v>
      </c>
      <c r="D204" t="inlineStr">
        <is>
          <t>UPPSALA LÄN</t>
        </is>
      </c>
      <c r="E204" t="inlineStr">
        <is>
          <t>ÖSTHAMMAR</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12756-2024</t>
        </is>
      </c>
      <c r="B205" s="1" t="n">
        <v>45384</v>
      </c>
      <c r="C205" s="1" t="n">
        <v>45914</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4228-2023</t>
        </is>
      </c>
      <c r="B206" s="1" t="n">
        <v>44953.48179398148</v>
      </c>
      <c r="C206" s="1" t="n">
        <v>45914</v>
      </c>
      <c r="D206" t="inlineStr">
        <is>
          <t>UPPSALA LÄN</t>
        </is>
      </c>
      <c r="E206" t="inlineStr">
        <is>
          <t>ÖSTHAMMAR</t>
        </is>
      </c>
      <c r="G206" t="n">
        <v>1</v>
      </c>
      <c r="H206" t="n">
        <v>0</v>
      </c>
      <c r="I206" t="n">
        <v>0</v>
      </c>
      <c r="J206" t="n">
        <v>0</v>
      </c>
      <c r="K206" t="n">
        <v>0</v>
      </c>
      <c r="L206" t="n">
        <v>0</v>
      </c>
      <c r="M206" t="n">
        <v>0</v>
      </c>
      <c r="N206" t="n">
        <v>0</v>
      </c>
      <c r="O206" t="n">
        <v>0</v>
      </c>
      <c r="P206" t="n">
        <v>0</v>
      </c>
      <c r="Q206" t="n">
        <v>0</v>
      </c>
      <c r="R206" s="2" t="inlineStr"/>
    </row>
    <row r="207" ht="15" customHeight="1">
      <c r="A207" t="inlineStr">
        <is>
          <t>A 7100-2025</t>
        </is>
      </c>
      <c r="B207" s="1" t="n">
        <v>45701.83930555556</v>
      </c>
      <c r="C207" s="1" t="n">
        <v>45914</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56041-2020</t>
        </is>
      </c>
      <c r="B208" s="1" t="n">
        <v>44133</v>
      </c>
      <c r="C208" s="1" t="n">
        <v>45914</v>
      </c>
      <c r="D208" t="inlineStr">
        <is>
          <t>UPPSALA LÄN</t>
        </is>
      </c>
      <c r="E208" t="inlineStr">
        <is>
          <t>ÖSTHAMMAR</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59432-2020</t>
        </is>
      </c>
      <c r="B209" s="1" t="n">
        <v>44148</v>
      </c>
      <c r="C209" s="1" t="n">
        <v>45914</v>
      </c>
      <c r="D209" t="inlineStr">
        <is>
          <t>UPPSALA LÄN</t>
        </is>
      </c>
      <c r="E209" t="inlineStr">
        <is>
          <t>ÖSTHAMMAR</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18091-2023</t>
        </is>
      </c>
      <c r="B210" s="1" t="n">
        <v>45040</v>
      </c>
      <c r="C210" s="1" t="n">
        <v>45914</v>
      </c>
      <c r="D210" t="inlineStr">
        <is>
          <t>UPPSALA LÄN</t>
        </is>
      </c>
      <c r="E210" t="inlineStr">
        <is>
          <t>ÖSTHAMMAR</t>
        </is>
      </c>
      <c r="G210" t="n">
        <v>2.4</v>
      </c>
      <c r="H210" t="n">
        <v>0</v>
      </c>
      <c r="I210" t="n">
        <v>0</v>
      </c>
      <c r="J210" t="n">
        <v>0</v>
      </c>
      <c r="K210" t="n">
        <v>0</v>
      </c>
      <c r="L210" t="n">
        <v>0</v>
      </c>
      <c r="M210" t="n">
        <v>0</v>
      </c>
      <c r="N210" t="n">
        <v>0</v>
      </c>
      <c r="O210" t="n">
        <v>0</v>
      </c>
      <c r="P210" t="n">
        <v>0</v>
      </c>
      <c r="Q210" t="n">
        <v>0</v>
      </c>
      <c r="R210" s="2" t="inlineStr"/>
    </row>
    <row r="211" ht="15" customHeight="1">
      <c r="A211" t="inlineStr">
        <is>
          <t>A 54314-2023</t>
        </is>
      </c>
      <c r="B211" s="1" t="n">
        <v>45225</v>
      </c>
      <c r="C211" s="1" t="n">
        <v>45914</v>
      </c>
      <c r="D211" t="inlineStr">
        <is>
          <t>UPPSALA LÄN</t>
        </is>
      </c>
      <c r="E211" t="inlineStr">
        <is>
          <t>ÖSTHAMMAR</t>
        </is>
      </c>
      <c r="G211" t="n">
        <v>5.1</v>
      </c>
      <c r="H211" t="n">
        <v>0</v>
      </c>
      <c r="I211" t="n">
        <v>0</v>
      </c>
      <c r="J211" t="n">
        <v>0</v>
      </c>
      <c r="K211" t="n">
        <v>0</v>
      </c>
      <c r="L211" t="n">
        <v>0</v>
      </c>
      <c r="M211" t="n">
        <v>0</v>
      </c>
      <c r="N211" t="n">
        <v>0</v>
      </c>
      <c r="O211" t="n">
        <v>0</v>
      </c>
      <c r="P211" t="n">
        <v>0</v>
      </c>
      <c r="Q211" t="n">
        <v>0</v>
      </c>
      <c r="R211" s="2" t="inlineStr"/>
    </row>
    <row r="212" ht="15" customHeight="1">
      <c r="A212" t="inlineStr">
        <is>
          <t>A 49796-2024</t>
        </is>
      </c>
      <c r="B212" s="1" t="n">
        <v>45597</v>
      </c>
      <c r="C212" s="1" t="n">
        <v>45914</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66779-2021</t>
        </is>
      </c>
      <c r="B213" s="1" t="n">
        <v>44522.31700231481</v>
      </c>
      <c r="C213" s="1" t="n">
        <v>45914</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23197-2023</t>
        </is>
      </c>
      <c r="B214" s="1" t="n">
        <v>45075</v>
      </c>
      <c r="C214" s="1" t="n">
        <v>45914</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60079-2022</t>
        </is>
      </c>
      <c r="B215" s="1" t="n">
        <v>44909</v>
      </c>
      <c r="C215" s="1" t="n">
        <v>45914</v>
      </c>
      <c r="D215" t="inlineStr">
        <is>
          <t>UPPSALA LÄN</t>
        </is>
      </c>
      <c r="E215" t="inlineStr">
        <is>
          <t>ÖSTHAMMAR</t>
        </is>
      </c>
      <c r="G215" t="n">
        <v>9.6</v>
      </c>
      <c r="H215" t="n">
        <v>0</v>
      </c>
      <c r="I215" t="n">
        <v>0</v>
      </c>
      <c r="J215" t="n">
        <v>0</v>
      </c>
      <c r="K215" t="n">
        <v>0</v>
      </c>
      <c r="L215" t="n">
        <v>0</v>
      </c>
      <c r="M215" t="n">
        <v>0</v>
      </c>
      <c r="N215" t="n">
        <v>0</v>
      </c>
      <c r="O215" t="n">
        <v>0</v>
      </c>
      <c r="P215" t="n">
        <v>0</v>
      </c>
      <c r="Q215" t="n">
        <v>0</v>
      </c>
      <c r="R215" s="2" t="inlineStr"/>
    </row>
    <row r="216" ht="15" customHeight="1">
      <c r="A216" t="inlineStr">
        <is>
          <t>A 1791-2023</t>
        </is>
      </c>
      <c r="B216" s="1" t="n">
        <v>44938</v>
      </c>
      <c r="C216" s="1" t="n">
        <v>45914</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52898-2021</t>
        </is>
      </c>
      <c r="B217" s="1" t="n">
        <v>44467</v>
      </c>
      <c r="C217" s="1" t="n">
        <v>45914</v>
      </c>
      <c r="D217" t="inlineStr">
        <is>
          <t>UPPSALA LÄN</t>
        </is>
      </c>
      <c r="E217" t="inlineStr">
        <is>
          <t>ÖSTHAMMAR</t>
        </is>
      </c>
      <c r="G217" t="n">
        <v>2.3</v>
      </c>
      <c r="H217" t="n">
        <v>0</v>
      </c>
      <c r="I217" t="n">
        <v>0</v>
      </c>
      <c r="J217" t="n">
        <v>0</v>
      </c>
      <c r="K217" t="n">
        <v>0</v>
      </c>
      <c r="L217" t="n">
        <v>0</v>
      </c>
      <c r="M217" t="n">
        <v>0</v>
      </c>
      <c r="N217" t="n">
        <v>0</v>
      </c>
      <c r="O217" t="n">
        <v>0</v>
      </c>
      <c r="P217" t="n">
        <v>0</v>
      </c>
      <c r="Q217" t="n">
        <v>0</v>
      </c>
      <c r="R217" s="2" t="inlineStr"/>
    </row>
    <row r="218" ht="15" customHeight="1">
      <c r="A218" t="inlineStr">
        <is>
          <t>A 9267-2024</t>
        </is>
      </c>
      <c r="B218" s="1" t="n">
        <v>45358</v>
      </c>
      <c r="C218" s="1" t="n">
        <v>45914</v>
      </c>
      <c r="D218" t="inlineStr">
        <is>
          <t>UPPSALA LÄN</t>
        </is>
      </c>
      <c r="E218" t="inlineStr">
        <is>
          <t>ÖSTHAMMAR</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21132-2025</t>
        </is>
      </c>
      <c r="B219" s="1" t="n">
        <v>45778.4108912037</v>
      </c>
      <c r="C219" s="1" t="n">
        <v>45914</v>
      </c>
      <c r="D219" t="inlineStr">
        <is>
          <t>UPPSALA LÄN</t>
        </is>
      </c>
      <c r="E219" t="inlineStr">
        <is>
          <t>ÖSTHAMMAR</t>
        </is>
      </c>
      <c r="G219" t="n">
        <v>10.1</v>
      </c>
      <c r="H219" t="n">
        <v>0</v>
      </c>
      <c r="I219" t="n">
        <v>0</v>
      </c>
      <c r="J219" t="n">
        <v>0</v>
      </c>
      <c r="K219" t="n">
        <v>0</v>
      </c>
      <c r="L219" t="n">
        <v>0</v>
      </c>
      <c r="M219" t="n">
        <v>0</v>
      </c>
      <c r="N219" t="n">
        <v>0</v>
      </c>
      <c r="O219" t="n">
        <v>0</v>
      </c>
      <c r="P219" t="n">
        <v>0</v>
      </c>
      <c r="Q219" t="n">
        <v>0</v>
      </c>
      <c r="R219" s="2" t="inlineStr"/>
    </row>
    <row r="220" ht="15" customHeight="1">
      <c r="A220" t="inlineStr">
        <is>
          <t>A 21133-2025</t>
        </is>
      </c>
      <c r="B220" s="1" t="n">
        <v>45778.415625</v>
      </c>
      <c r="C220" s="1" t="n">
        <v>45914</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33758-2024</t>
        </is>
      </c>
      <c r="B221" s="1" t="n">
        <v>45520.56896990741</v>
      </c>
      <c r="C221" s="1" t="n">
        <v>45914</v>
      </c>
      <c r="D221" t="inlineStr">
        <is>
          <t>UPPSALA LÄN</t>
        </is>
      </c>
      <c r="E221" t="inlineStr">
        <is>
          <t>ÖSTHAMMAR</t>
        </is>
      </c>
      <c r="G221" t="n">
        <v>6.5</v>
      </c>
      <c r="H221" t="n">
        <v>0</v>
      </c>
      <c r="I221" t="n">
        <v>0</v>
      </c>
      <c r="J221" t="n">
        <v>0</v>
      </c>
      <c r="K221" t="n">
        <v>0</v>
      </c>
      <c r="L221" t="n">
        <v>0</v>
      </c>
      <c r="M221" t="n">
        <v>0</v>
      </c>
      <c r="N221" t="n">
        <v>0</v>
      </c>
      <c r="O221" t="n">
        <v>0</v>
      </c>
      <c r="P221" t="n">
        <v>0</v>
      </c>
      <c r="Q221" t="n">
        <v>0</v>
      </c>
      <c r="R221" s="2" t="inlineStr"/>
    </row>
    <row r="222" ht="15" customHeight="1">
      <c r="A222" t="inlineStr">
        <is>
          <t>A 35316-2024</t>
        </is>
      </c>
      <c r="B222" s="1" t="n">
        <v>45530.68873842592</v>
      </c>
      <c r="C222" s="1" t="n">
        <v>45914</v>
      </c>
      <c r="D222" t="inlineStr">
        <is>
          <t>UPPSALA LÄN</t>
        </is>
      </c>
      <c r="E222" t="inlineStr">
        <is>
          <t>ÖSTHAMMAR</t>
        </is>
      </c>
      <c r="F222" t="inlineStr">
        <is>
          <t>Bergvik skog öst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38571-2023</t>
        </is>
      </c>
      <c r="B223" s="1" t="n">
        <v>45162.6177662037</v>
      </c>
      <c r="C223" s="1" t="n">
        <v>45914</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57-2023</t>
        </is>
      </c>
      <c r="B224" s="1" t="n">
        <v>44928.40917824074</v>
      </c>
      <c r="C224" s="1" t="n">
        <v>45914</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59-2023</t>
        </is>
      </c>
      <c r="B225" s="1" t="n">
        <v>44928.41822916667</v>
      </c>
      <c r="C225" s="1" t="n">
        <v>45914</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42262-2024</t>
        </is>
      </c>
      <c r="B226" s="1" t="n">
        <v>45562</v>
      </c>
      <c r="C226" s="1" t="n">
        <v>45914</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19947-2024</t>
        </is>
      </c>
      <c r="B227" s="1" t="n">
        <v>45433</v>
      </c>
      <c r="C227" s="1" t="n">
        <v>45914</v>
      </c>
      <c r="D227" t="inlineStr">
        <is>
          <t>UPPSALA LÄN</t>
        </is>
      </c>
      <c r="E227" t="inlineStr">
        <is>
          <t>ÖSTHAMMAR</t>
        </is>
      </c>
      <c r="G227" t="n">
        <v>0.3</v>
      </c>
      <c r="H227" t="n">
        <v>0</v>
      </c>
      <c r="I227" t="n">
        <v>0</v>
      </c>
      <c r="J227" t="n">
        <v>0</v>
      </c>
      <c r="K227" t="n">
        <v>0</v>
      </c>
      <c r="L227" t="n">
        <v>0</v>
      </c>
      <c r="M227" t="n">
        <v>0</v>
      </c>
      <c r="N227" t="n">
        <v>0</v>
      </c>
      <c r="O227" t="n">
        <v>0</v>
      </c>
      <c r="P227" t="n">
        <v>0</v>
      </c>
      <c r="Q227" t="n">
        <v>0</v>
      </c>
      <c r="R227" s="2" t="inlineStr"/>
    </row>
    <row r="228" ht="15" customHeight="1">
      <c r="A228" t="inlineStr">
        <is>
          <t>A 11385-2024</t>
        </is>
      </c>
      <c r="B228" s="1" t="n">
        <v>45372</v>
      </c>
      <c r="C228" s="1" t="n">
        <v>45914</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7560-2023</t>
        </is>
      </c>
      <c r="B229" s="1" t="n">
        <v>44972.34811342593</v>
      </c>
      <c r="C229" s="1" t="n">
        <v>45914</v>
      </c>
      <c r="D229" t="inlineStr">
        <is>
          <t>UPPSALA LÄN</t>
        </is>
      </c>
      <c r="E229" t="inlineStr">
        <is>
          <t>ÖSTHAMMAR</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44184-2024</t>
        </is>
      </c>
      <c r="B230" s="1" t="n">
        <v>45572</v>
      </c>
      <c r="C230" s="1" t="n">
        <v>45914</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48083-2024</t>
        </is>
      </c>
      <c r="B231" s="1" t="n">
        <v>45589.58766203704</v>
      </c>
      <c r="C231" s="1" t="n">
        <v>45914</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14433-2024</t>
        </is>
      </c>
      <c r="B232" s="1" t="n">
        <v>45394.46115740741</v>
      </c>
      <c r="C232" s="1" t="n">
        <v>45914</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74436-2021</t>
        </is>
      </c>
      <c r="B233" s="1" t="n">
        <v>44560.4502199074</v>
      </c>
      <c r="C233" s="1" t="n">
        <v>45914</v>
      </c>
      <c r="D233" t="inlineStr">
        <is>
          <t>UPPSALA LÄN</t>
        </is>
      </c>
      <c r="E233" t="inlineStr">
        <is>
          <t>ÖSTHAMMAR</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32778-2023</t>
        </is>
      </c>
      <c r="B234" s="1" t="n">
        <v>45123.88789351852</v>
      </c>
      <c r="C234" s="1" t="n">
        <v>45914</v>
      </c>
      <c r="D234" t="inlineStr">
        <is>
          <t>UPPSALA LÄN</t>
        </is>
      </c>
      <c r="E234" t="inlineStr">
        <is>
          <t>ÖSTHAMMAR</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44796-2024</t>
        </is>
      </c>
      <c r="B235" s="1" t="n">
        <v>45574</v>
      </c>
      <c r="C235" s="1" t="n">
        <v>45914</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25252-2024</t>
        </is>
      </c>
      <c r="B236" s="1" t="n">
        <v>45462</v>
      </c>
      <c r="C236" s="1" t="n">
        <v>45914</v>
      </c>
      <c r="D236" t="inlineStr">
        <is>
          <t>UPPSALA LÄN</t>
        </is>
      </c>
      <c r="E236" t="inlineStr">
        <is>
          <t>ÖSTHAMMAR</t>
        </is>
      </c>
      <c r="G236" t="n">
        <v>4.3</v>
      </c>
      <c r="H236" t="n">
        <v>0</v>
      </c>
      <c r="I236" t="n">
        <v>0</v>
      </c>
      <c r="J236" t="n">
        <v>0</v>
      </c>
      <c r="K236" t="n">
        <v>0</v>
      </c>
      <c r="L236" t="n">
        <v>0</v>
      </c>
      <c r="M236" t="n">
        <v>0</v>
      </c>
      <c r="N236" t="n">
        <v>0</v>
      </c>
      <c r="O236" t="n">
        <v>0</v>
      </c>
      <c r="P236" t="n">
        <v>0</v>
      </c>
      <c r="Q236" t="n">
        <v>0</v>
      </c>
      <c r="R236" s="2" t="inlineStr"/>
    </row>
    <row r="237" ht="15" customHeight="1">
      <c r="A237" t="inlineStr">
        <is>
          <t>A 56382-2022</t>
        </is>
      </c>
      <c r="B237" s="1" t="n">
        <v>44890.75795138889</v>
      </c>
      <c r="C237" s="1" t="n">
        <v>45914</v>
      </c>
      <c r="D237" t="inlineStr">
        <is>
          <t>UPPSALA LÄN</t>
        </is>
      </c>
      <c r="E237" t="inlineStr">
        <is>
          <t>ÖSTHAMMAR</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33680-2024</t>
        </is>
      </c>
      <c r="B238" s="1" t="n">
        <v>45520.50712962963</v>
      </c>
      <c r="C238" s="1" t="n">
        <v>45914</v>
      </c>
      <c r="D238" t="inlineStr">
        <is>
          <t>UPPSALA LÄN</t>
        </is>
      </c>
      <c r="E238" t="inlineStr">
        <is>
          <t>ÖSTHAMMAR</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22488-2025</t>
        </is>
      </c>
      <c r="B239" s="1" t="n">
        <v>45786.64865740741</v>
      </c>
      <c r="C239" s="1" t="n">
        <v>45914</v>
      </c>
      <c r="D239" t="inlineStr">
        <is>
          <t>UPPSALA LÄN</t>
        </is>
      </c>
      <c r="E239" t="inlineStr">
        <is>
          <t>ÖSTHAMMAR</t>
        </is>
      </c>
      <c r="F239" t="inlineStr">
        <is>
          <t>Bergvik skog öst AB</t>
        </is>
      </c>
      <c r="G239" t="n">
        <v>14.9</v>
      </c>
      <c r="H239" t="n">
        <v>0</v>
      </c>
      <c r="I239" t="n">
        <v>0</v>
      </c>
      <c r="J239" t="n">
        <v>0</v>
      </c>
      <c r="K239" t="n">
        <v>0</v>
      </c>
      <c r="L239" t="n">
        <v>0</v>
      </c>
      <c r="M239" t="n">
        <v>0</v>
      </c>
      <c r="N239" t="n">
        <v>0</v>
      </c>
      <c r="O239" t="n">
        <v>0</v>
      </c>
      <c r="P239" t="n">
        <v>0</v>
      </c>
      <c r="Q239" t="n">
        <v>0</v>
      </c>
      <c r="R239" s="2" t="inlineStr"/>
    </row>
    <row r="240" ht="15" customHeight="1">
      <c r="A240" t="inlineStr">
        <is>
          <t>A 36954-2024</t>
        </is>
      </c>
      <c r="B240" s="1" t="n">
        <v>45538.71109953704</v>
      </c>
      <c r="C240" s="1" t="n">
        <v>45914</v>
      </c>
      <c r="D240" t="inlineStr">
        <is>
          <t>UPPSALA LÄN</t>
        </is>
      </c>
      <c r="E240" t="inlineStr">
        <is>
          <t>ÖSTHAMMAR</t>
        </is>
      </c>
      <c r="F240" t="inlineStr">
        <is>
          <t>Bergvik skog öst AB</t>
        </is>
      </c>
      <c r="G240" t="n">
        <v>5.1</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45914</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22483-2025</t>
        </is>
      </c>
      <c r="B242" s="1" t="n">
        <v>45786.64141203704</v>
      </c>
      <c r="C242" s="1" t="n">
        <v>45914</v>
      </c>
      <c r="D242" t="inlineStr">
        <is>
          <t>UPPSALA LÄN</t>
        </is>
      </c>
      <c r="E242" t="inlineStr">
        <is>
          <t>ÖSTHAMMAR</t>
        </is>
      </c>
      <c r="F242" t="inlineStr">
        <is>
          <t>Bergvik skog öst AB</t>
        </is>
      </c>
      <c r="G242" t="n">
        <v>0.6</v>
      </c>
      <c r="H242" t="n">
        <v>0</v>
      </c>
      <c r="I242" t="n">
        <v>0</v>
      </c>
      <c r="J242" t="n">
        <v>0</v>
      </c>
      <c r="K242" t="n">
        <v>0</v>
      </c>
      <c r="L242" t="n">
        <v>0</v>
      </c>
      <c r="M242" t="n">
        <v>0</v>
      </c>
      <c r="N242" t="n">
        <v>0</v>
      </c>
      <c r="O242" t="n">
        <v>0</v>
      </c>
      <c r="P242" t="n">
        <v>0</v>
      </c>
      <c r="Q242" t="n">
        <v>0</v>
      </c>
      <c r="R242" s="2" t="inlineStr"/>
    </row>
    <row r="243" ht="15" customHeight="1">
      <c r="A243" t="inlineStr">
        <is>
          <t>A 7944-2023</t>
        </is>
      </c>
      <c r="B243" s="1" t="n">
        <v>44973.66458333333</v>
      </c>
      <c r="C243" s="1" t="n">
        <v>45914</v>
      </c>
      <c r="D243" t="inlineStr">
        <is>
          <t>UPPSALA LÄN</t>
        </is>
      </c>
      <c r="E243" t="inlineStr">
        <is>
          <t>ÖSTHAMMAR</t>
        </is>
      </c>
      <c r="G243" t="n">
        <v>4.6</v>
      </c>
      <c r="H243" t="n">
        <v>0</v>
      </c>
      <c r="I243" t="n">
        <v>0</v>
      </c>
      <c r="J243" t="n">
        <v>0</v>
      </c>
      <c r="K243" t="n">
        <v>0</v>
      </c>
      <c r="L243" t="n">
        <v>0</v>
      </c>
      <c r="M243" t="n">
        <v>0</v>
      </c>
      <c r="N243" t="n">
        <v>0</v>
      </c>
      <c r="O243" t="n">
        <v>0</v>
      </c>
      <c r="P243" t="n">
        <v>0</v>
      </c>
      <c r="Q243" t="n">
        <v>0</v>
      </c>
      <c r="R243" s="2" t="inlineStr"/>
    </row>
    <row r="244" ht="15" customHeight="1">
      <c r="A244" t="inlineStr">
        <is>
          <t>A 25938-2024</t>
        </is>
      </c>
      <c r="B244" s="1" t="n">
        <v>45467.63127314814</v>
      </c>
      <c r="C244" s="1" t="n">
        <v>45914</v>
      </c>
      <c r="D244" t="inlineStr">
        <is>
          <t>UPPSALA LÄN</t>
        </is>
      </c>
      <c r="E244" t="inlineStr">
        <is>
          <t>ÖSTHAMMAR</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45914</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45914</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59291-2023</t>
        </is>
      </c>
      <c r="B247" s="1" t="n">
        <v>45253.57559027777</v>
      </c>
      <c r="C247" s="1" t="n">
        <v>45914</v>
      </c>
      <c r="D247" t="inlineStr">
        <is>
          <t>UPPSALA LÄN</t>
        </is>
      </c>
      <c r="E247" t="inlineStr">
        <is>
          <t>ÖSTHAMMAR</t>
        </is>
      </c>
      <c r="G247" t="n">
        <v>1.7</v>
      </c>
      <c r="H247" t="n">
        <v>0</v>
      </c>
      <c r="I247" t="n">
        <v>0</v>
      </c>
      <c r="J247" t="n">
        <v>0</v>
      </c>
      <c r="K247" t="n">
        <v>0</v>
      </c>
      <c r="L247" t="n">
        <v>0</v>
      </c>
      <c r="M247" t="n">
        <v>0</v>
      </c>
      <c r="N247" t="n">
        <v>0</v>
      </c>
      <c r="O247" t="n">
        <v>0</v>
      </c>
      <c r="P247" t="n">
        <v>0</v>
      </c>
      <c r="Q247" t="n">
        <v>0</v>
      </c>
      <c r="R247" s="2" t="inlineStr"/>
    </row>
    <row r="248" ht="15" customHeight="1">
      <c r="A248" t="inlineStr">
        <is>
          <t>A 43685-2024</t>
        </is>
      </c>
      <c r="B248" s="1" t="n">
        <v>45569</v>
      </c>
      <c r="C248" s="1" t="n">
        <v>45914</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38575-2024</t>
        </is>
      </c>
      <c r="B249" s="1" t="n">
        <v>45546.64221064815</v>
      </c>
      <c r="C249" s="1" t="n">
        <v>45914</v>
      </c>
      <c r="D249" t="inlineStr">
        <is>
          <t>UPPSALA LÄN</t>
        </is>
      </c>
      <c r="E249" t="inlineStr">
        <is>
          <t>ÖSTHAMMAR</t>
        </is>
      </c>
      <c r="F249" t="inlineStr">
        <is>
          <t>Bergvik skog öst AB</t>
        </is>
      </c>
      <c r="G249" t="n">
        <v>5.1</v>
      </c>
      <c r="H249" t="n">
        <v>0</v>
      </c>
      <c r="I249" t="n">
        <v>0</v>
      </c>
      <c r="J249" t="n">
        <v>0</v>
      </c>
      <c r="K249" t="n">
        <v>0</v>
      </c>
      <c r="L249" t="n">
        <v>0</v>
      </c>
      <c r="M249" t="n">
        <v>0</v>
      </c>
      <c r="N249" t="n">
        <v>0</v>
      </c>
      <c r="O249" t="n">
        <v>0</v>
      </c>
      <c r="P249" t="n">
        <v>0</v>
      </c>
      <c r="Q249" t="n">
        <v>0</v>
      </c>
      <c r="R249" s="2" t="inlineStr"/>
    </row>
    <row r="250" ht="15" customHeight="1">
      <c r="A250" t="inlineStr">
        <is>
          <t>A 8616-2023</t>
        </is>
      </c>
      <c r="B250" s="1" t="n">
        <v>44977</v>
      </c>
      <c r="C250" s="1" t="n">
        <v>45914</v>
      </c>
      <c r="D250" t="inlineStr">
        <is>
          <t>UPPSALA LÄN</t>
        </is>
      </c>
      <c r="E250" t="inlineStr">
        <is>
          <t>ÖSTHAMMAR</t>
        </is>
      </c>
      <c r="F250" t="inlineStr">
        <is>
          <t>Bergvik skog öst AB</t>
        </is>
      </c>
      <c r="G250" t="n">
        <v>0.2</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45914</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22492-2025</t>
        </is>
      </c>
      <c r="B252" s="1" t="n">
        <v>45786.65072916666</v>
      </c>
      <c r="C252" s="1" t="n">
        <v>45914</v>
      </c>
      <c r="D252" t="inlineStr">
        <is>
          <t>UPPSALA LÄN</t>
        </is>
      </c>
      <c r="E252" t="inlineStr">
        <is>
          <t>ÖSTHAMMAR</t>
        </is>
      </c>
      <c r="F252" t="inlineStr">
        <is>
          <t>Bergvik skog öst AB</t>
        </is>
      </c>
      <c r="G252" t="n">
        <v>16.6</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45914</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5429-2023</t>
        </is>
      </c>
      <c r="B254" s="1" t="n">
        <v>44959.83037037037</v>
      </c>
      <c r="C254" s="1" t="n">
        <v>45914</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45914</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17930-2025</t>
        </is>
      </c>
      <c r="B256" s="1" t="n">
        <v>45759.56738425926</v>
      </c>
      <c r="C256" s="1" t="n">
        <v>45914</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43655-2024</t>
        </is>
      </c>
      <c r="B257" s="1" t="n">
        <v>45569</v>
      </c>
      <c r="C257" s="1" t="n">
        <v>45914</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43683-2024</t>
        </is>
      </c>
      <c r="B258" s="1" t="n">
        <v>45569.57518518518</v>
      </c>
      <c r="C258" s="1" t="n">
        <v>45914</v>
      </c>
      <c r="D258" t="inlineStr">
        <is>
          <t>UPPSALA LÄN</t>
        </is>
      </c>
      <c r="E258" t="inlineStr">
        <is>
          <t>ÖSTHAMMAR</t>
        </is>
      </c>
      <c r="G258" t="n">
        <v>4.7</v>
      </c>
      <c r="H258" t="n">
        <v>0</v>
      </c>
      <c r="I258" t="n">
        <v>0</v>
      </c>
      <c r="J258" t="n">
        <v>0</v>
      </c>
      <c r="K258" t="n">
        <v>0</v>
      </c>
      <c r="L258" t="n">
        <v>0</v>
      </c>
      <c r="M258" t="n">
        <v>0</v>
      </c>
      <c r="N258" t="n">
        <v>0</v>
      </c>
      <c r="O258" t="n">
        <v>0</v>
      </c>
      <c r="P258" t="n">
        <v>0</v>
      </c>
      <c r="Q258" t="n">
        <v>0</v>
      </c>
      <c r="R258" s="2" t="inlineStr"/>
    </row>
    <row r="259" ht="15" customHeight="1">
      <c r="A259" t="inlineStr">
        <is>
          <t>A 46785-2023</t>
        </is>
      </c>
      <c r="B259" s="1" t="n">
        <v>45198</v>
      </c>
      <c r="C259" s="1" t="n">
        <v>45914</v>
      </c>
      <c r="D259" t="inlineStr">
        <is>
          <t>UPPSALA LÄN</t>
        </is>
      </c>
      <c r="E259" t="inlineStr">
        <is>
          <t>ÖSTHAMMAR</t>
        </is>
      </c>
      <c r="G259" t="n">
        <v>1.6</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45914</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59731-2023</t>
        </is>
      </c>
      <c r="B261" s="1" t="n">
        <v>45257</v>
      </c>
      <c r="C261" s="1" t="n">
        <v>45914</v>
      </c>
      <c r="D261" t="inlineStr">
        <is>
          <t>UPPSALA LÄN</t>
        </is>
      </c>
      <c r="E261" t="inlineStr">
        <is>
          <t>ÖSTHAMMAR</t>
        </is>
      </c>
      <c r="G261" t="n">
        <v>0.7</v>
      </c>
      <c r="H261" t="n">
        <v>0</v>
      </c>
      <c r="I261" t="n">
        <v>0</v>
      </c>
      <c r="J261" t="n">
        <v>0</v>
      </c>
      <c r="K261" t="n">
        <v>0</v>
      </c>
      <c r="L261" t="n">
        <v>0</v>
      </c>
      <c r="M261" t="n">
        <v>0</v>
      </c>
      <c r="N261" t="n">
        <v>0</v>
      </c>
      <c r="O261" t="n">
        <v>0</v>
      </c>
      <c r="P261" t="n">
        <v>0</v>
      </c>
      <c r="Q261" t="n">
        <v>0</v>
      </c>
      <c r="R261" s="2" t="inlineStr"/>
    </row>
    <row r="262" ht="15" customHeight="1">
      <c r="A262" t="inlineStr">
        <is>
          <t>A 34607-2023</t>
        </is>
      </c>
      <c r="B262" s="1" t="n">
        <v>45138</v>
      </c>
      <c r="C262" s="1" t="n">
        <v>45914</v>
      </c>
      <c r="D262" t="inlineStr">
        <is>
          <t>UPPSALA LÄN</t>
        </is>
      </c>
      <c r="E262" t="inlineStr">
        <is>
          <t>ÖSTHAMMAR</t>
        </is>
      </c>
      <c r="G262" t="n">
        <v>4.7</v>
      </c>
      <c r="H262" t="n">
        <v>0</v>
      </c>
      <c r="I262" t="n">
        <v>0</v>
      </c>
      <c r="J262" t="n">
        <v>0</v>
      </c>
      <c r="K262" t="n">
        <v>0</v>
      </c>
      <c r="L262" t="n">
        <v>0</v>
      </c>
      <c r="M262" t="n">
        <v>0</v>
      </c>
      <c r="N262" t="n">
        <v>0</v>
      </c>
      <c r="O262" t="n">
        <v>0</v>
      </c>
      <c r="P262" t="n">
        <v>0</v>
      </c>
      <c r="Q262" t="n">
        <v>0</v>
      </c>
      <c r="R262" s="2" t="inlineStr"/>
    </row>
    <row r="263" ht="15" customHeight="1">
      <c r="A263" t="inlineStr">
        <is>
          <t>A 73965-2021</t>
        </is>
      </c>
      <c r="B263" s="1" t="n">
        <v>44553.80824074074</v>
      </c>
      <c r="C263" s="1" t="n">
        <v>45914</v>
      </c>
      <c r="D263" t="inlineStr">
        <is>
          <t>UPPSALA LÄN</t>
        </is>
      </c>
      <c r="E263" t="inlineStr">
        <is>
          <t>ÖSTHAMMAR</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9789-2022</t>
        </is>
      </c>
      <c r="B264" s="1" t="n">
        <v>44620.35590277778</v>
      </c>
      <c r="C264" s="1" t="n">
        <v>45914</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54666-2022</t>
        </is>
      </c>
      <c r="B265" s="1" t="n">
        <v>44883</v>
      </c>
      <c r="C265" s="1" t="n">
        <v>45914</v>
      </c>
      <c r="D265" t="inlineStr">
        <is>
          <t>UPPSALA LÄN</t>
        </is>
      </c>
      <c r="E265" t="inlineStr">
        <is>
          <t>ÖSTHAMMAR</t>
        </is>
      </c>
      <c r="G265" t="n">
        <v>14.3</v>
      </c>
      <c r="H265" t="n">
        <v>0</v>
      </c>
      <c r="I265" t="n">
        <v>0</v>
      </c>
      <c r="J265" t="n">
        <v>0</v>
      </c>
      <c r="K265" t="n">
        <v>0</v>
      </c>
      <c r="L265" t="n">
        <v>0</v>
      </c>
      <c r="M265" t="n">
        <v>0</v>
      </c>
      <c r="N265" t="n">
        <v>0</v>
      </c>
      <c r="O265" t="n">
        <v>0</v>
      </c>
      <c r="P265" t="n">
        <v>0</v>
      </c>
      <c r="Q265" t="n">
        <v>0</v>
      </c>
      <c r="R265" s="2" t="inlineStr"/>
    </row>
    <row r="266" ht="15" customHeight="1">
      <c r="A266" t="inlineStr">
        <is>
          <t>A 32483-2024</t>
        </is>
      </c>
      <c r="B266" s="1" t="n">
        <v>45513.36644675926</v>
      </c>
      <c r="C266" s="1" t="n">
        <v>45914</v>
      </c>
      <c r="D266" t="inlineStr">
        <is>
          <t>UPPSALA LÄN</t>
        </is>
      </c>
      <c r="E266" t="inlineStr">
        <is>
          <t>ÖSTHAMMAR</t>
        </is>
      </c>
      <c r="F266" t="inlineStr">
        <is>
          <t>Kyrkan</t>
        </is>
      </c>
      <c r="G266" t="n">
        <v>4.7</v>
      </c>
      <c r="H266" t="n">
        <v>0</v>
      </c>
      <c r="I266" t="n">
        <v>0</v>
      </c>
      <c r="J266" t="n">
        <v>0</v>
      </c>
      <c r="K266" t="n">
        <v>0</v>
      </c>
      <c r="L266" t="n">
        <v>0</v>
      </c>
      <c r="M266" t="n">
        <v>0</v>
      </c>
      <c r="N266" t="n">
        <v>0</v>
      </c>
      <c r="O266" t="n">
        <v>0</v>
      </c>
      <c r="P266" t="n">
        <v>0</v>
      </c>
      <c r="Q266" t="n">
        <v>0</v>
      </c>
      <c r="R266" s="2" t="inlineStr"/>
    </row>
    <row r="267" ht="15" customHeight="1">
      <c r="A267" t="inlineStr">
        <is>
          <t>A 73592-2021</t>
        </is>
      </c>
      <c r="B267" s="1" t="n">
        <v>44552.36974537037</v>
      </c>
      <c r="C267" s="1" t="n">
        <v>45914</v>
      </c>
      <c r="D267" t="inlineStr">
        <is>
          <t>UPPSALA LÄN</t>
        </is>
      </c>
      <c r="E267" t="inlineStr">
        <is>
          <t>ÖSTHAMMAR</t>
        </is>
      </c>
      <c r="G267" t="n">
        <v>1.7</v>
      </c>
      <c r="H267" t="n">
        <v>0</v>
      </c>
      <c r="I267" t="n">
        <v>0</v>
      </c>
      <c r="J267" t="n">
        <v>0</v>
      </c>
      <c r="K267" t="n">
        <v>0</v>
      </c>
      <c r="L267" t="n">
        <v>0</v>
      </c>
      <c r="M267" t="n">
        <v>0</v>
      </c>
      <c r="N267" t="n">
        <v>0</v>
      </c>
      <c r="O267" t="n">
        <v>0</v>
      </c>
      <c r="P267" t="n">
        <v>0</v>
      </c>
      <c r="Q267" t="n">
        <v>0</v>
      </c>
      <c r="R267" s="2" t="inlineStr"/>
    </row>
    <row r="268" ht="15" customHeight="1">
      <c r="A268" t="inlineStr">
        <is>
          <t>A 31479-2023</t>
        </is>
      </c>
      <c r="B268" s="1" t="n">
        <v>45114.79793981482</v>
      </c>
      <c r="C268" s="1" t="n">
        <v>45914</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24128-2023</t>
        </is>
      </c>
      <c r="B269" s="1" t="n">
        <v>45079.50289351852</v>
      </c>
      <c r="C269" s="1" t="n">
        <v>45914</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52659-2021</t>
        </is>
      </c>
      <c r="B270" s="1" t="n">
        <v>44466</v>
      </c>
      <c r="C270" s="1" t="n">
        <v>45914</v>
      </c>
      <c r="D270" t="inlineStr">
        <is>
          <t>UPPSALA LÄN</t>
        </is>
      </c>
      <c r="E270" t="inlineStr">
        <is>
          <t>ÖSTHAMMAR</t>
        </is>
      </c>
      <c r="G270" t="n">
        <v>13</v>
      </c>
      <c r="H270" t="n">
        <v>0</v>
      </c>
      <c r="I270" t="n">
        <v>0</v>
      </c>
      <c r="J270" t="n">
        <v>0</v>
      </c>
      <c r="K270" t="n">
        <v>0</v>
      </c>
      <c r="L270" t="n">
        <v>0</v>
      </c>
      <c r="M270" t="n">
        <v>0</v>
      </c>
      <c r="N270" t="n">
        <v>0</v>
      </c>
      <c r="O270" t="n">
        <v>0</v>
      </c>
      <c r="P270" t="n">
        <v>0</v>
      </c>
      <c r="Q270" t="n">
        <v>0</v>
      </c>
      <c r="R270" s="2" t="inlineStr"/>
    </row>
    <row r="271" ht="15" customHeight="1">
      <c r="A271" t="inlineStr">
        <is>
          <t>A 14595-2023</t>
        </is>
      </c>
      <c r="B271" s="1" t="n">
        <v>45013.57858796296</v>
      </c>
      <c r="C271" s="1" t="n">
        <v>45914</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35918-2023</t>
        </is>
      </c>
      <c r="B272" s="1" t="n">
        <v>45148.64976851852</v>
      </c>
      <c r="C272" s="1" t="n">
        <v>45914</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33685-2024</t>
        </is>
      </c>
      <c r="B273" s="1" t="n">
        <v>45520.51063657407</v>
      </c>
      <c r="C273" s="1" t="n">
        <v>45914</v>
      </c>
      <c r="D273" t="inlineStr">
        <is>
          <t>UPPSALA LÄN</t>
        </is>
      </c>
      <c r="E273" t="inlineStr">
        <is>
          <t>ÖSTHAMMAR</t>
        </is>
      </c>
      <c r="F273" t="inlineStr">
        <is>
          <t>Bergvik skog öst AB</t>
        </is>
      </c>
      <c r="G273" t="n">
        <v>3.8</v>
      </c>
      <c r="H273" t="n">
        <v>0</v>
      </c>
      <c r="I273" t="n">
        <v>0</v>
      </c>
      <c r="J273" t="n">
        <v>0</v>
      </c>
      <c r="K273" t="n">
        <v>0</v>
      </c>
      <c r="L273" t="n">
        <v>0</v>
      </c>
      <c r="M273" t="n">
        <v>0</v>
      </c>
      <c r="N273" t="n">
        <v>0</v>
      </c>
      <c r="O273" t="n">
        <v>0</v>
      </c>
      <c r="P273" t="n">
        <v>0</v>
      </c>
      <c r="Q273" t="n">
        <v>0</v>
      </c>
      <c r="R273" s="2" t="inlineStr"/>
    </row>
    <row r="274" ht="15" customHeight="1">
      <c r="A274" t="inlineStr">
        <is>
          <t>A 44027-2024</t>
        </is>
      </c>
      <c r="B274" s="1" t="n">
        <v>45572</v>
      </c>
      <c r="C274" s="1" t="n">
        <v>45914</v>
      </c>
      <c r="D274" t="inlineStr">
        <is>
          <t>UPPSALA LÄN</t>
        </is>
      </c>
      <c r="E274" t="inlineStr">
        <is>
          <t>ÖSTHAMMAR</t>
        </is>
      </c>
      <c r="G274" t="n">
        <v>6</v>
      </c>
      <c r="H274" t="n">
        <v>0</v>
      </c>
      <c r="I274" t="n">
        <v>0</v>
      </c>
      <c r="J274" t="n">
        <v>0</v>
      </c>
      <c r="K274" t="n">
        <v>0</v>
      </c>
      <c r="L274" t="n">
        <v>0</v>
      </c>
      <c r="M274" t="n">
        <v>0</v>
      </c>
      <c r="N274" t="n">
        <v>0</v>
      </c>
      <c r="O274" t="n">
        <v>0</v>
      </c>
      <c r="P274" t="n">
        <v>0</v>
      </c>
      <c r="Q274" t="n">
        <v>0</v>
      </c>
      <c r="R274" s="2" t="inlineStr"/>
    </row>
    <row r="275" ht="15" customHeight="1">
      <c r="A275" t="inlineStr">
        <is>
          <t>A 56969-2022</t>
        </is>
      </c>
      <c r="B275" s="1" t="n">
        <v>44894.68043981482</v>
      </c>
      <c r="C275" s="1" t="n">
        <v>45914</v>
      </c>
      <c r="D275" t="inlineStr">
        <is>
          <t>UPPSALA LÄN</t>
        </is>
      </c>
      <c r="E275" t="inlineStr">
        <is>
          <t>ÖSTHAMMAR</t>
        </is>
      </c>
      <c r="G275" t="n">
        <v>5.5</v>
      </c>
      <c r="H275" t="n">
        <v>0</v>
      </c>
      <c r="I275" t="n">
        <v>0</v>
      </c>
      <c r="J275" t="n">
        <v>0</v>
      </c>
      <c r="K275" t="n">
        <v>0</v>
      </c>
      <c r="L275" t="n">
        <v>0</v>
      </c>
      <c r="M275" t="n">
        <v>0</v>
      </c>
      <c r="N275" t="n">
        <v>0</v>
      </c>
      <c r="O275" t="n">
        <v>0</v>
      </c>
      <c r="P275" t="n">
        <v>0</v>
      </c>
      <c r="Q275" t="n">
        <v>0</v>
      </c>
      <c r="R275" s="2" t="inlineStr"/>
    </row>
    <row r="276" ht="15" customHeight="1">
      <c r="A276" t="inlineStr">
        <is>
          <t>A 7876-2023</t>
        </is>
      </c>
      <c r="B276" s="1" t="n">
        <v>44973.57263888889</v>
      </c>
      <c r="C276" s="1" t="n">
        <v>45914</v>
      </c>
      <c r="D276" t="inlineStr">
        <is>
          <t>UPPSALA LÄN</t>
        </is>
      </c>
      <c r="E276" t="inlineStr">
        <is>
          <t>ÖSTHAMMAR</t>
        </is>
      </c>
      <c r="G276" t="n">
        <v>0.9</v>
      </c>
      <c r="H276" t="n">
        <v>0</v>
      </c>
      <c r="I276" t="n">
        <v>0</v>
      </c>
      <c r="J276" t="n">
        <v>0</v>
      </c>
      <c r="K276" t="n">
        <v>0</v>
      </c>
      <c r="L276" t="n">
        <v>0</v>
      </c>
      <c r="M276" t="n">
        <v>0</v>
      </c>
      <c r="N276" t="n">
        <v>0</v>
      </c>
      <c r="O276" t="n">
        <v>0</v>
      </c>
      <c r="P276" t="n">
        <v>0</v>
      </c>
      <c r="Q276" t="n">
        <v>0</v>
      </c>
      <c r="R276" s="2" t="inlineStr"/>
    </row>
    <row r="277" ht="15" customHeight="1">
      <c r="A277" t="inlineStr">
        <is>
          <t>A 36904-2023</t>
        </is>
      </c>
      <c r="B277" s="1" t="n">
        <v>45154</v>
      </c>
      <c r="C277" s="1" t="n">
        <v>45914</v>
      </c>
      <c r="D277" t="inlineStr">
        <is>
          <t>UPPSALA LÄN</t>
        </is>
      </c>
      <c r="E277" t="inlineStr">
        <is>
          <t>ÖSTHAMMAR</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35539-2023</t>
        </is>
      </c>
      <c r="B278" s="1" t="n">
        <v>45147.37006944444</v>
      </c>
      <c r="C278" s="1" t="n">
        <v>45914</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4004-2023</t>
        </is>
      </c>
      <c r="B279" s="1" t="n">
        <v>44952</v>
      </c>
      <c r="C279" s="1" t="n">
        <v>45914</v>
      </c>
      <c r="D279" t="inlineStr">
        <is>
          <t>UPPSALA LÄN</t>
        </is>
      </c>
      <c r="E279" t="inlineStr">
        <is>
          <t>ÖSTHAMMAR</t>
        </is>
      </c>
      <c r="G279" t="n">
        <v>4.1</v>
      </c>
      <c r="H279" t="n">
        <v>0</v>
      </c>
      <c r="I279" t="n">
        <v>0</v>
      </c>
      <c r="J279" t="n">
        <v>0</v>
      </c>
      <c r="K279" t="n">
        <v>0</v>
      </c>
      <c r="L279" t="n">
        <v>0</v>
      </c>
      <c r="M279" t="n">
        <v>0</v>
      </c>
      <c r="N279" t="n">
        <v>0</v>
      </c>
      <c r="O279" t="n">
        <v>0</v>
      </c>
      <c r="P279" t="n">
        <v>0</v>
      </c>
      <c r="Q279" t="n">
        <v>0</v>
      </c>
      <c r="R279" s="2" t="inlineStr"/>
    </row>
    <row r="280" ht="15" customHeight="1">
      <c r="A280" t="inlineStr">
        <is>
          <t>A 2168-2022</t>
        </is>
      </c>
      <c r="B280" s="1" t="n">
        <v>44578</v>
      </c>
      <c r="C280" s="1" t="n">
        <v>45914</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38233-2024</t>
        </is>
      </c>
      <c r="B281" s="1" t="n">
        <v>45545</v>
      </c>
      <c r="C281" s="1" t="n">
        <v>45914</v>
      </c>
      <c r="D281" t="inlineStr">
        <is>
          <t>UPPSALA LÄN</t>
        </is>
      </c>
      <c r="E281" t="inlineStr">
        <is>
          <t>ÖSTHAMMAR</t>
        </is>
      </c>
      <c r="G281" t="n">
        <v>3.4</v>
      </c>
      <c r="H281" t="n">
        <v>0</v>
      </c>
      <c r="I281" t="n">
        <v>0</v>
      </c>
      <c r="J281" t="n">
        <v>0</v>
      </c>
      <c r="K281" t="n">
        <v>0</v>
      </c>
      <c r="L281" t="n">
        <v>0</v>
      </c>
      <c r="M281" t="n">
        <v>0</v>
      </c>
      <c r="N281" t="n">
        <v>0</v>
      </c>
      <c r="O281" t="n">
        <v>0</v>
      </c>
      <c r="P281" t="n">
        <v>0</v>
      </c>
      <c r="Q281" t="n">
        <v>0</v>
      </c>
      <c r="R281" s="2" t="inlineStr"/>
    </row>
    <row r="282" ht="15" customHeight="1">
      <c r="A282" t="inlineStr">
        <is>
          <t>A 1527-2025</t>
        </is>
      </c>
      <c r="B282" s="1" t="n">
        <v>45670</v>
      </c>
      <c r="C282" s="1" t="n">
        <v>45914</v>
      </c>
      <c r="D282" t="inlineStr">
        <is>
          <t>UPPSALA LÄN</t>
        </is>
      </c>
      <c r="E282" t="inlineStr">
        <is>
          <t>ÖSTHAMMAR</t>
        </is>
      </c>
      <c r="F282" t="inlineStr">
        <is>
          <t>Bergvik skog öst AB</t>
        </is>
      </c>
      <c r="G282" t="n">
        <v>7.7</v>
      </c>
      <c r="H282" t="n">
        <v>0</v>
      </c>
      <c r="I282" t="n">
        <v>0</v>
      </c>
      <c r="J282" t="n">
        <v>0</v>
      </c>
      <c r="K282" t="n">
        <v>0</v>
      </c>
      <c r="L282" t="n">
        <v>0</v>
      </c>
      <c r="M282" t="n">
        <v>0</v>
      </c>
      <c r="N282" t="n">
        <v>0</v>
      </c>
      <c r="O282" t="n">
        <v>0</v>
      </c>
      <c r="P282" t="n">
        <v>0</v>
      </c>
      <c r="Q282" t="n">
        <v>0</v>
      </c>
      <c r="R282" s="2" t="inlineStr"/>
    </row>
    <row r="283" ht="15" customHeight="1">
      <c r="A283" t="inlineStr">
        <is>
          <t>A 35474-2023</t>
        </is>
      </c>
      <c r="B283" s="1" t="n">
        <v>45146.68921296296</v>
      </c>
      <c r="C283" s="1" t="n">
        <v>45914</v>
      </c>
      <c r="D283" t="inlineStr">
        <is>
          <t>UPPSALA LÄN</t>
        </is>
      </c>
      <c r="E283" t="inlineStr">
        <is>
          <t>ÖSTHAMMAR</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26303-2024</t>
        </is>
      </c>
      <c r="B284" s="1" t="n">
        <v>45468</v>
      </c>
      <c r="C284" s="1" t="n">
        <v>45914</v>
      </c>
      <c r="D284" t="inlineStr">
        <is>
          <t>UPPSALA LÄN</t>
        </is>
      </c>
      <c r="E284" t="inlineStr">
        <is>
          <t>ÖSTHAMMAR</t>
        </is>
      </c>
      <c r="G284" t="n">
        <v>1.2</v>
      </c>
      <c r="H284" t="n">
        <v>0</v>
      </c>
      <c r="I284" t="n">
        <v>0</v>
      </c>
      <c r="J284" t="n">
        <v>0</v>
      </c>
      <c r="K284" t="n">
        <v>0</v>
      </c>
      <c r="L284" t="n">
        <v>0</v>
      </c>
      <c r="M284" t="n">
        <v>0</v>
      </c>
      <c r="N284" t="n">
        <v>0</v>
      </c>
      <c r="O284" t="n">
        <v>0</v>
      </c>
      <c r="P284" t="n">
        <v>0</v>
      </c>
      <c r="Q284" t="n">
        <v>0</v>
      </c>
      <c r="R284" s="2" t="inlineStr"/>
    </row>
    <row r="285" ht="15" customHeight="1">
      <c r="A285" t="inlineStr">
        <is>
          <t>A 56260-2022</t>
        </is>
      </c>
      <c r="B285" s="1" t="n">
        <v>44890</v>
      </c>
      <c r="C285" s="1" t="n">
        <v>45914</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44152-2024</t>
        </is>
      </c>
      <c r="B286" s="1" t="n">
        <v>45572</v>
      </c>
      <c r="C286" s="1" t="n">
        <v>45914</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4561-2022</t>
        </is>
      </c>
      <c r="B287" s="1" t="n">
        <v>44591.59170138889</v>
      </c>
      <c r="C287" s="1" t="n">
        <v>45914</v>
      </c>
      <c r="D287" t="inlineStr">
        <is>
          <t>UPPSALA LÄN</t>
        </is>
      </c>
      <c r="E287" t="inlineStr">
        <is>
          <t>ÖSTHAMMAR</t>
        </is>
      </c>
      <c r="F287" t="inlineStr">
        <is>
          <t>Bergvik skog öst AB</t>
        </is>
      </c>
      <c r="G287" t="n">
        <v>1.5</v>
      </c>
      <c r="H287" t="n">
        <v>0</v>
      </c>
      <c r="I287" t="n">
        <v>0</v>
      </c>
      <c r="J287" t="n">
        <v>0</v>
      </c>
      <c r="K287" t="n">
        <v>0</v>
      </c>
      <c r="L287" t="n">
        <v>0</v>
      </c>
      <c r="M287" t="n">
        <v>0</v>
      </c>
      <c r="N287" t="n">
        <v>0</v>
      </c>
      <c r="O287" t="n">
        <v>0</v>
      </c>
      <c r="P287" t="n">
        <v>0</v>
      </c>
      <c r="Q287" t="n">
        <v>0</v>
      </c>
      <c r="R287" s="2" t="inlineStr"/>
    </row>
    <row r="288" ht="15" customHeight="1">
      <c r="A288" t="inlineStr">
        <is>
          <t>A 17651-2025</t>
        </is>
      </c>
      <c r="B288" s="1" t="n">
        <v>45758.33304398148</v>
      </c>
      <c r="C288" s="1" t="n">
        <v>45914</v>
      </c>
      <c r="D288" t="inlineStr">
        <is>
          <t>UPPSALA LÄN</t>
        </is>
      </c>
      <c r="E288" t="inlineStr">
        <is>
          <t>ÖSTHAMMAR</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23305-2025</t>
        </is>
      </c>
      <c r="B289" s="1" t="n">
        <v>45791.60127314815</v>
      </c>
      <c r="C289" s="1" t="n">
        <v>45914</v>
      </c>
      <c r="D289" t="inlineStr">
        <is>
          <t>UPPSALA LÄN</t>
        </is>
      </c>
      <c r="E289" t="inlineStr">
        <is>
          <t>ÖSTHAMMAR</t>
        </is>
      </c>
      <c r="G289" t="n">
        <v>1.9</v>
      </c>
      <c r="H289" t="n">
        <v>0</v>
      </c>
      <c r="I289" t="n">
        <v>0</v>
      </c>
      <c r="J289" t="n">
        <v>0</v>
      </c>
      <c r="K289" t="n">
        <v>0</v>
      </c>
      <c r="L289" t="n">
        <v>0</v>
      </c>
      <c r="M289" t="n">
        <v>0</v>
      </c>
      <c r="N289" t="n">
        <v>0</v>
      </c>
      <c r="O289" t="n">
        <v>0</v>
      </c>
      <c r="P289" t="n">
        <v>0</v>
      </c>
      <c r="Q289" t="n">
        <v>0</v>
      </c>
      <c r="R289" s="2" t="inlineStr"/>
    </row>
    <row r="290" ht="15" customHeight="1">
      <c r="A290" t="inlineStr">
        <is>
          <t>A 10290-2025</t>
        </is>
      </c>
      <c r="B290" s="1" t="n">
        <v>45720.41847222222</v>
      </c>
      <c r="C290" s="1" t="n">
        <v>45914</v>
      </c>
      <c r="D290" t="inlineStr">
        <is>
          <t>UPPSALA LÄN</t>
        </is>
      </c>
      <c r="E290" t="inlineStr">
        <is>
          <t>ÖSTHAMMAR</t>
        </is>
      </c>
      <c r="G290" t="n">
        <v>8.6</v>
      </c>
      <c r="H290" t="n">
        <v>0</v>
      </c>
      <c r="I290" t="n">
        <v>0</v>
      </c>
      <c r="J290" t="n">
        <v>0</v>
      </c>
      <c r="K290" t="n">
        <v>0</v>
      </c>
      <c r="L290" t="n">
        <v>0</v>
      </c>
      <c r="M290" t="n">
        <v>0</v>
      </c>
      <c r="N290" t="n">
        <v>0</v>
      </c>
      <c r="O290" t="n">
        <v>0</v>
      </c>
      <c r="P290" t="n">
        <v>0</v>
      </c>
      <c r="Q290" t="n">
        <v>0</v>
      </c>
      <c r="R290" s="2" t="inlineStr"/>
    </row>
    <row r="291" ht="15" customHeight="1">
      <c r="A291" t="inlineStr">
        <is>
          <t>A 24606-2024</t>
        </is>
      </c>
      <c r="B291" s="1" t="n">
        <v>45460</v>
      </c>
      <c r="C291" s="1" t="n">
        <v>45914</v>
      </c>
      <c r="D291" t="inlineStr">
        <is>
          <t>UPPSALA LÄN</t>
        </is>
      </c>
      <c r="E291" t="inlineStr">
        <is>
          <t>ÖSTHAMMAR</t>
        </is>
      </c>
      <c r="F291" t="inlineStr">
        <is>
          <t>Bergvik skog öst AB</t>
        </is>
      </c>
      <c r="G291" t="n">
        <v>2.9</v>
      </c>
      <c r="H291" t="n">
        <v>0</v>
      </c>
      <c r="I291" t="n">
        <v>0</v>
      </c>
      <c r="J291" t="n">
        <v>0</v>
      </c>
      <c r="K291" t="n">
        <v>0</v>
      </c>
      <c r="L291" t="n">
        <v>0</v>
      </c>
      <c r="M291" t="n">
        <v>0</v>
      </c>
      <c r="N291" t="n">
        <v>0</v>
      </c>
      <c r="O291" t="n">
        <v>0</v>
      </c>
      <c r="P291" t="n">
        <v>0</v>
      </c>
      <c r="Q291" t="n">
        <v>0</v>
      </c>
      <c r="R291" s="2" t="inlineStr"/>
    </row>
    <row r="292" ht="15" customHeight="1">
      <c r="A292" t="inlineStr">
        <is>
          <t>A 29231-2024</t>
        </is>
      </c>
      <c r="B292" s="1" t="n">
        <v>45482</v>
      </c>
      <c r="C292" s="1" t="n">
        <v>45914</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11884-2022</t>
        </is>
      </c>
      <c r="B293" s="1" t="n">
        <v>44635.39946759259</v>
      </c>
      <c r="C293" s="1" t="n">
        <v>45914</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30931-2021</t>
        </is>
      </c>
      <c r="B294" s="1" t="n">
        <v>44365</v>
      </c>
      <c r="C294" s="1" t="n">
        <v>45914</v>
      </c>
      <c r="D294" t="inlineStr">
        <is>
          <t>UPPSALA LÄN</t>
        </is>
      </c>
      <c r="E294" t="inlineStr">
        <is>
          <t>ÖSTHAMMAR</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45102-2024</t>
        </is>
      </c>
      <c r="B295" s="1" t="n">
        <v>45575.58836805556</v>
      </c>
      <c r="C295" s="1" t="n">
        <v>45914</v>
      </c>
      <c r="D295" t="inlineStr">
        <is>
          <t>UPPSALA LÄN</t>
        </is>
      </c>
      <c r="E295" t="inlineStr">
        <is>
          <t>ÖSTHAMMAR</t>
        </is>
      </c>
      <c r="G295" t="n">
        <v>8.6</v>
      </c>
      <c r="H295" t="n">
        <v>0</v>
      </c>
      <c r="I295" t="n">
        <v>0</v>
      </c>
      <c r="J295" t="n">
        <v>0</v>
      </c>
      <c r="K295" t="n">
        <v>0</v>
      </c>
      <c r="L295" t="n">
        <v>0</v>
      </c>
      <c r="M295" t="n">
        <v>0</v>
      </c>
      <c r="N295" t="n">
        <v>0</v>
      </c>
      <c r="O295" t="n">
        <v>0</v>
      </c>
      <c r="P295" t="n">
        <v>0</v>
      </c>
      <c r="Q295" t="n">
        <v>0</v>
      </c>
      <c r="R295" s="2" t="inlineStr"/>
    </row>
    <row r="296" ht="15" customHeight="1">
      <c r="A296" t="inlineStr">
        <is>
          <t>A 45307-2023</t>
        </is>
      </c>
      <c r="B296" s="1" t="n">
        <v>45191</v>
      </c>
      <c r="C296" s="1" t="n">
        <v>45914</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6661-2024</t>
        </is>
      </c>
      <c r="B297" s="1" t="n">
        <v>45341.70582175926</v>
      </c>
      <c r="C297" s="1" t="n">
        <v>45914</v>
      </c>
      <c r="D297" t="inlineStr">
        <is>
          <t>UPPSALA LÄN</t>
        </is>
      </c>
      <c r="E297" t="inlineStr">
        <is>
          <t>ÖSTHAMMAR</t>
        </is>
      </c>
      <c r="G297" t="n">
        <v>0.2</v>
      </c>
      <c r="H297" t="n">
        <v>0</v>
      </c>
      <c r="I297" t="n">
        <v>0</v>
      </c>
      <c r="J297" t="n">
        <v>0</v>
      </c>
      <c r="K297" t="n">
        <v>0</v>
      </c>
      <c r="L297" t="n">
        <v>0</v>
      </c>
      <c r="M297" t="n">
        <v>0</v>
      </c>
      <c r="N297" t="n">
        <v>0</v>
      </c>
      <c r="O297" t="n">
        <v>0</v>
      </c>
      <c r="P297" t="n">
        <v>0</v>
      </c>
      <c r="Q297" t="n">
        <v>0</v>
      </c>
      <c r="R297" s="2" t="inlineStr"/>
    </row>
    <row r="298" ht="15" customHeight="1">
      <c r="A298" t="inlineStr">
        <is>
          <t>A 23968-2025</t>
        </is>
      </c>
      <c r="B298" s="1" t="n">
        <v>45796</v>
      </c>
      <c r="C298" s="1" t="n">
        <v>45914</v>
      </c>
      <c r="D298" t="inlineStr">
        <is>
          <t>UPPSALA LÄN</t>
        </is>
      </c>
      <c r="E298" t="inlineStr">
        <is>
          <t>ÖSTHAMMAR</t>
        </is>
      </c>
      <c r="F298" t="inlineStr">
        <is>
          <t>Bergvik skog öst AB</t>
        </is>
      </c>
      <c r="G298" t="n">
        <v>7.5</v>
      </c>
      <c r="H298" t="n">
        <v>0</v>
      </c>
      <c r="I298" t="n">
        <v>0</v>
      </c>
      <c r="J298" t="n">
        <v>0</v>
      </c>
      <c r="K298" t="n">
        <v>0</v>
      </c>
      <c r="L298" t="n">
        <v>0</v>
      </c>
      <c r="M298" t="n">
        <v>0</v>
      </c>
      <c r="N298" t="n">
        <v>0</v>
      </c>
      <c r="O298" t="n">
        <v>0</v>
      </c>
      <c r="P298" t="n">
        <v>0</v>
      </c>
      <c r="Q298" t="n">
        <v>0</v>
      </c>
      <c r="R298" s="2" t="inlineStr"/>
    </row>
    <row r="299" ht="15" customHeight="1">
      <c r="A299" t="inlineStr">
        <is>
          <t>A 4101-2022</t>
        </is>
      </c>
      <c r="B299" s="1" t="n">
        <v>44588</v>
      </c>
      <c r="C299" s="1" t="n">
        <v>45914</v>
      </c>
      <c r="D299" t="inlineStr">
        <is>
          <t>UPPSALA LÄN</t>
        </is>
      </c>
      <c r="E299" t="inlineStr">
        <is>
          <t>ÖSTHAMMAR</t>
        </is>
      </c>
      <c r="G299" t="n">
        <v>4.4</v>
      </c>
      <c r="H299" t="n">
        <v>0</v>
      </c>
      <c r="I299" t="n">
        <v>0</v>
      </c>
      <c r="J299" t="n">
        <v>0</v>
      </c>
      <c r="K299" t="n">
        <v>0</v>
      </c>
      <c r="L299" t="n">
        <v>0</v>
      </c>
      <c r="M299" t="n">
        <v>0</v>
      </c>
      <c r="N299" t="n">
        <v>0</v>
      </c>
      <c r="O299" t="n">
        <v>0</v>
      </c>
      <c r="P299" t="n">
        <v>0</v>
      </c>
      <c r="Q299" t="n">
        <v>0</v>
      </c>
      <c r="R299" s="2" t="inlineStr"/>
    </row>
    <row r="300" ht="15" customHeight="1">
      <c r="A300" t="inlineStr">
        <is>
          <t>A 64811-2021</t>
        </is>
      </c>
      <c r="B300" s="1" t="n">
        <v>44512</v>
      </c>
      <c r="C300" s="1" t="n">
        <v>45914</v>
      </c>
      <c r="D300" t="inlineStr">
        <is>
          <t>UPPSALA LÄN</t>
        </is>
      </c>
      <c r="E300" t="inlineStr">
        <is>
          <t>ÖSTHAMMAR</t>
        </is>
      </c>
      <c r="G300" t="n">
        <v>4.2</v>
      </c>
      <c r="H300" t="n">
        <v>0</v>
      </c>
      <c r="I300" t="n">
        <v>0</v>
      </c>
      <c r="J300" t="n">
        <v>0</v>
      </c>
      <c r="K300" t="n">
        <v>0</v>
      </c>
      <c r="L300" t="n">
        <v>0</v>
      </c>
      <c r="M300" t="n">
        <v>0</v>
      </c>
      <c r="N300" t="n">
        <v>0</v>
      </c>
      <c r="O300" t="n">
        <v>0</v>
      </c>
      <c r="P300" t="n">
        <v>0</v>
      </c>
      <c r="Q300" t="n">
        <v>0</v>
      </c>
      <c r="R300" s="2" t="inlineStr"/>
    </row>
    <row r="301" ht="15" customHeight="1">
      <c r="A301" t="inlineStr">
        <is>
          <t>A 52478-2024</t>
        </is>
      </c>
      <c r="B301" s="1" t="n">
        <v>45609.55065972222</v>
      </c>
      <c r="C301" s="1" t="n">
        <v>45914</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24160-2024</t>
        </is>
      </c>
      <c r="B302" s="1" t="n">
        <v>45456</v>
      </c>
      <c r="C302" s="1" t="n">
        <v>45914</v>
      </c>
      <c r="D302" t="inlineStr">
        <is>
          <t>UPPSALA LÄN</t>
        </is>
      </c>
      <c r="E302" t="inlineStr">
        <is>
          <t>ÖSTHAMMAR</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5933-2022</t>
        </is>
      </c>
      <c r="B303" s="1" t="n">
        <v>44598.82957175926</v>
      </c>
      <c r="C303" s="1" t="n">
        <v>45914</v>
      </c>
      <c r="D303" t="inlineStr">
        <is>
          <t>UPPSALA LÄN</t>
        </is>
      </c>
      <c r="E303" t="inlineStr">
        <is>
          <t>ÖSTHAMMAR</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18734-2022</t>
        </is>
      </c>
      <c r="B304" s="1" t="n">
        <v>44687.86751157408</v>
      </c>
      <c r="C304" s="1" t="n">
        <v>45914</v>
      </c>
      <c r="D304" t="inlineStr">
        <is>
          <t>UPPSALA LÄN</t>
        </is>
      </c>
      <c r="E304" t="inlineStr">
        <is>
          <t>ÖSTHAMMAR</t>
        </is>
      </c>
      <c r="F304" t="inlineStr">
        <is>
          <t>Bergvik skog öst AB</t>
        </is>
      </c>
      <c r="G304" t="n">
        <v>0.3</v>
      </c>
      <c r="H304" t="n">
        <v>0</v>
      </c>
      <c r="I304" t="n">
        <v>0</v>
      </c>
      <c r="J304" t="n">
        <v>0</v>
      </c>
      <c r="K304" t="n">
        <v>0</v>
      </c>
      <c r="L304" t="n">
        <v>0</v>
      </c>
      <c r="M304" t="n">
        <v>0</v>
      </c>
      <c r="N304" t="n">
        <v>0</v>
      </c>
      <c r="O304" t="n">
        <v>0</v>
      </c>
      <c r="P304" t="n">
        <v>0</v>
      </c>
      <c r="Q304" t="n">
        <v>0</v>
      </c>
      <c r="R304" s="2" t="inlineStr"/>
    </row>
    <row r="305" ht="15" customHeight="1">
      <c r="A305" t="inlineStr">
        <is>
          <t>A 8830-2023</t>
        </is>
      </c>
      <c r="B305" s="1" t="n">
        <v>44978</v>
      </c>
      <c r="C305" s="1" t="n">
        <v>45914</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1584-2025</t>
        </is>
      </c>
      <c r="B306" s="1" t="n">
        <v>45670</v>
      </c>
      <c r="C306" s="1" t="n">
        <v>45914</v>
      </c>
      <c r="D306" t="inlineStr">
        <is>
          <t>UPPSALA LÄN</t>
        </is>
      </c>
      <c r="E306" t="inlineStr">
        <is>
          <t>ÖSTHAMMAR</t>
        </is>
      </c>
      <c r="G306" t="n">
        <v>0.7</v>
      </c>
      <c r="H306" t="n">
        <v>0</v>
      </c>
      <c r="I306" t="n">
        <v>0</v>
      </c>
      <c r="J306" t="n">
        <v>0</v>
      </c>
      <c r="K306" t="n">
        <v>0</v>
      </c>
      <c r="L306" t="n">
        <v>0</v>
      </c>
      <c r="M306" t="n">
        <v>0</v>
      </c>
      <c r="N306" t="n">
        <v>0</v>
      </c>
      <c r="O306" t="n">
        <v>0</v>
      </c>
      <c r="P306" t="n">
        <v>0</v>
      </c>
      <c r="Q306" t="n">
        <v>0</v>
      </c>
      <c r="R306" s="2" t="inlineStr"/>
    </row>
    <row r="307" ht="15" customHeight="1">
      <c r="A307" t="inlineStr">
        <is>
          <t>A 24174-2025</t>
        </is>
      </c>
      <c r="B307" s="1" t="n">
        <v>45796.69207175926</v>
      </c>
      <c r="C307" s="1" t="n">
        <v>45914</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45914</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29873-2023</t>
        </is>
      </c>
      <c r="B309" s="1" t="n">
        <v>45107</v>
      </c>
      <c r="C309" s="1" t="n">
        <v>45914</v>
      </c>
      <c r="D309" t="inlineStr">
        <is>
          <t>UPPSALA LÄN</t>
        </is>
      </c>
      <c r="E309" t="inlineStr">
        <is>
          <t>ÖSTHAMMAR</t>
        </is>
      </c>
      <c r="F309" t="inlineStr">
        <is>
          <t>Naturvårdsverket</t>
        </is>
      </c>
      <c r="G309" t="n">
        <v>7.8</v>
      </c>
      <c r="H309" t="n">
        <v>0</v>
      </c>
      <c r="I309" t="n">
        <v>0</v>
      </c>
      <c r="J309" t="n">
        <v>0</v>
      </c>
      <c r="K309" t="n">
        <v>0</v>
      </c>
      <c r="L309" t="n">
        <v>0</v>
      </c>
      <c r="M309" t="n">
        <v>0</v>
      </c>
      <c r="N309" t="n">
        <v>0</v>
      </c>
      <c r="O309" t="n">
        <v>0</v>
      </c>
      <c r="P309" t="n">
        <v>0</v>
      </c>
      <c r="Q309" t="n">
        <v>0</v>
      </c>
      <c r="R309" s="2" t="inlineStr"/>
    </row>
    <row r="310" ht="15" customHeight="1">
      <c r="A310" t="inlineStr">
        <is>
          <t>A 33550-2024</t>
        </is>
      </c>
      <c r="B310" s="1" t="n">
        <v>45519.81043981481</v>
      </c>
      <c r="C310" s="1" t="n">
        <v>45914</v>
      </c>
      <c r="D310" t="inlineStr">
        <is>
          <t>UPPSALA LÄN</t>
        </is>
      </c>
      <c r="E310" t="inlineStr">
        <is>
          <t>ÖSTHAMMAR</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30972-2024</t>
        </is>
      </c>
      <c r="B311" s="1" t="n">
        <v>45499.47106481482</v>
      </c>
      <c r="C311" s="1" t="n">
        <v>45914</v>
      </c>
      <c r="D311" t="inlineStr">
        <is>
          <t>UPPSALA LÄN</t>
        </is>
      </c>
      <c r="E311" t="inlineStr">
        <is>
          <t>ÖSTHAMMAR</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24389-2025</t>
        </is>
      </c>
      <c r="B312" s="1" t="n">
        <v>45797.63553240741</v>
      </c>
      <c r="C312" s="1" t="n">
        <v>45914</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45914</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62295-2022</t>
        </is>
      </c>
      <c r="B314" s="1" t="n">
        <v>44916</v>
      </c>
      <c r="C314" s="1" t="n">
        <v>45914</v>
      </c>
      <c r="D314" t="inlineStr">
        <is>
          <t>UPPSALA LÄN</t>
        </is>
      </c>
      <c r="E314" t="inlineStr">
        <is>
          <t>ÖSTHAMMAR</t>
        </is>
      </c>
      <c r="G314" t="n">
        <v>3.3</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44327.61518518518</v>
      </c>
      <c r="C315" s="1" t="n">
        <v>45914</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13279-2022</t>
        </is>
      </c>
      <c r="B316" s="1" t="n">
        <v>44644</v>
      </c>
      <c r="C316" s="1" t="n">
        <v>45914</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45914</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6892-2022</t>
        </is>
      </c>
      <c r="B318" s="1" t="n">
        <v>44602</v>
      </c>
      <c r="C318" s="1" t="n">
        <v>45914</v>
      </c>
      <c r="D318" t="inlineStr">
        <is>
          <t>UPPSALA LÄN</t>
        </is>
      </c>
      <c r="E318" t="inlineStr">
        <is>
          <t>ÖSTHAMMAR</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55389-2020</t>
        </is>
      </c>
      <c r="B319" s="1" t="n">
        <v>44131.38030092593</v>
      </c>
      <c r="C319" s="1" t="n">
        <v>45914</v>
      </c>
      <c r="D319" t="inlineStr">
        <is>
          <t>UPPSALA LÄN</t>
        </is>
      </c>
      <c r="E319" t="inlineStr">
        <is>
          <t>ÖSTHAMMAR</t>
        </is>
      </c>
      <c r="G319" t="n">
        <v>1.3</v>
      </c>
      <c r="H319" t="n">
        <v>0</v>
      </c>
      <c r="I319" t="n">
        <v>0</v>
      </c>
      <c r="J319" t="n">
        <v>0</v>
      </c>
      <c r="K319" t="n">
        <v>0</v>
      </c>
      <c r="L319" t="n">
        <v>0</v>
      </c>
      <c r="M319" t="n">
        <v>0</v>
      </c>
      <c r="N319" t="n">
        <v>0</v>
      </c>
      <c r="O319" t="n">
        <v>0</v>
      </c>
      <c r="P319" t="n">
        <v>0</v>
      </c>
      <c r="Q319" t="n">
        <v>0</v>
      </c>
      <c r="R319" s="2" t="inlineStr"/>
    </row>
    <row r="320" ht="15" customHeight="1">
      <c r="A320" t="inlineStr">
        <is>
          <t>A 32815-2024</t>
        </is>
      </c>
      <c r="B320" s="1" t="n">
        <v>45516.57682870371</v>
      </c>
      <c r="C320" s="1" t="n">
        <v>45914</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32884-2024</t>
        </is>
      </c>
      <c r="B321" s="1" t="n">
        <v>45516.72097222223</v>
      </c>
      <c r="C321" s="1" t="n">
        <v>45914</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24415-2025</t>
        </is>
      </c>
      <c r="B322" s="1" t="n">
        <v>45797.67381944445</v>
      </c>
      <c r="C322" s="1" t="n">
        <v>45914</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13044-2022</t>
        </is>
      </c>
      <c r="B323" s="1" t="n">
        <v>44643</v>
      </c>
      <c r="C323" s="1" t="n">
        <v>45914</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24412-2025</t>
        </is>
      </c>
      <c r="B324" s="1" t="n">
        <v>45797.6671412037</v>
      </c>
      <c r="C324" s="1" t="n">
        <v>45914</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8763-2025</t>
        </is>
      </c>
      <c r="B325" s="1" t="n">
        <v>45712.57872685185</v>
      </c>
      <c r="C325" s="1" t="n">
        <v>45914</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61261-2022</t>
        </is>
      </c>
      <c r="B326" s="1" t="n">
        <v>44915.59645833333</v>
      </c>
      <c r="C326" s="1" t="n">
        <v>45914</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4984-2024</t>
        </is>
      </c>
      <c r="B327" s="1" t="n">
        <v>45329</v>
      </c>
      <c r="C327" s="1" t="n">
        <v>45914</v>
      </c>
      <c r="D327" t="inlineStr">
        <is>
          <t>UPPSALA LÄN</t>
        </is>
      </c>
      <c r="E327" t="inlineStr">
        <is>
          <t>ÖSTHAMMAR</t>
        </is>
      </c>
      <c r="G327" t="n">
        <v>2.2</v>
      </c>
      <c r="H327" t="n">
        <v>0</v>
      </c>
      <c r="I327" t="n">
        <v>0</v>
      </c>
      <c r="J327" t="n">
        <v>0</v>
      </c>
      <c r="K327" t="n">
        <v>0</v>
      </c>
      <c r="L327" t="n">
        <v>0</v>
      </c>
      <c r="M327" t="n">
        <v>0</v>
      </c>
      <c r="N327" t="n">
        <v>0</v>
      </c>
      <c r="O327" t="n">
        <v>0</v>
      </c>
      <c r="P327" t="n">
        <v>0</v>
      </c>
      <c r="Q327" t="n">
        <v>0</v>
      </c>
      <c r="R327" s="2" t="inlineStr"/>
    </row>
    <row r="328" ht="15" customHeight="1">
      <c r="A328" t="inlineStr">
        <is>
          <t>A 25049-2025</t>
        </is>
      </c>
      <c r="B328" s="1" t="n">
        <v>45799.66876157407</v>
      </c>
      <c r="C328" s="1" t="n">
        <v>45914</v>
      </c>
      <c r="D328" t="inlineStr">
        <is>
          <t>UPPSALA LÄN</t>
        </is>
      </c>
      <c r="E328" t="inlineStr">
        <is>
          <t>ÖSTHAMMAR</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8623-2025</t>
        </is>
      </c>
      <c r="B329" s="1" t="n">
        <v>45711.51902777778</v>
      </c>
      <c r="C329" s="1" t="n">
        <v>45914</v>
      </c>
      <c r="D329" t="inlineStr">
        <is>
          <t>UPPSALA LÄN</t>
        </is>
      </c>
      <c r="E329" t="inlineStr">
        <is>
          <t>ÖSTHAMMAR</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8626-2025</t>
        </is>
      </c>
      <c r="B330" s="1" t="n">
        <v>45711.53565972222</v>
      </c>
      <c r="C330" s="1" t="n">
        <v>45914</v>
      </c>
      <c r="D330" t="inlineStr">
        <is>
          <t>UPPSALA LÄN</t>
        </is>
      </c>
      <c r="E330" t="inlineStr">
        <is>
          <t>ÖSTHAMMAR</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45914</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24944-2025</t>
        </is>
      </c>
      <c r="B332" s="1" t="n">
        <v>45799.56347222222</v>
      </c>
      <c r="C332" s="1" t="n">
        <v>45914</v>
      </c>
      <c r="D332" t="inlineStr">
        <is>
          <t>UPPSALA LÄN</t>
        </is>
      </c>
      <c r="E332" t="inlineStr">
        <is>
          <t>ÖSTHAMMAR</t>
        </is>
      </c>
      <c r="G332" t="n">
        <v>7.3</v>
      </c>
      <c r="H332" t="n">
        <v>0</v>
      </c>
      <c r="I332" t="n">
        <v>0</v>
      </c>
      <c r="J332" t="n">
        <v>0</v>
      </c>
      <c r="K332" t="n">
        <v>0</v>
      </c>
      <c r="L332" t="n">
        <v>0</v>
      </c>
      <c r="M332" t="n">
        <v>0</v>
      </c>
      <c r="N332" t="n">
        <v>0</v>
      </c>
      <c r="O332" t="n">
        <v>0</v>
      </c>
      <c r="P332" t="n">
        <v>0</v>
      </c>
      <c r="Q332" t="n">
        <v>0</v>
      </c>
      <c r="R332" s="2" t="inlineStr"/>
    </row>
    <row r="333" ht="15" customHeight="1">
      <c r="A333" t="inlineStr">
        <is>
          <t>A 7543-2023</t>
        </is>
      </c>
      <c r="B333" s="1" t="n">
        <v>44972</v>
      </c>
      <c r="C333" s="1" t="n">
        <v>45914</v>
      </c>
      <c r="D333" t="inlineStr">
        <is>
          <t>UPPSALA LÄN</t>
        </is>
      </c>
      <c r="E333" t="inlineStr">
        <is>
          <t>ÖSTHAMMAR</t>
        </is>
      </c>
      <c r="F333" t="inlineStr">
        <is>
          <t>Bergvik skog öst AB</t>
        </is>
      </c>
      <c r="G333" t="n">
        <v>13.3</v>
      </c>
      <c r="H333" t="n">
        <v>0</v>
      </c>
      <c r="I333" t="n">
        <v>0</v>
      </c>
      <c r="J333" t="n">
        <v>0</v>
      </c>
      <c r="K333" t="n">
        <v>0</v>
      </c>
      <c r="L333" t="n">
        <v>0</v>
      </c>
      <c r="M333" t="n">
        <v>0</v>
      </c>
      <c r="N333" t="n">
        <v>0</v>
      </c>
      <c r="O333" t="n">
        <v>0</v>
      </c>
      <c r="P333" t="n">
        <v>0</v>
      </c>
      <c r="Q333" t="n">
        <v>0</v>
      </c>
      <c r="R333" s="2" t="inlineStr"/>
    </row>
    <row r="334" ht="15" customHeight="1">
      <c r="A334" t="inlineStr">
        <is>
          <t>A 52694-2023</t>
        </is>
      </c>
      <c r="B334" s="1" t="n">
        <v>45225.76836805556</v>
      </c>
      <c r="C334" s="1" t="n">
        <v>45914</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16089-2025</t>
        </is>
      </c>
      <c r="B335" s="1" t="n">
        <v>45749.84232638889</v>
      </c>
      <c r="C335" s="1" t="n">
        <v>45914</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20634-2024</t>
        </is>
      </c>
      <c r="B336" s="1" t="n">
        <v>45436</v>
      </c>
      <c r="C336" s="1" t="n">
        <v>45914</v>
      </c>
      <c r="D336" t="inlineStr">
        <is>
          <t>UPPSALA LÄN</t>
        </is>
      </c>
      <c r="E336" t="inlineStr">
        <is>
          <t>ÖSTHAMMAR</t>
        </is>
      </c>
      <c r="G336" t="n">
        <v>6.5</v>
      </c>
      <c r="H336" t="n">
        <v>0</v>
      </c>
      <c r="I336" t="n">
        <v>0</v>
      </c>
      <c r="J336" t="n">
        <v>0</v>
      </c>
      <c r="K336" t="n">
        <v>0</v>
      </c>
      <c r="L336" t="n">
        <v>0</v>
      </c>
      <c r="M336" t="n">
        <v>0</v>
      </c>
      <c r="N336" t="n">
        <v>0</v>
      </c>
      <c r="O336" t="n">
        <v>0</v>
      </c>
      <c r="P336" t="n">
        <v>0</v>
      </c>
      <c r="Q336" t="n">
        <v>0</v>
      </c>
      <c r="R336" s="2" t="inlineStr"/>
    </row>
    <row r="337" ht="15" customHeight="1">
      <c r="A337" t="inlineStr">
        <is>
          <t>A 34185-2024</t>
        </is>
      </c>
      <c r="B337" s="1" t="n">
        <v>45524</v>
      </c>
      <c r="C337" s="1" t="n">
        <v>45914</v>
      </c>
      <c r="D337" t="inlineStr">
        <is>
          <t>UPPSALA LÄN</t>
        </is>
      </c>
      <c r="E337" t="inlineStr">
        <is>
          <t>ÖSTHAMMAR</t>
        </is>
      </c>
      <c r="G337" t="n">
        <v>2.5</v>
      </c>
      <c r="H337" t="n">
        <v>0</v>
      </c>
      <c r="I337" t="n">
        <v>0</v>
      </c>
      <c r="J337" t="n">
        <v>0</v>
      </c>
      <c r="K337" t="n">
        <v>0</v>
      </c>
      <c r="L337" t="n">
        <v>0</v>
      </c>
      <c r="M337" t="n">
        <v>0</v>
      </c>
      <c r="N337" t="n">
        <v>0</v>
      </c>
      <c r="O337" t="n">
        <v>0</v>
      </c>
      <c r="P337" t="n">
        <v>0</v>
      </c>
      <c r="Q337" t="n">
        <v>0</v>
      </c>
      <c r="R337" s="2" t="inlineStr"/>
    </row>
    <row r="338" ht="15" customHeight="1">
      <c r="A338" t="inlineStr">
        <is>
          <t>A 14170-2025</t>
        </is>
      </c>
      <c r="B338" s="1" t="n">
        <v>45740.51895833333</v>
      </c>
      <c r="C338" s="1" t="n">
        <v>45914</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12945-2025</t>
        </is>
      </c>
      <c r="B339" s="1" t="n">
        <v>45734.38159722222</v>
      </c>
      <c r="C339" s="1" t="n">
        <v>45914</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5303-2025</t>
        </is>
      </c>
      <c r="B340" s="1" t="n">
        <v>45692</v>
      </c>
      <c r="C340" s="1" t="n">
        <v>45914</v>
      </c>
      <c r="D340" t="inlineStr">
        <is>
          <t>UPPSALA LÄN</t>
        </is>
      </c>
      <c r="E340" t="inlineStr">
        <is>
          <t>ÖSTHAMMAR</t>
        </is>
      </c>
      <c r="G340" t="n">
        <v>5</v>
      </c>
      <c r="H340" t="n">
        <v>0</v>
      </c>
      <c r="I340" t="n">
        <v>0</v>
      </c>
      <c r="J340" t="n">
        <v>0</v>
      </c>
      <c r="K340" t="n">
        <v>0</v>
      </c>
      <c r="L340" t="n">
        <v>0</v>
      </c>
      <c r="M340" t="n">
        <v>0</v>
      </c>
      <c r="N340" t="n">
        <v>0</v>
      </c>
      <c r="O340" t="n">
        <v>0</v>
      </c>
      <c r="P340" t="n">
        <v>0</v>
      </c>
      <c r="Q340" t="n">
        <v>0</v>
      </c>
      <c r="R340" s="2" t="inlineStr"/>
    </row>
    <row r="341" ht="15" customHeight="1">
      <c r="A341" t="inlineStr">
        <is>
          <t>A 24493-2023</t>
        </is>
      </c>
      <c r="B341" s="1" t="n">
        <v>45082.62603009259</v>
      </c>
      <c r="C341" s="1" t="n">
        <v>45914</v>
      </c>
      <c r="D341" t="inlineStr">
        <is>
          <t>UPPSALA LÄN</t>
        </is>
      </c>
      <c r="E341" t="inlineStr">
        <is>
          <t>ÖSTHAMMAR</t>
        </is>
      </c>
      <c r="G341" t="n">
        <v>1.9</v>
      </c>
      <c r="H341" t="n">
        <v>0</v>
      </c>
      <c r="I341" t="n">
        <v>0</v>
      </c>
      <c r="J341" t="n">
        <v>0</v>
      </c>
      <c r="K341" t="n">
        <v>0</v>
      </c>
      <c r="L341" t="n">
        <v>0</v>
      </c>
      <c r="M341" t="n">
        <v>0</v>
      </c>
      <c r="N341" t="n">
        <v>0</v>
      </c>
      <c r="O341" t="n">
        <v>0</v>
      </c>
      <c r="P341" t="n">
        <v>0</v>
      </c>
      <c r="Q341" t="n">
        <v>0</v>
      </c>
      <c r="R341" s="2" t="inlineStr"/>
    </row>
    <row r="342" ht="15" customHeight="1">
      <c r="A342" t="inlineStr">
        <is>
          <t>A 58297-2024</t>
        </is>
      </c>
      <c r="B342" s="1" t="n">
        <v>45632.59780092593</v>
      </c>
      <c r="C342" s="1" t="n">
        <v>45914</v>
      </c>
      <c r="D342" t="inlineStr">
        <is>
          <t>UPPSALA LÄN</t>
        </is>
      </c>
      <c r="E342" t="inlineStr">
        <is>
          <t>ÖSTHAMMAR</t>
        </is>
      </c>
      <c r="G342" t="n">
        <v>5.1</v>
      </c>
      <c r="H342" t="n">
        <v>0</v>
      </c>
      <c r="I342" t="n">
        <v>0</v>
      </c>
      <c r="J342" t="n">
        <v>0</v>
      </c>
      <c r="K342" t="n">
        <v>0</v>
      </c>
      <c r="L342" t="n">
        <v>0</v>
      </c>
      <c r="M342" t="n">
        <v>0</v>
      </c>
      <c r="N342" t="n">
        <v>0</v>
      </c>
      <c r="O342" t="n">
        <v>0</v>
      </c>
      <c r="P342" t="n">
        <v>0</v>
      </c>
      <c r="Q342" t="n">
        <v>0</v>
      </c>
      <c r="R342" s="2" t="inlineStr"/>
    </row>
    <row r="343" ht="15" customHeight="1">
      <c r="A343" t="inlineStr">
        <is>
          <t>A 34742-2022</t>
        </is>
      </c>
      <c r="B343" s="1" t="n">
        <v>44795.61990740741</v>
      </c>
      <c r="C343" s="1" t="n">
        <v>45914</v>
      </c>
      <c r="D343" t="inlineStr">
        <is>
          <t>UPPSALA LÄN</t>
        </is>
      </c>
      <c r="E343" t="inlineStr">
        <is>
          <t>ÖSTHAMMAR</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26328-2025</t>
        </is>
      </c>
      <c r="B344" s="1" t="n">
        <v>45805.67305555556</v>
      </c>
      <c r="C344" s="1" t="n">
        <v>45914</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13622-2025</t>
        </is>
      </c>
      <c r="B345" s="1" t="n">
        <v>45736</v>
      </c>
      <c r="C345" s="1" t="n">
        <v>45914</v>
      </c>
      <c r="D345" t="inlineStr">
        <is>
          <t>UPPSALA LÄN</t>
        </is>
      </c>
      <c r="E345" t="inlineStr">
        <is>
          <t>ÖSTHAMMAR</t>
        </is>
      </c>
      <c r="G345" t="n">
        <v>2.6</v>
      </c>
      <c r="H345" t="n">
        <v>0</v>
      </c>
      <c r="I345" t="n">
        <v>0</v>
      </c>
      <c r="J345" t="n">
        <v>0</v>
      </c>
      <c r="K345" t="n">
        <v>0</v>
      </c>
      <c r="L345" t="n">
        <v>0</v>
      </c>
      <c r="M345" t="n">
        <v>0</v>
      </c>
      <c r="N345" t="n">
        <v>0</v>
      </c>
      <c r="O345" t="n">
        <v>0</v>
      </c>
      <c r="P345" t="n">
        <v>0</v>
      </c>
      <c r="Q345" t="n">
        <v>0</v>
      </c>
      <c r="R345" s="2" t="inlineStr"/>
    </row>
    <row r="346" ht="15" customHeight="1">
      <c r="A346" t="inlineStr">
        <is>
          <t>A 26055-2025</t>
        </is>
      </c>
      <c r="B346" s="1" t="n">
        <v>45804.77559027778</v>
      </c>
      <c r="C346" s="1" t="n">
        <v>45914</v>
      </c>
      <c r="D346" t="inlineStr">
        <is>
          <t>UPPSALA LÄN</t>
        </is>
      </c>
      <c r="E346" t="inlineStr">
        <is>
          <t>ÖSTHAMMAR</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26330-2025</t>
        </is>
      </c>
      <c r="B347" s="1" t="n">
        <v>45805.68263888889</v>
      </c>
      <c r="C347" s="1" t="n">
        <v>45914</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46399-2023</t>
        </is>
      </c>
      <c r="B348" s="1" t="n">
        <v>45197.49262731482</v>
      </c>
      <c r="C348" s="1" t="n">
        <v>45914</v>
      </c>
      <c r="D348" t="inlineStr">
        <is>
          <t>UPPSALA LÄN</t>
        </is>
      </c>
      <c r="E348" t="inlineStr">
        <is>
          <t>ÖSTHAMMAR</t>
        </is>
      </c>
      <c r="G348" t="n">
        <v>5.8</v>
      </c>
      <c r="H348" t="n">
        <v>0</v>
      </c>
      <c r="I348" t="n">
        <v>0</v>
      </c>
      <c r="J348" t="n">
        <v>0</v>
      </c>
      <c r="K348" t="n">
        <v>0</v>
      </c>
      <c r="L348" t="n">
        <v>0</v>
      </c>
      <c r="M348" t="n">
        <v>0</v>
      </c>
      <c r="N348" t="n">
        <v>0</v>
      </c>
      <c r="O348" t="n">
        <v>0</v>
      </c>
      <c r="P348" t="n">
        <v>0</v>
      </c>
      <c r="Q348" t="n">
        <v>0</v>
      </c>
      <c r="R348" s="2" t="inlineStr"/>
    </row>
    <row r="349" ht="15" customHeight="1">
      <c r="A349" t="inlineStr">
        <is>
          <t>A 13358-2024</t>
        </is>
      </c>
      <c r="B349" s="1" t="n">
        <v>45387.3503125</v>
      </c>
      <c r="C349" s="1" t="n">
        <v>45914</v>
      </c>
      <c r="D349" t="inlineStr">
        <is>
          <t>UPPSALA LÄN</t>
        </is>
      </c>
      <c r="E349" t="inlineStr">
        <is>
          <t>ÖSTHAMMAR</t>
        </is>
      </c>
      <c r="G349" t="n">
        <v>2.2</v>
      </c>
      <c r="H349" t="n">
        <v>0</v>
      </c>
      <c r="I349" t="n">
        <v>0</v>
      </c>
      <c r="J349" t="n">
        <v>0</v>
      </c>
      <c r="K349" t="n">
        <v>0</v>
      </c>
      <c r="L349" t="n">
        <v>0</v>
      </c>
      <c r="M349" t="n">
        <v>0</v>
      </c>
      <c r="N349" t="n">
        <v>0</v>
      </c>
      <c r="O349" t="n">
        <v>0</v>
      </c>
      <c r="P349" t="n">
        <v>0</v>
      </c>
      <c r="Q349" t="n">
        <v>0</v>
      </c>
      <c r="R349" s="2" t="inlineStr"/>
    </row>
    <row r="350" ht="15" customHeight="1">
      <c r="A350" t="inlineStr">
        <is>
          <t>A 26319-2025</t>
        </is>
      </c>
      <c r="B350" s="1" t="n">
        <v>45805.65960648148</v>
      </c>
      <c r="C350" s="1" t="n">
        <v>45914</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52650-2022</t>
        </is>
      </c>
      <c r="B351" s="1" t="n">
        <v>44874</v>
      </c>
      <c r="C351" s="1" t="n">
        <v>45914</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45914</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55079-2024</t>
        </is>
      </c>
      <c r="B353" s="1" t="n">
        <v>45621.42747685185</v>
      </c>
      <c r="C353" s="1" t="n">
        <v>45914</v>
      </c>
      <c r="D353" t="inlineStr">
        <is>
          <t>UPPSALA LÄN</t>
        </is>
      </c>
      <c r="E353" t="inlineStr">
        <is>
          <t>ÖSTHAMMAR</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36873-2022</t>
        </is>
      </c>
      <c r="B354" s="1" t="n">
        <v>44805.63708333333</v>
      </c>
      <c r="C354" s="1" t="n">
        <v>45914</v>
      </c>
      <c r="D354" t="inlineStr">
        <is>
          <t>UPPSALA LÄN</t>
        </is>
      </c>
      <c r="E354" t="inlineStr">
        <is>
          <t>ÖSTHAMMAR</t>
        </is>
      </c>
      <c r="G354" t="n">
        <v>2.5</v>
      </c>
      <c r="H354" t="n">
        <v>0</v>
      </c>
      <c r="I354" t="n">
        <v>0</v>
      </c>
      <c r="J354" t="n">
        <v>0</v>
      </c>
      <c r="K354" t="n">
        <v>0</v>
      </c>
      <c r="L354" t="n">
        <v>0</v>
      </c>
      <c r="M354" t="n">
        <v>0</v>
      </c>
      <c r="N354" t="n">
        <v>0</v>
      </c>
      <c r="O354" t="n">
        <v>0</v>
      </c>
      <c r="P354" t="n">
        <v>0</v>
      </c>
      <c r="Q354" t="n">
        <v>0</v>
      </c>
      <c r="R354" s="2" t="inlineStr"/>
    </row>
    <row r="355" ht="15" customHeight="1">
      <c r="A355" t="inlineStr">
        <is>
          <t>A 3732-2022</t>
        </is>
      </c>
      <c r="B355" s="1" t="n">
        <v>44586.64851851852</v>
      </c>
      <c r="C355" s="1" t="n">
        <v>45914</v>
      </c>
      <c r="D355" t="inlineStr">
        <is>
          <t>UPPSALA LÄN</t>
        </is>
      </c>
      <c r="E355" t="inlineStr">
        <is>
          <t>ÖSTHAMMAR</t>
        </is>
      </c>
      <c r="F355" t="inlineStr">
        <is>
          <t>Bergvik skog öst AB</t>
        </is>
      </c>
      <c r="G355" t="n">
        <v>3.6</v>
      </c>
      <c r="H355" t="n">
        <v>0</v>
      </c>
      <c r="I355" t="n">
        <v>0</v>
      </c>
      <c r="J355" t="n">
        <v>0</v>
      </c>
      <c r="K355" t="n">
        <v>0</v>
      </c>
      <c r="L355" t="n">
        <v>0</v>
      </c>
      <c r="M355" t="n">
        <v>0</v>
      </c>
      <c r="N355" t="n">
        <v>0</v>
      </c>
      <c r="O355" t="n">
        <v>0</v>
      </c>
      <c r="P355" t="n">
        <v>0</v>
      </c>
      <c r="Q355" t="n">
        <v>0</v>
      </c>
      <c r="R355" s="2" t="inlineStr"/>
    </row>
    <row r="356" ht="15" customHeight="1">
      <c r="A356" t="inlineStr">
        <is>
          <t>A 53733-2023</t>
        </is>
      </c>
      <c r="B356" s="1" t="n">
        <v>45230.76862268519</v>
      </c>
      <c r="C356" s="1" t="n">
        <v>45914</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53735-2023</t>
        </is>
      </c>
      <c r="B357" s="1" t="n">
        <v>45230.77258101852</v>
      </c>
      <c r="C357" s="1" t="n">
        <v>45914</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38003-2024</t>
        </is>
      </c>
      <c r="B358" s="1" t="n">
        <v>45544</v>
      </c>
      <c r="C358" s="1" t="n">
        <v>45914</v>
      </c>
      <c r="D358" t="inlineStr">
        <is>
          <t>UPPSALA LÄN</t>
        </is>
      </c>
      <c r="E358" t="inlineStr">
        <is>
          <t>ÖSTHAMMAR</t>
        </is>
      </c>
      <c r="F358" t="inlineStr">
        <is>
          <t>Naturvårdsverket</t>
        </is>
      </c>
      <c r="G358" t="n">
        <v>4.2</v>
      </c>
      <c r="H358" t="n">
        <v>0</v>
      </c>
      <c r="I358" t="n">
        <v>0</v>
      </c>
      <c r="J358" t="n">
        <v>0</v>
      </c>
      <c r="K358" t="n">
        <v>0</v>
      </c>
      <c r="L358" t="n">
        <v>0</v>
      </c>
      <c r="M358" t="n">
        <v>0</v>
      </c>
      <c r="N358" t="n">
        <v>0</v>
      </c>
      <c r="O358" t="n">
        <v>0</v>
      </c>
      <c r="P358" t="n">
        <v>0</v>
      </c>
      <c r="Q358" t="n">
        <v>0</v>
      </c>
      <c r="R358" s="2" t="inlineStr"/>
    </row>
    <row r="359" ht="15" customHeight="1">
      <c r="A359" t="inlineStr">
        <is>
          <t>A 1575-2025</t>
        </is>
      </c>
      <c r="B359" s="1" t="n">
        <v>45670</v>
      </c>
      <c r="C359" s="1" t="n">
        <v>45914</v>
      </c>
      <c r="D359" t="inlineStr">
        <is>
          <t>UPPSALA LÄN</t>
        </is>
      </c>
      <c r="E359" t="inlineStr">
        <is>
          <t>ÖSTHAMMAR</t>
        </is>
      </c>
      <c r="G359" t="n">
        <v>0.4</v>
      </c>
      <c r="H359" t="n">
        <v>0</v>
      </c>
      <c r="I359" t="n">
        <v>0</v>
      </c>
      <c r="J359" t="n">
        <v>0</v>
      </c>
      <c r="K359" t="n">
        <v>0</v>
      </c>
      <c r="L359" t="n">
        <v>0</v>
      </c>
      <c r="M359" t="n">
        <v>0</v>
      </c>
      <c r="N359" t="n">
        <v>0</v>
      </c>
      <c r="O359" t="n">
        <v>0</v>
      </c>
      <c r="P359" t="n">
        <v>0</v>
      </c>
      <c r="Q359" t="n">
        <v>0</v>
      </c>
      <c r="R359" s="2" t="inlineStr"/>
    </row>
    <row r="360" ht="15" customHeight="1">
      <c r="A360" t="inlineStr">
        <is>
          <t>A 16141-2022</t>
        </is>
      </c>
      <c r="B360" s="1" t="n">
        <v>44665</v>
      </c>
      <c r="C360" s="1" t="n">
        <v>45914</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28152-2024</t>
        </is>
      </c>
      <c r="B361" s="1" t="n">
        <v>45476.77056712963</v>
      </c>
      <c r="C361" s="1" t="n">
        <v>45914</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21522-2022</t>
        </is>
      </c>
      <c r="B362" s="1" t="n">
        <v>44706</v>
      </c>
      <c r="C362" s="1" t="n">
        <v>45914</v>
      </c>
      <c r="D362" t="inlineStr">
        <is>
          <t>UPPSALA LÄN</t>
        </is>
      </c>
      <c r="E362" t="inlineStr">
        <is>
          <t>ÖSTHAMMAR</t>
        </is>
      </c>
      <c r="G362" t="n">
        <v>1.8</v>
      </c>
      <c r="H362" t="n">
        <v>0</v>
      </c>
      <c r="I362" t="n">
        <v>0</v>
      </c>
      <c r="J362" t="n">
        <v>0</v>
      </c>
      <c r="K362" t="n">
        <v>0</v>
      </c>
      <c r="L362" t="n">
        <v>0</v>
      </c>
      <c r="M362" t="n">
        <v>0</v>
      </c>
      <c r="N362" t="n">
        <v>0</v>
      </c>
      <c r="O362" t="n">
        <v>0</v>
      </c>
      <c r="P362" t="n">
        <v>0</v>
      </c>
      <c r="Q362" t="n">
        <v>0</v>
      </c>
      <c r="R362" s="2" t="inlineStr"/>
    </row>
    <row r="363" ht="15" customHeight="1">
      <c r="A363" t="inlineStr">
        <is>
          <t>A 14187-2022</t>
        </is>
      </c>
      <c r="B363" s="1" t="n">
        <v>44651.5625</v>
      </c>
      <c r="C363" s="1" t="n">
        <v>45914</v>
      </c>
      <c r="D363" t="inlineStr">
        <is>
          <t>UPPSALA LÄN</t>
        </is>
      </c>
      <c r="E363" t="inlineStr">
        <is>
          <t>ÖSTHAMMAR</t>
        </is>
      </c>
      <c r="F363" t="inlineStr">
        <is>
          <t>Övriga Aktiebolag</t>
        </is>
      </c>
      <c r="G363" t="n">
        <v>14.1</v>
      </c>
      <c r="H363" t="n">
        <v>0</v>
      </c>
      <c r="I363" t="n">
        <v>0</v>
      </c>
      <c r="J363" t="n">
        <v>0</v>
      </c>
      <c r="K363" t="n">
        <v>0</v>
      </c>
      <c r="L363" t="n">
        <v>0</v>
      </c>
      <c r="M363" t="n">
        <v>0</v>
      </c>
      <c r="N363" t="n">
        <v>0</v>
      </c>
      <c r="O363" t="n">
        <v>0</v>
      </c>
      <c r="P363" t="n">
        <v>0</v>
      </c>
      <c r="Q363" t="n">
        <v>0</v>
      </c>
      <c r="R363" s="2" t="inlineStr"/>
    </row>
    <row r="364" ht="15" customHeight="1">
      <c r="A364" t="inlineStr">
        <is>
          <t>A 59807-2020</t>
        </is>
      </c>
      <c r="B364" s="1" t="n">
        <v>44151</v>
      </c>
      <c r="C364" s="1" t="n">
        <v>45914</v>
      </c>
      <c r="D364" t="inlineStr">
        <is>
          <t>UPPSALA LÄN</t>
        </is>
      </c>
      <c r="E364" t="inlineStr">
        <is>
          <t>ÖSTHAMMAR</t>
        </is>
      </c>
      <c r="G364" t="n">
        <v>3.4</v>
      </c>
      <c r="H364" t="n">
        <v>0</v>
      </c>
      <c r="I364" t="n">
        <v>0</v>
      </c>
      <c r="J364" t="n">
        <v>0</v>
      </c>
      <c r="K364" t="n">
        <v>0</v>
      </c>
      <c r="L364" t="n">
        <v>0</v>
      </c>
      <c r="M364" t="n">
        <v>0</v>
      </c>
      <c r="N364" t="n">
        <v>0</v>
      </c>
      <c r="O364" t="n">
        <v>0</v>
      </c>
      <c r="P364" t="n">
        <v>0</v>
      </c>
      <c r="Q364" t="n">
        <v>0</v>
      </c>
      <c r="R364" s="2" t="inlineStr"/>
    </row>
    <row r="365" ht="15" customHeight="1">
      <c r="A365" t="inlineStr">
        <is>
          <t>A 57453-2022</t>
        </is>
      </c>
      <c r="B365" s="1" t="n">
        <v>44896.56266203704</v>
      </c>
      <c r="C365" s="1" t="n">
        <v>45914</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57462-2022</t>
        </is>
      </c>
      <c r="B366" s="1" t="n">
        <v>44896.57527777777</v>
      </c>
      <c r="C366" s="1" t="n">
        <v>45914</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7997-2022</t>
        </is>
      </c>
      <c r="B367" s="1" t="n">
        <v>44609</v>
      </c>
      <c r="C367" s="1" t="n">
        <v>45914</v>
      </c>
      <c r="D367" t="inlineStr">
        <is>
          <t>UPPSALA LÄN</t>
        </is>
      </c>
      <c r="E367" t="inlineStr">
        <is>
          <t>ÖSTHAMMAR</t>
        </is>
      </c>
      <c r="G367" t="n">
        <v>1.8</v>
      </c>
      <c r="H367" t="n">
        <v>0</v>
      </c>
      <c r="I367" t="n">
        <v>0</v>
      </c>
      <c r="J367" t="n">
        <v>0</v>
      </c>
      <c r="K367" t="n">
        <v>0</v>
      </c>
      <c r="L367" t="n">
        <v>0</v>
      </c>
      <c r="M367" t="n">
        <v>0</v>
      </c>
      <c r="N367" t="n">
        <v>0</v>
      </c>
      <c r="O367" t="n">
        <v>0</v>
      </c>
      <c r="P367" t="n">
        <v>0</v>
      </c>
      <c r="Q367" t="n">
        <v>0</v>
      </c>
      <c r="R367" s="2" t="inlineStr"/>
    </row>
    <row r="368" ht="15" customHeight="1">
      <c r="A368" t="inlineStr">
        <is>
          <t>A 4676-2025</t>
        </is>
      </c>
      <c r="B368" s="1" t="n">
        <v>45687.8313425926</v>
      </c>
      <c r="C368" s="1" t="n">
        <v>45914</v>
      </c>
      <c r="D368" t="inlineStr">
        <is>
          <t>UPPSALA LÄN</t>
        </is>
      </c>
      <c r="E368" t="inlineStr">
        <is>
          <t>ÖSTHAMMAR</t>
        </is>
      </c>
      <c r="G368" t="n">
        <v>3.7</v>
      </c>
      <c r="H368" t="n">
        <v>0</v>
      </c>
      <c r="I368" t="n">
        <v>0</v>
      </c>
      <c r="J368" t="n">
        <v>0</v>
      </c>
      <c r="K368" t="n">
        <v>0</v>
      </c>
      <c r="L368" t="n">
        <v>0</v>
      </c>
      <c r="M368" t="n">
        <v>0</v>
      </c>
      <c r="N368" t="n">
        <v>0</v>
      </c>
      <c r="O368" t="n">
        <v>0</v>
      </c>
      <c r="P368" t="n">
        <v>0</v>
      </c>
      <c r="Q368" t="n">
        <v>0</v>
      </c>
      <c r="R368" s="2" t="inlineStr"/>
    </row>
    <row r="369" ht="15" customHeight="1">
      <c r="A369" t="inlineStr">
        <is>
          <t>A 2839-2025</t>
        </is>
      </c>
      <c r="B369" s="1" t="n">
        <v>45677</v>
      </c>
      <c r="C369" s="1" t="n">
        <v>45914</v>
      </c>
      <c r="D369" t="inlineStr">
        <is>
          <t>UPPSALA LÄN</t>
        </is>
      </c>
      <c r="E369" t="inlineStr">
        <is>
          <t>ÖSTHAMMAR</t>
        </is>
      </c>
      <c r="F369" t="inlineStr">
        <is>
          <t>Övriga Aktiebolag</t>
        </is>
      </c>
      <c r="G369" t="n">
        <v>4</v>
      </c>
      <c r="H369" t="n">
        <v>0</v>
      </c>
      <c r="I369" t="n">
        <v>0</v>
      </c>
      <c r="J369" t="n">
        <v>0</v>
      </c>
      <c r="K369" t="n">
        <v>0</v>
      </c>
      <c r="L369" t="n">
        <v>0</v>
      </c>
      <c r="M369" t="n">
        <v>0</v>
      </c>
      <c r="N369" t="n">
        <v>0</v>
      </c>
      <c r="O369" t="n">
        <v>0</v>
      </c>
      <c r="P369" t="n">
        <v>0</v>
      </c>
      <c r="Q369" t="n">
        <v>0</v>
      </c>
      <c r="R369" s="2" t="inlineStr"/>
    </row>
    <row r="370" ht="15" customHeight="1">
      <c r="A370" t="inlineStr">
        <is>
          <t>A 2947-2025</t>
        </is>
      </c>
      <c r="B370" s="1" t="n">
        <v>45678</v>
      </c>
      <c r="C370" s="1" t="n">
        <v>45914</v>
      </c>
      <c r="D370" t="inlineStr">
        <is>
          <t>UPPSALA LÄN</t>
        </is>
      </c>
      <c r="E370" t="inlineStr">
        <is>
          <t>ÖSTHAMMAR</t>
        </is>
      </c>
      <c r="G370" t="n">
        <v>3.6</v>
      </c>
      <c r="H370" t="n">
        <v>0</v>
      </c>
      <c r="I370" t="n">
        <v>0</v>
      </c>
      <c r="J370" t="n">
        <v>0</v>
      </c>
      <c r="K370" t="n">
        <v>0</v>
      </c>
      <c r="L370" t="n">
        <v>0</v>
      </c>
      <c r="M370" t="n">
        <v>0</v>
      </c>
      <c r="N370" t="n">
        <v>0</v>
      </c>
      <c r="O370" t="n">
        <v>0</v>
      </c>
      <c r="P370" t="n">
        <v>0</v>
      </c>
      <c r="Q370" t="n">
        <v>0</v>
      </c>
      <c r="R370" s="2" t="inlineStr"/>
    </row>
    <row r="371" ht="15" customHeight="1">
      <c r="A371" t="inlineStr">
        <is>
          <t>A 55837-2023</t>
        </is>
      </c>
      <c r="B371" s="1" t="n">
        <v>45239</v>
      </c>
      <c r="C371" s="1" t="n">
        <v>45914</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13093-2022</t>
        </is>
      </c>
      <c r="B372" s="1" t="n">
        <v>44643.93269675926</v>
      </c>
      <c r="C372" s="1" t="n">
        <v>45914</v>
      </c>
      <c r="D372" t="inlineStr">
        <is>
          <t>UPPSALA LÄN</t>
        </is>
      </c>
      <c r="E372" t="inlineStr">
        <is>
          <t>ÖSTHAMMAR</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26521-2025</t>
        </is>
      </c>
      <c r="B373" s="1" t="n">
        <v>45807.56275462963</v>
      </c>
      <c r="C373" s="1" t="n">
        <v>45914</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26526-2025</t>
        </is>
      </c>
      <c r="B374" s="1" t="n">
        <v>45807.56612268519</v>
      </c>
      <c r="C374" s="1" t="n">
        <v>45914</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45795-2023</t>
        </is>
      </c>
      <c r="B375" s="1" t="n">
        <v>45195</v>
      </c>
      <c r="C375" s="1" t="n">
        <v>45914</v>
      </c>
      <c r="D375" t="inlineStr">
        <is>
          <t>UPPSALA LÄN</t>
        </is>
      </c>
      <c r="E375" t="inlineStr">
        <is>
          <t>ÖSTHAMMAR</t>
        </is>
      </c>
      <c r="G375" t="n">
        <v>4</v>
      </c>
      <c r="H375" t="n">
        <v>0</v>
      </c>
      <c r="I375" t="n">
        <v>0</v>
      </c>
      <c r="J375" t="n">
        <v>0</v>
      </c>
      <c r="K375" t="n">
        <v>0</v>
      </c>
      <c r="L375" t="n">
        <v>0</v>
      </c>
      <c r="M375" t="n">
        <v>0</v>
      </c>
      <c r="N375" t="n">
        <v>0</v>
      </c>
      <c r="O375" t="n">
        <v>0</v>
      </c>
      <c r="P375" t="n">
        <v>0</v>
      </c>
      <c r="Q375" t="n">
        <v>0</v>
      </c>
      <c r="R375" s="2" t="inlineStr"/>
    </row>
    <row r="376" ht="15" customHeight="1">
      <c r="A376" t="inlineStr">
        <is>
          <t>A 63637-2020</t>
        </is>
      </c>
      <c r="B376" s="1" t="n">
        <v>44162</v>
      </c>
      <c r="C376" s="1" t="n">
        <v>45914</v>
      </c>
      <c r="D376" t="inlineStr">
        <is>
          <t>UPPSALA LÄN</t>
        </is>
      </c>
      <c r="E376" t="inlineStr">
        <is>
          <t>ÖSTHAMMAR</t>
        </is>
      </c>
      <c r="G376" t="n">
        <v>4</v>
      </c>
      <c r="H376" t="n">
        <v>0</v>
      </c>
      <c r="I376" t="n">
        <v>0</v>
      </c>
      <c r="J376" t="n">
        <v>0</v>
      </c>
      <c r="K376" t="n">
        <v>0</v>
      </c>
      <c r="L376" t="n">
        <v>0</v>
      </c>
      <c r="M376" t="n">
        <v>0</v>
      </c>
      <c r="N376" t="n">
        <v>0</v>
      </c>
      <c r="O376" t="n">
        <v>0</v>
      </c>
      <c r="P376" t="n">
        <v>0</v>
      </c>
      <c r="Q376" t="n">
        <v>0</v>
      </c>
      <c r="R376" s="2" t="inlineStr"/>
    </row>
    <row r="377" ht="15" customHeight="1">
      <c r="A377" t="inlineStr">
        <is>
          <t>A 38600-2023</t>
        </is>
      </c>
      <c r="B377" s="1" t="n">
        <v>45162</v>
      </c>
      <c r="C377" s="1" t="n">
        <v>45914</v>
      </c>
      <c r="D377" t="inlineStr">
        <is>
          <t>UPPSALA LÄN</t>
        </is>
      </c>
      <c r="E377" t="inlineStr">
        <is>
          <t>ÖSTHAMMAR</t>
        </is>
      </c>
      <c r="F377" t="inlineStr">
        <is>
          <t>Bergvik skog väst AB</t>
        </is>
      </c>
      <c r="G377" t="n">
        <v>0.1</v>
      </c>
      <c r="H377" t="n">
        <v>0</v>
      </c>
      <c r="I377" t="n">
        <v>0</v>
      </c>
      <c r="J377" t="n">
        <v>0</v>
      </c>
      <c r="K377" t="n">
        <v>0</v>
      </c>
      <c r="L377" t="n">
        <v>0</v>
      </c>
      <c r="M377" t="n">
        <v>0</v>
      </c>
      <c r="N377" t="n">
        <v>0</v>
      </c>
      <c r="O377" t="n">
        <v>0</v>
      </c>
      <c r="P377" t="n">
        <v>0</v>
      </c>
      <c r="Q377" t="n">
        <v>0</v>
      </c>
      <c r="R377" s="2" t="inlineStr"/>
    </row>
    <row r="378" ht="15" customHeight="1">
      <c r="A378" t="inlineStr">
        <is>
          <t>A 8624-2025</t>
        </is>
      </c>
      <c r="B378" s="1" t="n">
        <v>45711.52333333333</v>
      </c>
      <c r="C378" s="1" t="n">
        <v>45914</v>
      </c>
      <c r="D378" t="inlineStr">
        <is>
          <t>UPPSALA LÄN</t>
        </is>
      </c>
      <c r="E378" t="inlineStr">
        <is>
          <t>ÖSTHAMMAR</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27395-2025</t>
        </is>
      </c>
      <c r="B379" s="1" t="n">
        <v>45812.6850462963</v>
      </c>
      <c r="C379" s="1" t="n">
        <v>45914</v>
      </c>
      <c r="D379" t="inlineStr">
        <is>
          <t>UPPSALA LÄN</t>
        </is>
      </c>
      <c r="E379" t="inlineStr">
        <is>
          <t>ÖSTHAMMAR</t>
        </is>
      </c>
      <c r="F379" t="inlineStr">
        <is>
          <t>Bergvik skog öst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27347-2025</t>
        </is>
      </c>
      <c r="B380" s="1" t="n">
        <v>45812.62390046296</v>
      </c>
      <c r="C380" s="1" t="n">
        <v>45914</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27383-2025</t>
        </is>
      </c>
      <c r="B381" s="1" t="n">
        <v>45812.66628472223</v>
      </c>
      <c r="C381" s="1" t="n">
        <v>45914</v>
      </c>
      <c r="D381" t="inlineStr">
        <is>
          <t>UPPSALA LÄN</t>
        </is>
      </c>
      <c r="E381" t="inlineStr">
        <is>
          <t>ÖSTHAMMAR</t>
        </is>
      </c>
      <c r="G381" t="n">
        <v>0.7</v>
      </c>
      <c r="H381" t="n">
        <v>0</v>
      </c>
      <c r="I381" t="n">
        <v>0</v>
      </c>
      <c r="J381" t="n">
        <v>0</v>
      </c>
      <c r="K381" t="n">
        <v>0</v>
      </c>
      <c r="L381" t="n">
        <v>0</v>
      </c>
      <c r="M381" t="n">
        <v>0</v>
      </c>
      <c r="N381" t="n">
        <v>0</v>
      </c>
      <c r="O381" t="n">
        <v>0</v>
      </c>
      <c r="P381" t="n">
        <v>0</v>
      </c>
      <c r="Q381" t="n">
        <v>0</v>
      </c>
      <c r="R381" s="2" t="inlineStr"/>
    </row>
    <row r="382" ht="15" customHeight="1">
      <c r="A382" t="inlineStr">
        <is>
          <t>A 27385-2025</t>
        </is>
      </c>
      <c r="B382" s="1" t="n">
        <v>45812.66829861111</v>
      </c>
      <c r="C382" s="1" t="n">
        <v>45914</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27352-2025</t>
        </is>
      </c>
      <c r="B383" s="1" t="n">
        <v>45812.62694444445</v>
      </c>
      <c r="C383" s="1" t="n">
        <v>45914</v>
      </c>
      <c r="D383" t="inlineStr">
        <is>
          <t>UPPSALA LÄN</t>
        </is>
      </c>
      <c r="E383" t="inlineStr">
        <is>
          <t>ÖSTHAMMAR</t>
        </is>
      </c>
      <c r="G383" t="n">
        <v>2.5</v>
      </c>
      <c r="H383" t="n">
        <v>0</v>
      </c>
      <c r="I383" t="n">
        <v>0</v>
      </c>
      <c r="J383" t="n">
        <v>0</v>
      </c>
      <c r="K383" t="n">
        <v>0</v>
      </c>
      <c r="L383" t="n">
        <v>0</v>
      </c>
      <c r="M383" t="n">
        <v>0</v>
      </c>
      <c r="N383" t="n">
        <v>0</v>
      </c>
      <c r="O383" t="n">
        <v>0</v>
      </c>
      <c r="P383" t="n">
        <v>0</v>
      </c>
      <c r="Q383" t="n">
        <v>0</v>
      </c>
      <c r="R383" s="2" t="inlineStr"/>
    </row>
    <row r="384" ht="15" customHeight="1">
      <c r="A384" t="inlineStr">
        <is>
          <t>A 61817-2021</t>
        </is>
      </c>
      <c r="B384" s="1" t="n">
        <v>44501.76855324074</v>
      </c>
      <c r="C384" s="1" t="n">
        <v>45914</v>
      </c>
      <c r="D384" t="inlineStr">
        <is>
          <t>UPPSALA LÄN</t>
        </is>
      </c>
      <c r="E384" t="inlineStr">
        <is>
          <t>ÖSTHAMMAR</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44555.80339120371</v>
      </c>
      <c r="C385" s="1" t="n">
        <v>45914</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27131-2025</t>
        </is>
      </c>
      <c r="B386" s="1" t="n">
        <v>45811</v>
      </c>
      <c r="C386" s="1" t="n">
        <v>45914</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27392-2025</t>
        </is>
      </c>
      <c r="B387" s="1" t="n">
        <v>45812.68268518519</v>
      </c>
      <c r="C387" s="1" t="n">
        <v>45914</v>
      </c>
      <c r="D387" t="inlineStr">
        <is>
          <t>UPPSALA LÄN</t>
        </is>
      </c>
      <c r="E387" t="inlineStr">
        <is>
          <t>ÖSTHAMMAR</t>
        </is>
      </c>
      <c r="F387" t="inlineStr">
        <is>
          <t>Bergvik skog öst AB</t>
        </is>
      </c>
      <c r="G387" t="n">
        <v>2.1</v>
      </c>
      <c r="H387" t="n">
        <v>0</v>
      </c>
      <c r="I387" t="n">
        <v>0</v>
      </c>
      <c r="J387" t="n">
        <v>0</v>
      </c>
      <c r="K387" t="n">
        <v>0</v>
      </c>
      <c r="L387" t="n">
        <v>0</v>
      </c>
      <c r="M387" t="n">
        <v>0</v>
      </c>
      <c r="N387" t="n">
        <v>0</v>
      </c>
      <c r="O387" t="n">
        <v>0</v>
      </c>
      <c r="P387" t="n">
        <v>0</v>
      </c>
      <c r="Q387" t="n">
        <v>0</v>
      </c>
      <c r="R387" s="2" t="inlineStr"/>
    </row>
    <row r="388" ht="15" customHeight="1">
      <c r="A388" t="inlineStr">
        <is>
          <t>A 17644-2025</t>
        </is>
      </c>
      <c r="B388" s="1" t="n">
        <v>45758.32645833334</v>
      </c>
      <c r="C388" s="1" t="n">
        <v>45914</v>
      </c>
      <c r="D388" t="inlineStr">
        <is>
          <t>UPPSALA LÄN</t>
        </is>
      </c>
      <c r="E388" t="inlineStr">
        <is>
          <t>ÖSTHAMMAR</t>
        </is>
      </c>
      <c r="F388" t="inlineStr">
        <is>
          <t>Bergvik skog väst AB</t>
        </is>
      </c>
      <c r="G388" t="n">
        <v>6.1</v>
      </c>
      <c r="H388" t="n">
        <v>0</v>
      </c>
      <c r="I388" t="n">
        <v>0</v>
      </c>
      <c r="J388" t="n">
        <v>0</v>
      </c>
      <c r="K388" t="n">
        <v>0</v>
      </c>
      <c r="L388" t="n">
        <v>0</v>
      </c>
      <c r="M388" t="n">
        <v>0</v>
      </c>
      <c r="N388" t="n">
        <v>0</v>
      </c>
      <c r="O388" t="n">
        <v>0</v>
      </c>
      <c r="P388" t="n">
        <v>0</v>
      </c>
      <c r="Q388" t="n">
        <v>0</v>
      </c>
      <c r="R388" s="2" t="inlineStr"/>
    </row>
    <row r="389" ht="15" customHeight="1">
      <c r="A389" t="inlineStr">
        <is>
          <t>A 20385-2025</t>
        </is>
      </c>
      <c r="B389" s="1" t="n">
        <v>45775.44483796296</v>
      </c>
      <c r="C389" s="1" t="n">
        <v>45914</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27058-2025</t>
        </is>
      </c>
      <c r="B390" s="1" t="n">
        <v>45811.63436342592</v>
      </c>
      <c r="C390" s="1" t="n">
        <v>45914</v>
      </c>
      <c r="D390" t="inlineStr">
        <is>
          <t>UPPSALA LÄN</t>
        </is>
      </c>
      <c r="E390" t="inlineStr">
        <is>
          <t>ÖSTHAMMAR</t>
        </is>
      </c>
      <c r="F390" t="inlineStr">
        <is>
          <t>Bergvik skog öst AB</t>
        </is>
      </c>
      <c r="G390" t="n">
        <v>5.7</v>
      </c>
      <c r="H390" t="n">
        <v>0</v>
      </c>
      <c r="I390" t="n">
        <v>0</v>
      </c>
      <c r="J390" t="n">
        <v>0</v>
      </c>
      <c r="K390" t="n">
        <v>0</v>
      </c>
      <c r="L390" t="n">
        <v>0</v>
      </c>
      <c r="M390" t="n">
        <v>0</v>
      </c>
      <c r="N390" t="n">
        <v>0</v>
      </c>
      <c r="O390" t="n">
        <v>0</v>
      </c>
      <c r="P390" t="n">
        <v>0</v>
      </c>
      <c r="Q390" t="n">
        <v>0</v>
      </c>
      <c r="R390" s="2" t="inlineStr"/>
    </row>
    <row r="391" ht="15" customHeight="1">
      <c r="A391" t="inlineStr">
        <is>
          <t>A 14859-2025</t>
        </is>
      </c>
      <c r="B391" s="1" t="n">
        <v>45743.42427083333</v>
      </c>
      <c r="C391" s="1" t="n">
        <v>45914</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27384-2025</t>
        </is>
      </c>
      <c r="B392" s="1" t="n">
        <v>45812.6672337963</v>
      </c>
      <c r="C392" s="1" t="n">
        <v>45914</v>
      </c>
      <c r="D392" t="inlineStr">
        <is>
          <t>UPPSALA LÄN</t>
        </is>
      </c>
      <c r="E392" t="inlineStr">
        <is>
          <t>ÖSTHAMMAR</t>
        </is>
      </c>
      <c r="G392" t="n">
        <v>1.6</v>
      </c>
      <c r="H392" t="n">
        <v>0</v>
      </c>
      <c r="I392" t="n">
        <v>0</v>
      </c>
      <c r="J392" t="n">
        <v>0</v>
      </c>
      <c r="K392" t="n">
        <v>0</v>
      </c>
      <c r="L392" t="n">
        <v>0</v>
      </c>
      <c r="M392" t="n">
        <v>0</v>
      </c>
      <c r="N392" t="n">
        <v>0</v>
      </c>
      <c r="O392" t="n">
        <v>0</v>
      </c>
      <c r="P392" t="n">
        <v>0</v>
      </c>
      <c r="Q392" t="n">
        <v>0</v>
      </c>
      <c r="R392" s="2" t="inlineStr"/>
    </row>
    <row r="393" ht="15" customHeight="1">
      <c r="A393" t="inlineStr">
        <is>
          <t>A 14272-2025</t>
        </is>
      </c>
      <c r="B393" s="1" t="n">
        <v>45740.64327546296</v>
      </c>
      <c r="C393" s="1" t="n">
        <v>45914</v>
      </c>
      <c r="D393" t="inlineStr">
        <is>
          <t>UPPSALA LÄN</t>
        </is>
      </c>
      <c r="E393" t="inlineStr">
        <is>
          <t>ÖSTHAMMAR</t>
        </is>
      </c>
      <c r="G393" t="n">
        <v>5.7</v>
      </c>
      <c r="H393" t="n">
        <v>0</v>
      </c>
      <c r="I393" t="n">
        <v>0</v>
      </c>
      <c r="J393" t="n">
        <v>0</v>
      </c>
      <c r="K393" t="n">
        <v>0</v>
      </c>
      <c r="L393" t="n">
        <v>0</v>
      </c>
      <c r="M393" t="n">
        <v>0</v>
      </c>
      <c r="N393" t="n">
        <v>0</v>
      </c>
      <c r="O393" t="n">
        <v>0</v>
      </c>
      <c r="P393" t="n">
        <v>0</v>
      </c>
      <c r="Q393" t="n">
        <v>0</v>
      </c>
      <c r="R393" s="2" t="inlineStr"/>
    </row>
    <row r="394" ht="15" customHeight="1">
      <c r="A394" t="inlineStr">
        <is>
          <t>A 5344-2025</t>
        </is>
      </c>
      <c r="B394" s="1" t="n">
        <v>45692</v>
      </c>
      <c r="C394" s="1" t="n">
        <v>45914</v>
      </c>
      <c r="D394" t="inlineStr">
        <is>
          <t>UPPSALA LÄN</t>
        </is>
      </c>
      <c r="E394" t="inlineStr">
        <is>
          <t>ÖSTHAMMAR</t>
        </is>
      </c>
      <c r="F394" t="inlineStr">
        <is>
          <t>Bergvik skog öst AB</t>
        </is>
      </c>
      <c r="G394" t="n">
        <v>3.2</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45914</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27350-2025</t>
        </is>
      </c>
      <c r="B396" s="1" t="n">
        <v>45812.62571759259</v>
      </c>
      <c r="C396" s="1" t="n">
        <v>45914</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27132-2025</t>
        </is>
      </c>
      <c r="B397" s="1" t="n">
        <v>45811</v>
      </c>
      <c r="C397" s="1" t="n">
        <v>45914</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8330-2025</t>
        </is>
      </c>
      <c r="B398" s="1" t="n">
        <v>45708</v>
      </c>
      <c r="C398" s="1" t="n">
        <v>45914</v>
      </c>
      <c r="D398" t="inlineStr">
        <is>
          <t>UPPSALA LÄN</t>
        </is>
      </c>
      <c r="E398" t="inlineStr">
        <is>
          <t>ÖSTHAMMAR</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27563-2025</t>
        </is>
      </c>
      <c r="B399" s="1" t="n">
        <v>45813.48471064815</v>
      </c>
      <c r="C399" s="1" t="n">
        <v>45914</v>
      </c>
      <c r="D399" t="inlineStr">
        <is>
          <t>UPPSALA LÄN</t>
        </is>
      </c>
      <c r="E399" t="inlineStr">
        <is>
          <t>ÖSTHAMMAR</t>
        </is>
      </c>
      <c r="F399" t="inlineStr">
        <is>
          <t>Bergvik skog öst AB</t>
        </is>
      </c>
      <c r="G399" t="n">
        <v>4</v>
      </c>
      <c r="H399" t="n">
        <v>0</v>
      </c>
      <c r="I399" t="n">
        <v>0</v>
      </c>
      <c r="J399" t="n">
        <v>0</v>
      </c>
      <c r="K399" t="n">
        <v>0</v>
      </c>
      <c r="L399" t="n">
        <v>0</v>
      </c>
      <c r="M399" t="n">
        <v>0</v>
      </c>
      <c r="N399" t="n">
        <v>0</v>
      </c>
      <c r="O399" t="n">
        <v>0</v>
      </c>
      <c r="P399" t="n">
        <v>0</v>
      </c>
      <c r="Q399" t="n">
        <v>0</v>
      </c>
      <c r="R399" s="2" t="inlineStr"/>
    </row>
    <row r="400" ht="15" customHeight="1">
      <c r="A400" t="inlineStr">
        <is>
          <t>A 18183-2022</t>
        </is>
      </c>
      <c r="B400" s="1" t="n">
        <v>44684</v>
      </c>
      <c r="C400" s="1" t="n">
        <v>45914</v>
      </c>
      <c r="D400" t="inlineStr">
        <is>
          <t>UPPSALA LÄN</t>
        </is>
      </c>
      <c r="E400" t="inlineStr">
        <is>
          <t>ÖSTHAMMAR</t>
        </is>
      </c>
      <c r="G400" t="n">
        <v>0.2</v>
      </c>
      <c r="H400" t="n">
        <v>0</v>
      </c>
      <c r="I400" t="n">
        <v>0</v>
      </c>
      <c r="J400" t="n">
        <v>0</v>
      </c>
      <c r="K400" t="n">
        <v>0</v>
      </c>
      <c r="L400" t="n">
        <v>0</v>
      </c>
      <c r="M400" t="n">
        <v>0</v>
      </c>
      <c r="N400" t="n">
        <v>0</v>
      </c>
      <c r="O400" t="n">
        <v>0</v>
      </c>
      <c r="P400" t="n">
        <v>0</v>
      </c>
      <c r="Q400" t="n">
        <v>0</v>
      </c>
      <c r="R400" s="2" t="inlineStr"/>
    </row>
    <row r="401" ht="15" customHeight="1">
      <c r="A401" t="inlineStr">
        <is>
          <t>A 27920-2025</t>
        </is>
      </c>
      <c r="B401" s="1" t="n">
        <v>45817.48454861111</v>
      </c>
      <c r="C401" s="1" t="n">
        <v>45914</v>
      </c>
      <c r="D401" t="inlineStr">
        <is>
          <t>UPPSALA LÄN</t>
        </is>
      </c>
      <c r="E401" t="inlineStr">
        <is>
          <t>ÖSTHAMMAR</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62394-2022</t>
        </is>
      </c>
      <c r="B402" s="1" t="n">
        <v>44923.82017361111</v>
      </c>
      <c r="C402" s="1" t="n">
        <v>45914</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28100-2025</t>
        </is>
      </c>
      <c r="B403" s="1" t="n">
        <v>45817.83487268518</v>
      </c>
      <c r="C403" s="1" t="n">
        <v>45914</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4304-2025</t>
        </is>
      </c>
      <c r="B404" s="1" t="n">
        <v>45685.68193287037</v>
      </c>
      <c r="C404" s="1" t="n">
        <v>45914</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28170-2023</t>
        </is>
      </c>
      <c r="B405" s="1" t="n">
        <v>45093</v>
      </c>
      <c r="C405" s="1" t="n">
        <v>45914</v>
      </c>
      <c r="D405" t="inlineStr">
        <is>
          <t>UPPSALA LÄN</t>
        </is>
      </c>
      <c r="E405" t="inlineStr">
        <is>
          <t>ÖSTHAMMAR</t>
        </is>
      </c>
      <c r="G405" t="n">
        <v>7.2</v>
      </c>
      <c r="H405" t="n">
        <v>0</v>
      </c>
      <c r="I405" t="n">
        <v>0</v>
      </c>
      <c r="J405" t="n">
        <v>0</v>
      </c>
      <c r="K405" t="n">
        <v>0</v>
      </c>
      <c r="L405" t="n">
        <v>0</v>
      </c>
      <c r="M405" t="n">
        <v>0</v>
      </c>
      <c r="N405" t="n">
        <v>0</v>
      </c>
      <c r="O405" t="n">
        <v>0</v>
      </c>
      <c r="P405" t="n">
        <v>0</v>
      </c>
      <c r="Q405" t="n">
        <v>0</v>
      </c>
      <c r="R405" s="2" t="inlineStr"/>
    </row>
    <row r="406" ht="15" customHeight="1">
      <c r="A406" t="inlineStr">
        <is>
          <t>A 28099-2025</t>
        </is>
      </c>
      <c r="B406" s="1" t="n">
        <v>45817.82967592592</v>
      </c>
      <c r="C406" s="1" t="n">
        <v>45914</v>
      </c>
      <c r="D406" t="inlineStr">
        <is>
          <t>UPPSALA LÄN</t>
        </is>
      </c>
      <c r="E406" t="inlineStr">
        <is>
          <t>ÖSTHAMMAR</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27812-2025</t>
        </is>
      </c>
      <c r="B407" s="1" t="n">
        <v>45817.32150462963</v>
      </c>
      <c r="C407" s="1" t="n">
        <v>45914</v>
      </c>
      <c r="D407" t="inlineStr">
        <is>
          <t>UPPSALA LÄN</t>
        </is>
      </c>
      <c r="E407" t="inlineStr">
        <is>
          <t>ÖSTHAMMAR</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28101-2025</t>
        </is>
      </c>
      <c r="B408" s="1" t="n">
        <v>45817.83736111111</v>
      </c>
      <c r="C408" s="1" t="n">
        <v>45914</v>
      </c>
      <c r="D408" t="inlineStr">
        <is>
          <t>UPPSALA LÄN</t>
        </is>
      </c>
      <c r="E408" t="inlineStr">
        <is>
          <t>ÖSTHAMMAR</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16933-2022</t>
        </is>
      </c>
      <c r="B409" s="1" t="n">
        <v>44676</v>
      </c>
      <c r="C409" s="1" t="n">
        <v>45914</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23741-2024</t>
        </is>
      </c>
      <c r="B410" s="1" t="n">
        <v>45455</v>
      </c>
      <c r="C410" s="1" t="n">
        <v>45914</v>
      </c>
      <c r="D410" t="inlineStr">
        <is>
          <t>UPPSALA LÄN</t>
        </is>
      </c>
      <c r="E410" t="inlineStr">
        <is>
          <t>ÖSTHAMMAR</t>
        </is>
      </c>
      <c r="F410" t="inlineStr">
        <is>
          <t>Bergvik skog öst AB</t>
        </is>
      </c>
      <c r="G410" t="n">
        <v>1.9</v>
      </c>
      <c r="H410" t="n">
        <v>0</v>
      </c>
      <c r="I410" t="n">
        <v>0</v>
      </c>
      <c r="J410" t="n">
        <v>0</v>
      </c>
      <c r="K410" t="n">
        <v>0</v>
      </c>
      <c r="L410" t="n">
        <v>0</v>
      </c>
      <c r="M410" t="n">
        <v>0</v>
      </c>
      <c r="N410" t="n">
        <v>0</v>
      </c>
      <c r="O410" t="n">
        <v>0</v>
      </c>
      <c r="P410" t="n">
        <v>0</v>
      </c>
      <c r="Q410" t="n">
        <v>0</v>
      </c>
      <c r="R410" s="2" t="inlineStr"/>
    </row>
    <row r="411" ht="15" customHeight="1">
      <c r="A411" t="inlineStr">
        <is>
          <t>A 9264-2024</t>
        </is>
      </c>
      <c r="B411" s="1" t="n">
        <v>45358</v>
      </c>
      <c r="C411" s="1" t="n">
        <v>45914</v>
      </c>
      <c r="D411" t="inlineStr">
        <is>
          <t>UPPSALA LÄN</t>
        </is>
      </c>
      <c r="E411" t="inlineStr">
        <is>
          <t>ÖSTHAMMAR</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57043-2022</t>
        </is>
      </c>
      <c r="B412" s="1" t="n">
        <v>44895.36748842592</v>
      </c>
      <c r="C412" s="1" t="n">
        <v>45914</v>
      </c>
      <c r="D412" t="inlineStr">
        <is>
          <t>UPPSALA LÄN</t>
        </is>
      </c>
      <c r="E412" t="inlineStr">
        <is>
          <t>ÖSTHAMMAR</t>
        </is>
      </c>
      <c r="F412" t="inlineStr">
        <is>
          <t>Bergvik skog öst AB</t>
        </is>
      </c>
      <c r="G412" t="n">
        <v>5.7</v>
      </c>
      <c r="H412" t="n">
        <v>0</v>
      </c>
      <c r="I412" t="n">
        <v>0</v>
      </c>
      <c r="J412" t="n">
        <v>0</v>
      </c>
      <c r="K412" t="n">
        <v>0</v>
      </c>
      <c r="L412" t="n">
        <v>0</v>
      </c>
      <c r="M412" t="n">
        <v>0</v>
      </c>
      <c r="N412" t="n">
        <v>0</v>
      </c>
      <c r="O412" t="n">
        <v>0</v>
      </c>
      <c r="P412" t="n">
        <v>0</v>
      </c>
      <c r="Q412" t="n">
        <v>0</v>
      </c>
      <c r="R412" s="2" t="inlineStr"/>
    </row>
    <row r="413" ht="15" customHeight="1">
      <c r="A413" t="inlineStr">
        <is>
          <t>A 27919-2025</t>
        </is>
      </c>
      <c r="B413" s="1" t="n">
        <v>45817.48384259259</v>
      </c>
      <c r="C413" s="1" t="n">
        <v>45914</v>
      </c>
      <c r="D413" t="inlineStr">
        <is>
          <t>UPPSALA LÄN</t>
        </is>
      </c>
      <c r="E413" t="inlineStr">
        <is>
          <t>ÖSTHAMMAR</t>
        </is>
      </c>
      <c r="F413" t="inlineStr">
        <is>
          <t>Bergvik skog öst AB</t>
        </is>
      </c>
      <c r="G413" t="n">
        <v>3.5</v>
      </c>
      <c r="H413" t="n">
        <v>0</v>
      </c>
      <c r="I413" t="n">
        <v>0</v>
      </c>
      <c r="J413" t="n">
        <v>0</v>
      </c>
      <c r="K413" t="n">
        <v>0</v>
      </c>
      <c r="L413" t="n">
        <v>0</v>
      </c>
      <c r="M413" t="n">
        <v>0</v>
      </c>
      <c r="N413" t="n">
        <v>0</v>
      </c>
      <c r="O413" t="n">
        <v>0</v>
      </c>
      <c r="P413" t="n">
        <v>0</v>
      </c>
      <c r="Q413" t="n">
        <v>0</v>
      </c>
      <c r="R413" s="2" t="inlineStr"/>
    </row>
    <row r="414" ht="15" customHeight="1">
      <c r="A414" t="inlineStr">
        <is>
          <t>A 27853-2025</t>
        </is>
      </c>
      <c r="B414" s="1" t="n">
        <v>45817.40178240741</v>
      </c>
      <c r="C414" s="1" t="n">
        <v>45914</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27509-2025</t>
        </is>
      </c>
      <c r="B415" s="1" t="n">
        <v>45813.4278125</v>
      </c>
      <c r="C415" s="1" t="n">
        <v>45914</v>
      </c>
      <c r="D415" t="inlineStr">
        <is>
          <t>UPPSALA LÄN</t>
        </is>
      </c>
      <c r="E415" t="inlineStr">
        <is>
          <t>ÖSTHAMMAR</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6153-2022</t>
        </is>
      </c>
      <c r="B416" s="1" t="n">
        <v>44599</v>
      </c>
      <c r="C416" s="1" t="n">
        <v>45914</v>
      </c>
      <c r="D416" t="inlineStr">
        <is>
          <t>UPPSALA LÄN</t>
        </is>
      </c>
      <c r="E416" t="inlineStr">
        <is>
          <t>ÖSTHAMMAR</t>
        </is>
      </c>
      <c r="G416" t="n">
        <v>1.2</v>
      </c>
      <c r="H416" t="n">
        <v>0</v>
      </c>
      <c r="I416" t="n">
        <v>0</v>
      </c>
      <c r="J416" t="n">
        <v>0</v>
      </c>
      <c r="K416" t="n">
        <v>0</v>
      </c>
      <c r="L416" t="n">
        <v>0</v>
      </c>
      <c r="M416" t="n">
        <v>0</v>
      </c>
      <c r="N416" t="n">
        <v>0</v>
      </c>
      <c r="O416" t="n">
        <v>0</v>
      </c>
      <c r="P416" t="n">
        <v>0</v>
      </c>
      <c r="Q416" t="n">
        <v>0</v>
      </c>
      <c r="R416" s="2" t="inlineStr"/>
    </row>
    <row r="417" ht="15" customHeight="1">
      <c r="A417" t="inlineStr">
        <is>
          <t>A 47390-2023</t>
        </is>
      </c>
      <c r="B417" s="1" t="n">
        <v>45202</v>
      </c>
      <c r="C417" s="1" t="n">
        <v>45914</v>
      </c>
      <c r="D417" t="inlineStr">
        <is>
          <t>UPPSALA LÄN</t>
        </is>
      </c>
      <c r="E417" t="inlineStr">
        <is>
          <t>ÖSTHAMMAR</t>
        </is>
      </c>
      <c r="G417" t="n">
        <v>3.7</v>
      </c>
      <c r="H417" t="n">
        <v>0</v>
      </c>
      <c r="I417" t="n">
        <v>0</v>
      </c>
      <c r="J417" t="n">
        <v>0</v>
      </c>
      <c r="K417" t="n">
        <v>0</v>
      </c>
      <c r="L417" t="n">
        <v>0</v>
      </c>
      <c r="M417" t="n">
        <v>0</v>
      </c>
      <c r="N417" t="n">
        <v>0</v>
      </c>
      <c r="O417" t="n">
        <v>0</v>
      </c>
      <c r="P417" t="n">
        <v>0</v>
      </c>
      <c r="Q417" t="n">
        <v>0</v>
      </c>
      <c r="R417" s="2" t="inlineStr"/>
    </row>
    <row r="418" ht="15" customHeight="1">
      <c r="A418" t="inlineStr">
        <is>
          <t>A 28745-2025</t>
        </is>
      </c>
      <c r="B418" s="1" t="n">
        <v>45820.39076388889</v>
      </c>
      <c r="C418" s="1" t="n">
        <v>45914</v>
      </c>
      <c r="D418" t="inlineStr">
        <is>
          <t>UPPSALA LÄN</t>
        </is>
      </c>
      <c r="E418" t="inlineStr">
        <is>
          <t>ÖSTHAMMAR</t>
        </is>
      </c>
      <c r="G418" t="n">
        <v>1.7</v>
      </c>
      <c r="H418" t="n">
        <v>0</v>
      </c>
      <c r="I418" t="n">
        <v>0</v>
      </c>
      <c r="J418" t="n">
        <v>0</v>
      </c>
      <c r="K418" t="n">
        <v>0</v>
      </c>
      <c r="L418" t="n">
        <v>0</v>
      </c>
      <c r="M418" t="n">
        <v>0</v>
      </c>
      <c r="N418" t="n">
        <v>0</v>
      </c>
      <c r="O418" t="n">
        <v>0</v>
      </c>
      <c r="P418" t="n">
        <v>0</v>
      </c>
      <c r="Q418" t="n">
        <v>0</v>
      </c>
      <c r="R418" s="2" t="inlineStr"/>
    </row>
    <row r="419" ht="15" customHeight="1">
      <c r="A419" t="inlineStr">
        <is>
          <t>A 1800-2023</t>
        </is>
      </c>
      <c r="B419" s="1" t="n">
        <v>44938</v>
      </c>
      <c r="C419" s="1" t="n">
        <v>45914</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45914</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45914</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47341-2023</t>
        </is>
      </c>
      <c r="B422" s="1" t="n">
        <v>45202.55721064815</v>
      </c>
      <c r="C422" s="1" t="n">
        <v>45914</v>
      </c>
      <c r="D422" t="inlineStr">
        <is>
          <t>UPPSALA LÄN</t>
        </is>
      </c>
      <c r="E422" t="inlineStr">
        <is>
          <t>ÖSTHAMMAR</t>
        </is>
      </c>
      <c r="G422" t="n">
        <v>4.9</v>
      </c>
      <c r="H422" t="n">
        <v>0</v>
      </c>
      <c r="I422" t="n">
        <v>0</v>
      </c>
      <c r="J422" t="n">
        <v>0</v>
      </c>
      <c r="K422" t="n">
        <v>0</v>
      </c>
      <c r="L422" t="n">
        <v>0</v>
      </c>
      <c r="M422" t="n">
        <v>0</v>
      </c>
      <c r="N422" t="n">
        <v>0</v>
      </c>
      <c r="O422" t="n">
        <v>0</v>
      </c>
      <c r="P422" t="n">
        <v>0</v>
      </c>
      <c r="Q422" t="n">
        <v>0</v>
      </c>
      <c r="R422" s="2" t="inlineStr"/>
    </row>
    <row r="423" ht="15" customHeight="1">
      <c r="A423" t="inlineStr">
        <is>
          <t>A 23728-2025</t>
        </is>
      </c>
      <c r="B423" s="1" t="n">
        <v>45793.41719907407</v>
      </c>
      <c r="C423" s="1" t="n">
        <v>45914</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45914</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45914</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5188-2025</t>
        </is>
      </c>
      <c r="B426" s="1" t="n">
        <v>45691</v>
      </c>
      <c r="C426" s="1" t="n">
        <v>45914</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15928-2022</t>
        </is>
      </c>
      <c r="B427" s="1" t="n">
        <v>44664</v>
      </c>
      <c r="C427" s="1" t="n">
        <v>45914</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28228-2022</t>
        </is>
      </c>
      <c r="B428" s="1" t="n">
        <v>44746.65873842593</v>
      </c>
      <c r="C428" s="1" t="n">
        <v>45914</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15445-2022</t>
        </is>
      </c>
      <c r="B429" s="1" t="n">
        <v>44660.4987962963</v>
      </c>
      <c r="C429" s="1" t="n">
        <v>45914</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29029-2025</t>
        </is>
      </c>
      <c r="B430" s="1" t="n">
        <v>45821.43973379629</v>
      </c>
      <c r="C430" s="1" t="n">
        <v>45914</v>
      </c>
      <c r="D430" t="inlineStr">
        <is>
          <t>UPPSALA LÄN</t>
        </is>
      </c>
      <c r="E430" t="inlineStr">
        <is>
          <t>ÖSTHAMMAR</t>
        </is>
      </c>
      <c r="F430" t="inlineStr">
        <is>
          <t>Bergvik skog öst AB</t>
        </is>
      </c>
      <c r="G430" t="n">
        <v>4.2</v>
      </c>
      <c r="H430" t="n">
        <v>0</v>
      </c>
      <c r="I430" t="n">
        <v>0</v>
      </c>
      <c r="J430" t="n">
        <v>0</v>
      </c>
      <c r="K430" t="n">
        <v>0</v>
      </c>
      <c r="L430" t="n">
        <v>0</v>
      </c>
      <c r="M430" t="n">
        <v>0</v>
      </c>
      <c r="N430" t="n">
        <v>0</v>
      </c>
      <c r="O430" t="n">
        <v>0</v>
      </c>
      <c r="P430" t="n">
        <v>0</v>
      </c>
      <c r="Q430" t="n">
        <v>0</v>
      </c>
      <c r="R430" s="2" t="inlineStr"/>
    </row>
    <row r="431" ht="15" customHeight="1">
      <c r="A431" t="inlineStr">
        <is>
          <t>A 29028-2025</t>
        </is>
      </c>
      <c r="B431" s="1" t="n">
        <v>45821.4384375</v>
      </c>
      <c r="C431" s="1" t="n">
        <v>45914</v>
      </c>
      <c r="D431" t="inlineStr">
        <is>
          <t>UPPSALA LÄN</t>
        </is>
      </c>
      <c r="E431" t="inlineStr">
        <is>
          <t>ÖSTHAMMAR</t>
        </is>
      </c>
      <c r="F431" t="inlineStr">
        <is>
          <t>Bergvik skog öst AB</t>
        </is>
      </c>
      <c r="G431" t="n">
        <v>1.7</v>
      </c>
      <c r="H431" t="n">
        <v>0</v>
      </c>
      <c r="I431" t="n">
        <v>0</v>
      </c>
      <c r="J431" t="n">
        <v>0</v>
      </c>
      <c r="K431" t="n">
        <v>0</v>
      </c>
      <c r="L431" t="n">
        <v>0</v>
      </c>
      <c r="M431" t="n">
        <v>0</v>
      </c>
      <c r="N431" t="n">
        <v>0</v>
      </c>
      <c r="O431" t="n">
        <v>0</v>
      </c>
      <c r="P431" t="n">
        <v>0</v>
      </c>
      <c r="Q431" t="n">
        <v>0</v>
      </c>
      <c r="R431" s="2" t="inlineStr"/>
    </row>
    <row r="432" ht="15" customHeight="1">
      <c r="A432" t="inlineStr">
        <is>
          <t>A 29031-2025</t>
        </is>
      </c>
      <c r="B432" s="1" t="n">
        <v>45821.44159722222</v>
      </c>
      <c r="C432" s="1" t="n">
        <v>45914</v>
      </c>
      <c r="D432" t="inlineStr">
        <is>
          <t>UPPSALA LÄN</t>
        </is>
      </c>
      <c r="E432" t="inlineStr">
        <is>
          <t>ÖSTHAMMAR</t>
        </is>
      </c>
      <c r="F432" t="inlineStr">
        <is>
          <t>Bergvik skog öst AB</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27490-2025</t>
        </is>
      </c>
      <c r="B433" s="1" t="n">
        <v>45813.39273148148</v>
      </c>
      <c r="C433" s="1" t="n">
        <v>45914</v>
      </c>
      <c r="D433" t="inlineStr">
        <is>
          <t>UPPSALA LÄN</t>
        </is>
      </c>
      <c r="E433" t="inlineStr">
        <is>
          <t>ÖSTHAMMAR</t>
        </is>
      </c>
      <c r="F433" t="inlineStr">
        <is>
          <t>Bergvik skog öst AB</t>
        </is>
      </c>
      <c r="G433" t="n">
        <v>6.1</v>
      </c>
      <c r="H433" t="n">
        <v>0</v>
      </c>
      <c r="I433" t="n">
        <v>0</v>
      </c>
      <c r="J433" t="n">
        <v>0</v>
      </c>
      <c r="K433" t="n">
        <v>0</v>
      </c>
      <c r="L433" t="n">
        <v>0</v>
      </c>
      <c r="M433" t="n">
        <v>0</v>
      </c>
      <c r="N433" t="n">
        <v>0</v>
      </c>
      <c r="O433" t="n">
        <v>0</v>
      </c>
      <c r="P433" t="n">
        <v>0</v>
      </c>
      <c r="Q433" t="n">
        <v>0</v>
      </c>
      <c r="R433" s="2" t="inlineStr"/>
    </row>
    <row r="434" ht="15" customHeight="1">
      <c r="A434" t="inlineStr">
        <is>
          <t>A 27494-2025</t>
        </is>
      </c>
      <c r="B434" s="1" t="n">
        <v>45813.39756944445</v>
      </c>
      <c r="C434" s="1" t="n">
        <v>45914</v>
      </c>
      <c r="D434" t="inlineStr">
        <is>
          <t>UPPSALA LÄN</t>
        </is>
      </c>
      <c r="E434" t="inlineStr">
        <is>
          <t>ÖSTHAMMAR</t>
        </is>
      </c>
      <c r="F434" t="inlineStr">
        <is>
          <t>Bergvik skog öst AB</t>
        </is>
      </c>
      <c r="G434" t="n">
        <v>23.4</v>
      </c>
      <c r="H434" t="n">
        <v>0</v>
      </c>
      <c r="I434" t="n">
        <v>0</v>
      </c>
      <c r="J434" t="n">
        <v>0</v>
      </c>
      <c r="K434" t="n">
        <v>0</v>
      </c>
      <c r="L434" t="n">
        <v>0</v>
      </c>
      <c r="M434" t="n">
        <v>0</v>
      </c>
      <c r="N434" t="n">
        <v>0</v>
      </c>
      <c r="O434" t="n">
        <v>0</v>
      </c>
      <c r="P434" t="n">
        <v>0</v>
      </c>
      <c r="Q434" t="n">
        <v>0</v>
      </c>
      <c r="R434" s="2" t="inlineStr"/>
    </row>
    <row r="435" ht="15" customHeight="1">
      <c r="A435" t="inlineStr">
        <is>
          <t>A 10275-2025</t>
        </is>
      </c>
      <c r="B435" s="1" t="n">
        <v>45720.39715277778</v>
      </c>
      <c r="C435" s="1" t="n">
        <v>45914</v>
      </c>
      <c r="D435" t="inlineStr">
        <is>
          <t>UPPSALA LÄN</t>
        </is>
      </c>
      <c r="E435" t="inlineStr">
        <is>
          <t>ÖSTHAMMAR</t>
        </is>
      </c>
      <c r="G435" t="n">
        <v>6.2</v>
      </c>
      <c r="H435" t="n">
        <v>0</v>
      </c>
      <c r="I435" t="n">
        <v>0</v>
      </c>
      <c r="J435" t="n">
        <v>0</v>
      </c>
      <c r="K435" t="n">
        <v>0</v>
      </c>
      <c r="L435" t="n">
        <v>0</v>
      </c>
      <c r="M435" t="n">
        <v>0</v>
      </c>
      <c r="N435" t="n">
        <v>0</v>
      </c>
      <c r="O435" t="n">
        <v>0</v>
      </c>
      <c r="P435" t="n">
        <v>0</v>
      </c>
      <c r="Q435" t="n">
        <v>0</v>
      </c>
      <c r="R435" s="2" t="inlineStr"/>
    </row>
    <row r="436" ht="15" customHeight="1">
      <c r="A436" t="inlineStr">
        <is>
          <t>A 29384-2025</t>
        </is>
      </c>
      <c r="B436" s="1" t="n">
        <v>45824</v>
      </c>
      <c r="C436" s="1" t="n">
        <v>45914</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29024-2025</t>
        </is>
      </c>
      <c r="B437" s="1" t="n">
        <v>45821.43233796296</v>
      </c>
      <c r="C437" s="1" t="n">
        <v>45914</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61216-2022</t>
        </is>
      </c>
      <c r="B438" s="1" t="n">
        <v>44915.55423611111</v>
      </c>
      <c r="C438" s="1" t="n">
        <v>45914</v>
      </c>
      <c r="D438" t="inlineStr">
        <is>
          <t>UPPSALA LÄN</t>
        </is>
      </c>
      <c r="E438" t="inlineStr">
        <is>
          <t>ÖSTHAMMAR</t>
        </is>
      </c>
      <c r="G438" t="n">
        <v>2.9</v>
      </c>
      <c r="H438" t="n">
        <v>0</v>
      </c>
      <c r="I438" t="n">
        <v>0</v>
      </c>
      <c r="J438" t="n">
        <v>0</v>
      </c>
      <c r="K438" t="n">
        <v>0</v>
      </c>
      <c r="L438" t="n">
        <v>0</v>
      </c>
      <c r="M438" t="n">
        <v>0</v>
      </c>
      <c r="N438" t="n">
        <v>0</v>
      </c>
      <c r="O438" t="n">
        <v>0</v>
      </c>
      <c r="P438" t="n">
        <v>0</v>
      </c>
      <c r="Q438" t="n">
        <v>0</v>
      </c>
      <c r="R438" s="2" t="inlineStr"/>
    </row>
    <row r="439" ht="15" customHeight="1">
      <c r="A439" t="inlineStr">
        <is>
          <t>A 14124-2022</t>
        </is>
      </c>
      <c r="B439" s="1" t="n">
        <v>44651.40924768519</v>
      </c>
      <c r="C439" s="1" t="n">
        <v>45914</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37812-2022</t>
        </is>
      </c>
      <c r="B440" s="1" t="n">
        <v>44810</v>
      </c>
      <c r="C440" s="1" t="n">
        <v>45914</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70008-2021</t>
        </is>
      </c>
      <c r="B441" s="1" t="n">
        <v>44533.44887731481</v>
      </c>
      <c r="C441" s="1" t="n">
        <v>45914</v>
      </c>
      <c r="D441" t="inlineStr">
        <is>
          <t>UPPSALA LÄN</t>
        </is>
      </c>
      <c r="E441" t="inlineStr">
        <is>
          <t>ÖSTHAMMAR</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29775-2025</t>
        </is>
      </c>
      <c r="B442" s="1" t="n">
        <v>45825.63803240741</v>
      </c>
      <c r="C442" s="1" t="n">
        <v>45914</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19501-2025</t>
        </is>
      </c>
      <c r="B443" s="1" t="n">
        <v>45770.4015625</v>
      </c>
      <c r="C443" s="1" t="n">
        <v>45914</v>
      </c>
      <c r="D443" t="inlineStr">
        <is>
          <t>UPPSALA LÄN</t>
        </is>
      </c>
      <c r="E443" t="inlineStr">
        <is>
          <t>ÖSTHAMMAR</t>
        </is>
      </c>
      <c r="F443" t="inlineStr">
        <is>
          <t>Övriga Aktiebolag</t>
        </is>
      </c>
      <c r="G443" t="n">
        <v>17.3</v>
      </c>
      <c r="H443" t="n">
        <v>0</v>
      </c>
      <c r="I443" t="n">
        <v>0</v>
      </c>
      <c r="J443" t="n">
        <v>0</v>
      </c>
      <c r="K443" t="n">
        <v>0</v>
      </c>
      <c r="L443" t="n">
        <v>0</v>
      </c>
      <c r="M443" t="n">
        <v>0</v>
      </c>
      <c r="N443" t="n">
        <v>0</v>
      </c>
      <c r="O443" t="n">
        <v>0</v>
      </c>
      <c r="P443" t="n">
        <v>0</v>
      </c>
      <c r="Q443" t="n">
        <v>0</v>
      </c>
      <c r="R443" s="2" t="inlineStr"/>
    </row>
    <row r="444" ht="15" customHeight="1">
      <c r="A444" t="inlineStr">
        <is>
          <t>A 41821-2023</t>
        </is>
      </c>
      <c r="B444" s="1" t="n">
        <v>45176</v>
      </c>
      <c r="C444" s="1" t="n">
        <v>45914</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32742-2022</t>
        </is>
      </c>
      <c r="B445" s="1" t="n">
        <v>44783.69886574074</v>
      </c>
      <c r="C445" s="1" t="n">
        <v>45914</v>
      </c>
      <c r="D445" t="inlineStr">
        <is>
          <t>UPPSALA LÄN</t>
        </is>
      </c>
      <c r="E445" t="inlineStr">
        <is>
          <t>ÖSTHAMMAR</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41308-2023</t>
        </is>
      </c>
      <c r="B446" s="1" t="n">
        <v>45174.62788194444</v>
      </c>
      <c r="C446" s="1" t="n">
        <v>45914</v>
      </c>
      <c r="D446" t="inlineStr">
        <is>
          <t>UPPSALA LÄN</t>
        </is>
      </c>
      <c r="E446" t="inlineStr">
        <is>
          <t>ÖSTHAMMAR</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49833-2023</t>
        </is>
      </c>
      <c r="B447" s="1" t="n">
        <v>45212.71481481481</v>
      </c>
      <c r="C447" s="1" t="n">
        <v>45914</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17433-2025</t>
        </is>
      </c>
      <c r="B448" s="1" t="n">
        <v>45757.40733796296</v>
      </c>
      <c r="C448" s="1" t="n">
        <v>45914</v>
      </c>
      <c r="D448" t="inlineStr">
        <is>
          <t>UPPSALA LÄN</t>
        </is>
      </c>
      <c r="E448" t="inlineStr">
        <is>
          <t>ÖSTHAMMAR</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45550-2023</t>
        </is>
      </c>
      <c r="B449" s="1" t="n">
        <v>45194.57125</v>
      </c>
      <c r="C449" s="1" t="n">
        <v>45914</v>
      </c>
      <c r="D449" t="inlineStr">
        <is>
          <t>UPPSALA LÄN</t>
        </is>
      </c>
      <c r="E449" t="inlineStr">
        <is>
          <t>ÖSTHAMMAR</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2733-2023</t>
        </is>
      </c>
      <c r="B450" s="1" t="n">
        <v>44943</v>
      </c>
      <c r="C450" s="1" t="n">
        <v>45914</v>
      </c>
      <c r="D450" t="inlineStr">
        <is>
          <t>UPPSALA LÄN</t>
        </is>
      </c>
      <c r="E450" t="inlineStr">
        <is>
          <t>ÖSTHAMMAR</t>
        </is>
      </c>
      <c r="G450" t="n">
        <v>2.6</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45914</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5189-2025</t>
        </is>
      </c>
      <c r="B452" s="1" t="n">
        <v>45691</v>
      </c>
      <c r="C452" s="1" t="n">
        <v>45914</v>
      </c>
      <c r="D452" t="inlineStr">
        <is>
          <t>UPPSALA LÄN</t>
        </is>
      </c>
      <c r="E452" t="inlineStr">
        <is>
          <t>ÖSTHAMMAR</t>
        </is>
      </c>
      <c r="F452" t="inlineStr">
        <is>
          <t>Bergvik skog öst AB</t>
        </is>
      </c>
      <c r="G452" t="n">
        <v>24.4</v>
      </c>
      <c r="H452" t="n">
        <v>0</v>
      </c>
      <c r="I452" t="n">
        <v>0</v>
      </c>
      <c r="J452" t="n">
        <v>0</v>
      </c>
      <c r="K452" t="n">
        <v>0</v>
      </c>
      <c r="L452" t="n">
        <v>0</v>
      </c>
      <c r="M452" t="n">
        <v>0</v>
      </c>
      <c r="N452" t="n">
        <v>0</v>
      </c>
      <c r="O452" t="n">
        <v>0</v>
      </c>
      <c r="P452" t="n">
        <v>0</v>
      </c>
      <c r="Q452" t="n">
        <v>0</v>
      </c>
      <c r="R452" s="2" t="inlineStr"/>
    </row>
    <row r="453" ht="15" customHeight="1">
      <c r="A453" t="inlineStr">
        <is>
          <t>A 30244-2025</t>
        </is>
      </c>
      <c r="B453" s="1" t="n">
        <v>45827.40902777778</v>
      </c>
      <c r="C453" s="1" t="n">
        <v>45914</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53137-2020</t>
        </is>
      </c>
      <c r="B454" s="1" t="n">
        <v>44120</v>
      </c>
      <c r="C454" s="1" t="n">
        <v>45914</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45914</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56089-2020</t>
        </is>
      </c>
      <c r="B456" s="1" t="n">
        <v>44133</v>
      </c>
      <c r="C456" s="1" t="n">
        <v>45914</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12812-2024</t>
        </is>
      </c>
      <c r="B457" s="1" t="n">
        <v>45384.65465277778</v>
      </c>
      <c r="C457" s="1" t="n">
        <v>45914</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17931-2025</t>
        </is>
      </c>
      <c r="B458" s="1" t="n">
        <v>45759.56894675926</v>
      </c>
      <c r="C458" s="1" t="n">
        <v>45914</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17938-2025</t>
        </is>
      </c>
      <c r="B459" s="1" t="n">
        <v>45760.55626157407</v>
      </c>
      <c r="C459" s="1" t="n">
        <v>45914</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30503-2025</t>
        </is>
      </c>
      <c r="B460" s="1" t="n">
        <v>45830.8500462963</v>
      </c>
      <c r="C460" s="1" t="n">
        <v>45914</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8791-2025</t>
        </is>
      </c>
      <c r="B461" s="1" t="n">
        <v>45712</v>
      </c>
      <c r="C461" s="1" t="n">
        <v>45914</v>
      </c>
      <c r="D461" t="inlineStr">
        <is>
          <t>UPPSALA LÄN</t>
        </is>
      </c>
      <c r="E461" t="inlineStr">
        <is>
          <t>ÖSTHAMMAR</t>
        </is>
      </c>
      <c r="G461" t="n">
        <v>0.6</v>
      </c>
      <c r="H461" t="n">
        <v>0</v>
      </c>
      <c r="I461" t="n">
        <v>0</v>
      </c>
      <c r="J461" t="n">
        <v>0</v>
      </c>
      <c r="K461" t="n">
        <v>0</v>
      </c>
      <c r="L461" t="n">
        <v>0</v>
      </c>
      <c r="M461" t="n">
        <v>0</v>
      </c>
      <c r="N461" t="n">
        <v>0</v>
      </c>
      <c r="O461" t="n">
        <v>0</v>
      </c>
      <c r="P461" t="n">
        <v>0</v>
      </c>
      <c r="Q461" t="n">
        <v>0</v>
      </c>
      <c r="R461" s="2" t="inlineStr"/>
    </row>
    <row r="462" ht="15" customHeight="1">
      <c r="A462" t="inlineStr">
        <is>
          <t>A 26552-2022</t>
        </is>
      </c>
      <c r="B462" s="1" t="n">
        <v>44739</v>
      </c>
      <c r="C462" s="1" t="n">
        <v>45914</v>
      </c>
      <c r="D462" t="inlineStr">
        <is>
          <t>UPPSALA LÄN</t>
        </is>
      </c>
      <c r="E462" t="inlineStr">
        <is>
          <t>ÖSTHAMMAR</t>
        </is>
      </c>
      <c r="G462" t="n">
        <v>2.2</v>
      </c>
      <c r="H462" t="n">
        <v>0</v>
      </c>
      <c r="I462" t="n">
        <v>0</v>
      </c>
      <c r="J462" t="n">
        <v>0</v>
      </c>
      <c r="K462" t="n">
        <v>0</v>
      </c>
      <c r="L462" t="n">
        <v>0</v>
      </c>
      <c r="M462" t="n">
        <v>0</v>
      </c>
      <c r="N462" t="n">
        <v>0</v>
      </c>
      <c r="O462" t="n">
        <v>0</v>
      </c>
      <c r="P462" t="n">
        <v>0</v>
      </c>
      <c r="Q462" t="n">
        <v>0</v>
      </c>
      <c r="R462" s="2" t="inlineStr"/>
    </row>
    <row r="463" ht="15" customHeight="1">
      <c r="A463" t="inlineStr">
        <is>
          <t>A 36643-2025</t>
        </is>
      </c>
      <c r="B463" s="1" t="n">
        <v>45872.47782407407</v>
      </c>
      <c r="C463" s="1" t="n">
        <v>45914</v>
      </c>
      <c r="D463" t="inlineStr">
        <is>
          <t>UPPSALA LÄN</t>
        </is>
      </c>
      <c r="E463" t="inlineStr">
        <is>
          <t>ÖSTHAMMAR</t>
        </is>
      </c>
      <c r="F463" t="inlineStr">
        <is>
          <t>Bergvik skog öst AB</t>
        </is>
      </c>
      <c r="G463" t="n">
        <v>15.1</v>
      </c>
      <c r="H463" t="n">
        <v>0</v>
      </c>
      <c r="I463" t="n">
        <v>0</v>
      </c>
      <c r="J463" t="n">
        <v>0</v>
      </c>
      <c r="K463" t="n">
        <v>0</v>
      </c>
      <c r="L463" t="n">
        <v>0</v>
      </c>
      <c r="M463" t="n">
        <v>0</v>
      </c>
      <c r="N463" t="n">
        <v>0</v>
      </c>
      <c r="O463" t="n">
        <v>0</v>
      </c>
      <c r="P463" t="n">
        <v>0</v>
      </c>
      <c r="Q463" t="n">
        <v>0</v>
      </c>
      <c r="R463" s="2" t="inlineStr"/>
    </row>
    <row r="464" ht="15" customHeight="1">
      <c r="A464" t="inlineStr">
        <is>
          <t>A 36644-2025</t>
        </is>
      </c>
      <c r="B464" s="1" t="n">
        <v>45872.48738425926</v>
      </c>
      <c r="C464" s="1" t="n">
        <v>45914</v>
      </c>
      <c r="D464" t="inlineStr">
        <is>
          <t>UPPSALA LÄN</t>
        </is>
      </c>
      <c r="E464" t="inlineStr">
        <is>
          <t>ÖSTHAMMAR</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7216-2025</t>
        </is>
      </c>
      <c r="B465" s="1" t="n">
        <v>45702.47630787037</v>
      </c>
      <c r="C465" s="1" t="n">
        <v>45914</v>
      </c>
      <c r="D465" t="inlineStr">
        <is>
          <t>UPPSALA LÄN</t>
        </is>
      </c>
      <c r="E465" t="inlineStr">
        <is>
          <t>ÖSTHAMMAR</t>
        </is>
      </c>
      <c r="F465" t="inlineStr">
        <is>
          <t>Övriga Aktiebolag</t>
        </is>
      </c>
      <c r="G465" t="n">
        <v>12.5</v>
      </c>
      <c r="H465" t="n">
        <v>0</v>
      </c>
      <c r="I465" t="n">
        <v>0</v>
      </c>
      <c r="J465" t="n">
        <v>0</v>
      </c>
      <c r="K465" t="n">
        <v>0</v>
      </c>
      <c r="L465" t="n">
        <v>0</v>
      </c>
      <c r="M465" t="n">
        <v>0</v>
      </c>
      <c r="N465" t="n">
        <v>0</v>
      </c>
      <c r="O465" t="n">
        <v>0</v>
      </c>
      <c r="P465" t="n">
        <v>0</v>
      </c>
      <c r="Q465" t="n">
        <v>0</v>
      </c>
      <c r="R465" s="2" t="inlineStr"/>
    </row>
    <row r="466" ht="15" customHeight="1">
      <c r="A466" t="inlineStr">
        <is>
          <t>A 31137-2022</t>
        </is>
      </c>
      <c r="B466" s="1" t="n">
        <v>44770.42166666667</v>
      </c>
      <c r="C466" s="1" t="n">
        <v>45914</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30610-2025</t>
        </is>
      </c>
      <c r="B467" s="1" t="n">
        <v>45831.45965277778</v>
      </c>
      <c r="C467" s="1" t="n">
        <v>45914</v>
      </c>
      <c r="D467" t="inlineStr">
        <is>
          <t>UPPSALA LÄN</t>
        </is>
      </c>
      <c r="E467" t="inlineStr">
        <is>
          <t>ÖSTHAMMAR</t>
        </is>
      </c>
      <c r="G467" t="n">
        <v>0.2</v>
      </c>
      <c r="H467" t="n">
        <v>0</v>
      </c>
      <c r="I467" t="n">
        <v>0</v>
      </c>
      <c r="J467" t="n">
        <v>0</v>
      </c>
      <c r="K467" t="n">
        <v>0</v>
      </c>
      <c r="L467" t="n">
        <v>0</v>
      </c>
      <c r="M467" t="n">
        <v>0</v>
      </c>
      <c r="N467" t="n">
        <v>0</v>
      </c>
      <c r="O467" t="n">
        <v>0</v>
      </c>
      <c r="P467" t="n">
        <v>0</v>
      </c>
      <c r="Q467" t="n">
        <v>0</v>
      </c>
      <c r="R467" s="2" t="inlineStr"/>
    </row>
    <row r="468" ht="15" customHeight="1">
      <c r="A468" t="inlineStr">
        <is>
          <t>A 31574-2022</t>
        </is>
      </c>
      <c r="B468" s="1" t="n">
        <v>44775</v>
      </c>
      <c r="C468" s="1" t="n">
        <v>45914</v>
      </c>
      <c r="D468" t="inlineStr">
        <is>
          <t>UPPSALA LÄN</t>
        </is>
      </c>
      <c r="E468" t="inlineStr">
        <is>
          <t>ÖSTHAMMAR</t>
        </is>
      </c>
      <c r="G468" t="n">
        <v>29.7</v>
      </c>
      <c r="H468" t="n">
        <v>0</v>
      </c>
      <c r="I468" t="n">
        <v>0</v>
      </c>
      <c r="J468" t="n">
        <v>0</v>
      </c>
      <c r="K468" t="n">
        <v>0</v>
      </c>
      <c r="L468" t="n">
        <v>0</v>
      </c>
      <c r="M468" t="n">
        <v>0</v>
      </c>
      <c r="N468" t="n">
        <v>0</v>
      </c>
      <c r="O468" t="n">
        <v>0</v>
      </c>
      <c r="P468" t="n">
        <v>0</v>
      </c>
      <c r="Q468" t="n">
        <v>0</v>
      </c>
      <c r="R468" s="2" t="inlineStr"/>
    </row>
    <row r="469" ht="15" customHeight="1">
      <c r="A469" t="inlineStr">
        <is>
          <t>A 31579-2025</t>
        </is>
      </c>
      <c r="B469" s="1" t="n">
        <v>45833.68211805556</v>
      </c>
      <c r="C469" s="1" t="n">
        <v>45914</v>
      </c>
      <c r="D469" t="inlineStr">
        <is>
          <t>UPPSALA LÄN</t>
        </is>
      </c>
      <c r="E469" t="inlineStr">
        <is>
          <t>ÖSTHAMMAR</t>
        </is>
      </c>
      <c r="G469" t="n">
        <v>1.5</v>
      </c>
      <c r="H469" t="n">
        <v>0</v>
      </c>
      <c r="I469" t="n">
        <v>0</v>
      </c>
      <c r="J469" t="n">
        <v>0</v>
      </c>
      <c r="K469" t="n">
        <v>0</v>
      </c>
      <c r="L469" t="n">
        <v>0</v>
      </c>
      <c r="M469" t="n">
        <v>0</v>
      </c>
      <c r="N469" t="n">
        <v>0</v>
      </c>
      <c r="O469" t="n">
        <v>0</v>
      </c>
      <c r="P469" t="n">
        <v>0</v>
      </c>
      <c r="Q469" t="n">
        <v>0</v>
      </c>
      <c r="R469" s="2" t="inlineStr"/>
    </row>
    <row r="470" ht="15" customHeight="1">
      <c r="A470" t="inlineStr">
        <is>
          <t>A 31360-2025</t>
        </is>
      </c>
      <c r="B470" s="1" t="n">
        <v>45833.43527777777</v>
      </c>
      <c r="C470" s="1" t="n">
        <v>45914</v>
      </c>
      <c r="D470" t="inlineStr">
        <is>
          <t>UPPSALA LÄN</t>
        </is>
      </c>
      <c r="E470" t="inlineStr">
        <is>
          <t>ÖSTHAMMAR</t>
        </is>
      </c>
      <c r="G470" t="n">
        <v>1.1</v>
      </c>
      <c r="H470" t="n">
        <v>0</v>
      </c>
      <c r="I470" t="n">
        <v>0</v>
      </c>
      <c r="J470" t="n">
        <v>0</v>
      </c>
      <c r="K470" t="n">
        <v>0</v>
      </c>
      <c r="L470" t="n">
        <v>0</v>
      </c>
      <c r="M470" t="n">
        <v>0</v>
      </c>
      <c r="N470" t="n">
        <v>0</v>
      </c>
      <c r="O470" t="n">
        <v>0</v>
      </c>
      <c r="P470" t="n">
        <v>0</v>
      </c>
      <c r="Q470" t="n">
        <v>0</v>
      </c>
      <c r="R470" s="2" t="inlineStr"/>
    </row>
    <row r="471" ht="15" customHeight="1">
      <c r="A471" t="inlineStr">
        <is>
          <t>A 18094-2025</t>
        </is>
      </c>
      <c r="B471" s="1" t="n">
        <v>45761.54710648148</v>
      </c>
      <c r="C471" s="1" t="n">
        <v>45914</v>
      </c>
      <c r="D471" t="inlineStr">
        <is>
          <t>UPPSALA LÄN</t>
        </is>
      </c>
      <c r="E471" t="inlineStr">
        <is>
          <t>ÖSTHAMMAR</t>
        </is>
      </c>
      <c r="F471" t="inlineStr">
        <is>
          <t>Bergvik skog öst AB</t>
        </is>
      </c>
      <c r="G471" t="n">
        <v>6.5</v>
      </c>
      <c r="H471" t="n">
        <v>0</v>
      </c>
      <c r="I471" t="n">
        <v>0</v>
      </c>
      <c r="J471" t="n">
        <v>0</v>
      </c>
      <c r="K471" t="n">
        <v>0</v>
      </c>
      <c r="L471" t="n">
        <v>0</v>
      </c>
      <c r="M471" t="n">
        <v>0</v>
      </c>
      <c r="N471" t="n">
        <v>0</v>
      </c>
      <c r="O471" t="n">
        <v>0</v>
      </c>
      <c r="P471" t="n">
        <v>0</v>
      </c>
      <c r="Q471" t="n">
        <v>0</v>
      </c>
      <c r="R471" s="2" t="inlineStr"/>
    </row>
    <row r="472" ht="15" customHeight="1">
      <c r="A472" t="inlineStr">
        <is>
          <t>A 8902-2025</t>
        </is>
      </c>
      <c r="B472" s="1" t="n">
        <v>45713.41503472222</v>
      </c>
      <c r="C472" s="1" t="n">
        <v>45914</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8904-2025</t>
        </is>
      </c>
      <c r="B473" s="1" t="n">
        <v>45713.41577546296</v>
      </c>
      <c r="C473" s="1" t="n">
        <v>45914</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31249-2025</t>
        </is>
      </c>
      <c r="B474" s="1" t="n">
        <v>45832.89476851852</v>
      </c>
      <c r="C474" s="1" t="n">
        <v>45914</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44815-2022</t>
        </is>
      </c>
      <c r="B475" s="1" t="n">
        <v>44841.40452546296</v>
      </c>
      <c r="C475" s="1" t="n">
        <v>45914</v>
      </c>
      <c r="D475" t="inlineStr">
        <is>
          <t>UPPSALA LÄN</t>
        </is>
      </c>
      <c r="E475" t="inlineStr">
        <is>
          <t>ÖSTHAMMAR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31896-2025</t>
        </is>
      </c>
      <c r="B476" s="1" t="n">
        <v>45834.67556712963</v>
      </c>
      <c r="C476" s="1" t="n">
        <v>45914</v>
      </c>
      <c r="D476" t="inlineStr">
        <is>
          <t>UPPSALA LÄN</t>
        </is>
      </c>
      <c r="E476" t="inlineStr">
        <is>
          <t>ÖSTHAMMAR</t>
        </is>
      </c>
      <c r="G476" t="n">
        <v>4.1</v>
      </c>
      <c r="H476" t="n">
        <v>0</v>
      </c>
      <c r="I476" t="n">
        <v>0</v>
      </c>
      <c r="J476" t="n">
        <v>0</v>
      </c>
      <c r="K476" t="n">
        <v>0</v>
      </c>
      <c r="L476" t="n">
        <v>0</v>
      </c>
      <c r="M476" t="n">
        <v>0</v>
      </c>
      <c r="N476" t="n">
        <v>0</v>
      </c>
      <c r="O476" t="n">
        <v>0</v>
      </c>
      <c r="P476" t="n">
        <v>0</v>
      </c>
      <c r="Q476" t="n">
        <v>0</v>
      </c>
      <c r="R476" s="2" t="inlineStr"/>
    </row>
    <row r="477" ht="15" customHeight="1">
      <c r="A477" t="inlineStr">
        <is>
          <t>A 29753-2022</t>
        </is>
      </c>
      <c r="B477" s="1" t="n">
        <v>44755</v>
      </c>
      <c r="C477" s="1" t="n">
        <v>45914</v>
      </c>
      <c r="D477" t="inlineStr">
        <is>
          <t>UPPSALA LÄN</t>
        </is>
      </c>
      <c r="E477" t="inlineStr">
        <is>
          <t>ÖSTHAMMAR</t>
        </is>
      </c>
      <c r="G477" t="n">
        <v>9.4</v>
      </c>
      <c r="H477" t="n">
        <v>0</v>
      </c>
      <c r="I477" t="n">
        <v>0</v>
      </c>
      <c r="J477" t="n">
        <v>0</v>
      </c>
      <c r="K477" t="n">
        <v>0</v>
      </c>
      <c r="L477" t="n">
        <v>0</v>
      </c>
      <c r="M477" t="n">
        <v>0</v>
      </c>
      <c r="N477" t="n">
        <v>0</v>
      </c>
      <c r="O477" t="n">
        <v>0</v>
      </c>
      <c r="P477" t="n">
        <v>0</v>
      </c>
      <c r="Q477" t="n">
        <v>0</v>
      </c>
      <c r="R477" s="2" t="inlineStr"/>
    </row>
    <row r="478" ht="15" customHeight="1">
      <c r="A478" t="inlineStr">
        <is>
          <t>A 24181-2022</t>
        </is>
      </c>
      <c r="B478" s="1" t="n">
        <v>44725</v>
      </c>
      <c r="C478" s="1" t="n">
        <v>45914</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4096-2025</t>
        </is>
      </c>
      <c r="B479" s="1" t="n">
        <v>45684</v>
      </c>
      <c r="C479" s="1" t="n">
        <v>45914</v>
      </c>
      <c r="D479" t="inlineStr">
        <is>
          <t>UPPSALA LÄN</t>
        </is>
      </c>
      <c r="E479" t="inlineStr">
        <is>
          <t>ÖSTHAMMAR</t>
        </is>
      </c>
      <c r="G479" t="n">
        <v>2</v>
      </c>
      <c r="H479" t="n">
        <v>0</v>
      </c>
      <c r="I479" t="n">
        <v>0</v>
      </c>
      <c r="J479" t="n">
        <v>0</v>
      </c>
      <c r="K479" t="n">
        <v>0</v>
      </c>
      <c r="L479" t="n">
        <v>0</v>
      </c>
      <c r="M479" t="n">
        <v>0</v>
      </c>
      <c r="N479" t="n">
        <v>0</v>
      </c>
      <c r="O479" t="n">
        <v>0</v>
      </c>
      <c r="P479" t="n">
        <v>0</v>
      </c>
      <c r="Q479" t="n">
        <v>0</v>
      </c>
      <c r="R479" s="2" t="inlineStr"/>
    </row>
    <row r="480" ht="15" customHeight="1">
      <c r="A480" t="inlineStr">
        <is>
          <t>A 22884-2024</t>
        </is>
      </c>
      <c r="B480" s="1" t="n">
        <v>45448</v>
      </c>
      <c r="C480" s="1" t="n">
        <v>45914</v>
      </c>
      <c r="D480" t="inlineStr">
        <is>
          <t>UPPSALA LÄN</t>
        </is>
      </c>
      <c r="E480" t="inlineStr">
        <is>
          <t>ÖSTHAMMAR</t>
        </is>
      </c>
      <c r="G480" t="n">
        <v>3.3</v>
      </c>
      <c r="H480" t="n">
        <v>0</v>
      </c>
      <c r="I480" t="n">
        <v>0</v>
      </c>
      <c r="J480" t="n">
        <v>0</v>
      </c>
      <c r="K480" t="n">
        <v>0</v>
      </c>
      <c r="L480" t="n">
        <v>0</v>
      </c>
      <c r="M480" t="n">
        <v>0</v>
      </c>
      <c r="N480" t="n">
        <v>0</v>
      </c>
      <c r="O480" t="n">
        <v>0</v>
      </c>
      <c r="P480" t="n">
        <v>0</v>
      </c>
      <c r="Q480" t="n">
        <v>0</v>
      </c>
      <c r="R480" s="2" t="inlineStr"/>
    </row>
    <row r="481" ht="15" customHeight="1">
      <c r="A481" t="inlineStr">
        <is>
          <t>A 20072-2025</t>
        </is>
      </c>
      <c r="B481" s="1" t="n">
        <v>45772</v>
      </c>
      <c r="C481" s="1" t="n">
        <v>45914</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52629-2023</t>
        </is>
      </c>
      <c r="B482" s="1" t="n">
        <v>45225</v>
      </c>
      <c r="C482" s="1" t="n">
        <v>45914</v>
      </c>
      <c r="D482" t="inlineStr">
        <is>
          <t>UPPSALA LÄN</t>
        </is>
      </c>
      <c r="E482" t="inlineStr">
        <is>
          <t>ÖSTHAMMAR</t>
        </is>
      </c>
      <c r="G482" t="n">
        <v>1.2</v>
      </c>
      <c r="H482" t="n">
        <v>0</v>
      </c>
      <c r="I482" t="n">
        <v>0</v>
      </c>
      <c r="J482" t="n">
        <v>0</v>
      </c>
      <c r="K482" t="n">
        <v>0</v>
      </c>
      <c r="L482" t="n">
        <v>0</v>
      </c>
      <c r="M482" t="n">
        <v>0</v>
      </c>
      <c r="N482" t="n">
        <v>0</v>
      </c>
      <c r="O482" t="n">
        <v>0</v>
      </c>
      <c r="P482" t="n">
        <v>0</v>
      </c>
      <c r="Q482" t="n">
        <v>0</v>
      </c>
      <c r="R482" s="2" t="inlineStr"/>
    </row>
    <row r="483" ht="15" customHeight="1">
      <c r="A483" t="inlineStr">
        <is>
          <t>A 8874-2025</t>
        </is>
      </c>
      <c r="B483" s="1" t="n">
        <v>45713</v>
      </c>
      <c r="C483" s="1" t="n">
        <v>45914</v>
      </c>
      <c r="D483" t="inlineStr">
        <is>
          <t>UPPSALA LÄN</t>
        </is>
      </c>
      <c r="E483" t="inlineStr">
        <is>
          <t>ÖSTHAMMAR</t>
        </is>
      </c>
      <c r="G483" t="n">
        <v>6.3</v>
      </c>
      <c r="H483" t="n">
        <v>0</v>
      </c>
      <c r="I483" t="n">
        <v>0</v>
      </c>
      <c r="J483" t="n">
        <v>0</v>
      </c>
      <c r="K483" t="n">
        <v>0</v>
      </c>
      <c r="L483" t="n">
        <v>0</v>
      </c>
      <c r="M483" t="n">
        <v>0</v>
      </c>
      <c r="N483" t="n">
        <v>0</v>
      </c>
      <c r="O483" t="n">
        <v>0</v>
      </c>
      <c r="P483" t="n">
        <v>0</v>
      </c>
      <c r="Q483" t="n">
        <v>0</v>
      </c>
      <c r="R483" s="2" t="inlineStr"/>
    </row>
    <row r="484" ht="15" customHeight="1">
      <c r="A484" t="inlineStr">
        <is>
          <t>A 25418-2022</t>
        </is>
      </c>
      <c r="B484" s="1" t="n">
        <v>44732.464375</v>
      </c>
      <c r="C484" s="1" t="n">
        <v>45914</v>
      </c>
      <c r="D484" t="inlineStr">
        <is>
          <t>UPPSALA LÄN</t>
        </is>
      </c>
      <c r="E484" t="inlineStr">
        <is>
          <t>ÖSTHAMMAR</t>
        </is>
      </c>
      <c r="G484" t="n">
        <v>2.8</v>
      </c>
      <c r="H484" t="n">
        <v>0</v>
      </c>
      <c r="I484" t="n">
        <v>0</v>
      </c>
      <c r="J484" t="n">
        <v>0</v>
      </c>
      <c r="K484" t="n">
        <v>0</v>
      </c>
      <c r="L484" t="n">
        <v>0</v>
      </c>
      <c r="M484" t="n">
        <v>0</v>
      </c>
      <c r="N484" t="n">
        <v>0</v>
      </c>
      <c r="O484" t="n">
        <v>0</v>
      </c>
      <c r="P484" t="n">
        <v>0</v>
      </c>
      <c r="Q484" t="n">
        <v>0</v>
      </c>
      <c r="R484" s="2" t="inlineStr"/>
    </row>
    <row r="485" ht="15" customHeight="1">
      <c r="A485" t="inlineStr">
        <is>
          <t>A 62391-2022</t>
        </is>
      </c>
      <c r="B485" s="1" t="n">
        <v>44923.7849537037</v>
      </c>
      <c r="C485" s="1" t="n">
        <v>45914</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31485-2023</t>
        </is>
      </c>
      <c r="B486" s="1" t="n">
        <v>45114</v>
      </c>
      <c r="C486" s="1" t="n">
        <v>45914</v>
      </c>
      <c r="D486" t="inlineStr">
        <is>
          <t>UPPSALA LÄN</t>
        </is>
      </c>
      <c r="E486" t="inlineStr">
        <is>
          <t>ÖSTHAMMAR</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37764-2025</t>
        </is>
      </c>
      <c r="B487" s="1" t="n">
        <v>45880.70917824074</v>
      </c>
      <c r="C487" s="1" t="n">
        <v>45914</v>
      </c>
      <c r="D487" t="inlineStr">
        <is>
          <t>UPPSALA LÄN</t>
        </is>
      </c>
      <c r="E487" t="inlineStr">
        <is>
          <t>ÖSTHAMMAR</t>
        </is>
      </c>
      <c r="G487" t="n">
        <v>4.6</v>
      </c>
      <c r="H487" t="n">
        <v>0</v>
      </c>
      <c r="I487" t="n">
        <v>0</v>
      </c>
      <c r="J487" t="n">
        <v>0</v>
      </c>
      <c r="K487" t="n">
        <v>0</v>
      </c>
      <c r="L487" t="n">
        <v>0</v>
      </c>
      <c r="M487" t="n">
        <v>0</v>
      </c>
      <c r="N487" t="n">
        <v>0</v>
      </c>
      <c r="O487" t="n">
        <v>0</v>
      </c>
      <c r="P487" t="n">
        <v>0</v>
      </c>
      <c r="Q487" t="n">
        <v>0</v>
      </c>
      <c r="R487" s="2" t="inlineStr"/>
    </row>
    <row r="488" ht="15" customHeight="1">
      <c r="A488" t="inlineStr">
        <is>
          <t>A 31977-2025</t>
        </is>
      </c>
      <c r="B488" s="1" t="n">
        <v>45835.3554050926</v>
      </c>
      <c r="C488" s="1" t="n">
        <v>45914</v>
      </c>
      <c r="D488" t="inlineStr">
        <is>
          <t>UPPSALA LÄN</t>
        </is>
      </c>
      <c r="E488" t="inlineStr">
        <is>
          <t>ÖSTHAMMAR</t>
        </is>
      </c>
      <c r="F488" t="inlineStr">
        <is>
          <t>Övriga Aktiebolag</t>
        </is>
      </c>
      <c r="G488" t="n">
        <v>35.3</v>
      </c>
      <c r="H488" t="n">
        <v>0</v>
      </c>
      <c r="I488" t="n">
        <v>0</v>
      </c>
      <c r="J488" t="n">
        <v>0</v>
      </c>
      <c r="K488" t="n">
        <v>0</v>
      </c>
      <c r="L488" t="n">
        <v>0</v>
      </c>
      <c r="M488" t="n">
        <v>0</v>
      </c>
      <c r="N488" t="n">
        <v>0</v>
      </c>
      <c r="O488" t="n">
        <v>0</v>
      </c>
      <c r="P488" t="n">
        <v>0</v>
      </c>
      <c r="Q488" t="n">
        <v>0</v>
      </c>
      <c r="R488" s="2" t="inlineStr"/>
    </row>
    <row r="489" ht="15" customHeight="1">
      <c r="A489" t="inlineStr">
        <is>
          <t>A 31956-2025</t>
        </is>
      </c>
      <c r="B489" s="1" t="n">
        <v>45835.34184027778</v>
      </c>
      <c r="C489" s="1" t="n">
        <v>45914</v>
      </c>
      <c r="D489" t="inlineStr">
        <is>
          <t>UPPSALA LÄN</t>
        </is>
      </c>
      <c r="E489" t="inlineStr">
        <is>
          <t>ÖSTHAMMAR</t>
        </is>
      </c>
      <c r="F489" t="inlineStr">
        <is>
          <t>Övriga Aktiebolag</t>
        </is>
      </c>
      <c r="G489" t="n">
        <v>4.2</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45914</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45914</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37770-2025</t>
        </is>
      </c>
      <c r="B492" s="1" t="n">
        <v>45880.7505787037</v>
      </c>
      <c r="C492" s="1" t="n">
        <v>45914</v>
      </c>
      <c r="D492" t="inlineStr">
        <is>
          <t>UPPSALA LÄN</t>
        </is>
      </c>
      <c r="E492" t="inlineStr">
        <is>
          <t>ÖSTHAMMAR</t>
        </is>
      </c>
      <c r="G492" t="n">
        <v>2.9</v>
      </c>
      <c r="H492" t="n">
        <v>0</v>
      </c>
      <c r="I492" t="n">
        <v>0</v>
      </c>
      <c r="J492" t="n">
        <v>0</v>
      </c>
      <c r="K492" t="n">
        <v>0</v>
      </c>
      <c r="L492" t="n">
        <v>0</v>
      </c>
      <c r="M492" t="n">
        <v>0</v>
      </c>
      <c r="N492" t="n">
        <v>0</v>
      </c>
      <c r="O492" t="n">
        <v>0</v>
      </c>
      <c r="P492" t="n">
        <v>0</v>
      </c>
      <c r="Q492" t="n">
        <v>0</v>
      </c>
      <c r="R492" s="2" t="inlineStr"/>
    </row>
    <row r="493" ht="15" customHeight="1">
      <c r="A493" t="inlineStr">
        <is>
          <t>A 47522-2023</t>
        </is>
      </c>
      <c r="B493" s="1" t="n">
        <v>45203</v>
      </c>
      <c r="C493" s="1" t="n">
        <v>45914</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56759-2024</t>
        </is>
      </c>
      <c r="B494" s="1" t="n">
        <v>45628.39877314815</v>
      </c>
      <c r="C494" s="1" t="n">
        <v>45914</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32744-2022</t>
        </is>
      </c>
      <c r="B495" s="1" t="n">
        <v>44783.70378472222</v>
      </c>
      <c r="C495" s="1" t="n">
        <v>45914</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13738-2023</t>
        </is>
      </c>
      <c r="B496" s="1" t="n">
        <v>45007.37081018519</v>
      </c>
      <c r="C496" s="1" t="n">
        <v>45914</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45914</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4559-2022</t>
        </is>
      </c>
      <c r="B498" s="1" t="n">
        <v>44591.51854166666</v>
      </c>
      <c r="C498" s="1" t="n">
        <v>45914</v>
      </c>
      <c r="D498" t="inlineStr">
        <is>
          <t>UPPSALA LÄN</t>
        </is>
      </c>
      <c r="E498" t="inlineStr">
        <is>
          <t>ÖSTHAMMAR</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11643-2022</t>
        </is>
      </c>
      <c r="B499" s="1" t="n">
        <v>44631.92662037037</v>
      </c>
      <c r="C499" s="1" t="n">
        <v>45914</v>
      </c>
      <c r="D499" t="inlineStr">
        <is>
          <t>UPPSALA LÄN</t>
        </is>
      </c>
      <c r="E499" t="inlineStr">
        <is>
          <t>ÖSTHAMMAR</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33048-2025</t>
        </is>
      </c>
      <c r="B500" s="1" t="n">
        <v>45840.41451388889</v>
      </c>
      <c r="C500" s="1" t="n">
        <v>45914</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11036-2023</t>
        </is>
      </c>
      <c r="B501" s="1" t="n">
        <v>44991.9321412037</v>
      </c>
      <c r="C501" s="1" t="n">
        <v>45914</v>
      </c>
      <c r="D501" t="inlineStr">
        <is>
          <t>UPPSALA LÄN</t>
        </is>
      </c>
      <c r="E501" t="inlineStr">
        <is>
          <t>ÖSTHAMMAR</t>
        </is>
      </c>
      <c r="F501" t="inlineStr">
        <is>
          <t>Bergvik skog öst AB</t>
        </is>
      </c>
      <c r="G501" t="n">
        <v>3</v>
      </c>
      <c r="H501" t="n">
        <v>0</v>
      </c>
      <c r="I501" t="n">
        <v>0</v>
      </c>
      <c r="J501" t="n">
        <v>0</v>
      </c>
      <c r="K501" t="n">
        <v>0</v>
      </c>
      <c r="L501" t="n">
        <v>0</v>
      </c>
      <c r="M501" t="n">
        <v>0</v>
      </c>
      <c r="N501" t="n">
        <v>0</v>
      </c>
      <c r="O501" t="n">
        <v>0</v>
      </c>
      <c r="P501" t="n">
        <v>0</v>
      </c>
      <c r="Q501" t="n">
        <v>0</v>
      </c>
      <c r="R501" s="2" t="inlineStr"/>
    </row>
    <row r="502" ht="15" customHeight="1">
      <c r="A502" t="inlineStr">
        <is>
          <t>A 23363-2023</t>
        </is>
      </c>
      <c r="B502" s="1" t="n">
        <v>45076</v>
      </c>
      <c r="C502" s="1" t="n">
        <v>45914</v>
      </c>
      <c r="D502" t="inlineStr">
        <is>
          <t>UPPSALA LÄN</t>
        </is>
      </c>
      <c r="E502" t="inlineStr">
        <is>
          <t>ÖSTHAMMAR</t>
        </is>
      </c>
      <c r="G502" t="n">
        <v>3</v>
      </c>
      <c r="H502" t="n">
        <v>0</v>
      </c>
      <c r="I502" t="n">
        <v>0</v>
      </c>
      <c r="J502" t="n">
        <v>0</v>
      </c>
      <c r="K502" t="n">
        <v>0</v>
      </c>
      <c r="L502" t="n">
        <v>0</v>
      </c>
      <c r="M502" t="n">
        <v>0</v>
      </c>
      <c r="N502" t="n">
        <v>0</v>
      </c>
      <c r="O502" t="n">
        <v>0</v>
      </c>
      <c r="P502" t="n">
        <v>0</v>
      </c>
      <c r="Q502" t="n">
        <v>0</v>
      </c>
      <c r="R502" s="2" t="inlineStr"/>
    </row>
    <row r="503" ht="15" customHeight="1">
      <c r="A503" t="inlineStr">
        <is>
          <t>A 3418-2025</t>
        </is>
      </c>
      <c r="B503" s="1" t="n">
        <v>45680</v>
      </c>
      <c r="C503" s="1" t="n">
        <v>45914</v>
      </c>
      <c r="D503" t="inlineStr">
        <is>
          <t>UPPSALA LÄN</t>
        </is>
      </c>
      <c r="E503" t="inlineStr">
        <is>
          <t>ÖSTHAMMAR</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3420-2025</t>
        </is>
      </c>
      <c r="B504" s="1" t="n">
        <v>45680</v>
      </c>
      <c r="C504" s="1" t="n">
        <v>45914</v>
      </c>
      <c r="D504" t="inlineStr">
        <is>
          <t>UPPSALA LÄN</t>
        </is>
      </c>
      <c r="E504" t="inlineStr">
        <is>
          <t>ÖSTHAMMAR</t>
        </is>
      </c>
      <c r="F504" t="inlineStr">
        <is>
          <t>Bergvik skog väst AB</t>
        </is>
      </c>
      <c r="G504" t="n">
        <v>3.6</v>
      </c>
      <c r="H504" t="n">
        <v>0</v>
      </c>
      <c r="I504" t="n">
        <v>0</v>
      </c>
      <c r="J504" t="n">
        <v>0</v>
      </c>
      <c r="K504" t="n">
        <v>0</v>
      </c>
      <c r="L504" t="n">
        <v>0</v>
      </c>
      <c r="M504" t="n">
        <v>0</v>
      </c>
      <c r="N504" t="n">
        <v>0</v>
      </c>
      <c r="O504" t="n">
        <v>0</v>
      </c>
      <c r="P504" t="n">
        <v>0</v>
      </c>
      <c r="Q504" t="n">
        <v>0</v>
      </c>
      <c r="R504" s="2" t="inlineStr"/>
    </row>
    <row r="505" ht="15" customHeight="1">
      <c r="A505" t="inlineStr">
        <is>
          <t>A 14505-2023</t>
        </is>
      </c>
      <c r="B505" s="1" t="n">
        <v>45012.7975</v>
      </c>
      <c r="C505" s="1" t="n">
        <v>45914</v>
      </c>
      <c r="D505" t="inlineStr">
        <is>
          <t>UPPSALA LÄN</t>
        </is>
      </c>
      <c r="E505" t="inlineStr">
        <is>
          <t>ÖSTHAMMAR</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55646-2021</t>
        </is>
      </c>
      <c r="B506" s="1" t="n">
        <v>44476.3632175926</v>
      </c>
      <c r="C506" s="1" t="n">
        <v>45914</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60577-2021</t>
        </is>
      </c>
      <c r="B507" s="1" t="n">
        <v>44496.57019675926</v>
      </c>
      <c r="C507" s="1" t="n">
        <v>45914</v>
      </c>
      <c r="D507" t="inlineStr">
        <is>
          <t>UPPSALA LÄN</t>
        </is>
      </c>
      <c r="E507" t="inlineStr">
        <is>
          <t>ÖSTHAMMAR</t>
        </is>
      </c>
      <c r="G507" t="n">
        <v>0.5</v>
      </c>
      <c r="H507" t="n">
        <v>0</v>
      </c>
      <c r="I507" t="n">
        <v>0</v>
      </c>
      <c r="J507" t="n">
        <v>0</v>
      </c>
      <c r="K507" t="n">
        <v>0</v>
      </c>
      <c r="L507" t="n">
        <v>0</v>
      </c>
      <c r="M507" t="n">
        <v>0</v>
      </c>
      <c r="N507" t="n">
        <v>0</v>
      </c>
      <c r="O507" t="n">
        <v>0</v>
      </c>
      <c r="P507" t="n">
        <v>0</v>
      </c>
      <c r="Q507" t="n">
        <v>0</v>
      </c>
      <c r="R507" s="2" t="inlineStr"/>
    </row>
    <row r="508" ht="15" customHeight="1">
      <c r="A508" t="inlineStr">
        <is>
          <t>A 27476-2025</t>
        </is>
      </c>
      <c r="B508" s="1" t="n">
        <v>45813.37517361111</v>
      </c>
      <c r="C508" s="1" t="n">
        <v>45914</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62695-2023</t>
        </is>
      </c>
      <c r="B509" s="1" t="n">
        <v>45271</v>
      </c>
      <c r="C509" s="1" t="n">
        <v>45914</v>
      </c>
      <c r="D509" t="inlineStr">
        <is>
          <t>UPPSALA LÄN</t>
        </is>
      </c>
      <c r="E509" t="inlineStr">
        <is>
          <t>ÖSTHAMMAR</t>
        </is>
      </c>
      <c r="G509" t="n">
        <v>5.3</v>
      </c>
      <c r="H509" t="n">
        <v>0</v>
      </c>
      <c r="I509" t="n">
        <v>0</v>
      </c>
      <c r="J509" t="n">
        <v>0</v>
      </c>
      <c r="K509" t="n">
        <v>0</v>
      </c>
      <c r="L509" t="n">
        <v>0</v>
      </c>
      <c r="M509" t="n">
        <v>0</v>
      </c>
      <c r="N509" t="n">
        <v>0</v>
      </c>
      <c r="O509" t="n">
        <v>0</v>
      </c>
      <c r="P509" t="n">
        <v>0</v>
      </c>
      <c r="Q509" t="n">
        <v>0</v>
      </c>
      <c r="R509" s="2" t="inlineStr"/>
    </row>
    <row r="510" ht="15" customHeight="1">
      <c r="A510" t="inlineStr">
        <is>
          <t>A 16240-2025</t>
        </is>
      </c>
      <c r="B510" s="1" t="n">
        <v>45746</v>
      </c>
      <c r="C510" s="1" t="n">
        <v>45914</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20038-2023</t>
        </is>
      </c>
      <c r="B511" s="1" t="n">
        <v>45054.65834490741</v>
      </c>
      <c r="C511" s="1" t="n">
        <v>45914</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6121-2024</t>
        </is>
      </c>
      <c r="B512" s="1" t="n">
        <v>45337.4219212963</v>
      </c>
      <c r="C512" s="1" t="n">
        <v>45914</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54437-2024</t>
        </is>
      </c>
      <c r="B513" s="1" t="n">
        <v>45617</v>
      </c>
      <c r="C513" s="1" t="n">
        <v>45914</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23742-2024</t>
        </is>
      </c>
      <c r="B514" s="1" t="n">
        <v>45455</v>
      </c>
      <c r="C514" s="1" t="n">
        <v>45914</v>
      </c>
      <c r="D514" t="inlineStr">
        <is>
          <t>UPPSALA LÄN</t>
        </is>
      </c>
      <c r="E514" t="inlineStr">
        <is>
          <t>ÖSTHAMMAR</t>
        </is>
      </c>
      <c r="F514" t="inlineStr">
        <is>
          <t>Bergvik skog öst AB</t>
        </is>
      </c>
      <c r="G514" t="n">
        <v>2.2</v>
      </c>
      <c r="H514" t="n">
        <v>0</v>
      </c>
      <c r="I514" t="n">
        <v>0</v>
      </c>
      <c r="J514" t="n">
        <v>0</v>
      </c>
      <c r="K514" t="n">
        <v>0</v>
      </c>
      <c r="L514" t="n">
        <v>0</v>
      </c>
      <c r="M514" t="n">
        <v>0</v>
      </c>
      <c r="N514" t="n">
        <v>0</v>
      </c>
      <c r="O514" t="n">
        <v>0</v>
      </c>
      <c r="P514" t="n">
        <v>0</v>
      </c>
      <c r="Q514" t="n">
        <v>0</v>
      </c>
      <c r="R514" s="2" t="inlineStr"/>
    </row>
    <row r="515" ht="15" customHeight="1">
      <c r="A515" t="inlineStr">
        <is>
          <t>A 33271-2025</t>
        </is>
      </c>
      <c r="B515" s="1" t="n">
        <v>45840.68381944444</v>
      </c>
      <c r="C515" s="1" t="n">
        <v>45914</v>
      </c>
      <c r="D515" t="inlineStr">
        <is>
          <t>UPPSALA LÄN</t>
        </is>
      </c>
      <c r="E515" t="inlineStr">
        <is>
          <t>ÖSTHAMMAR</t>
        </is>
      </c>
      <c r="G515" t="n">
        <v>1.3</v>
      </c>
      <c r="H515" t="n">
        <v>0</v>
      </c>
      <c r="I515" t="n">
        <v>0</v>
      </c>
      <c r="J515" t="n">
        <v>0</v>
      </c>
      <c r="K515" t="n">
        <v>0</v>
      </c>
      <c r="L515" t="n">
        <v>0</v>
      </c>
      <c r="M515" t="n">
        <v>0</v>
      </c>
      <c r="N515" t="n">
        <v>0</v>
      </c>
      <c r="O515" t="n">
        <v>0</v>
      </c>
      <c r="P515" t="n">
        <v>0</v>
      </c>
      <c r="Q515" t="n">
        <v>0</v>
      </c>
      <c r="R515" s="2" t="inlineStr"/>
    </row>
    <row r="516" ht="15" customHeight="1">
      <c r="A516" t="inlineStr">
        <is>
          <t>A 29282-2021</t>
        </is>
      </c>
      <c r="B516" s="1" t="n">
        <v>44361</v>
      </c>
      <c r="C516" s="1" t="n">
        <v>45914</v>
      </c>
      <c r="D516" t="inlineStr">
        <is>
          <t>UPPSALA LÄN</t>
        </is>
      </c>
      <c r="E516" t="inlineStr">
        <is>
          <t>ÖSTHAMMAR</t>
        </is>
      </c>
      <c r="G516" t="n">
        <v>2.4</v>
      </c>
      <c r="H516" t="n">
        <v>0</v>
      </c>
      <c r="I516" t="n">
        <v>0</v>
      </c>
      <c r="J516" t="n">
        <v>0</v>
      </c>
      <c r="K516" t="n">
        <v>0</v>
      </c>
      <c r="L516" t="n">
        <v>0</v>
      </c>
      <c r="M516" t="n">
        <v>0</v>
      </c>
      <c r="N516" t="n">
        <v>0</v>
      </c>
      <c r="O516" t="n">
        <v>0</v>
      </c>
      <c r="P516" t="n">
        <v>0</v>
      </c>
      <c r="Q516" t="n">
        <v>0</v>
      </c>
      <c r="R516" s="2" t="inlineStr"/>
    </row>
    <row r="517" ht="15" customHeight="1">
      <c r="A517" t="inlineStr">
        <is>
          <t>A 6039-2025</t>
        </is>
      </c>
      <c r="B517" s="1" t="n">
        <v>45695</v>
      </c>
      <c r="C517" s="1" t="n">
        <v>45914</v>
      </c>
      <c r="D517" t="inlineStr">
        <is>
          <t>UPPSALA LÄN</t>
        </is>
      </c>
      <c r="E517" t="inlineStr">
        <is>
          <t>ÖSTHAMMAR</t>
        </is>
      </c>
      <c r="G517" t="n">
        <v>2.3</v>
      </c>
      <c r="H517" t="n">
        <v>0</v>
      </c>
      <c r="I517" t="n">
        <v>0</v>
      </c>
      <c r="J517" t="n">
        <v>0</v>
      </c>
      <c r="K517" t="n">
        <v>0</v>
      </c>
      <c r="L517" t="n">
        <v>0</v>
      </c>
      <c r="M517" t="n">
        <v>0</v>
      </c>
      <c r="N517" t="n">
        <v>0</v>
      </c>
      <c r="O517" t="n">
        <v>0</v>
      </c>
      <c r="P517" t="n">
        <v>0</v>
      </c>
      <c r="Q517" t="n">
        <v>0</v>
      </c>
      <c r="R517" s="2" t="inlineStr"/>
    </row>
    <row r="518" ht="15" customHeight="1">
      <c r="A518" t="inlineStr">
        <is>
          <t>A 8769-2025</t>
        </is>
      </c>
      <c r="B518" s="1" t="n">
        <v>45712.59412037037</v>
      </c>
      <c r="C518" s="1" t="n">
        <v>45914</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20326-2021</t>
        </is>
      </c>
      <c r="B519" s="1" t="n">
        <v>44308</v>
      </c>
      <c r="C519" s="1" t="n">
        <v>45914</v>
      </c>
      <c r="D519" t="inlineStr">
        <is>
          <t>UPPSALA LÄN</t>
        </is>
      </c>
      <c r="E519" t="inlineStr">
        <is>
          <t>ÖSTHAMMAR</t>
        </is>
      </c>
      <c r="G519" t="n">
        <v>7</v>
      </c>
      <c r="H519" t="n">
        <v>0</v>
      </c>
      <c r="I519" t="n">
        <v>0</v>
      </c>
      <c r="J519" t="n">
        <v>0</v>
      </c>
      <c r="K519" t="n">
        <v>0</v>
      </c>
      <c r="L519" t="n">
        <v>0</v>
      </c>
      <c r="M519" t="n">
        <v>0</v>
      </c>
      <c r="N519" t="n">
        <v>0</v>
      </c>
      <c r="O519" t="n">
        <v>0</v>
      </c>
      <c r="P519" t="n">
        <v>0</v>
      </c>
      <c r="Q519" t="n">
        <v>0</v>
      </c>
      <c r="R519" s="2" t="inlineStr"/>
    </row>
    <row r="520" ht="15" customHeight="1">
      <c r="A520" t="inlineStr">
        <is>
          <t>A 8699-2025</t>
        </is>
      </c>
      <c r="B520" s="1" t="n">
        <v>45712.47983796296</v>
      </c>
      <c r="C520" s="1" t="n">
        <v>45914</v>
      </c>
      <c r="D520" t="inlineStr">
        <is>
          <t>UPPSALA LÄN</t>
        </is>
      </c>
      <c r="E520" t="inlineStr">
        <is>
          <t>ÖSTHAMMAR</t>
        </is>
      </c>
      <c r="G520" t="n">
        <v>5.6</v>
      </c>
      <c r="H520" t="n">
        <v>0</v>
      </c>
      <c r="I520" t="n">
        <v>0</v>
      </c>
      <c r="J520" t="n">
        <v>0</v>
      </c>
      <c r="K520" t="n">
        <v>0</v>
      </c>
      <c r="L520" t="n">
        <v>0</v>
      </c>
      <c r="M520" t="n">
        <v>0</v>
      </c>
      <c r="N520" t="n">
        <v>0</v>
      </c>
      <c r="O520" t="n">
        <v>0</v>
      </c>
      <c r="P520" t="n">
        <v>0</v>
      </c>
      <c r="Q520" t="n">
        <v>0</v>
      </c>
      <c r="R520" s="2" t="inlineStr"/>
    </row>
    <row r="521" ht="15" customHeight="1">
      <c r="A521" t="inlineStr">
        <is>
          <t>A 55086-2024</t>
        </is>
      </c>
      <c r="B521" s="1" t="n">
        <v>45621.43098379629</v>
      </c>
      <c r="C521" s="1" t="n">
        <v>45914</v>
      </c>
      <c r="D521" t="inlineStr">
        <is>
          <t>UPPSALA LÄN</t>
        </is>
      </c>
      <c r="E521" t="inlineStr">
        <is>
          <t>ÖSTHAMMAR</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55090-2024</t>
        </is>
      </c>
      <c r="B522" s="1" t="n">
        <v>45621.4350462963</v>
      </c>
      <c r="C522" s="1" t="n">
        <v>45914</v>
      </c>
      <c r="D522" t="inlineStr">
        <is>
          <t>UPPSALA LÄN</t>
        </is>
      </c>
      <c r="E522" t="inlineStr">
        <is>
          <t>ÖSTHAMMAR</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55093-2024</t>
        </is>
      </c>
      <c r="B523" s="1" t="n">
        <v>45621.43712962963</v>
      </c>
      <c r="C523" s="1" t="n">
        <v>45914</v>
      </c>
      <c r="D523" t="inlineStr">
        <is>
          <t>UPPSALA LÄN</t>
        </is>
      </c>
      <c r="E523" t="inlineStr">
        <is>
          <t>ÖSTHAMMAR</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28432-2023</t>
        </is>
      </c>
      <c r="B524" s="1" t="n">
        <v>45102.59896990741</v>
      </c>
      <c r="C524" s="1" t="n">
        <v>45914</v>
      </c>
      <c r="D524" t="inlineStr">
        <is>
          <t>UPPSALA LÄN</t>
        </is>
      </c>
      <c r="E524" t="inlineStr">
        <is>
          <t>ÖSTHAMMAR</t>
        </is>
      </c>
      <c r="F524" t="inlineStr">
        <is>
          <t>Bergvik skog öst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15031-2025</t>
        </is>
      </c>
      <c r="B525" s="1" t="n">
        <v>45743.67333333333</v>
      </c>
      <c r="C525" s="1" t="n">
        <v>45914</v>
      </c>
      <c r="D525" t="inlineStr">
        <is>
          <t>UPPSALA LÄN</t>
        </is>
      </c>
      <c r="E525" t="inlineStr">
        <is>
          <t>ÖSTHAMMAR</t>
        </is>
      </c>
      <c r="G525" t="n">
        <v>9.6</v>
      </c>
      <c r="H525" t="n">
        <v>0</v>
      </c>
      <c r="I525" t="n">
        <v>0</v>
      </c>
      <c r="J525" t="n">
        <v>0</v>
      </c>
      <c r="K525" t="n">
        <v>0</v>
      </c>
      <c r="L525" t="n">
        <v>0</v>
      </c>
      <c r="M525" t="n">
        <v>0</v>
      </c>
      <c r="N525" t="n">
        <v>0</v>
      </c>
      <c r="O525" t="n">
        <v>0</v>
      </c>
      <c r="P525" t="n">
        <v>0</v>
      </c>
      <c r="Q525" t="n">
        <v>0</v>
      </c>
      <c r="R525" s="2" t="inlineStr"/>
    </row>
    <row r="526" ht="15" customHeight="1">
      <c r="A526" t="inlineStr">
        <is>
          <t>A 43915-2023</t>
        </is>
      </c>
      <c r="B526" s="1" t="n">
        <v>45187.71274305556</v>
      </c>
      <c r="C526" s="1" t="n">
        <v>45914</v>
      </c>
      <c r="D526" t="inlineStr">
        <is>
          <t>UPPSALA LÄN</t>
        </is>
      </c>
      <c r="E526" t="inlineStr">
        <is>
          <t>ÖSTHAMMAR</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60555-2023</t>
        </is>
      </c>
      <c r="B527" s="1" t="n">
        <v>45259</v>
      </c>
      <c r="C527" s="1" t="n">
        <v>45914</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13352-2023</t>
        </is>
      </c>
      <c r="B528" s="1" t="n">
        <v>45005</v>
      </c>
      <c r="C528" s="1" t="n">
        <v>45914</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60584-2021</t>
        </is>
      </c>
      <c r="B529" s="1" t="n">
        <v>44496</v>
      </c>
      <c r="C529" s="1" t="n">
        <v>45914</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44803.78524305556</v>
      </c>
      <c r="C530" s="1" t="n">
        <v>45914</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357-2025</t>
        </is>
      </c>
      <c r="B531" s="1" t="n">
        <v>45659</v>
      </c>
      <c r="C531" s="1" t="n">
        <v>45914</v>
      </c>
      <c r="D531" t="inlineStr">
        <is>
          <t>UPPSALA LÄN</t>
        </is>
      </c>
      <c r="E531" t="inlineStr">
        <is>
          <t>ÖSTHAMMAR</t>
        </is>
      </c>
      <c r="G531" t="n">
        <v>15.8</v>
      </c>
      <c r="H531" t="n">
        <v>0</v>
      </c>
      <c r="I531" t="n">
        <v>0</v>
      </c>
      <c r="J531" t="n">
        <v>0</v>
      </c>
      <c r="K531" t="n">
        <v>0</v>
      </c>
      <c r="L531" t="n">
        <v>0</v>
      </c>
      <c r="M531" t="n">
        <v>0</v>
      </c>
      <c r="N531" t="n">
        <v>0</v>
      </c>
      <c r="O531" t="n">
        <v>0</v>
      </c>
      <c r="P531" t="n">
        <v>0</v>
      </c>
      <c r="Q531" t="n">
        <v>0</v>
      </c>
      <c r="R531" s="2" t="inlineStr"/>
    </row>
    <row r="532" ht="15" customHeight="1">
      <c r="A532" t="inlineStr">
        <is>
          <t>A 68828-2020</t>
        </is>
      </c>
      <c r="B532" s="1" t="n">
        <v>44186</v>
      </c>
      <c r="C532" s="1" t="n">
        <v>45914</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45914</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32718-2025</t>
        </is>
      </c>
      <c r="B534" s="1" t="n">
        <v>45839.37740740741</v>
      </c>
      <c r="C534" s="1" t="n">
        <v>45914</v>
      </c>
      <c r="D534" t="inlineStr">
        <is>
          <t>UPPSALA LÄN</t>
        </is>
      </c>
      <c r="E534" t="inlineStr">
        <is>
          <t>ÖSTHAMMAR</t>
        </is>
      </c>
      <c r="G534" t="n">
        <v>10.4</v>
      </c>
      <c r="H534" t="n">
        <v>0</v>
      </c>
      <c r="I534" t="n">
        <v>0</v>
      </c>
      <c r="J534" t="n">
        <v>0</v>
      </c>
      <c r="K534" t="n">
        <v>0</v>
      </c>
      <c r="L534" t="n">
        <v>0</v>
      </c>
      <c r="M534" t="n">
        <v>0</v>
      </c>
      <c r="N534" t="n">
        <v>0</v>
      </c>
      <c r="O534" t="n">
        <v>0</v>
      </c>
      <c r="P534" t="n">
        <v>0</v>
      </c>
      <c r="Q534" t="n">
        <v>0</v>
      </c>
      <c r="R534" s="2" t="inlineStr"/>
    </row>
    <row r="535" ht="15" customHeight="1">
      <c r="A535" t="inlineStr">
        <is>
          <t>A 23495-2023</t>
        </is>
      </c>
      <c r="B535" s="1" t="n">
        <v>45076.71652777777</v>
      </c>
      <c r="C535" s="1" t="n">
        <v>45914</v>
      </c>
      <c r="D535" t="inlineStr">
        <is>
          <t>UPPSALA LÄN</t>
        </is>
      </c>
      <c r="E535" t="inlineStr">
        <is>
          <t>ÖSTHAMMAR</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1063-2025</t>
        </is>
      </c>
      <c r="B536" s="1" t="n">
        <v>45666</v>
      </c>
      <c r="C536" s="1" t="n">
        <v>45914</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10495-2025</t>
        </is>
      </c>
      <c r="B537" s="1" t="n">
        <v>45721</v>
      </c>
      <c r="C537" s="1" t="n">
        <v>45914</v>
      </c>
      <c r="D537" t="inlineStr">
        <is>
          <t>UPPSALA LÄN</t>
        </is>
      </c>
      <c r="E537" t="inlineStr">
        <is>
          <t>ÖSTHAMMAR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17652-2025</t>
        </is>
      </c>
      <c r="B538" s="1" t="n">
        <v>45758.33583333333</v>
      </c>
      <c r="C538" s="1" t="n">
        <v>45914</v>
      </c>
      <c r="D538" t="inlineStr">
        <is>
          <t>UPPSALA LÄN</t>
        </is>
      </c>
      <c r="E538" t="inlineStr">
        <is>
          <t>ÖSTHAMMAR</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48719-2023</t>
        </is>
      </c>
      <c r="B539" s="1" t="n">
        <v>45208.70452546296</v>
      </c>
      <c r="C539" s="1" t="n">
        <v>45914</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4356-2025</t>
        </is>
      </c>
      <c r="B540" s="1" t="n">
        <v>45686</v>
      </c>
      <c r="C540" s="1" t="n">
        <v>45914</v>
      </c>
      <c r="D540" t="inlineStr">
        <is>
          <t>UPPSALA LÄN</t>
        </is>
      </c>
      <c r="E540" t="inlineStr">
        <is>
          <t>ÖSTHAMMAR</t>
        </is>
      </c>
      <c r="F540" t="inlineStr">
        <is>
          <t>Övriga Aktiebolag</t>
        </is>
      </c>
      <c r="G540" t="n">
        <v>24.6</v>
      </c>
      <c r="H540" t="n">
        <v>0</v>
      </c>
      <c r="I540" t="n">
        <v>0</v>
      </c>
      <c r="J540" t="n">
        <v>0</v>
      </c>
      <c r="K540" t="n">
        <v>0</v>
      </c>
      <c r="L540" t="n">
        <v>0</v>
      </c>
      <c r="M540" t="n">
        <v>0</v>
      </c>
      <c r="N540" t="n">
        <v>0</v>
      </c>
      <c r="O540" t="n">
        <v>0</v>
      </c>
      <c r="P540" t="n">
        <v>0</v>
      </c>
      <c r="Q540" t="n">
        <v>0</v>
      </c>
      <c r="R540" s="2" t="inlineStr"/>
    </row>
    <row r="541" ht="15" customHeight="1">
      <c r="A541" t="inlineStr">
        <is>
          <t>A 7118-2023</t>
        </is>
      </c>
      <c r="B541" s="1" t="n">
        <v>44970.39591435185</v>
      </c>
      <c r="C541" s="1" t="n">
        <v>45914</v>
      </c>
      <c r="D541" t="inlineStr">
        <is>
          <t>UPPSALA LÄN</t>
        </is>
      </c>
      <c r="E541" t="inlineStr">
        <is>
          <t>ÖSTHAMMAR</t>
        </is>
      </c>
      <c r="G541" t="n">
        <v>2.1</v>
      </c>
      <c r="H541" t="n">
        <v>0</v>
      </c>
      <c r="I541" t="n">
        <v>0</v>
      </c>
      <c r="J541" t="n">
        <v>0</v>
      </c>
      <c r="K541" t="n">
        <v>0</v>
      </c>
      <c r="L541" t="n">
        <v>0</v>
      </c>
      <c r="M541" t="n">
        <v>0</v>
      </c>
      <c r="N541" t="n">
        <v>0</v>
      </c>
      <c r="O541" t="n">
        <v>0</v>
      </c>
      <c r="P541" t="n">
        <v>0</v>
      </c>
      <c r="Q541" t="n">
        <v>0</v>
      </c>
      <c r="R541" s="2" t="inlineStr"/>
    </row>
    <row r="542" ht="15" customHeight="1">
      <c r="A542" t="inlineStr">
        <is>
          <t>A 17085-2025</t>
        </is>
      </c>
      <c r="B542" s="1" t="n">
        <v>45755.64612268518</v>
      </c>
      <c r="C542" s="1" t="n">
        <v>45914</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33529-2025</t>
        </is>
      </c>
      <c r="B543" s="1" t="n">
        <v>45841.55199074074</v>
      </c>
      <c r="C543" s="1" t="n">
        <v>45914</v>
      </c>
      <c r="D543" t="inlineStr">
        <is>
          <t>UPPSALA LÄN</t>
        </is>
      </c>
      <c r="E543" t="inlineStr">
        <is>
          <t>ÖSTHAMMAR</t>
        </is>
      </c>
      <c r="F543" t="inlineStr">
        <is>
          <t>Bergvik skog öst AB</t>
        </is>
      </c>
      <c r="G543" t="n">
        <v>11.8</v>
      </c>
      <c r="H543" t="n">
        <v>0</v>
      </c>
      <c r="I543" t="n">
        <v>0</v>
      </c>
      <c r="J543" t="n">
        <v>0</v>
      </c>
      <c r="K543" t="n">
        <v>0</v>
      </c>
      <c r="L543" t="n">
        <v>0</v>
      </c>
      <c r="M543" t="n">
        <v>0</v>
      </c>
      <c r="N543" t="n">
        <v>0</v>
      </c>
      <c r="O543" t="n">
        <v>0</v>
      </c>
      <c r="P543" t="n">
        <v>0</v>
      </c>
      <c r="Q543" t="n">
        <v>0</v>
      </c>
      <c r="R543" s="2" t="inlineStr"/>
    </row>
    <row r="544" ht="15" customHeight="1">
      <c r="A544" t="inlineStr">
        <is>
          <t>A 33784-2024</t>
        </is>
      </c>
      <c r="B544" s="1" t="n">
        <v>45520</v>
      </c>
      <c r="C544" s="1" t="n">
        <v>45914</v>
      </c>
      <c r="D544" t="inlineStr">
        <is>
          <t>UPPSALA LÄN</t>
        </is>
      </c>
      <c r="E544" t="inlineStr">
        <is>
          <t>ÖSTHAMMAR</t>
        </is>
      </c>
      <c r="F544" t="inlineStr">
        <is>
          <t>Naturvårdsverket</t>
        </is>
      </c>
      <c r="G544" t="n">
        <v>0.6</v>
      </c>
      <c r="H544" t="n">
        <v>0</v>
      </c>
      <c r="I544" t="n">
        <v>0</v>
      </c>
      <c r="J544" t="n">
        <v>0</v>
      </c>
      <c r="K544" t="n">
        <v>0</v>
      </c>
      <c r="L544" t="n">
        <v>0</v>
      </c>
      <c r="M544" t="n">
        <v>0</v>
      </c>
      <c r="N544" t="n">
        <v>0</v>
      </c>
      <c r="O544" t="n">
        <v>0</v>
      </c>
      <c r="P544" t="n">
        <v>0</v>
      </c>
      <c r="Q544" t="n">
        <v>0</v>
      </c>
      <c r="R544" s="2" t="inlineStr"/>
    </row>
    <row r="545" ht="15" customHeight="1">
      <c r="A545" t="inlineStr">
        <is>
          <t>A 32244-2021</t>
        </is>
      </c>
      <c r="B545" s="1" t="n">
        <v>44371.45335648148</v>
      </c>
      <c r="C545" s="1" t="n">
        <v>45914</v>
      </c>
      <c r="D545" t="inlineStr">
        <is>
          <t>UPPSALA LÄN</t>
        </is>
      </c>
      <c r="E545" t="inlineStr">
        <is>
          <t>ÖSTHAMMAR</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33056-2021</t>
        </is>
      </c>
      <c r="B546" s="1" t="n">
        <v>44376.52438657408</v>
      </c>
      <c r="C546" s="1" t="n">
        <v>45914</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4292-2025</t>
        </is>
      </c>
      <c r="B547" s="1" t="n">
        <v>45685.66459490741</v>
      </c>
      <c r="C547" s="1" t="n">
        <v>45914</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8592-2022</t>
        </is>
      </c>
      <c r="B548" s="1" t="n">
        <v>44613</v>
      </c>
      <c r="C548" s="1" t="n">
        <v>45914</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5076-2025</t>
        </is>
      </c>
      <c r="B549" s="1" t="n">
        <v>45691</v>
      </c>
      <c r="C549" s="1" t="n">
        <v>45914</v>
      </c>
      <c r="D549" t="inlineStr">
        <is>
          <t>UPPSALA LÄN</t>
        </is>
      </c>
      <c r="E549" t="inlineStr">
        <is>
          <t>ÖSTHAMMAR</t>
        </is>
      </c>
      <c r="G549" t="n">
        <v>5.8</v>
      </c>
      <c r="H549" t="n">
        <v>0</v>
      </c>
      <c r="I549" t="n">
        <v>0</v>
      </c>
      <c r="J549" t="n">
        <v>0</v>
      </c>
      <c r="K549" t="n">
        <v>0</v>
      </c>
      <c r="L549" t="n">
        <v>0</v>
      </c>
      <c r="M549" t="n">
        <v>0</v>
      </c>
      <c r="N549" t="n">
        <v>0</v>
      </c>
      <c r="O549" t="n">
        <v>0</v>
      </c>
      <c r="P549" t="n">
        <v>0</v>
      </c>
      <c r="Q549" t="n">
        <v>0</v>
      </c>
      <c r="R549" s="2" t="inlineStr"/>
    </row>
    <row r="550" ht="15" customHeight="1">
      <c r="A550" t="inlineStr">
        <is>
          <t>A 33927-2025</t>
        </is>
      </c>
      <c r="B550" s="1" t="n">
        <v>45842.62363425926</v>
      </c>
      <c r="C550" s="1" t="n">
        <v>45914</v>
      </c>
      <c r="D550" t="inlineStr">
        <is>
          <t>UPPSALA LÄN</t>
        </is>
      </c>
      <c r="E550" t="inlineStr">
        <is>
          <t>ÖSTHAMMAR</t>
        </is>
      </c>
      <c r="G550" t="n">
        <v>3.5</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45914</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3119-2025</t>
        </is>
      </c>
      <c r="B552" s="1" t="n">
        <v>45678</v>
      </c>
      <c r="C552" s="1" t="n">
        <v>45914</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17646-2025</t>
        </is>
      </c>
      <c r="B553" s="1" t="n">
        <v>45758.32872685185</v>
      </c>
      <c r="C553" s="1" t="n">
        <v>45914</v>
      </c>
      <c r="D553" t="inlineStr">
        <is>
          <t>UPPSALA LÄN</t>
        </is>
      </c>
      <c r="E553" t="inlineStr">
        <is>
          <t>ÖSTHAMMAR</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17648-2025</t>
        </is>
      </c>
      <c r="B554" s="1" t="n">
        <v>45758.33064814815</v>
      </c>
      <c r="C554" s="1" t="n">
        <v>45914</v>
      </c>
      <c r="D554" t="inlineStr">
        <is>
          <t>UPPSALA LÄN</t>
        </is>
      </c>
      <c r="E554" t="inlineStr">
        <is>
          <t>ÖSTHAMMAR</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60047-2021</t>
        </is>
      </c>
      <c r="B555" s="1" t="n">
        <v>44495</v>
      </c>
      <c r="C555" s="1" t="n">
        <v>45914</v>
      </c>
      <c r="D555" t="inlineStr">
        <is>
          <t>UPPSALA LÄN</t>
        </is>
      </c>
      <c r="E555" t="inlineStr">
        <is>
          <t>ÖSTHAMMAR</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18401-2025</t>
        </is>
      </c>
      <c r="B556" s="1" t="n">
        <v>45762.5966087963</v>
      </c>
      <c r="C556" s="1" t="n">
        <v>45914</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30086-2023</t>
        </is>
      </c>
      <c r="B557" s="1" t="n">
        <v>45110.43907407407</v>
      </c>
      <c r="C557" s="1" t="n">
        <v>45914</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49206-2020</t>
        </is>
      </c>
      <c r="B558" s="1" t="n">
        <v>44105</v>
      </c>
      <c r="C558" s="1" t="n">
        <v>45914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11008-2023</t>
        </is>
      </c>
      <c r="B559" s="1" t="n">
        <v>44991</v>
      </c>
      <c r="C559" s="1" t="n">
        <v>45914</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13771-2023</t>
        </is>
      </c>
      <c r="B560" s="1" t="n">
        <v>45007</v>
      </c>
      <c r="C560" s="1" t="n">
        <v>45914</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33601-2024</t>
        </is>
      </c>
      <c r="B561" s="1" t="n">
        <v>45520</v>
      </c>
      <c r="C561" s="1" t="n">
        <v>45914</v>
      </c>
      <c r="D561" t="inlineStr">
        <is>
          <t>UPPSALA LÄN</t>
        </is>
      </c>
      <c r="E561" t="inlineStr">
        <is>
          <t>ÖSTHAMMAR</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19009-2023</t>
        </is>
      </c>
      <c r="B562" s="1" t="n">
        <v>45045</v>
      </c>
      <c r="C562" s="1" t="n">
        <v>45914</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58324-2023</t>
        </is>
      </c>
      <c r="B563" s="1" t="n">
        <v>45250.58635416667</v>
      </c>
      <c r="C563" s="1" t="n">
        <v>45914</v>
      </c>
      <c r="D563" t="inlineStr">
        <is>
          <t>UPPSALA LÄN</t>
        </is>
      </c>
      <c r="E563" t="inlineStr">
        <is>
          <t>ÖSTHAMMAR</t>
        </is>
      </c>
      <c r="G563" t="n">
        <v>5.1</v>
      </c>
      <c r="H563" t="n">
        <v>0</v>
      </c>
      <c r="I563" t="n">
        <v>0</v>
      </c>
      <c r="J563" t="n">
        <v>0</v>
      </c>
      <c r="K563" t="n">
        <v>0</v>
      </c>
      <c r="L563" t="n">
        <v>0</v>
      </c>
      <c r="M563" t="n">
        <v>0</v>
      </c>
      <c r="N563" t="n">
        <v>0</v>
      </c>
      <c r="O563" t="n">
        <v>0</v>
      </c>
      <c r="P563" t="n">
        <v>0</v>
      </c>
      <c r="Q563" t="n">
        <v>0</v>
      </c>
      <c r="R563" s="2" t="inlineStr"/>
    </row>
    <row r="564" ht="15" customHeight="1">
      <c r="A564" t="inlineStr">
        <is>
          <t>A 69411-2021</t>
        </is>
      </c>
      <c r="B564" s="1" t="n">
        <v>44531.61038194445</v>
      </c>
      <c r="C564" s="1" t="n">
        <v>45914</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4151-2021</t>
        </is>
      </c>
      <c r="B565" s="1" t="n">
        <v>44221</v>
      </c>
      <c r="C565" s="1" t="n">
        <v>45914</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49831-2023</t>
        </is>
      </c>
      <c r="B566" s="1" t="n">
        <v>45212.71241898148</v>
      </c>
      <c r="C566" s="1" t="n">
        <v>45914</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49899-2023</t>
        </is>
      </c>
      <c r="B567" s="1" t="n">
        <v>45213</v>
      </c>
      <c r="C567" s="1" t="n">
        <v>45914</v>
      </c>
      <c r="D567" t="inlineStr">
        <is>
          <t>UPPSALA LÄN</t>
        </is>
      </c>
      <c r="E567" t="inlineStr">
        <is>
          <t>ÖSTHAMMAR</t>
        </is>
      </c>
      <c r="G567" t="n">
        <v>6.2</v>
      </c>
      <c r="H567" t="n">
        <v>0</v>
      </c>
      <c r="I567" t="n">
        <v>0</v>
      </c>
      <c r="J567" t="n">
        <v>0</v>
      </c>
      <c r="K567" t="n">
        <v>0</v>
      </c>
      <c r="L567" t="n">
        <v>0</v>
      </c>
      <c r="M567" t="n">
        <v>0</v>
      </c>
      <c r="N567" t="n">
        <v>0</v>
      </c>
      <c r="O567" t="n">
        <v>0</v>
      </c>
      <c r="P567" t="n">
        <v>0</v>
      </c>
      <c r="Q567" t="n">
        <v>0</v>
      </c>
      <c r="R567" s="2" t="inlineStr"/>
    </row>
    <row r="568" ht="15" customHeight="1">
      <c r="A568" t="inlineStr">
        <is>
          <t>A 17939-2025</t>
        </is>
      </c>
      <c r="B568" s="1" t="n">
        <v>45760.55671296296</v>
      </c>
      <c r="C568" s="1" t="n">
        <v>45914</v>
      </c>
      <c r="D568" t="inlineStr">
        <is>
          <t>UPPSALA LÄN</t>
        </is>
      </c>
      <c r="E568" t="inlineStr">
        <is>
          <t>ÖSTHAMMAR</t>
        </is>
      </c>
      <c r="F568" t="inlineStr">
        <is>
          <t>Bergvik skog öst AB</t>
        </is>
      </c>
      <c r="G568" t="n">
        <v>5.4</v>
      </c>
      <c r="H568" t="n">
        <v>0</v>
      </c>
      <c r="I568" t="n">
        <v>0</v>
      </c>
      <c r="J568" t="n">
        <v>0</v>
      </c>
      <c r="K568" t="n">
        <v>0</v>
      </c>
      <c r="L568" t="n">
        <v>0</v>
      </c>
      <c r="M568" t="n">
        <v>0</v>
      </c>
      <c r="N568" t="n">
        <v>0</v>
      </c>
      <c r="O568" t="n">
        <v>0</v>
      </c>
      <c r="P568" t="n">
        <v>0</v>
      </c>
      <c r="Q568" t="n">
        <v>0</v>
      </c>
      <c r="R568" s="2" t="inlineStr"/>
    </row>
    <row r="569" ht="15" customHeight="1">
      <c r="A569" t="inlineStr">
        <is>
          <t>A 17940-2025</t>
        </is>
      </c>
      <c r="B569" s="1" t="n">
        <v>45760.55842592593</v>
      </c>
      <c r="C569" s="1" t="n">
        <v>45914</v>
      </c>
      <c r="D569" t="inlineStr">
        <is>
          <t>UPPSALA LÄN</t>
        </is>
      </c>
      <c r="E569" t="inlineStr">
        <is>
          <t>ÖSTHAMMAR</t>
        </is>
      </c>
      <c r="F569" t="inlineStr">
        <is>
          <t>Bergvik skog öst AB</t>
        </is>
      </c>
      <c r="G569" t="n">
        <v>5.6</v>
      </c>
      <c r="H569" t="n">
        <v>0</v>
      </c>
      <c r="I569" t="n">
        <v>0</v>
      </c>
      <c r="J569" t="n">
        <v>0</v>
      </c>
      <c r="K569" t="n">
        <v>0</v>
      </c>
      <c r="L569" t="n">
        <v>0</v>
      </c>
      <c r="M569" t="n">
        <v>0</v>
      </c>
      <c r="N569" t="n">
        <v>0</v>
      </c>
      <c r="O569" t="n">
        <v>0</v>
      </c>
      <c r="P569" t="n">
        <v>0</v>
      </c>
      <c r="Q569" t="n">
        <v>0</v>
      </c>
      <c r="R569" s="2" t="inlineStr"/>
    </row>
    <row r="570" ht="15" customHeight="1">
      <c r="A570" t="inlineStr">
        <is>
          <t>A 5855-2022</t>
        </is>
      </c>
      <c r="B570" s="1" t="n">
        <v>44596.63290509259</v>
      </c>
      <c r="C570" s="1" t="n">
        <v>45914</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30755-2024</t>
        </is>
      </c>
      <c r="B571" s="1" t="n">
        <v>45496</v>
      </c>
      <c r="C571" s="1" t="n">
        <v>45914</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54366-2023</t>
        </is>
      </c>
      <c r="B572" s="1" t="n">
        <v>45233</v>
      </c>
      <c r="C572" s="1" t="n">
        <v>45914</v>
      </c>
      <c r="D572" t="inlineStr">
        <is>
          <t>UPPSALA LÄN</t>
        </is>
      </c>
      <c r="E572" t="inlineStr">
        <is>
          <t>ÖSTHAMMAR</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9052-2023</t>
        </is>
      </c>
      <c r="B573" s="1" t="n">
        <v>44979</v>
      </c>
      <c r="C573" s="1" t="n">
        <v>45914</v>
      </c>
      <c r="D573" t="inlineStr">
        <is>
          <t>UPPSALA LÄN</t>
        </is>
      </c>
      <c r="E573" t="inlineStr">
        <is>
          <t>ÖSTHAMMAR</t>
        </is>
      </c>
      <c r="F573" t="inlineStr">
        <is>
          <t>Kyrkan</t>
        </is>
      </c>
      <c r="G573" t="n">
        <v>0.2</v>
      </c>
      <c r="H573" t="n">
        <v>0</v>
      </c>
      <c r="I573" t="n">
        <v>0</v>
      </c>
      <c r="J573" t="n">
        <v>0</v>
      </c>
      <c r="K573" t="n">
        <v>0</v>
      </c>
      <c r="L573" t="n">
        <v>0</v>
      </c>
      <c r="M573" t="n">
        <v>0</v>
      </c>
      <c r="N573" t="n">
        <v>0</v>
      </c>
      <c r="O573" t="n">
        <v>0</v>
      </c>
      <c r="P573" t="n">
        <v>0</v>
      </c>
      <c r="Q573" t="n">
        <v>0</v>
      </c>
      <c r="R573" s="2" t="inlineStr"/>
    </row>
    <row r="574" ht="15" customHeight="1">
      <c r="A574" t="inlineStr">
        <is>
          <t>A 17643-2025</t>
        </is>
      </c>
      <c r="B574" s="1" t="n">
        <v>45758.32454861111</v>
      </c>
      <c r="C574" s="1" t="n">
        <v>45914</v>
      </c>
      <c r="D574" t="inlineStr">
        <is>
          <t>UPPSALA LÄN</t>
        </is>
      </c>
      <c r="E574" t="inlineStr">
        <is>
          <t>ÖSTHAMMAR</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13248-2025</t>
        </is>
      </c>
      <c r="B575" s="1" t="n">
        <v>45735</v>
      </c>
      <c r="C575" s="1" t="n">
        <v>45914</v>
      </c>
      <c r="D575" t="inlineStr">
        <is>
          <t>UPPSALA LÄN</t>
        </is>
      </c>
      <c r="E575" t="inlineStr">
        <is>
          <t>ÖSTHAMMAR</t>
        </is>
      </c>
      <c r="F575" t="inlineStr">
        <is>
          <t>Kyrkan</t>
        </is>
      </c>
      <c r="G575" t="n">
        <v>12.2</v>
      </c>
      <c r="H575" t="n">
        <v>0</v>
      </c>
      <c r="I575" t="n">
        <v>0</v>
      </c>
      <c r="J575" t="n">
        <v>0</v>
      </c>
      <c r="K575" t="n">
        <v>0</v>
      </c>
      <c r="L575" t="n">
        <v>0</v>
      </c>
      <c r="M575" t="n">
        <v>0</v>
      </c>
      <c r="N575" t="n">
        <v>0</v>
      </c>
      <c r="O575" t="n">
        <v>0</v>
      </c>
      <c r="P575" t="n">
        <v>0</v>
      </c>
      <c r="Q575" t="n">
        <v>0</v>
      </c>
      <c r="R575" s="2" t="inlineStr"/>
    </row>
    <row r="576" ht="15" customHeight="1">
      <c r="A576" t="inlineStr">
        <is>
          <t>A 51364-2021</t>
        </is>
      </c>
      <c r="B576" s="1" t="n">
        <v>44461</v>
      </c>
      <c r="C576" s="1" t="n">
        <v>45914</v>
      </c>
      <c r="D576" t="inlineStr">
        <is>
          <t>UPPSALA LÄN</t>
        </is>
      </c>
      <c r="E576" t="inlineStr">
        <is>
          <t>ÖSTHAMMAR</t>
        </is>
      </c>
      <c r="G576" t="n">
        <v>2.4</v>
      </c>
      <c r="H576" t="n">
        <v>0</v>
      </c>
      <c r="I576" t="n">
        <v>0</v>
      </c>
      <c r="J576" t="n">
        <v>0</v>
      </c>
      <c r="K576" t="n">
        <v>0</v>
      </c>
      <c r="L576" t="n">
        <v>0</v>
      </c>
      <c r="M576" t="n">
        <v>0</v>
      </c>
      <c r="N576" t="n">
        <v>0</v>
      </c>
      <c r="O576" t="n">
        <v>0</v>
      </c>
      <c r="P576" t="n">
        <v>0</v>
      </c>
      <c r="Q576" t="n">
        <v>0</v>
      </c>
      <c r="R576" s="2" t="inlineStr"/>
    </row>
    <row r="577" ht="15" customHeight="1">
      <c r="A577" t="inlineStr">
        <is>
          <t>A 33973-2025</t>
        </is>
      </c>
      <c r="B577" s="1" t="n">
        <v>45842.98429398148</v>
      </c>
      <c r="C577" s="1" t="n">
        <v>45914</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61062-2023</t>
        </is>
      </c>
      <c r="B578" s="1" t="n">
        <v>45259</v>
      </c>
      <c r="C578" s="1" t="n">
        <v>45914</v>
      </c>
      <c r="D578" t="inlineStr">
        <is>
          <t>UPPSALA LÄN</t>
        </is>
      </c>
      <c r="E578" t="inlineStr">
        <is>
          <t>ÖSTHAMMAR</t>
        </is>
      </c>
      <c r="G578" t="n">
        <v>5.3</v>
      </c>
      <c r="H578" t="n">
        <v>0</v>
      </c>
      <c r="I578" t="n">
        <v>0</v>
      </c>
      <c r="J578" t="n">
        <v>0</v>
      </c>
      <c r="K578" t="n">
        <v>0</v>
      </c>
      <c r="L578" t="n">
        <v>0</v>
      </c>
      <c r="M578" t="n">
        <v>0</v>
      </c>
      <c r="N578" t="n">
        <v>0</v>
      </c>
      <c r="O578" t="n">
        <v>0</v>
      </c>
      <c r="P578" t="n">
        <v>0</v>
      </c>
      <c r="Q578" t="n">
        <v>0</v>
      </c>
      <c r="R578" s="2" t="inlineStr"/>
    </row>
    <row r="579" ht="15" customHeight="1">
      <c r="A579" t="inlineStr">
        <is>
          <t>A 33760-2024</t>
        </is>
      </c>
      <c r="B579" s="1" t="n">
        <v>45520</v>
      </c>
      <c r="C579" s="1" t="n">
        <v>45914</v>
      </c>
      <c r="D579" t="inlineStr">
        <is>
          <t>UPPSALA LÄN</t>
        </is>
      </c>
      <c r="E579" t="inlineStr">
        <is>
          <t>ÖSTHAMMAR</t>
        </is>
      </c>
      <c r="F579" t="inlineStr">
        <is>
          <t>Övriga Aktiebolag</t>
        </is>
      </c>
      <c r="G579" t="n">
        <v>0.7</v>
      </c>
      <c r="H579" t="n">
        <v>0</v>
      </c>
      <c r="I579" t="n">
        <v>0</v>
      </c>
      <c r="J579" t="n">
        <v>0</v>
      </c>
      <c r="K579" t="n">
        <v>0</v>
      </c>
      <c r="L579" t="n">
        <v>0</v>
      </c>
      <c r="M579" t="n">
        <v>0</v>
      </c>
      <c r="N579" t="n">
        <v>0</v>
      </c>
      <c r="O579" t="n">
        <v>0</v>
      </c>
      <c r="P579" t="n">
        <v>0</v>
      </c>
      <c r="Q579" t="n">
        <v>0</v>
      </c>
      <c r="R579" s="2" t="inlineStr"/>
    </row>
    <row r="580" ht="15" customHeight="1">
      <c r="A580" t="inlineStr">
        <is>
          <t>A 61443-2024</t>
        </is>
      </c>
      <c r="B580" s="1" t="n">
        <v>45646.47936342593</v>
      </c>
      <c r="C580" s="1" t="n">
        <v>45914</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3725-2022</t>
        </is>
      </c>
      <c r="B581" s="1" t="n">
        <v>44586</v>
      </c>
      <c r="C581" s="1" t="n">
        <v>45914</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8006-2023</t>
        </is>
      </c>
      <c r="B582" s="1" t="n">
        <v>44973</v>
      </c>
      <c r="C582" s="1" t="n">
        <v>45914</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26612-2023</t>
        </is>
      </c>
      <c r="B583" s="1" t="n">
        <v>45089</v>
      </c>
      <c r="C583" s="1" t="n">
        <v>45914</v>
      </c>
      <c r="D583" t="inlineStr">
        <is>
          <t>UPPSALA LÄN</t>
        </is>
      </c>
      <c r="E583" t="inlineStr">
        <is>
          <t>ÖSTHAMMAR</t>
        </is>
      </c>
      <c r="G583" t="n">
        <v>2.1</v>
      </c>
      <c r="H583" t="n">
        <v>0</v>
      </c>
      <c r="I583" t="n">
        <v>0</v>
      </c>
      <c r="J583" t="n">
        <v>0</v>
      </c>
      <c r="K583" t="n">
        <v>0</v>
      </c>
      <c r="L583" t="n">
        <v>0</v>
      </c>
      <c r="M583" t="n">
        <v>0</v>
      </c>
      <c r="N583" t="n">
        <v>0</v>
      </c>
      <c r="O583" t="n">
        <v>0</v>
      </c>
      <c r="P583" t="n">
        <v>0</v>
      </c>
      <c r="Q583" t="n">
        <v>0</v>
      </c>
      <c r="R583" s="2" t="inlineStr"/>
    </row>
    <row r="584" ht="15" customHeight="1">
      <c r="A584" t="inlineStr">
        <is>
          <t>A 65361-2020</t>
        </is>
      </c>
      <c r="B584" s="1" t="n">
        <v>44173</v>
      </c>
      <c r="C584" s="1" t="n">
        <v>45914</v>
      </c>
      <c r="D584" t="inlineStr">
        <is>
          <t>UPPSALA LÄN</t>
        </is>
      </c>
      <c r="E584" t="inlineStr">
        <is>
          <t>ÖSTHAMMAR</t>
        </is>
      </c>
      <c r="G584" t="n">
        <v>3.6</v>
      </c>
      <c r="H584" t="n">
        <v>0</v>
      </c>
      <c r="I584" t="n">
        <v>0</v>
      </c>
      <c r="J584" t="n">
        <v>0</v>
      </c>
      <c r="K584" t="n">
        <v>0</v>
      </c>
      <c r="L584" t="n">
        <v>0</v>
      </c>
      <c r="M584" t="n">
        <v>0</v>
      </c>
      <c r="N584" t="n">
        <v>0</v>
      </c>
      <c r="O584" t="n">
        <v>0</v>
      </c>
      <c r="P584" t="n">
        <v>0</v>
      </c>
      <c r="Q584" t="n">
        <v>0</v>
      </c>
      <c r="R584" s="2" t="inlineStr"/>
    </row>
    <row r="585" ht="15" customHeight="1">
      <c r="A585" t="inlineStr">
        <is>
          <t>A 14269-2025</t>
        </is>
      </c>
      <c r="B585" s="1" t="n">
        <v>45740.64078703704</v>
      </c>
      <c r="C585" s="1" t="n">
        <v>45914</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18088-2025</t>
        </is>
      </c>
      <c r="B586" s="1" t="n">
        <v>45761.53104166667</v>
      </c>
      <c r="C586" s="1" t="n">
        <v>45914</v>
      </c>
      <c r="D586" t="inlineStr">
        <is>
          <t>UPPSALA LÄN</t>
        </is>
      </c>
      <c r="E586" t="inlineStr">
        <is>
          <t>ÖSTHAMMAR</t>
        </is>
      </c>
      <c r="F586" t="inlineStr">
        <is>
          <t>Bergvik skog öst AB</t>
        </is>
      </c>
      <c r="G586" t="n">
        <v>1.9</v>
      </c>
      <c r="H586" t="n">
        <v>0</v>
      </c>
      <c r="I586" t="n">
        <v>0</v>
      </c>
      <c r="J586" t="n">
        <v>0</v>
      </c>
      <c r="K586" t="n">
        <v>0</v>
      </c>
      <c r="L586" t="n">
        <v>0</v>
      </c>
      <c r="M586" t="n">
        <v>0</v>
      </c>
      <c r="N586" t="n">
        <v>0</v>
      </c>
      <c r="O586" t="n">
        <v>0</v>
      </c>
      <c r="P586" t="n">
        <v>0</v>
      </c>
      <c r="Q586" t="n">
        <v>0</v>
      </c>
      <c r="R586" s="2" t="inlineStr"/>
    </row>
    <row r="587" ht="15" customHeight="1">
      <c r="A587" t="inlineStr">
        <is>
          <t>A 18095-2025</t>
        </is>
      </c>
      <c r="B587" s="1" t="n">
        <v>45761.54925925926</v>
      </c>
      <c r="C587" s="1" t="n">
        <v>45914</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11469-2023</t>
        </is>
      </c>
      <c r="B588" s="1" t="n">
        <v>44993.60099537037</v>
      </c>
      <c r="C588" s="1" t="n">
        <v>45914</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33972-2025</t>
        </is>
      </c>
      <c r="B589" s="1" t="n">
        <v>45842.97236111111</v>
      </c>
      <c r="C589" s="1" t="n">
        <v>45914</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36646-2025</t>
        </is>
      </c>
      <c r="B590" s="1" t="n">
        <v>45872</v>
      </c>
      <c r="C590" s="1" t="n">
        <v>45914</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26395-2025</t>
        </is>
      </c>
      <c r="B591" s="1" t="n">
        <v>45807</v>
      </c>
      <c r="C591" s="1" t="n">
        <v>45914</v>
      </c>
      <c r="D591" t="inlineStr">
        <is>
          <t>UPPSALA LÄN</t>
        </is>
      </c>
      <c r="E591" t="inlineStr">
        <is>
          <t>ÖSTHAMMAR</t>
        </is>
      </c>
      <c r="G591" t="n">
        <v>7</v>
      </c>
      <c r="H591" t="n">
        <v>0</v>
      </c>
      <c r="I591" t="n">
        <v>0</v>
      </c>
      <c r="J591" t="n">
        <v>0</v>
      </c>
      <c r="K591" t="n">
        <v>0</v>
      </c>
      <c r="L591" t="n">
        <v>0</v>
      </c>
      <c r="M591" t="n">
        <v>0</v>
      </c>
      <c r="N591" t="n">
        <v>0</v>
      </c>
      <c r="O591" t="n">
        <v>0</v>
      </c>
      <c r="P591" t="n">
        <v>0</v>
      </c>
      <c r="Q591" t="n">
        <v>0</v>
      </c>
      <c r="R591" s="2" t="inlineStr"/>
    </row>
    <row r="592" ht="15" customHeight="1">
      <c r="A592" t="inlineStr">
        <is>
          <t>A 36645-2025</t>
        </is>
      </c>
      <c r="B592" s="1" t="n">
        <v>45872</v>
      </c>
      <c r="C592" s="1" t="n">
        <v>45914</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16531-2025</t>
        </is>
      </c>
      <c r="B593" s="1" t="n">
        <v>45751</v>
      </c>
      <c r="C593" s="1" t="n">
        <v>45914</v>
      </c>
      <c r="D593" t="inlineStr">
        <is>
          <t>UPPSALA LÄN</t>
        </is>
      </c>
      <c r="E593" t="inlineStr">
        <is>
          <t>ÖSTHAMMAR</t>
        </is>
      </c>
      <c r="G593" t="n">
        <v>3.3</v>
      </c>
      <c r="H593" t="n">
        <v>0</v>
      </c>
      <c r="I593" t="n">
        <v>0</v>
      </c>
      <c r="J593" t="n">
        <v>0</v>
      </c>
      <c r="K593" t="n">
        <v>0</v>
      </c>
      <c r="L593" t="n">
        <v>0</v>
      </c>
      <c r="M593" t="n">
        <v>0</v>
      </c>
      <c r="N593" t="n">
        <v>0</v>
      </c>
      <c r="O593" t="n">
        <v>0</v>
      </c>
      <c r="P593" t="n">
        <v>0</v>
      </c>
      <c r="Q593" t="n">
        <v>0</v>
      </c>
      <c r="R593" s="2" t="inlineStr"/>
    </row>
    <row r="594" ht="15" customHeight="1">
      <c r="A594" t="inlineStr">
        <is>
          <t>A 25897-2023</t>
        </is>
      </c>
      <c r="B594" s="1" t="n">
        <v>45090.63300925926</v>
      </c>
      <c r="C594" s="1" t="n">
        <v>45914</v>
      </c>
      <c r="D594" t="inlineStr">
        <is>
          <t>UPPSALA LÄN</t>
        </is>
      </c>
      <c r="E594" t="inlineStr">
        <is>
          <t>ÖSTHAMMAR</t>
        </is>
      </c>
      <c r="F594" t="inlineStr">
        <is>
          <t>Bergvik skog öst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20324-2021</t>
        </is>
      </c>
      <c r="B595" s="1" t="n">
        <v>44308</v>
      </c>
      <c r="C595" s="1" t="n">
        <v>45914</v>
      </c>
      <c r="D595" t="inlineStr">
        <is>
          <t>UPPSALA LÄN</t>
        </is>
      </c>
      <c r="E595" t="inlineStr">
        <is>
          <t>ÖSTHAMMAR</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20046-2023</t>
        </is>
      </c>
      <c r="B596" s="1" t="n">
        <v>45054</v>
      </c>
      <c r="C596" s="1" t="n">
        <v>45914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41478-2024</t>
        </is>
      </c>
      <c r="B597" s="1" t="n">
        <v>45560.44158564815</v>
      </c>
      <c r="C597" s="1" t="n">
        <v>45914</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25033-2021</t>
        </is>
      </c>
      <c r="B598" s="1" t="n">
        <v>44341.590625</v>
      </c>
      <c r="C598" s="1" t="n">
        <v>45914</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16212-2021</t>
        </is>
      </c>
      <c r="B599" s="1" t="n">
        <v>44287</v>
      </c>
      <c r="C599" s="1" t="n">
        <v>45914</v>
      </c>
      <c r="D599" t="inlineStr">
        <is>
          <t>UPPSALA LÄN</t>
        </is>
      </c>
      <c r="E599" t="inlineStr">
        <is>
          <t>ÖSTHAMMAR</t>
        </is>
      </c>
      <c r="G599" t="n">
        <v>1.6</v>
      </c>
      <c r="H599" t="n">
        <v>0</v>
      </c>
      <c r="I599" t="n">
        <v>0</v>
      </c>
      <c r="J599" t="n">
        <v>0</v>
      </c>
      <c r="K599" t="n">
        <v>0</v>
      </c>
      <c r="L599" t="n">
        <v>0</v>
      </c>
      <c r="M599" t="n">
        <v>0</v>
      </c>
      <c r="N599" t="n">
        <v>0</v>
      </c>
      <c r="O599" t="n">
        <v>0</v>
      </c>
      <c r="P599" t="n">
        <v>0</v>
      </c>
      <c r="Q599" t="n">
        <v>0</v>
      </c>
      <c r="R599" s="2" t="inlineStr"/>
    </row>
    <row r="600" ht="15" customHeight="1">
      <c r="A600" t="inlineStr">
        <is>
          <t>A 3638-2022</t>
        </is>
      </c>
      <c r="B600" s="1" t="n">
        <v>44578</v>
      </c>
      <c r="C600" s="1" t="n">
        <v>45914</v>
      </c>
      <c r="D600" t="inlineStr">
        <is>
          <t>UPPSALA LÄN</t>
        </is>
      </c>
      <c r="E600" t="inlineStr">
        <is>
          <t>ÖSTHAMMAR</t>
        </is>
      </c>
      <c r="G600" t="n">
        <v>1.7</v>
      </c>
      <c r="H600" t="n">
        <v>0</v>
      </c>
      <c r="I600" t="n">
        <v>0</v>
      </c>
      <c r="J600" t="n">
        <v>0</v>
      </c>
      <c r="K600" t="n">
        <v>0</v>
      </c>
      <c r="L600" t="n">
        <v>0</v>
      </c>
      <c r="M600" t="n">
        <v>0</v>
      </c>
      <c r="N600" t="n">
        <v>0</v>
      </c>
      <c r="O600" t="n">
        <v>0</v>
      </c>
      <c r="P600" t="n">
        <v>0</v>
      </c>
      <c r="Q600" t="n">
        <v>0</v>
      </c>
      <c r="R600" s="2" t="inlineStr"/>
    </row>
    <row r="601" ht="15" customHeight="1">
      <c r="A601" t="inlineStr">
        <is>
          <t>A 63577-2020</t>
        </is>
      </c>
      <c r="B601" s="1" t="n">
        <v>44165</v>
      </c>
      <c r="C601" s="1" t="n">
        <v>45914</v>
      </c>
      <c r="D601" t="inlineStr">
        <is>
          <t>UPPSALA LÄN</t>
        </is>
      </c>
      <c r="E601" t="inlineStr">
        <is>
          <t>ÖSTHAMMAR</t>
        </is>
      </c>
      <c r="G601" t="n">
        <v>0.9</v>
      </c>
      <c r="H601" t="n">
        <v>0</v>
      </c>
      <c r="I601" t="n">
        <v>0</v>
      </c>
      <c r="J601" t="n">
        <v>0</v>
      </c>
      <c r="K601" t="n">
        <v>0</v>
      </c>
      <c r="L601" t="n">
        <v>0</v>
      </c>
      <c r="M601" t="n">
        <v>0</v>
      </c>
      <c r="N601" t="n">
        <v>0</v>
      </c>
      <c r="O601" t="n">
        <v>0</v>
      </c>
      <c r="P601" t="n">
        <v>0</v>
      </c>
      <c r="Q601" t="n">
        <v>0</v>
      </c>
      <c r="R601" s="2" t="inlineStr"/>
    </row>
    <row r="602" ht="15" customHeight="1">
      <c r="A602" t="inlineStr">
        <is>
          <t>A 18113-2023</t>
        </is>
      </c>
      <c r="B602" s="1" t="n">
        <v>45040</v>
      </c>
      <c r="C602" s="1" t="n">
        <v>45914</v>
      </c>
      <c r="D602" t="inlineStr">
        <is>
          <t>UPPSALA LÄN</t>
        </is>
      </c>
      <c r="E602" t="inlineStr">
        <is>
          <t>ÖSTHAMMAR</t>
        </is>
      </c>
      <c r="G602" t="n">
        <v>2.1</v>
      </c>
      <c r="H602" t="n">
        <v>0</v>
      </c>
      <c r="I602" t="n">
        <v>0</v>
      </c>
      <c r="J602" t="n">
        <v>0</v>
      </c>
      <c r="K602" t="n">
        <v>0</v>
      </c>
      <c r="L602" t="n">
        <v>0</v>
      </c>
      <c r="M602" t="n">
        <v>0</v>
      </c>
      <c r="N602" t="n">
        <v>0</v>
      </c>
      <c r="O602" t="n">
        <v>0</v>
      </c>
      <c r="P602" t="n">
        <v>0</v>
      </c>
      <c r="Q602" t="n">
        <v>0</v>
      </c>
      <c r="R602" s="2" t="inlineStr"/>
    </row>
    <row r="603" ht="15" customHeight="1">
      <c r="A603" t="inlineStr">
        <is>
          <t>A 37656-2025</t>
        </is>
      </c>
      <c r="B603" s="1" t="n">
        <v>45880</v>
      </c>
      <c r="C603" s="1" t="n">
        <v>45914</v>
      </c>
      <c r="D603" t="inlineStr">
        <is>
          <t>UPPSALA LÄN</t>
        </is>
      </c>
      <c r="E603" t="inlineStr">
        <is>
          <t>ÖSTHAMMAR</t>
        </is>
      </c>
      <c r="G603" t="n">
        <v>4.3</v>
      </c>
      <c r="H603" t="n">
        <v>0</v>
      </c>
      <c r="I603" t="n">
        <v>0</v>
      </c>
      <c r="J603" t="n">
        <v>0</v>
      </c>
      <c r="K603" t="n">
        <v>0</v>
      </c>
      <c r="L603" t="n">
        <v>0</v>
      </c>
      <c r="M603" t="n">
        <v>0</v>
      </c>
      <c r="N603" t="n">
        <v>0</v>
      </c>
      <c r="O603" t="n">
        <v>0</v>
      </c>
      <c r="P603" t="n">
        <v>0</v>
      </c>
      <c r="Q603" t="n">
        <v>0</v>
      </c>
      <c r="R603" s="2" t="inlineStr"/>
    </row>
    <row r="604" ht="15" customHeight="1">
      <c r="A604" t="inlineStr">
        <is>
          <t>A 23120-2021</t>
        </is>
      </c>
      <c r="B604" s="1" t="n">
        <v>44330</v>
      </c>
      <c r="C604" s="1" t="n">
        <v>45914</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52389-2022</t>
        </is>
      </c>
      <c r="B605" s="1" t="n">
        <v>44874.38325231482</v>
      </c>
      <c r="C605" s="1" t="n">
        <v>45914</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38886-2025</t>
        </is>
      </c>
      <c r="B606" s="1" t="n">
        <v>45887.58370370371</v>
      </c>
      <c r="C606" s="1" t="n">
        <v>45914</v>
      </c>
      <c r="D606" t="inlineStr">
        <is>
          <t>UPPSALA LÄN</t>
        </is>
      </c>
      <c r="E606" t="inlineStr">
        <is>
          <t>ÖSTHAMMAR</t>
        </is>
      </c>
      <c r="F606" t="inlineStr">
        <is>
          <t>Bergvik skog öst AB</t>
        </is>
      </c>
      <c r="G606" t="n">
        <v>4.7</v>
      </c>
      <c r="H606" t="n">
        <v>0</v>
      </c>
      <c r="I606" t="n">
        <v>0</v>
      </c>
      <c r="J606" t="n">
        <v>0</v>
      </c>
      <c r="K606" t="n">
        <v>0</v>
      </c>
      <c r="L606" t="n">
        <v>0</v>
      </c>
      <c r="M606" t="n">
        <v>0</v>
      </c>
      <c r="N606" t="n">
        <v>0</v>
      </c>
      <c r="O606" t="n">
        <v>0</v>
      </c>
      <c r="P606" t="n">
        <v>0</v>
      </c>
      <c r="Q606" t="n">
        <v>0</v>
      </c>
      <c r="R606" s="2" t="inlineStr"/>
    </row>
    <row r="607" ht="15" customHeight="1">
      <c r="A607" t="inlineStr">
        <is>
          <t>A 17969-2023</t>
        </is>
      </c>
      <c r="B607" s="1" t="n">
        <v>45040.47081018519</v>
      </c>
      <c r="C607" s="1" t="n">
        <v>45914</v>
      </c>
      <c r="D607" t="inlineStr">
        <is>
          <t>UPPSALA LÄN</t>
        </is>
      </c>
      <c r="E607" t="inlineStr">
        <is>
          <t>ÖSTHAMMAR</t>
        </is>
      </c>
      <c r="G607" t="n">
        <v>5.4</v>
      </c>
      <c r="H607" t="n">
        <v>0</v>
      </c>
      <c r="I607" t="n">
        <v>0</v>
      </c>
      <c r="J607" t="n">
        <v>0</v>
      </c>
      <c r="K607" t="n">
        <v>0</v>
      </c>
      <c r="L607" t="n">
        <v>0</v>
      </c>
      <c r="M607" t="n">
        <v>0</v>
      </c>
      <c r="N607" t="n">
        <v>0</v>
      </c>
      <c r="O607" t="n">
        <v>0</v>
      </c>
      <c r="P607" t="n">
        <v>0</v>
      </c>
      <c r="Q607" t="n">
        <v>0</v>
      </c>
      <c r="R607" s="2" t="inlineStr"/>
    </row>
    <row r="608" ht="15" customHeight="1">
      <c r="A608" t="inlineStr">
        <is>
          <t>A 10117-2025</t>
        </is>
      </c>
      <c r="B608" s="1" t="n">
        <v>45719.59866898148</v>
      </c>
      <c r="C608" s="1" t="n">
        <v>45914</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1238-2022</t>
        </is>
      </c>
      <c r="B609" s="1" t="n">
        <v>44572.5827662037</v>
      </c>
      <c r="C609" s="1" t="n">
        <v>45914</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40044-2025</t>
        </is>
      </c>
      <c r="B610" s="1" t="n">
        <v>45894.40133101852</v>
      </c>
      <c r="C610" s="1" t="n">
        <v>45914</v>
      </c>
      <c r="D610" t="inlineStr">
        <is>
          <t>UPPSALA LÄN</t>
        </is>
      </c>
      <c r="E610" t="inlineStr">
        <is>
          <t>ÖSTHAMMAR</t>
        </is>
      </c>
      <c r="F610" t="inlineStr">
        <is>
          <t>Kyrkan</t>
        </is>
      </c>
      <c r="G610" t="n">
        <v>8.9</v>
      </c>
      <c r="H610" t="n">
        <v>0</v>
      </c>
      <c r="I610" t="n">
        <v>0</v>
      </c>
      <c r="J610" t="n">
        <v>0</v>
      </c>
      <c r="K610" t="n">
        <v>0</v>
      </c>
      <c r="L610" t="n">
        <v>0</v>
      </c>
      <c r="M610" t="n">
        <v>0</v>
      </c>
      <c r="N610" t="n">
        <v>0</v>
      </c>
      <c r="O610" t="n">
        <v>0</v>
      </c>
      <c r="P610" t="n">
        <v>0</v>
      </c>
      <c r="Q610" t="n">
        <v>0</v>
      </c>
      <c r="R610" s="2" t="inlineStr"/>
    </row>
    <row r="611" ht="15" customHeight="1">
      <c r="A611" t="inlineStr">
        <is>
          <t>A 19748-2025</t>
        </is>
      </c>
      <c r="B611" s="1" t="n">
        <v>45771.38465277778</v>
      </c>
      <c r="C611" s="1" t="n">
        <v>45914</v>
      </c>
      <c r="D611" t="inlineStr">
        <is>
          <t>UPPSALA LÄN</t>
        </is>
      </c>
      <c r="E611" t="inlineStr">
        <is>
          <t>ÖSTHAMMAR</t>
        </is>
      </c>
      <c r="F611" t="inlineStr">
        <is>
          <t>Övriga Aktiebolag</t>
        </is>
      </c>
      <c r="G611" t="n">
        <v>6.8</v>
      </c>
      <c r="H611" t="n">
        <v>0</v>
      </c>
      <c r="I611" t="n">
        <v>0</v>
      </c>
      <c r="J611" t="n">
        <v>0</v>
      </c>
      <c r="K611" t="n">
        <v>0</v>
      </c>
      <c r="L611" t="n">
        <v>0</v>
      </c>
      <c r="M611" t="n">
        <v>0</v>
      </c>
      <c r="N611" t="n">
        <v>0</v>
      </c>
      <c r="O611" t="n">
        <v>0</v>
      </c>
      <c r="P611" t="n">
        <v>0</v>
      </c>
      <c r="Q611" t="n">
        <v>0</v>
      </c>
      <c r="R611" s="2" t="inlineStr"/>
    </row>
    <row r="612" ht="15" customHeight="1">
      <c r="A612" t="inlineStr">
        <is>
          <t>A 40016-2025</t>
        </is>
      </c>
      <c r="B612" s="1" t="n">
        <v>45894.34747685185</v>
      </c>
      <c r="C612" s="1" t="n">
        <v>45914</v>
      </c>
      <c r="D612" t="inlineStr">
        <is>
          <t>UPPSALA LÄN</t>
        </is>
      </c>
      <c r="E612" t="inlineStr">
        <is>
          <t>ÖSTHAMMAR</t>
        </is>
      </c>
      <c r="F612" t="inlineStr">
        <is>
          <t>Kyrkan</t>
        </is>
      </c>
      <c r="G612" t="n">
        <v>6.6</v>
      </c>
      <c r="H612" t="n">
        <v>0</v>
      </c>
      <c r="I612" t="n">
        <v>0</v>
      </c>
      <c r="J612" t="n">
        <v>0</v>
      </c>
      <c r="K612" t="n">
        <v>0</v>
      </c>
      <c r="L612" t="n">
        <v>0</v>
      </c>
      <c r="M612" t="n">
        <v>0</v>
      </c>
      <c r="N612" t="n">
        <v>0</v>
      </c>
      <c r="O612" t="n">
        <v>0</v>
      </c>
      <c r="P612" t="n">
        <v>0</v>
      </c>
      <c r="Q612" t="n">
        <v>0</v>
      </c>
      <c r="R612" s="2" t="inlineStr"/>
    </row>
    <row r="613" ht="15" customHeight="1">
      <c r="A613" t="inlineStr">
        <is>
          <t>A 25859-2024</t>
        </is>
      </c>
      <c r="B613" s="1" t="n">
        <v>45467</v>
      </c>
      <c r="C613" s="1" t="n">
        <v>45914</v>
      </c>
      <c r="D613" t="inlineStr">
        <is>
          <t>UPPSALA LÄN</t>
        </is>
      </c>
      <c r="E613" t="inlineStr">
        <is>
          <t>ÖSTHAMMAR</t>
        </is>
      </c>
      <c r="G613" t="n">
        <v>7.9</v>
      </c>
      <c r="H613" t="n">
        <v>0</v>
      </c>
      <c r="I613" t="n">
        <v>0</v>
      </c>
      <c r="J613" t="n">
        <v>0</v>
      </c>
      <c r="K613" t="n">
        <v>0</v>
      </c>
      <c r="L613" t="n">
        <v>0</v>
      </c>
      <c r="M613" t="n">
        <v>0</v>
      </c>
      <c r="N613" t="n">
        <v>0</v>
      </c>
      <c r="O613" t="n">
        <v>0</v>
      </c>
      <c r="P613" t="n">
        <v>0</v>
      </c>
      <c r="Q613" t="n">
        <v>0</v>
      </c>
      <c r="R613" s="2" t="inlineStr"/>
    </row>
    <row r="614" ht="15" customHeight="1">
      <c r="A614" t="inlineStr">
        <is>
          <t>A 3327-2023</t>
        </is>
      </c>
      <c r="B614" s="1" t="n">
        <v>44949.4377662037</v>
      </c>
      <c r="C614" s="1" t="n">
        <v>45914</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44953.48619212963</v>
      </c>
      <c r="C615" s="1" t="n">
        <v>45914</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30811-2023</t>
        </is>
      </c>
      <c r="B616" s="1" t="n">
        <v>45112.86422453704</v>
      </c>
      <c r="C616" s="1" t="n">
        <v>45914</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19640-2025</t>
        </is>
      </c>
      <c r="B617" s="1" t="n">
        <v>45770.65739583333</v>
      </c>
      <c r="C617" s="1" t="n">
        <v>45914</v>
      </c>
      <c r="D617" t="inlineStr">
        <is>
          <t>UPPSALA LÄN</t>
        </is>
      </c>
      <c r="E617" t="inlineStr">
        <is>
          <t>ÖSTHAMMAR</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40570-2025</t>
        </is>
      </c>
      <c r="B618" s="1" t="n">
        <v>45896.47878472223</v>
      </c>
      <c r="C618" s="1" t="n">
        <v>45914</v>
      </c>
      <c r="D618" t="inlineStr">
        <is>
          <t>UPPSALA LÄN</t>
        </is>
      </c>
      <c r="E618" t="inlineStr">
        <is>
          <t>ÖSTHAMMAR</t>
        </is>
      </c>
      <c r="F618" t="inlineStr">
        <is>
          <t>Övriga Aktiebolag</t>
        </is>
      </c>
      <c r="G618" t="n">
        <v>4.8</v>
      </c>
      <c r="H618" t="n">
        <v>0</v>
      </c>
      <c r="I618" t="n">
        <v>0</v>
      </c>
      <c r="J618" t="n">
        <v>0</v>
      </c>
      <c r="K618" t="n">
        <v>0</v>
      </c>
      <c r="L618" t="n">
        <v>0</v>
      </c>
      <c r="M618" t="n">
        <v>0</v>
      </c>
      <c r="N618" t="n">
        <v>0</v>
      </c>
      <c r="O618" t="n">
        <v>0</v>
      </c>
      <c r="P618" t="n">
        <v>0</v>
      </c>
      <c r="Q618" t="n">
        <v>0</v>
      </c>
      <c r="R618" s="2" t="inlineStr"/>
    </row>
    <row r="619" ht="15" customHeight="1">
      <c r="A619" t="inlineStr">
        <is>
          <t>A 40377-2025</t>
        </is>
      </c>
      <c r="B619" s="1" t="n">
        <v>45895.53020833333</v>
      </c>
      <c r="C619" s="1" t="n">
        <v>45914</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40416-2025</t>
        </is>
      </c>
      <c r="B620" s="1" t="n">
        <v>45895.57736111111</v>
      </c>
      <c r="C620" s="1" t="n">
        <v>45914</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8708-2022</t>
        </is>
      </c>
      <c r="B621" s="1" t="n">
        <v>44613.77238425926</v>
      </c>
      <c r="C621" s="1" t="n">
        <v>45914</v>
      </c>
      <c r="D621" t="inlineStr">
        <is>
          <t>UPPSALA LÄN</t>
        </is>
      </c>
      <c r="E621" t="inlineStr">
        <is>
          <t>ÖSTHAMMAR</t>
        </is>
      </c>
      <c r="G621" t="n">
        <v>4.3</v>
      </c>
      <c r="H621" t="n">
        <v>0</v>
      </c>
      <c r="I621" t="n">
        <v>0</v>
      </c>
      <c r="J621" t="n">
        <v>0</v>
      </c>
      <c r="K621" t="n">
        <v>0</v>
      </c>
      <c r="L621" t="n">
        <v>0</v>
      </c>
      <c r="M621" t="n">
        <v>0</v>
      </c>
      <c r="N621" t="n">
        <v>0</v>
      </c>
      <c r="O621" t="n">
        <v>0</v>
      </c>
      <c r="P621" t="n">
        <v>0</v>
      </c>
      <c r="Q621" t="n">
        <v>0</v>
      </c>
      <c r="R621" s="2" t="inlineStr"/>
    </row>
    <row r="622" ht="15" customHeight="1">
      <c r="A622" t="inlineStr">
        <is>
          <t>A 40406-2025</t>
        </is>
      </c>
      <c r="B622" s="1" t="n">
        <v>45895.57082175926</v>
      </c>
      <c r="C622" s="1" t="n">
        <v>45914</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11547-2022</t>
        </is>
      </c>
      <c r="B623" s="1" t="n">
        <v>44631.43116898148</v>
      </c>
      <c r="C623" s="1" t="n">
        <v>45914</v>
      </c>
      <c r="D623" t="inlineStr">
        <is>
          <t>UPPSALA LÄN</t>
        </is>
      </c>
      <c r="E623" t="inlineStr">
        <is>
          <t>ÖSTHAMMAR</t>
        </is>
      </c>
      <c r="G623" t="n">
        <v>4.4</v>
      </c>
      <c r="H623" t="n">
        <v>0</v>
      </c>
      <c r="I623" t="n">
        <v>0</v>
      </c>
      <c r="J623" t="n">
        <v>0</v>
      </c>
      <c r="K623" t="n">
        <v>0</v>
      </c>
      <c r="L623" t="n">
        <v>0</v>
      </c>
      <c r="M623" t="n">
        <v>0</v>
      </c>
      <c r="N623" t="n">
        <v>0</v>
      </c>
      <c r="O623" t="n">
        <v>0</v>
      </c>
      <c r="P623" t="n">
        <v>0</v>
      </c>
      <c r="Q623" t="n">
        <v>0</v>
      </c>
      <c r="R623" s="2" t="inlineStr"/>
    </row>
    <row r="624" ht="15" customHeight="1">
      <c r="A624" t="inlineStr">
        <is>
          <t>A 40460-2025</t>
        </is>
      </c>
      <c r="B624" s="1" t="n">
        <v>45895.65013888889</v>
      </c>
      <c r="C624" s="1" t="n">
        <v>45914</v>
      </c>
      <c r="D624" t="inlineStr">
        <is>
          <t>UPPSALA LÄN</t>
        </is>
      </c>
      <c r="E624" t="inlineStr">
        <is>
          <t>ÖSTHAMMAR</t>
        </is>
      </c>
      <c r="G624" t="n">
        <v>2.7</v>
      </c>
      <c r="H624" t="n">
        <v>0</v>
      </c>
      <c r="I624" t="n">
        <v>0</v>
      </c>
      <c r="J624" t="n">
        <v>0</v>
      </c>
      <c r="K624" t="n">
        <v>0</v>
      </c>
      <c r="L624" t="n">
        <v>0</v>
      </c>
      <c r="M624" t="n">
        <v>0</v>
      </c>
      <c r="N624" t="n">
        <v>0</v>
      </c>
      <c r="O624" t="n">
        <v>0</v>
      </c>
      <c r="P624" t="n">
        <v>0</v>
      </c>
      <c r="Q624" t="n">
        <v>0</v>
      </c>
      <c r="R624" s="2" t="inlineStr"/>
    </row>
    <row r="625" ht="15" customHeight="1">
      <c r="A625" t="inlineStr">
        <is>
          <t>A 40384-2025</t>
        </is>
      </c>
      <c r="B625" s="1" t="n">
        <v>45895.54085648148</v>
      </c>
      <c r="C625" s="1" t="n">
        <v>45914</v>
      </c>
      <c r="D625" t="inlineStr">
        <is>
          <t>UPPSALA LÄN</t>
        </is>
      </c>
      <c r="E625" t="inlineStr">
        <is>
          <t>ÖSTHAMMAR</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40462-2025</t>
        </is>
      </c>
      <c r="B626" s="1" t="n">
        <v>45895.65179398148</v>
      </c>
      <c r="C626" s="1" t="n">
        <v>45914</v>
      </c>
      <c r="D626" t="inlineStr">
        <is>
          <t>UPPSALA LÄN</t>
        </is>
      </c>
      <c r="E626" t="inlineStr">
        <is>
          <t>ÖSTHAMMAR</t>
        </is>
      </c>
      <c r="G626" t="n">
        <v>4.5</v>
      </c>
      <c r="H626" t="n">
        <v>0</v>
      </c>
      <c r="I626" t="n">
        <v>0</v>
      </c>
      <c r="J626" t="n">
        <v>0</v>
      </c>
      <c r="K626" t="n">
        <v>0</v>
      </c>
      <c r="L626" t="n">
        <v>0</v>
      </c>
      <c r="M626" t="n">
        <v>0</v>
      </c>
      <c r="N626" t="n">
        <v>0</v>
      </c>
      <c r="O626" t="n">
        <v>0</v>
      </c>
      <c r="P626" t="n">
        <v>0</v>
      </c>
      <c r="Q626" t="n">
        <v>0</v>
      </c>
      <c r="R626" s="2" t="inlineStr"/>
    </row>
    <row r="627" ht="15" customHeight="1">
      <c r="A627" t="inlineStr">
        <is>
          <t>A 25269-2024</t>
        </is>
      </c>
      <c r="B627" s="1" t="n">
        <v>45462</v>
      </c>
      <c r="C627" s="1" t="n">
        <v>45914</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44905.50363425926</v>
      </c>
      <c r="C628" s="1" t="n">
        <v>45914</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25969-2023</t>
        </is>
      </c>
      <c r="B629" s="1" t="n">
        <v>45090</v>
      </c>
      <c r="C629" s="1" t="n">
        <v>45914</v>
      </c>
      <c r="D629" t="inlineStr">
        <is>
          <t>UPPSALA LÄN</t>
        </is>
      </c>
      <c r="E629" t="inlineStr">
        <is>
          <t>ÖSTHAMMAR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56903-2023</t>
        </is>
      </c>
      <c r="B630" s="1" t="n">
        <v>45244.56943287037</v>
      </c>
      <c r="C630" s="1" t="n">
        <v>45914</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67151-2021</t>
        </is>
      </c>
      <c r="B631" s="1" t="n">
        <v>44523</v>
      </c>
      <c r="C631" s="1" t="n">
        <v>45914</v>
      </c>
      <c r="D631" t="inlineStr">
        <is>
          <t>UPPSALA LÄN</t>
        </is>
      </c>
      <c r="E631" t="inlineStr">
        <is>
          <t>ÖSTHAMMAR</t>
        </is>
      </c>
      <c r="G631" t="n">
        <v>2.4</v>
      </c>
      <c r="H631" t="n">
        <v>0</v>
      </c>
      <c r="I631" t="n">
        <v>0</v>
      </c>
      <c r="J631" t="n">
        <v>0</v>
      </c>
      <c r="K631" t="n">
        <v>0</v>
      </c>
      <c r="L631" t="n">
        <v>0</v>
      </c>
      <c r="M631" t="n">
        <v>0</v>
      </c>
      <c r="N631" t="n">
        <v>0</v>
      </c>
      <c r="O631" t="n">
        <v>0</v>
      </c>
      <c r="P631" t="n">
        <v>0</v>
      </c>
      <c r="Q631" t="n">
        <v>0</v>
      </c>
      <c r="R631" s="2" t="inlineStr"/>
    </row>
    <row r="632" ht="15" customHeight="1">
      <c r="A632" t="inlineStr">
        <is>
          <t>A 29824-2023</t>
        </is>
      </c>
      <c r="B632" s="1" t="n">
        <v>45107</v>
      </c>
      <c r="C632" s="1" t="n">
        <v>45914</v>
      </c>
      <c r="D632" t="inlineStr">
        <is>
          <t>UPPSALA LÄN</t>
        </is>
      </c>
      <c r="E632" t="inlineStr">
        <is>
          <t>ÖSTHAMMAR</t>
        </is>
      </c>
      <c r="F632" t="inlineStr">
        <is>
          <t>Naturvårdsverket</t>
        </is>
      </c>
      <c r="G632" t="n">
        <v>1.6</v>
      </c>
      <c r="H632" t="n">
        <v>0</v>
      </c>
      <c r="I632" t="n">
        <v>0</v>
      </c>
      <c r="J632" t="n">
        <v>0</v>
      </c>
      <c r="K632" t="n">
        <v>0</v>
      </c>
      <c r="L632" t="n">
        <v>0</v>
      </c>
      <c r="M632" t="n">
        <v>0</v>
      </c>
      <c r="N632" t="n">
        <v>0</v>
      </c>
      <c r="O632" t="n">
        <v>0</v>
      </c>
      <c r="P632" t="n">
        <v>0</v>
      </c>
      <c r="Q632" t="n">
        <v>0</v>
      </c>
      <c r="R632" s="2" t="inlineStr"/>
    </row>
    <row r="633" ht="15" customHeight="1">
      <c r="A633" t="inlineStr">
        <is>
          <t>A 38610-2023</t>
        </is>
      </c>
      <c r="B633" s="1" t="n">
        <v>45162.65466435185</v>
      </c>
      <c r="C633" s="1" t="n">
        <v>45914</v>
      </c>
      <c r="D633" t="inlineStr">
        <is>
          <t>UPPSALA LÄN</t>
        </is>
      </c>
      <c r="E633" t="inlineStr">
        <is>
          <t>ÖSTHAMMAR</t>
        </is>
      </c>
      <c r="F633" t="inlineStr">
        <is>
          <t>Bergvik skog öst AB</t>
        </is>
      </c>
      <c r="G633" t="n">
        <v>3.5</v>
      </c>
      <c r="H633" t="n">
        <v>0</v>
      </c>
      <c r="I633" t="n">
        <v>0</v>
      </c>
      <c r="J633" t="n">
        <v>0</v>
      </c>
      <c r="K633" t="n">
        <v>0</v>
      </c>
      <c r="L633" t="n">
        <v>0</v>
      </c>
      <c r="M633" t="n">
        <v>0</v>
      </c>
      <c r="N633" t="n">
        <v>0</v>
      </c>
      <c r="O633" t="n">
        <v>0</v>
      </c>
      <c r="P633" t="n">
        <v>0</v>
      </c>
      <c r="Q633" t="n">
        <v>0</v>
      </c>
      <c r="R633" s="2" t="inlineStr"/>
    </row>
    <row r="634" ht="15" customHeight="1">
      <c r="A634" t="inlineStr">
        <is>
          <t>A 64586-2021</t>
        </is>
      </c>
      <c r="B634" s="1" t="n">
        <v>44511</v>
      </c>
      <c r="C634" s="1" t="n">
        <v>45914</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41519-2025</t>
        </is>
      </c>
      <c r="B635" s="1" t="n">
        <v>45901.54751157408</v>
      </c>
      <c r="C635" s="1" t="n">
        <v>45914</v>
      </c>
      <c r="D635" t="inlineStr">
        <is>
          <t>UPPSALA LÄN</t>
        </is>
      </c>
      <c r="E635" t="inlineStr">
        <is>
          <t>ÖSTHAMMAR</t>
        </is>
      </c>
      <c r="F635" t="inlineStr">
        <is>
          <t>Övriga Aktiebolag</t>
        </is>
      </c>
      <c r="G635" t="n">
        <v>17.1</v>
      </c>
      <c r="H635" t="n">
        <v>0</v>
      </c>
      <c r="I635" t="n">
        <v>0</v>
      </c>
      <c r="J635" t="n">
        <v>0</v>
      </c>
      <c r="K635" t="n">
        <v>0</v>
      </c>
      <c r="L635" t="n">
        <v>0</v>
      </c>
      <c r="M635" t="n">
        <v>0</v>
      </c>
      <c r="N635" t="n">
        <v>0</v>
      </c>
      <c r="O635" t="n">
        <v>0</v>
      </c>
      <c r="P635" t="n">
        <v>0</v>
      </c>
      <c r="Q635" t="n">
        <v>0</v>
      </c>
      <c r="R635" s="2" t="inlineStr"/>
    </row>
    <row r="636" ht="15" customHeight="1">
      <c r="A636" t="inlineStr">
        <is>
          <t>A 46423-2020</t>
        </is>
      </c>
      <c r="B636" s="1" t="n">
        <v>44095</v>
      </c>
      <c r="C636" s="1" t="n">
        <v>45914</v>
      </c>
      <c r="D636" t="inlineStr">
        <is>
          <t>UPPSALA LÄN</t>
        </is>
      </c>
      <c r="E636" t="inlineStr">
        <is>
          <t>ÖSTHAMMAR</t>
        </is>
      </c>
      <c r="G636" t="n">
        <v>3</v>
      </c>
      <c r="H636" t="n">
        <v>0</v>
      </c>
      <c r="I636" t="n">
        <v>0</v>
      </c>
      <c r="J636" t="n">
        <v>0</v>
      </c>
      <c r="K636" t="n">
        <v>0</v>
      </c>
      <c r="L636" t="n">
        <v>0</v>
      </c>
      <c r="M636" t="n">
        <v>0</v>
      </c>
      <c r="N636" t="n">
        <v>0</v>
      </c>
      <c r="O636" t="n">
        <v>0</v>
      </c>
      <c r="P636" t="n">
        <v>0</v>
      </c>
      <c r="Q636" t="n">
        <v>0</v>
      </c>
      <c r="R636" s="2" t="inlineStr"/>
    </row>
    <row r="637" ht="15" customHeight="1">
      <c r="A637" t="inlineStr">
        <is>
          <t>A 17009-2021</t>
        </is>
      </c>
      <c r="B637" s="1" t="n">
        <v>44295.63969907408</v>
      </c>
      <c r="C637" s="1" t="n">
        <v>45914</v>
      </c>
      <c r="D637" t="inlineStr">
        <is>
          <t>UPPSALA LÄN</t>
        </is>
      </c>
      <c r="E637" t="inlineStr">
        <is>
          <t>ÖSTHAMMAR</t>
        </is>
      </c>
      <c r="F637" t="inlineStr">
        <is>
          <t>Bergvik skog öst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42213-2025</t>
        </is>
      </c>
      <c r="B638" s="1" t="n">
        <v>45904.50652777778</v>
      </c>
      <c r="C638" s="1" t="n">
        <v>45914</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13755-2023</t>
        </is>
      </c>
      <c r="B639" s="1" t="n">
        <v>45007</v>
      </c>
      <c r="C639" s="1" t="n">
        <v>45914</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64774-2023</t>
        </is>
      </c>
      <c r="B640" s="1" t="n">
        <v>45282</v>
      </c>
      <c r="C640" s="1" t="n">
        <v>45914</v>
      </c>
      <c r="D640" t="inlineStr">
        <is>
          <t>UPPSALA LÄN</t>
        </is>
      </c>
      <c r="E640" t="inlineStr">
        <is>
          <t>ÖSTHAMMAR</t>
        </is>
      </c>
      <c r="F640" t="inlineStr">
        <is>
          <t>Övriga Aktiebolag</t>
        </is>
      </c>
      <c r="G640" t="n">
        <v>3.7</v>
      </c>
      <c r="H640" t="n">
        <v>0</v>
      </c>
      <c r="I640" t="n">
        <v>0</v>
      </c>
      <c r="J640" t="n">
        <v>0</v>
      </c>
      <c r="K640" t="n">
        <v>0</v>
      </c>
      <c r="L640" t="n">
        <v>0</v>
      </c>
      <c r="M640" t="n">
        <v>0</v>
      </c>
      <c r="N640" t="n">
        <v>0</v>
      </c>
      <c r="O640" t="n">
        <v>0</v>
      </c>
      <c r="P640" t="n">
        <v>0</v>
      </c>
      <c r="Q640" t="n">
        <v>0</v>
      </c>
      <c r="R640" s="2" t="inlineStr"/>
    </row>
    <row r="641" ht="15" customHeight="1">
      <c r="A641" t="inlineStr">
        <is>
          <t>A 65020-2021</t>
        </is>
      </c>
      <c r="B641" s="1" t="n">
        <v>44515</v>
      </c>
      <c r="C641" s="1" t="n">
        <v>45914</v>
      </c>
      <c r="D641" t="inlineStr">
        <is>
          <t>UPPSALA LÄN</t>
        </is>
      </c>
      <c r="E641" t="inlineStr">
        <is>
          <t>ÖSTHAMMAR</t>
        </is>
      </c>
      <c r="F641" t="inlineStr">
        <is>
          <t>Sveaskog</t>
        </is>
      </c>
      <c r="G641" t="n">
        <v>4.7</v>
      </c>
      <c r="H641" t="n">
        <v>0</v>
      </c>
      <c r="I641" t="n">
        <v>0</v>
      </c>
      <c r="J641" t="n">
        <v>0</v>
      </c>
      <c r="K641" t="n">
        <v>0</v>
      </c>
      <c r="L641" t="n">
        <v>0</v>
      </c>
      <c r="M641" t="n">
        <v>0</v>
      </c>
      <c r="N641" t="n">
        <v>0</v>
      </c>
      <c r="O641" t="n">
        <v>0</v>
      </c>
      <c r="P641" t="n">
        <v>0</v>
      </c>
      <c r="Q641" t="n">
        <v>0</v>
      </c>
      <c r="R641" s="2" t="inlineStr"/>
    </row>
    <row r="642" ht="15" customHeight="1">
      <c r="A642" t="inlineStr">
        <is>
          <t>A 40382-2025</t>
        </is>
      </c>
      <c r="B642" s="1" t="n">
        <v>45895.53689814815</v>
      </c>
      <c r="C642" s="1" t="n">
        <v>45914</v>
      </c>
      <c r="D642" t="inlineStr">
        <is>
          <t>UPPSALA LÄN</t>
        </is>
      </c>
      <c r="E642" t="inlineStr">
        <is>
          <t>ÖSTHAMMAR</t>
        </is>
      </c>
      <c r="G642" t="n">
        <v>2.2</v>
      </c>
      <c r="H642" t="n">
        <v>0</v>
      </c>
      <c r="I642" t="n">
        <v>0</v>
      </c>
      <c r="J642" t="n">
        <v>0</v>
      </c>
      <c r="K642" t="n">
        <v>0</v>
      </c>
      <c r="L642" t="n">
        <v>0</v>
      </c>
      <c r="M642" t="n">
        <v>0</v>
      </c>
      <c r="N642" t="n">
        <v>0</v>
      </c>
      <c r="O642" t="n">
        <v>0</v>
      </c>
      <c r="P642" t="n">
        <v>0</v>
      </c>
      <c r="Q642" t="n">
        <v>0</v>
      </c>
      <c r="R642" s="2" t="inlineStr"/>
    </row>
    <row r="643" ht="15" customHeight="1">
      <c r="A643" t="inlineStr">
        <is>
          <t>A 2085-2022</t>
        </is>
      </c>
      <c r="B643" s="1" t="n">
        <v>44576.78626157407</v>
      </c>
      <c r="C643" s="1" t="n">
        <v>45914</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14671-2022</t>
        </is>
      </c>
      <c r="B644" s="1" t="n">
        <v>44655.80475694445</v>
      </c>
      <c r="C644" s="1" t="n">
        <v>45914</v>
      </c>
      <c r="D644" t="inlineStr">
        <is>
          <t>UPPSALA LÄN</t>
        </is>
      </c>
      <c r="E644" t="inlineStr">
        <is>
          <t>ÖSTHAMMAR</t>
        </is>
      </c>
      <c r="G644" t="n">
        <v>1.9</v>
      </c>
      <c r="H644" t="n">
        <v>0</v>
      </c>
      <c r="I644" t="n">
        <v>0</v>
      </c>
      <c r="J644" t="n">
        <v>0</v>
      </c>
      <c r="K644" t="n">
        <v>0</v>
      </c>
      <c r="L644" t="n">
        <v>0</v>
      </c>
      <c r="M644" t="n">
        <v>0</v>
      </c>
      <c r="N644" t="n">
        <v>0</v>
      </c>
      <c r="O644" t="n">
        <v>0</v>
      </c>
      <c r="P644" t="n">
        <v>0</v>
      </c>
      <c r="Q644" t="n">
        <v>0</v>
      </c>
      <c r="R644" s="2" t="inlineStr"/>
    </row>
    <row r="645" ht="15" customHeight="1">
      <c r="A645" t="inlineStr">
        <is>
          <t>A 17929-2025</t>
        </is>
      </c>
      <c r="B645" s="1" t="n">
        <v>45759.56462962963</v>
      </c>
      <c r="C645" s="1" t="n">
        <v>45914</v>
      </c>
      <c r="D645" t="inlineStr">
        <is>
          <t>UPPSALA LÄN</t>
        </is>
      </c>
      <c r="E645" t="inlineStr">
        <is>
          <t>ÖSTHAMMAR</t>
        </is>
      </c>
      <c r="G645" t="n">
        <v>3.4</v>
      </c>
      <c r="H645" t="n">
        <v>0</v>
      </c>
      <c r="I645" t="n">
        <v>0</v>
      </c>
      <c r="J645" t="n">
        <v>0</v>
      </c>
      <c r="K645" t="n">
        <v>0</v>
      </c>
      <c r="L645" t="n">
        <v>0</v>
      </c>
      <c r="M645" t="n">
        <v>0</v>
      </c>
      <c r="N645" t="n">
        <v>0</v>
      </c>
      <c r="O645" t="n">
        <v>0</v>
      </c>
      <c r="P645" t="n">
        <v>0</v>
      </c>
      <c r="Q645" t="n">
        <v>0</v>
      </c>
      <c r="R645" s="2" t="inlineStr"/>
    </row>
    <row r="646" ht="15" customHeight="1">
      <c r="A646" t="inlineStr">
        <is>
          <t>A 12215-2023</t>
        </is>
      </c>
      <c r="B646" s="1" t="n">
        <v>44998</v>
      </c>
      <c r="C646" s="1" t="n">
        <v>45914</v>
      </c>
      <c r="D646" t="inlineStr">
        <is>
          <t>UPPSALA LÄN</t>
        </is>
      </c>
      <c r="E646" t="inlineStr">
        <is>
          <t>ÖSTHAMMAR</t>
        </is>
      </c>
      <c r="G646" t="n">
        <v>5.1</v>
      </c>
      <c r="H646" t="n">
        <v>0</v>
      </c>
      <c r="I646" t="n">
        <v>0</v>
      </c>
      <c r="J646" t="n">
        <v>0</v>
      </c>
      <c r="K646" t="n">
        <v>0</v>
      </c>
      <c r="L646" t="n">
        <v>0</v>
      </c>
      <c r="M646" t="n">
        <v>0</v>
      </c>
      <c r="N646" t="n">
        <v>0</v>
      </c>
      <c r="O646" t="n">
        <v>0</v>
      </c>
      <c r="P646" t="n">
        <v>0</v>
      </c>
      <c r="Q646" t="n">
        <v>0</v>
      </c>
      <c r="R646" s="2" t="inlineStr"/>
    </row>
    <row r="647" ht="15" customHeight="1">
      <c r="A647" t="inlineStr">
        <is>
          <t>A 36092-2025</t>
        </is>
      </c>
      <c r="B647" s="1" t="n">
        <v>45866.48244212963</v>
      </c>
      <c r="C647" s="1" t="n">
        <v>45914</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41996-2024</t>
        </is>
      </c>
      <c r="B648" s="1" t="n">
        <v>45561</v>
      </c>
      <c r="C648" s="1" t="n">
        <v>45914</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15449-2022</t>
        </is>
      </c>
      <c r="B649" s="1" t="n">
        <v>44660.91659722223</v>
      </c>
      <c r="C649" s="1" t="n">
        <v>45914</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1439-2025</t>
        </is>
      </c>
      <c r="B650" s="1" t="n">
        <v>45669.69075231482</v>
      </c>
      <c r="C650" s="1" t="n">
        <v>45914</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5884-2023</t>
        </is>
      </c>
      <c r="B651" s="1" t="n">
        <v>44963</v>
      </c>
      <c r="C651" s="1" t="n">
        <v>45914</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5215-2025</t>
        </is>
      </c>
      <c r="B652" s="1" t="n">
        <v>45691</v>
      </c>
      <c r="C652" s="1" t="n">
        <v>45914</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65028-2021</t>
        </is>
      </c>
      <c r="B653" s="1" t="n">
        <v>44515</v>
      </c>
      <c r="C653" s="1" t="n">
        <v>45914</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43011-2025</t>
        </is>
      </c>
      <c r="B654" s="1" t="n">
        <v>45909.48989583334</v>
      </c>
      <c r="C654" s="1" t="n">
        <v>45914</v>
      </c>
      <c r="D654" t="inlineStr">
        <is>
          <t>UPPSALA LÄN</t>
        </is>
      </c>
      <c r="E654" t="inlineStr">
        <is>
          <t>ÖSTHAMMAR</t>
        </is>
      </c>
      <c r="F654" t="inlineStr">
        <is>
          <t>Övriga Aktiebolag</t>
        </is>
      </c>
      <c r="G654" t="n">
        <v>4.7</v>
      </c>
      <c r="H654" t="n">
        <v>0</v>
      </c>
      <c r="I654" t="n">
        <v>0</v>
      </c>
      <c r="J654" t="n">
        <v>0</v>
      </c>
      <c r="K654" t="n">
        <v>0</v>
      </c>
      <c r="L654" t="n">
        <v>0</v>
      </c>
      <c r="M654" t="n">
        <v>0</v>
      </c>
      <c r="N654" t="n">
        <v>0</v>
      </c>
      <c r="O654" t="n">
        <v>0</v>
      </c>
      <c r="P654" t="n">
        <v>0</v>
      </c>
      <c r="Q654" t="n">
        <v>0</v>
      </c>
      <c r="R654" s="2" t="inlineStr"/>
    </row>
    <row r="655" ht="15" customHeight="1">
      <c r="A655" t="inlineStr">
        <is>
          <t>A 1525-2025</t>
        </is>
      </c>
      <c r="B655" s="1" t="n">
        <v>45670.47300925926</v>
      </c>
      <c r="C655" s="1" t="n">
        <v>45914</v>
      </c>
      <c r="D655" t="inlineStr">
        <is>
          <t>UPPSALA LÄN</t>
        </is>
      </c>
      <c r="E655" t="inlineStr">
        <is>
          <t>ÖSTHAMMAR</t>
        </is>
      </c>
      <c r="F655" t="inlineStr">
        <is>
          <t>Bergvik skog öst AB</t>
        </is>
      </c>
      <c r="G655" t="n">
        <v>2</v>
      </c>
      <c r="H655" t="n">
        <v>0</v>
      </c>
      <c r="I655" t="n">
        <v>0</v>
      </c>
      <c r="J655" t="n">
        <v>0</v>
      </c>
      <c r="K655" t="n">
        <v>0</v>
      </c>
      <c r="L655" t="n">
        <v>0</v>
      </c>
      <c r="M655" t="n">
        <v>0</v>
      </c>
      <c r="N655" t="n">
        <v>0</v>
      </c>
      <c r="O655" t="n">
        <v>0</v>
      </c>
      <c r="P655" t="n">
        <v>0</v>
      </c>
      <c r="Q655" t="n">
        <v>0</v>
      </c>
      <c r="R655" s="2" t="inlineStr"/>
    </row>
    <row r="656" ht="15" customHeight="1">
      <c r="A656" t="inlineStr">
        <is>
          <t>A 42940-2025</t>
        </is>
      </c>
      <c r="B656" s="1" t="n">
        <v>45909.33440972222</v>
      </c>
      <c r="C656" s="1" t="n">
        <v>45914</v>
      </c>
      <c r="D656" t="inlineStr">
        <is>
          <t>UPPSALA LÄN</t>
        </is>
      </c>
      <c r="E656" t="inlineStr">
        <is>
          <t>ÖSTHAMMAR</t>
        </is>
      </c>
      <c r="G656" t="n">
        <v>2.1</v>
      </c>
      <c r="H656" t="n">
        <v>0</v>
      </c>
      <c r="I656" t="n">
        <v>0</v>
      </c>
      <c r="J656" t="n">
        <v>0</v>
      </c>
      <c r="K656" t="n">
        <v>0</v>
      </c>
      <c r="L656" t="n">
        <v>0</v>
      </c>
      <c r="M656" t="n">
        <v>0</v>
      </c>
      <c r="N656" t="n">
        <v>0</v>
      </c>
      <c r="O656" t="n">
        <v>0</v>
      </c>
      <c r="P656" t="n">
        <v>0</v>
      </c>
      <c r="Q656" t="n">
        <v>0</v>
      </c>
      <c r="R656" s="2" t="inlineStr"/>
    </row>
    <row r="657" ht="15" customHeight="1">
      <c r="A657" t="inlineStr">
        <is>
          <t>A 61257-2022</t>
        </is>
      </c>
      <c r="B657" s="1" t="n">
        <v>44915.59418981482</v>
      </c>
      <c r="C657" s="1" t="n">
        <v>45914</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36857-2023</t>
        </is>
      </c>
      <c r="B658" s="1" t="n">
        <v>45154.55175925926</v>
      </c>
      <c r="C658" s="1" t="n">
        <v>45914</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6206-2022</t>
        </is>
      </c>
      <c r="B659" s="1" t="n">
        <v>44600.35755787037</v>
      </c>
      <c r="C659" s="1" t="n">
        <v>45914</v>
      </c>
      <c r="D659" t="inlineStr">
        <is>
          <t>UPPSALA LÄN</t>
        </is>
      </c>
      <c r="E659" t="inlineStr">
        <is>
          <t>ÖSTHAMMAR</t>
        </is>
      </c>
      <c r="G659" t="n">
        <v>7.4</v>
      </c>
      <c r="H659" t="n">
        <v>0</v>
      </c>
      <c r="I659" t="n">
        <v>0</v>
      </c>
      <c r="J659" t="n">
        <v>0</v>
      </c>
      <c r="K659" t="n">
        <v>0</v>
      </c>
      <c r="L659" t="n">
        <v>0</v>
      </c>
      <c r="M659" t="n">
        <v>0</v>
      </c>
      <c r="N659" t="n">
        <v>0</v>
      </c>
      <c r="O659" t="n">
        <v>0</v>
      </c>
      <c r="P659" t="n">
        <v>0</v>
      </c>
      <c r="Q659" t="n">
        <v>0</v>
      </c>
      <c r="R659" s="2" t="inlineStr"/>
    </row>
    <row r="660" ht="15" customHeight="1">
      <c r="A660" t="inlineStr">
        <is>
          <t>A 6143-2022</t>
        </is>
      </c>
      <c r="B660" s="1" t="n">
        <v>44599.72306712963</v>
      </c>
      <c r="C660" s="1" t="n">
        <v>45914</v>
      </c>
      <c r="D660" t="inlineStr">
        <is>
          <t>UPPSALA LÄN</t>
        </is>
      </c>
      <c r="E660" t="inlineStr">
        <is>
          <t>ÖSTHAMMAR</t>
        </is>
      </c>
      <c r="G660" t="n">
        <v>3.4</v>
      </c>
      <c r="H660" t="n">
        <v>0</v>
      </c>
      <c r="I660" t="n">
        <v>0</v>
      </c>
      <c r="J660" t="n">
        <v>0</v>
      </c>
      <c r="K660" t="n">
        <v>0</v>
      </c>
      <c r="L660" t="n">
        <v>0</v>
      </c>
      <c r="M660" t="n">
        <v>0</v>
      </c>
      <c r="N660" t="n">
        <v>0</v>
      </c>
      <c r="O660" t="n">
        <v>0</v>
      </c>
      <c r="P660" t="n">
        <v>0</v>
      </c>
      <c r="Q660" t="n">
        <v>0</v>
      </c>
      <c r="R660" s="2" t="inlineStr"/>
    </row>
    <row r="661" ht="15" customHeight="1">
      <c r="A661" t="inlineStr">
        <is>
          <t>A 3514-2023</t>
        </is>
      </c>
      <c r="B661" s="1" t="n">
        <v>44950</v>
      </c>
      <c r="C661" s="1" t="n">
        <v>45914</v>
      </c>
      <c r="D661" t="inlineStr">
        <is>
          <t>UPPSALA LÄN</t>
        </is>
      </c>
      <c r="E661" t="inlineStr">
        <is>
          <t>ÖSTHAMMAR</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43604-2025</t>
        </is>
      </c>
      <c r="B662" s="1" t="n">
        <v>45911.66671296296</v>
      </c>
      <c r="C662" s="1" t="n">
        <v>45914</v>
      </c>
      <c r="D662" t="inlineStr">
        <is>
          <t>UPPSALA LÄN</t>
        </is>
      </c>
      <c r="E662" t="inlineStr">
        <is>
          <t>ÖSTHAMMAR</t>
        </is>
      </c>
      <c r="G662" t="n">
        <v>8.5</v>
      </c>
      <c r="H662" t="n">
        <v>0</v>
      </c>
      <c r="I662" t="n">
        <v>0</v>
      </c>
      <c r="J662" t="n">
        <v>0</v>
      </c>
      <c r="K662" t="n">
        <v>0</v>
      </c>
      <c r="L662" t="n">
        <v>0</v>
      </c>
      <c r="M662" t="n">
        <v>0</v>
      </c>
      <c r="N662" t="n">
        <v>0</v>
      </c>
      <c r="O662" t="n">
        <v>0</v>
      </c>
      <c r="P662" t="n">
        <v>0</v>
      </c>
      <c r="Q662" t="n">
        <v>0</v>
      </c>
      <c r="R662" s="2" t="inlineStr"/>
    </row>
    <row r="663" ht="15" customHeight="1">
      <c r="A663" t="inlineStr">
        <is>
          <t>A 43622-2025</t>
        </is>
      </c>
      <c r="B663" s="1" t="n">
        <v>45911.68295138889</v>
      </c>
      <c r="C663" s="1" t="n">
        <v>45914</v>
      </c>
      <c r="D663" t="inlineStr">
        <is>
          <t>UPPSALA LÄN</t>
        </is>
      </c>
      <c r="E663" t="inlineStr">
        <is>
          <t>ÖSTHAMMAR</t>
        </is>
      </c>
      <c r="G663" t="n">
        <v>2.3</v>
      </c>
      <c r="H663" t="n">
        <v>0</v>
      </c>
      <c r="I663" t="n">
        <v>0</v>
      </c>
      <c r="J663" t="n">
        <v>0</v>
      </c>
      <c r="K663" t="n">
        <v>0</v>
      </c>
      <c r="L663" t="n">
        <v>0</v>
      </c>
      <c r="M663" t="n">
        <v>0</v>
      </c>
      <c r="N663" t="n">
        <v>0</v>
      </c>
      <c r="O663" t="n">
        <v>0</v>
      </c>
      <c r="P663" t="n">
        <v>0</v>
      </c>
      <c r="Q663" t="n">
        <v>0</v>
      </c>
      <c r="R663" s="2" t="inlineStr"/>
    </row>
    <row r="664" ht="15" customHeight="1">
      <c r="A664" t="inlineStr">
        <is>
          <t>A 45561-2023</t>
        </is>
      </c>
      <c r="B664" s="1" t="n">
        <v>45194.59335648148</v>
      </c>
      <c r="C664" s="1" t="n">
        <v>45914</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36451-2025</t>
        </is>
      </c>
      <c r="B665" s="1" t="n">
        <v>45869.4290625</v>
      </c>
      <c r="C665" s="1" t="n">
        <v>45914</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43439-2024</t>
        </is>
      </c>
      <c r="B666" s="1" t="n">
        <v>45568</v>
      </c>
      <c r="C666" s="1" t="n">
        <v>45914</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59880-2022</t>
        </is>
      </c>
      <c r="B667" s="1" t="n">
        <v>44908.69575231482</v>
      </c>
      <c r="C667" s="1" t="n">
        <v>45914</v>
      </c>
      <c r="D667" t="inlineStr">
        <is>
          <t>UPPSALA LÄN</t>
        </is>
      </c>
      <c r="E667" t="inlineStr">
        <is>
          <t>ÖSTHAMMAR</t>
        </is>
      </c>
      <c r="G667" t="n">
        <v>1.4</v>
      </c>
      <c r="H667" t="n">
        <v>0</v>
      </c>
      <c r="I667" t="n">
        <v>0</v>
      </c>
      <c r="J667" t="n">
        <v>0</v>
      </c>
      <c r="K667" t="n">
        <v>0</v>
      </c>
      <c r="L667" t="n">
        <v>0</v>
      </c>
      <c r="M667" t="n">
        <v>0</v>
      </c>
      <c r="N667" t="n">
        <v>0</v>
      </c>
      <c r="O667" t="n">
        <v>0</v>
      </c>
      <c r="P667" t="n">
        <v>0</v>
      </c>
      <c r="Q667" t="n">
        <v>0</v>
      </c>
      <c r="R667" s="2" t="inlineStr"/>
    </row>
    <row r="668" ht="15" customHeight="1">
      <c r="A668" t="inlineStr">
        <is>
          <t>A 4562-2022</t>
        </is>
      </c>
      <c r="B668" s="1" t="n">
        <v>44591</v>
      </c>
      <c r="C668" s="1" t="n">
        <v>45914</v>
      </c>
      <c r="D668" t="inlineStr">
        <is>
          <t>UPPSALA LÄN</t>
        </is>
      </c>
      <c r="E668" t="inlineStr">
        <is>
          <t>ÖSTHAMMAR</t>
        </is>
      </c>
      <c r="G668" t="n">
        <v>3.4</v>
      </c>
      <c r="H668" t="n">
        <v>0</v>
      </c>
      <c r="I668" t="n">
        <v>0</v>
      </c>
      <c r="J668" t="n">
        <v>0</v>
      </c>
      <c r="K668" t="n">
        <v>0</v>
      </c>
      <c r="L668" t="n">
        <v>0</v>
      </c>
      <c r="M668" t="n">
        <v>0</v>
      </c>
      <c r="N668" t="n">
        <v>0</v>
      </c>
      <c r="O668" t="n">
        <v>0</v>
      </c>
      <c r="P668" t="n">
        <v>0</v>
      </c>
      <c r="Q668" t="n">
        <v>0</v>
      </c>
      <c r="R668" s="2" t="inlineStr"/>
    </row>
    <row r="669" ht="15" customHeight="1">
      <c r="A669" t="inlineStr">
        <is>
          <t>A 4099-2025</t>
        </is>
      </c>
      <c r="B669" s="1" t="n">
        <v>45684</v>
      </c>
      <c r="C669" s="1" t="n">
        <v>45914</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41538-2021</t>
        </is>
      </c>
      <c r="B670" s="1" t="n">
        <v>44425.35016203704</v>
      </c>
      <c r="C670" s="1" t="n">
        <v>45914</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36301-2023</t>
        </is>
      </c>
      <c r="B671" s="1" t="n">
        <v>45152.37296296296</v>
      </c>
      <c r="C671" s="1" t="n">
        <v>45914</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28429-2023</t>
        </is>
      </c>
      <c r="B672" s="1" t="n">
        <v>45102.58728009259</v>
      </c>
      <c r="C672" s="1" t="n">
        <v>45914</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35309-2023</t>
        </is>
      </c>
      <c r="B673" s="1" t="n">
        <v>45146</v>
      </c>
      <c r="C673" s="1" t="n">
        <v>45914</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835-2025</t>
        </is>
      </c>
      <c r="B674" s="1" t="n">
        <v>45665.58465277778</v>
      </c>
      <c r="C674" s="1" t="n">
        <v>45914</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67199-2021</t>
        </is>
      </c>
      <c r="B675" s="1" t="n">
        <v>44523.46197916667</v>
      </c>
      <c r="C675" s="1" t="n">
        <v>45914</v>
      </c>
      <c r="D675" t="inlineStr">
        <is>
          <t>UPPSALA LÄN</t>
        </is>
      </c>
      <c r="E675" t="inlineStr">
        <is>
          <t>ÖSTHAMMAR</t>
        </is>
      </c>
      <c r="G675" t="n">
        <v>2.3</v>
      </c>
      <c r="H675" t="n">
        <v>0</v>
      </c>
      <c r="I675" t="n">
        <v>0</v>
      </c>
      <c r="J675" t="n">
        <v>0</v>
      </c>
      <c r="K675" t="n">
        <v>0</v>
      </c>
      <c r="L675" t="n">
        <v>0</v>
      </c>
      <c r="M675" t="n">
        <v>0</v>
      </c>
      <c r="N675" t="n">
        <v>0</v>
      </c>
      <c r="O675" t="n">
        <v>0</v>
      </c>
      <c r="P675" t="n">
        <v>0</v>
      </c>
      <c r="Q675" t="n">
        <v>0</v>
      </c>
      <c r="R675" s="2" t="inlineStr"/>
    </row>
    <row r="676" ht="15" customHeight="1">
      <c r="A676" t="inlineStr">
        <is>
          <t>A 24259-2022</t>
        </is>
      </c>
      <c r="B676" s="1" t="n">
        <v>44725</v>
      </c>
      <c r="C676" s="1" t="n">
        <v>45914</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24367-2022</t>
        </is>
      </c>
      <c r="B677" s="1" t="n">
        <v>44726.42716435185</v>
      </c>
      <c r="C677" s="1" t="n">
        <v>45914</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49897-2023</t>
        </is>
      </c>
      <c r="B678" s="1" t="n">
        <v>45213.84846064815</v>
      </c>
      <c r="C678" s="1" t="n">
        <v>45914</v>
      </c>
      <c r="D678" t="inlineStr">
        <is>
          <t>UPPSALA LÄN</t>
        </is>
      </c>
      <c r="E678" t="inlineStr">
        <is>
          <t>ÖSTHAMMAR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34922-2023</t>
        </is>
      </c>
      <c r="B679" s="1" t="n">
        <v>45142.48359953704</v>
      </c>
      <c r="C679" s="1" t="n">
        <v>45914</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50998-2023</t>
        </is>
      </c>
      <c r="B680" s="1" t="n">
        <v>45218.5586574074</v>
      </c>
      <c r="C680" s="1" t="n">
        <v>45914</v>
      </c>
      <c r="D680" t="inlineStr">
        <is>
          <t>UPPSALA LÄN</t>
        </is>
      </c>
      <c r="E680" t="inlineStr">
        <is>
          <t>ÖSTHAMMAR</t>
        </is>
      </c>
      <c r="G680" t="n">
        <v>3.6</v>
      </c>
      <c r="H680" t="n">
        <v>0</v>
      </c>
      <c r="I680" t="n">
        <v>0</v>
      </c>
      <c r="J680" t="n">
        <v>0</v>
      </c>
      <c r="K680" t="n">
        <v>0</v>
      </c>
      <c r="L680" t="n">
        <v>0</v>
      </c>
      <c r="M680" t="n">
        <v>0</v>
      </c>
      <c r="N680" t="n">
        <v>0</v>
      </c>
      <c r="O680" t="n">
        <v>0</v>
      </c>
      <c r="P680" t="n">
        <v>0</v>
      </c>
      <c r="Q680" t="n">
        <v>0</v>
      </c>
      <c r="R680" s="2" t="inlineStr"/>
    </row>
    <row r="681" ht="15" customHeight="1">
      <c r="A681" t="inlineStr">
        <is>
          <t>A 31669-2022</t>
        </is>
      </c>
      <c r="B681" s="1" t="n">
        <v>44775</v>
      </c>
      <c r="C681" s="1" t="n">
        <v>45914</v>
      </c>
      <c r="D681" t="inlineStr">
        <is>
          <t>UPPSALA LÄN</t>
        </is>
      </c>
      <c r="E681" t="inlineStr">
        <is>
          <t>ÖSTHAMMAR</t>
        </is>
      </c>
      <c r="G681" t="n">
        <v>6</v>
      </c>
      <c r="H681" t="n">
        <v>0</v>
      </c>
      <c r="I681" t="n">
        <v>0</v>
      </c>
      <c r="J681" t="n">
        <v>0</v>
      </c>
      <c r="K681" t="n">
        <v>0</v>
      </c>
      <c r="L681" t="n">
        <v>0</v>
      </c>
      <c r="M681" t="n">
        <v>0</v>
      </c>
      <c r="N681" t="n">
        <v>0</v>
      </c>
      <c r="O681" t="n">
        <v>0</v>
      </c>
      <c r="P681" t="n">
        <v>0</v>
      </c>
      <c r="Q681" t="n">
        <v>0</v>
      </c>
      <c r="R681" s="2" t="inlineStr"/>
    </row>
    <row r="682" ht="15" customHeight="1">
      <c r="A682" t="inlineStr">
        <is>
          <t>A 48856-2024</t>
        </is>
      </c>
      <c r="B682" s="1" t="n">
        <v>45593</v>
      </c>
      <c r="C682" s="1" t="n">
        <v>45914</v>
      </c>
      <c r="D682" t="inlineStr">
        <is>
          <t>UPPSALA LÄN</t>
        </is>
      </c>
      <c r="E682" t="inlineStr">
        <is>
          <t>ÖSTHAMMAR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17947-2022</t>
        </is>
      </c>
      <c r="B683" s="1" t="n">
        <v>44683</v>
      </c>
      <c r="C683" s="1" t="n">
        <v>45914</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21862-2023</t>
        </is>
      </c>
      <c r="B684" s="1" t="n">
        <v>45068</v>
      </c>
      <c r="C684" s="1" t="n">
        <v>45914</v>
      </c>
      <c r="D684" t="inlineStr">
        <is>
          <t>UPPSALA LÄN</t>
        </is>
      </c>
      <c r="E684" t="inlineStr">
        <is>
          <t>ÖSTHAMMAR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12654-2025</t>
        </is>
      </c>
      <c r="B685" s="1" t="n">
        <v>45733.41601851852</v>
      </c>
      <c r="C685" s="1" t="n">
        <v>45914</v>
      </c>
      <c r="D685" t="inlineStr">
        <is>
          <t>UPPSALA LÄN</t>
        </is>
      </c>
      <c r="E685" t="inlineStr">
        <is>
          <t>ÖSTHAMMAR</t>
        </is>
      </c>
      <c r="G685" t="n">
        <v>9.9</v>
      </c>
      <c r="H685" t="n">
        <v>0</v>
      </c>
      <c r="I685" t="n">
        <v>0</v>
      </c>
      <c r="J685" t="n">
        <v>0</v>
      </c>
      <c r="K685" t="n">
        <v>0</v>
      </c>
      <c r="L685" t="n">
        <v>0</v>
      </c>
      <c r="M685" t="n">
        <v>0</v>
      </c>
      <c r="N685" t="n">
        <v>0</v>
      </c>
      <c r="O685" t="n">
        <v>0</v>
      </c>
      <c r="P685" t="n">
        <v>0</v>
      </c>
      <c r="Q685" t="n">
        <v>0</v>
      </c>
      <c r="R685" s="2" t="inlineStr"/>
    </row>
    <row r="686" ht="15" customHeight="1">
      <c r="A686" t="inlineStr">
        <is>
          <t>A 27308-2023</t>
        </is>
      </c>
      <c r="B686" s="1" t="n">
        <v>45096.65381944444</v>
      </c>
      <c r="C686" s="1" t="n">
        <v>45914</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28420-2023</t>
        </is>
      </c>
      <c r="B687" s="1" t="n">
        <v>45102.33054398148</v>
      </c>
      <c r="C687" s="1" t="n">
        <v>45914</v>
      </c>
      <c r="D687" t="inlineStr">
        <is>
          <t>UPPSALA LÄN</t>
        </is>
      </c>
      <c r="E687" t="inlineStr">
        <is>
          <t>ÖSTHAMMAR</t>
        </is>
      </c>
      <c r="F687" t="inlineStr">
        <is>
          <t>Bergvik skog öst AB</t>
        </is>
      </c>
      <c r="G687" t="n">
        <v>3.2</v>
      </c>
      <c r="H687" t="n">
        <v>0</v>
      </c>
      <c r="I687" t="n">
        <v>0</v>
      </c>
      <c r="J687" t="n">
        <v>0</v>
      </c>
      <c r="K687" t="n">
        <v>0</v>
      </c>
      <c r="L687" t="n">
        <v>0</v>
      </c>
      <c r="M687" t="n">
        <v>0</v>
      </c>
      <c r="N687" t="n">
        <v>0</v>
      </c>
      <c r="O687" t="n">
        <v>0</v>
      </c>
      <c r="P687" t="n">
        <v>0</v>
      </c>
      <c r="Q687" t="n">
        <v>0</v>
      </c>
      <c r="R687" s="2" t="inlineStr"/>
    </row>
    <row r="688" ht="15" customHeight="1">
      <c r="A688" t="inlineStr">
        <is>
          <t>A 40547-2023</t>
        </is>
      </c>
      <c r="B688" s="1" t="n">
        <v>45170.45050925926</v>
      </c>
      <c r="C688" s="1" t="n">
        <v>45914</v>
      </c>
      <c r="D688" t="inlineStr">
        <is>
          <t>UPPSALA LÄN</t>
        </is>
      </c>
      <c r="E688" t="inlineStr">
        <is>
          <t>ÖSTHAMMAR</t>
        </is>
      </c>
      <c r="G688" t="n">
        <v>2.1</v>
      </c>
      <c r="H688" t="n">
        <v>0</v>
      </c>
      <c r="I688" t="n">
        <v>0</v>
      </c>
      <c r="J688" t="n">
        <v>0</v>
      </c>
      <c r="K688" t="n">
        <v>0</v>
      </c>
      <c r="L688" t="n">
        <v>0</v>
      </c>
      <c r="M688" t="n">
        <v>0</v>
      </c>
      <c r="N688" t="n">
        <v>0</v>
      </c>
      <c r="O688" t="n">
        <v>0</v>
      </c>
      <c r="P688" t="n">
        <v>0</v>
      </c>
      <c r="Q688" t="n">
        <v>0</v>
      </c>
      <c r="R688" s="2" t="inlineStr"/>
    </row>
    <row r="689" ht="15" customHeight="1">
      <c r="A689" t="inlineStr">
        <is>
          <t>A 10449-2023</t>
        </is>
      </c>
      <c r="B689" s="1" t="n">
        <v>44987</v>
      </c>
      <c r="C689" s="1" t="n">
        <v>45914</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31035-2022</t>
        </is>
      </c>
      <c r="B690" s="1" t="n">
        <v>44768.88685185185</v>
      </c>
      <c r="C690" s="1" t="n">
        <v>45914</v>
      </c>
      <c r="D690" t="inlineStr">
        <is>
          <t>UPPSALA LÄN</t>
        </is>
      </c>
      <c r="E690" t="inlineStr">
        <is>
          <t>ÖSTHAMMAR</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22798-2023</t>
        </is>
      </c>
      <c r="B691" s="1" t="n">
        <v>45072</v>
      </c>
      <c r="C691" s="1" t="n">
        <v>45914</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10982-2023</t>
        </is>
      </c>
      <c r="B692" s="1" t="n">
        <v>44991.62203703704</v>
      </c>
      <c r="C692" s="1" t="n">
        <v>45914</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50927-2024</t>
        </is>
      </c>
      <c r="B693" s="1" t="n">
        <v>45602</v>
      </c>
      <c r="C693" s="1" t="n">
        <v>45914</v>
      </c>
      <c r="D693" t="inlineStr">
        <is>
          <t>UPPSALA LÄN</t>
        </is>
      </c>
      <c r="E693" t="inlineStr">
        <is>
          <t>ÖSTHAMMAR</t>
        </is>
      </c>
      <c r="F693" t="inlineStr">
        <is>
          <t>Bergvik skog öst AB</t>
        </is>
      </c>
      <c r="G693" t="n">
        <v>45.4</v>
      </c>
      <c r="H693" t="n">
        <v>0</v>
      </c>
      <c r="I693" t="n">
        <v>0</v>
      </c>
      <c r="J693" t="n">
        <v>0</v>
      </c>
      <c r="K693" t="n">
        <v>0</v>
      </c>
      <c r="L693" t="n">
        <v>0</v>
      </c>
      <c r="M693" t="n">
        <v>0</v>
      </c>
      <c r="N693" t="n">
        <v>0</v>
      </c>
      <c r="O693" t="n">
        <v>0</v>
      </c>
      <c r="P693" t="n">
        <v>0</v>
      </c>
      <c r="Q693" t="n">
        <v>0</v>
      </c>
      <c r="R693" s="2" t="inlineStr"/>
    </row>
    <row r="694" ht="15" customHeight="1">
      <c r="A694" t="inlineStr">
        <is>
          <t>A 40637-2022</t>
        </is>
      </c>
      <c r="B694" s="1" t="n">
        <v>44824</v>
      </c>
      <c r="C694" s="1" t="n">
        <v>45914</v>
      </c>
      <c r="D694" t="inlineStr">
        <is>
          <t>UPPSALA LÄN</t>
        </is>
      </c>
      <c r="E694" t="inlineStr">
        <is>
          <t>ÖSTHAMMAR</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6046-2025</t>
        </is>
      </c>
      <c r="B695" s="1" t="n">
        <v>45695</v>
      </c>
      <c r="C695" s="1" t="n">
        <v>45914</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c r="U695">
        <f>HYPERLINK("https://klasma.github.io/Logging_0382/knärot/A 6046-2025 karta knärot.png", "A 6046-2025")</f>
        <v/>
      </c>
      <c r="V695">
        <f>HYPERLINK("https://klasma.github.io/Logging_0382/klagomål/A 6046-2025 FSC-klagomål.docx", "A 6046-2025")</f>
        <v/>
      </c>
      <c r="W695">
        <f>HYPERLINK("https://klasma.github.io/Logging_0382/klagomålsmail/A 6046-2025 FSC-klagomål mail.docx", "A 6046-2025")</f>
        <v/>
      </c>
      <c r="X695">
        <f>HYPERLINK("https://klasma.github.io/Logging_0382/tillsyn/A 6046-2025 tillsynsbegäran.docx", "A 6046-2025")</f>
        <v/>
      </c>
      <c r="Y695">
        <f>HYPERLINK("https://klasma.github.io/Logging_0382/tillsynsmail/A 6046-2025 tillsynsbegäran mail.docx", "A 6046-2025")</f>
        <v/>
      </c>
    </row>
    <row r="696" ht="15" customHeight="1">
      <c r="A696" t="inlineStr">
        <is>
          <t>A 21624-2023</t>
        </is>
      </c>
      <c r="B696" s="1" t="n">
        <v>45063.65543981481</v>
      </c>
      <c r="C696" s="1" t="n">
        <v>45914</v>
      </c>
      <c r="D696" t="inlineStr">
        <is>
          <t>UPPSALA LÄN</t>
        </is>
      </c>
      <c r="E696" t="inlineStr">
        <is>
          <t>ÖSTHAMMAR</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6120-2024</t>
        </is>
      </c>
      <c r="B697" s="1" t="n">
        <v>45337.41784722222</v>
      </c>
      <c r="C697" s="1" t="n">
        <v>45914</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21478-2023</t>
        </is>
      </c>
      <c r="B698" s="1" t="n">
        <v>45063.47773148148</v>
      </c>
      <c r="C698" s="1" t="n">
        <v>45914</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58270-2023</t>
        </is>
      </c>
      <c r="B699" s="1" t="n">
        <v>45250.49961805555</v>
      </c>
      <c r="C699" s="1" t="n">
        <v>45914</v>
      </c>
      <c r="D699" t="inlineStr">
        <is>
          <t>UPPSALA LÄN</t>
        </is>
      </c>
      <c r="E699" t="inlineStr">
        <is>
          <t>ÖSTHAMMAR</t>
        </is>
      </c>
      <c r="G699" t="n">
        <v>1.3</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45914</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57003-2021</t>
        </is>
      </c>
      <c r="B701" s="1" t="n">
        <v>44482.47577546296</v>
      </c>
      <c r="C701" s="1" t="n">
        <v>45914</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73483-2021</t>
        </is>
      </c>
      <c r="B702" s="1" t="n">
        <v>44550</v>
      </c>
      <c r="C702" s="1" t="n">
        <v>45914</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24033-2023</t>
        </is>
      </c>
      <c r="B703" s="1" t="n">
        <v>45078</v>
      </c>
      <c r="C703" s="1" t="n">
        <v>45914</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57408-2020</t>
        </is>
      </c>
      <c r="B704" s="1" t="n">
        <v>44140</v>
      </c>
      <c r="C704" s="1" t="n">
        <v>45914</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12262-2023</t>
        </is>
      </c>
      <c r="B705" s="1" t="n">
        <v>44998.66662037037</v>
      </c>
      <c r="C705" s="1" t="n">
        <v>45914</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5254-2025</t>
        </is>
      </c>
      <c r="B706" s="1" t="n">
        <v>45692</v>
      </c>
      <c r="C706" s="1" t="n">
        <v>45914</v>
      </c>
      <c r="D706" t="inlineStr">
        <is>
          <t>UPPSALA LÄN</t>
        </is>
      </c>
      <c r="E706" t="inlineStr">
        <is>
          <t>ÖSTHAMMAR</t>
        </is>
      </c>
      <c r="G706" t="n">
        <v>5</v>
      </c>
      <c r="H706" t="n">
        <v>0</v>
      </c>
      <c r="I706" t="n">
        <v>0</v>
      </c>
      <c r="J706" t="n">
        <v>0</v>
      </c>
      <c r="K706" t="n">
        <v>0</v>
      </c>
      <c r="L706" t="n">
        <v>0</v>
      </c>
      <c r="M706" t="n">
        <v>0</v>
      </c>
      <c r="N706" t="n">
        <v>0</v>
      </c>
      <c r="O706" t="n">
        <v>0</v>
      </c>
      <c r="P706" t="n">
        <v>0</v>
      </c>
      <c r="Q706" t="n">
        <v>0</v>
      </c>
      <c r="R706" s="2" t="inlineStr"/>
    </row>
    <row r="707" ht="15" customHeight="1">
      <c r="A707" t="inlineStr">
        <is>
          <t>A 44807-2024</t>
        </is>
      </c>
      <c r="B707" s="1" t="n">
        <v>45574.65427083334</v>
      </c>
      <c r="C707" s="1" t="n">
        <v>45914</v>
      </c>
      <c r="D707" t="inlineStr">
        <is>
          <t>UPPSALA LÄN</t>
        </is>
      </c>
      <c r="E707" t="inlineStr">
        <is>
          <t>ÖSTHAMMAR</t>
        </is>
      </c>
      <c r="G707" t="n">
        <v>2.9</v>
      </c>
      <c r="H707" t="n">
        <v>0</v>
      </c>
      <c r="I707" t="n">
        <v>0</v>
      </c>
      <c r="J707" t="n">
        <v>0</v>
      </c>
      <c r="K707" t="n">
        <v>0</v>
      </c>
      <c r="L707" t="n">
        <v>0</v>
      </c>
      <c r="M707" t="n">
        <v>0</v>
      </c>
      <c r="N707" t="n">
        <v>0</v>
      </c>
      <c r="O707" t="n">
        <v>0</v>
      </c>
      <c r="P707" t="n">
        <v>0</v>
      </c>
      <c r="Q707" t="n">
        <v>0</v>
      </c>
      <c r="R707" s="2" t="inlineStr"/>
    </row>
    <row r="708" ht="15" customHeight="1">
      <c r="A708" t="inlineStr">
        <is>
          <t>A 7195-2023</t>
        </is>
      </c>
      <c r="B708" s="1" t="n">
        <v>44970</v>
      </c>
      <c r="C708" s="1" t="n">
        <v>45914</v>
      </c>
      <c r="D708" t="inlineStr">
        <is>
          <t>UPPSALA LÄN</t>
        </is>
      </c>
      <c r="E708" t="inlineStr">
        <is>
          <t>ÖSTHAMMAR</t>
        </is>
      </c>
      <c r="G708" t="n">
        <v>1.3</v>
      </c>
      <c r="H708" t="n">
        <v>0</v>
      </c>
      <c r="I708" t="n">
        <v>0</v>
      </c>
      <c r="J708" t="n">
        <v>0</v>
      </c>
      <c r="K708" t="n">
        <v>0</v>
      </c>
      <c r="L708" t="n">
        <v>0</v>
      </c>
      <c r="M708" t="n">
        <v>0</v>
      </c>
      <c r="N708" t="n">
        <v>0</v>
      </c>
      <c r="O708" t="n">
        <v>0</v>
      </c>
      <c r="P708" t="n">
        <v>0</v>
      </c>
      <c r="Q708" t="n">
        <v>0</v>
      </c>
      <c r="R708" s="2" t="inlineStr"/>
    </row>
    <row r="709" ht="15" customHeight="1">
      <c r="A709" t="inlineStr">
        <is>
          <t>A 37568-2022</t>
        </is>
      </c>
      <c r="B709" s="1" t="n">
        <v>44809</v>
      </c>
      <c r="C709" s="1" t="n">
        <v>45914</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9542-2023</t>
        </is>
      </c>
      <c r="B710" s="1" t="n">
        <v>44981</v>
      </c>
      <c r="C710" s="1" t="n">
        <v>45914</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55100-2024</t>
        </is>
      </c>
      <c r="B711" s="1" t="n">
        <v>45621.4405787037</v>
      </c>
      <c r="C711" s="1" t="n">
        <v>45914</v>
      </c>
      <c r="D711" t="inlineStr">
        <is>
          <t>UPPSALA LÄN</t>
        </is>
      </c>
      <c r="E711" t="inlineStr">
        <is>
          <t>ÖSTHAMMAR</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26774-2023</t>
        </is>
      </c>
      <c r="B712" s="1" t="n">
        <v>45093.47947916666</v>
      </c>
      <c r="C712" s="1" t="n">
        <v>45914</v>
      </c>
      <c r="D712" t="inlineStr">
        <is>
          <t>UPPSALA LÄN</t>
        </is>
      </c>
      <c r="E712" t="inlineStr">
        <is>
          <t>ÖSTHAMMAR</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c r="A713" t="inlineStr">
        <is>
          <t>A 67848-2021</t>
        </is>
      </c>
      <c r="B713" s="1" t="n">
        <v>44525</v>
      </c>
      <c r="C713" s="1" t="n">
        <v>45914</v>
      </c>
      <c r="D713" t="inlineStr">
        <is>
          <t>UPPSALA LÄN</t>
        </is>
      </c>
      <c r="E713" t="inlineStr">
        <is>
          <t>ÖSTHAMMAR</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2025-09-14T13:28:26Z</dcterms:created>
  <dcterms:modified xmlns:dcterms="http://purl.org/dc/terms/" xmlns:xsi="http://www.w3.org/2001/XMLSchema-instance" xsi:type="dcterms:W3CDTF">2025-09-14T13:28:26Z</dcterms:modified>
</cp:coreProperties>
</file>