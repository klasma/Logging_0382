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45999</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45999</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45999</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45999</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45999</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45999</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45999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45999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45999</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45999</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45999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45999</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45999</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45999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45999</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45999</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45999</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221-2025</t>
        </is>
      </c>
      <c r="B23" s="1" t="n">
        <v>45660</v>
      </c>
      <c r="C23" s="1" t="n">
        <v>45999</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16242-2025</t>
        </is>
      </c>
      <c r="B24" s="1" t="n">
        <v>45746</v>
      </c>
      <c r="C24" s="1" t="n">
        <v>45999</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35911-2021</t>
        </is>
      </c>
      <c r="B25" s="1" t="n">
        <v>44387</v>
      </c>
      <c r="C25" s="1" t="n">
        <v>45999</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45999</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45999</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48277-2023</t>
        </is>
      </c>
      <c r="B28" s="1" t="n">
        <v>45205</v>
      </c>
      <c r="C28" s="1" t="n">
        <v>45999</v>
      </c>
      <c r="D28" t="inlineStr">
        <is>
          <t>UPPSALA LÄN</t>
        </is>
      </c>
      <c r="E28" t="inlineStr">
        <is>
          <t>ÖSTHAMMAR</t>
        </is>
      </c>
      <c r="G28" t="n">
        <v>4.2</v>
      </c>
      <c r="H28" t="n">
        <v>1</v>
      </c>
      <c r="I28" t="n">
        <v>3</v>
      </c>
      <c r="J28" t="n">
        <v>2</v>
      </c>
      <c r="K28" t="n">
        <v>1</v>
      </c>
      <c r="L28" t="n">
        <v>0</v>
      </c>
      <c r="M28" t="n">
        <v>0</v>
      </c>
      <c r="N28" t="n">
        <v>0</v>
      </c>
      <c r="O28" t="n">
        <v>3</v>
      </c>
      <c r="P28" t="n">
        <v>1</v>
      </c>
      <c r="Q28" t="n">
        <v>6</v>
      </c>
      <c r="R28" s="2" t="inlineStr">
        <is>
          <t>Gul lammticka
Odörspindling
Svart taggsvamp
Nästrot
Sårläka
Zontaggsvamp</t>
        </is>
      </c>
      <c r="S28">
        <f>HYPERLINK("https://klasma.github.io/Logging_0382/artfynd/A 48277-2023 artfynd.xlsx", "A 48277-2023")</f>
        <v/>
      </c>
      <c r="T28">
        <f>HYPERLINK("https://klasma.github.io/Logging_0382/kartor/A 48277-2023 karta.png", "A 48277-2023")</f>
        <v/>
      </c>
      <c r="V28">
        <f>HYPERLINK("https://klasma.github.io/Logging_0382/klagomål/A 48277-2023 FSC-klagomål.docx", "A 48277-2023")</f>
        <v/>
      </c>
      <c r="W28">
        <f>HYPERLINK("https://klasma.github.io/Logging_0382/klagomålsmail/A 48277-2023 FSC-klagomål mail.docx", "A 48277-2023")</f>
        <v/>
      </c>
      <c r="X28">
        <f>HYPERLINK("https://klasma.github.io/Logging_0382/tillsyn/A 48277-2023 tillsynsbegäran.docx", "A 48277-2023")</f>
        <v/>
      </c>
      <c r="Y28">
        <f>HYPERLINK("https://klasma.github.io/Logging_0382/tillsynsmail/A 48277-2023 tillsynsbegäran mail.docx", "A 48277-2023")</f>
        <v/>
      </c>
    </row>
    <row r="29" ht="15" customHeight="1">
      <c r="A29" t="inlineStr">
        <is>
          <t>A 39834-2025</t>
        </is>
      </c>
      <c r="B29" s="1" t="n">
        <v>45891.56333333333</v>
      </c>
      <c r="C29" s="1" t="n">
        <v>45999</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51522-2025</t>
        </is>
      </c>
      <c r="B30" s="1" t="n">
        <v>45950.65743055556</v>
      </c>
      <c r="C30" s="1" t="n">
        <v>45999</v>
      </c>
      <c r="D30" t="inlineStr">
        <is>
          <t>UPPSALA LÄN</t>
        </is>
      </c>
      <c r="E30" t="inlineStr">
        <is>
          <t>ÖSTHAMMAR</t>
        </is>
      </c>
      <c r="F30" t="inlineStr">
        <is>
          <t>Bergvik skog öst AB</t>
        </is>
      </c>
      <c r="G30" t="n">
        <v>11</v>
      </c>
      <c r="H30" t="n">
        <v>3</v>
      </c>
      <c r="I30" t="n">
        <v>1</v>
      </c>
      <c r="J30" t="n">
        <v>3</v>
      </c>
      <c r="K30" t="n">
        <v>1</v>
      </c>
      <c r="L30" t="n">
        <v>0</v>
      </c>
      <c r="M30" t="n">
        <v>0</v>
      </c>
      <c r="N30" t="n">
        <v>0</v>
      </c>
      <c r="O30" t="n">
        <v>4</v>
      </c>
      <c r="P30" t="n">
        <v>1</v>
      </c>
      <c r="Q30" t="n">
        <v>6</v>
      </c>
      <c r="R30" s="2" t="inlineStr">
        <is>
          <t>Knärot
Puderspindling
Rosenticka
Spillkråka
Bronshjon
Kungsfågel</t>
        </is>
      </c>
      <c r="S30">
        <f>HYPERLINK("https://klasma.github.io/Logging_0382/artfynd/A 51522-2025 artfynd.xlsx", "A 51522-2025")</f>
        <v/>
      </c>
      <c r="T30">
        <f>HYPERLINK("https://klasma.github.io/Logging_0382/kartor/A 51522-2025 karta.png", "A 51522-2025")</f>
        <v/>
      </c>
      <c r="U30">
        <f>HYPERLINK("https://klasma.github.io/Logging_0382/knärot/A 51522-2025 karta knärot.png", "A 51522-2025")</f>
        <v/>
      </c>
      <c r="V30">
        <f>HYPERLINK("https://klasma.github.io/Logging_0382/klagomål/A 51522-2025 FSC-klagomål.docx", "A 51522-2025")</f>
        <v/>
      </c>
      <c r="W30">
        <f>HYPERLINK("https://klasma.github.io/Logging_0382/klagomålsmail/A 51522-2025 FSC-klagomål mail.docx", "A 51522-2025")</f>
        <v/>
      </c>
      <c r="X30">
        <f>HYPERLINK("https://klasma.github.io/Logging_0382/tillsyn/A 51522-2025 tillsynsbegäran.docx", "A 51522-2025")</f>
        <v/>
      </c>
      <c r="Y30">
        <f>HYPERLINK("https://klasma.github.io/Logging_0382/tillsynsmail/A 51522-2025 tillsynsbegäran mail.docx", "A 51522-2025")</f>
        <v/>
      </c>
      <c r="Z30">
        <f>HYPERLINK("https://klasma.github.io/Logging_0382/fåglar/A 51522-2025 prioriterade fågelarter.docx", "A 51522-2025")</f>
        <v/>
      </c>
    </row>
    <row r="31" ht="15" customHeight="1">
      <c r="A31" t="inlineStr">
        <is>
          <t>A 39763-2022</t>
        </is>
      </c>
      <c r="B31" s="1" t="n">
        <v>44819.44055555556</v>
      </c>
      <c r="C31" s="1" t="n">
        <v>45999</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45999</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45999</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45999</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43992-2022</t>
        </is>
      </c>
      <c r="B35" s="1" t="n">
        <v>44837</v>
      </c>
      <c r="C35" s="1" t="n">
        <v>45999</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24563-2022</t>
        </is>
      </c>
      <c r="B36" s="1" t="n">
        <v>44727</v>
      </c>
      <c r="C36" s="1" t="n">
        <v>45999</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26056-2025</t>
        </is>
      </c>
      <c r="B37" s="1" t="n">
        <v>45804.79280092593</v>
      </c>
      <c r="C37" s="1" t="n">
        <v>45999</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45999</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15556-2022</t>
        </is>
      </c>
      <c r="B39" s="1" t="n">
        <v>44662</v>
      </c>
      <c r="C39" s="1" t="n">
        <v>45999</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45999</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52808-2022</t>
        </is>
      </c>
      <c r="B41" s="1" t="n">
        <v>44875</v>
      </c>
      <c r="C41" s="1" t="n">
        <v>45999</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45999</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33051-2021</t>
        </is>
      </c>
      <c r="B43" s="1" t="n">
        <v>44376</v>
      </c>
      <c r="C43" s="1" t="n">
        <v>45999</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48352-2022</t>
        </is>
      </c>
      <c r="B44" s="1" t="n">
        <v>44858</v>
      </c>
      <c r="C44" s="1" t="n">
        <v>45999</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74364-2021</t>
        </is>
      </c>
      <c r="B45" s="1" t="n">
        <v>44559</v>
      </c>
      <c r="C45" s="1" t="n">
        <v>45999</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45999</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54492-2024</t>
        </is>
      </c>
      <c r="B47" s="1" t="n">
        <v>45617</v>
      </c>
      <c r="C47" s="1" t="n">
        <v>45999</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9715-2024</t>
        </is>
      </c>
      <c r="B48" s="1" t="n">
        <v>45362.53928240741</v>
      </c>
      <c r="C48" s="1" t="n">
        <v>45999</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55051-2021</t>
        </is>
      </c>
      <c r="B49" s="1" t="n">
        <v>44474</v>
      </c>
      <c r="C49" s="1" t="n">
        <v>45999</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33035-2021</t>
        </is>
      </c>
      <c r="B50" s="1" t="n">
        <v>44376</v>
      </c>
      <c r="C50" s="1" t="n">
        <v>45999</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26557-2022</t>
        </is>
      </c>
      <c r="B51" s="1" t="n">
        <v>44739</v>
      </c>
      <c r="C51" s="1" t="n">
        <v>45999</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9683-2023</t>
        </is>
      </c>
      <c r="B52" s="1" t="n">
        <v>44984.43856481482</v>
      </c>
      <c r="C52" s="1" t="n">
        <v>45999</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46204-2023</t>
        </is>
      </c>
      <c r="B53" s="1" t="n">
        <v>45190</v>
      </c>
      <c r="C53" s="1" t="n">
        <v>45999</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25044-2025</t>
        </is>
      </c>
      <c r="B54" s="1" t="n">
        <v>45799.66607638889</v>
      </c>
      <c r="C54" s="1" t="n">
        <v>45999</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45999</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60078-2021</t>
        </is>
      </c>
      <c r="B56" s="1" t="n">
        <v>44495</v>
      </c>
      <c r="C56" s="1" t="n">
        <v>45999</v>
      </c>
      <c r="D56" t="inlineStr">
        <is>
          <t>UPPSALA LÄN</t>
        </is>
      </c>
      <c r="E56" t="inlineStr">
        <is>
          <t>ÖSTHAMMAR</t>
        </is>
      </c>
      <c r="G56" t="n">
        <v>1.1</v>
      </c>
      <c r="H56" t="n">
        <v>0</v>
      </c>
      <c r="I56" t="n">
        <v>0</v>
      </c>
      <c r="J56" t="n">
        <v>1</v>
      </c>
      <c r="K56" t="n">
        <v>1</v>
      </c>
      <c r="L56" t="n">
        <v>0</v>
      </c>
      <c r="M56" t="n">
        <v>0</v>
      </c>
      <c r="N56" t="n">
        <v>0</v>
      </c>
      <c r="O56" t="n">
        <v>2</v>
      </c>
      <c r="P56" t="n">
        <v>1</v>
      </c>
      <c r="Q56" t="n">
        <v>2</v>
      </c>
      <c r="R56" s="2" t="inlineStr">
        <is>
          <t>Violgubbe
Blek fingersvamp</t>
        </is>
      </c>
      <c r="S56">
        <f>HYPERLINK("https://klasma.github.io/Logging_0382/artfynd/A 60078-2021 artfynd.xlsx", "A 60078-2021")</f>
        <v/>
      </c>
      <c r="T56">
        <f>HYPERLINK("https://klasma.github.io/Logging_0382/kartor/A 60078-2021 karta.png", "A 60078-2021")</f>
        <v/>
      </c>
      <c r="V56">
        <f>HYPERLINK("https://klasma.github.io/Logging_0382/klagomål/A 60078-2021 FSC-klagomål.docx", "A 60078-2021")</f>
        <v/>
      </c>
      <c r="W56">
        <f>HYPERLINK("https://klasma.github.io/Logging_0382/klagomålsmail/A 60078-2021 FSC-klagomål mail.docx", "A 60078-2021")</f>
        <v/>
      </c>
      <c r="X56">
        <f>HYPERLINK("https://klasma.github.io/Logging_0382/tillsyn/A 60078-2021 tillsynsbegäran.docx", "A 60078-2021")</f>
        <v/>
      </c>
      <c r="Y56">
        <f>HYPERLINK("https://klasma.github.io/Logging_0382/tillsynsmail/A 60078-2021 tillsynsbegäran mail.docx", "A 60078-2021")</f>
        <v/>
      </c>
    </row>
    <row r="57" ht="15" customHeight="1">
      <c r="A57" t="inlineStr">
        <is>
          <t>A 65165-2021</t>
        </is>
      </c>
      <c r="B57" s="1" t="n">
        <v>44515.45704861111</v>
      </c>
      <c r="C57" s="1" t="n">
        <v>45999</v>
      </c>
      <c r="D57" t="inlineStr">
        <is>
          <t>UPPSALA LÄN</t>
        </is>
      </c>
      <c r="E57" t="inlineStr">
        <is>
          <t>ÖSTHAMMAR</t>
        </is>
      </c>
      <c r="F57" t="inlineStr">
        <is>
          <t>Sveaskog</t>
        </is>
      </c>
      <c r="G57" t="n">
        <v>2.8</v>
      </c>
      <c r="H57" t="n">
        <v>1</v>
      </c>
      <c r="I57" t="n">
        <v>0</v>
      </c>
      <c r="J57" t="n">
        <v>2</v>
      </c>
      <c r="K57" t="n">
        <v>0</v>
      </c>
      <c r="L57" t="n">
        <v>0</v>
      </c>
      <c r="M57" t="n">
        <v>0</v>
      </c>
      <c r="N57" t="n">
        <v>0</v>
      </c>
      <c r="O57" t="n">
        <v>2</v>
      </c>
      <c r="P57" t="n">
        <v>0</v>
      </c>
      <c r="Q57" t="n">
        <v>2</v>
      </c>
      <c r="R57" s="2" t="inlineStr">
        <is>
          <t>Spillkråka
Vedtrappmossa</t>
        </is>
      </c>
      <c r="S57">
        <f>HYPERLINK("https://klasma.github.io/Logging_0382/artfynd/A 65165-2021 artfynd.xlsx", "A 65165-2021")</f>
        <v/>
      </c>
      <c r="T57">
        <f>HYPERLINK("https://klasma.github.io/Logging_0382/kartor/A 65165-2021 karta.png", "A 65165-2021")</f>
        <v/>
      </c>
      <c r="U57">
        <f>HYPERLINK("https://klasma.github.io/Logging_0382/knärot/A 65165-2021 karta knärot.png", "A 65165-2021")</f>
        <v/>
      </c>
      <c r="V57">
        <f>HYPERLINK("https://klasma.github.io/Logging_0382/klagomål/A 65165-2021 FSC-klagomål.docx", "A 65165-2021")</f>
        <v/>
      </c>
      <c r="W57">
        <f>HYPERLINK("https://klasma.github.io/Logging_0382/klagomålsmail/A 65165-2021 FSC-klagomål mail.docx", "A 65165-2021")</f>
        <v/>
      </c>
      <c r="X57">
        <f>HYPERLINK("https://klasma.github.io/Logging_0382/tillsyn/A 65165-2021 tillsynsbegäran.docx", "A 65165-2021")</f>
        <v/>
      </c>
      <c r="Y57">
        <f>HYPERLINK("https://klasma.github.io/Logging_0382/tillsynsmail/A 65165-2021 tillsynsbegäran mail.docx", "A 65165-2021")</f>
        <v/>
      </c>
      <c r="Z57">
        <f>HYPERLINK("https://klasma.github.io/Logging_0382/fåglar/A 65165-2021 prioriterade fågelarter.docx", "A 65165-2021")</f>
        <v/>
      </c>
    </row>
    <row r="58" ht="15" customHeight="1">
      <c r="A58" t="inlineStr">
        <is>
          <t>A 32064-2022</t>
        </is>
      </c>
      <c r="B58" s="1" t="n">
        <v>44778</v>
      </c>
      <c r="C58" s="1" t="n">
        <v>45999</v>
      </c>
      <c r="D58" t="inlineStr">
        <is>
          <t>UPPSALA LÄN</t>
        </is>
      </c>
      <c r="E58" t="inlineStr">
        <is>
          <t>ÖSTHAMMAR</t>
        </is>
      </c>
      <c r="G58" t="n">
        <v>2.2</v>
      </c>
      <c r="H58" t="n">
        <v>0</v>
      </c>
      <c r="I58" t="n">
        <v>1</v>
      </c>
      <c r="J58" t="n">
        <v>0</v>
      </c>
      <c r="K58" t="n">
        <v>1</v>
      </c>
      <c r="L58" t="n">
        <v>0</v>
      </c>
      <c r="M58" t="n">
        <v>0</v>
      </c>
      <c r="N58" t="n">
        <v>0</v>
      </c>
      <c r="O58" t="n">
        <v>1</v>
      </c>
      <c r="P58" t="n">
        <v>1</v>
      </c>
      <c r="Q58" t="n">
        <v>2</v>
      </c>
      <c r="R58" s="2" t="inlineStr">
        <is>
          <t>Gul lammticka
Olivspindling</t>
        </is>
      </c>
      <c r="S58">
        <f>HYPERLINK("https://klasma.github.io/Logging_0382/artfynd/A 32064-2022 artfynd.xlsx", "A 32064-2022")</f>
        <v/>
      </c>
      <c r="T58">
        <f>HYPERLINK("https://klasma.github.io/Logging_0382/kartor/A 32064-2022 karta.png", "A 32064-2022")</f>
        <v/>
      </c>
      <c r="V58">
        <f>HYPERLINK("https://klasma.github.io/Logging_0382/klagomål/A 32064-2022 FSC-klagomål.docx", "A 32064-2022")</f>
        <v/>
      </c>
      <c r="W58">
        <f>HYPERLINK("https://klasma.github.io/Logging_0382/klagomålsmail/A 32064-2022 FSC-klagomål mail.docx", "A 32064-2022")</f>
        <v/>
      </c>
      <c r="X58">
        <f>HYPERLINK("https://klasma.github.io/Logging_0382/tillsyn/A 32064-2022 tillsynsbegäran.docx", "A 32064-2022")</f>
        <v/>
      </c>
      <c r="Y58">
        <f>HYPERLINK("https://klasma.github.io/Logging_0382/tillsynsmail/A 32064-2022 tillsynsbegäran mail.docx", "A 32064-2022")</f>
        <v/>
      </c>
    </row>
    <row r="59" ht="15" customHeight="1">
      <c r="A59" t="inlineStr">
        <is>
          <t>A 6223-2021</t>
        </is>
      </c>
      <c r="B59" s="1" t="n">
        <v>44235</v>
      </c>
      <c r="C59" s="1" t="n">
        <v>45999</v>
      </c>
      <c r="D59" t="inlineStr">
        <is>
          <t>UPPSALA LÄN</t>
        </is>
      </c>
      <c r="E59" t="inlineStr">
        <is>
          <t>ÖSTHAMMAR</t>
        </is>
      </c>
      <c r="G59" t="n">
        <v>0.5</v>
      </c>
      <c r="H59" t="n">
        <v>2</v>
      </c>
      <c r="I59" t="n">
        <v>0</v>
      </c>
      <c r="J59" t="n">
        <v>0</v>
      </c>
      <c r="K59" t="n">
        <v>0</v>
      </c>
      <c r="L59" t="n">
        <v>0</v>
      </c>
      <c r="M59" t="n">
        <v>0</v>
      </c>
      <c r="N59" t="n">
        <v>0</v>
      </c>
      <c r="O59" t="n">
        <v>0</v>
      </c>
      <c r="P59" t="n">
        <v>0</v>
      </c>
      <c r="Q59" t="n">
        <v>2</v>
      </c>
      <c r="R59" s="2" t="inlineStr">
        <is>
          <t>Blåsippa
Gullviva</t>
        </is>
      </c>
      <c r="S59">
        <f>HYPERLINK("https://klasma.github.io/Logging_0382/artfynd/A 6223-2021 artfynd.xlsx", "A 6223-2021")</f>
        <v/>
      </c>
      <c r="T59">
        <f>HYPERLINK("https://klasma.github.io/Logging_0382/kartor/A 6223-2021 karta.png", "A 6223-2021")</f>
        <v/>
      </c>
      <c r="V59">
        <f>HYPERLINK("https://klasma.github.io/Logging_0382/klagomål/A 6223-2021 FSC-klagomål.docx", "A 6223-2021")</f>
        <v/>
      </c>
      <c r="W59">
        <f>HYPERLINK("https://klasma.github.io/Logging_0382/klagomålsmail/A 6223-2021 FSC-klagomål mail.docx", "A 6223-2021")</f>
        <v/>
      </c>
      <c r="X59">
        <f>HYPERLINK("https://klasma.github.io/Logging_0382/tillsyn/A 6223-2021 tillsynsbegäran.docx", "A 6223-2021")</f>
        <v/>
      </c>
      <c r="Y59">
        <f>HYPERLINK("https://klasma.github.io/Logging_0382/tillsynsmail/A 6223-2021 tillsynsbegäran mail.docx", "A 6223-2021")</f>
        <v/>
      </c>
    </row>
    <row r="60" ht="15" customHeight="1">
      <c r="A60" t="inlineStr">
        <is>
          <t>A 21422-2023</t>
        </is>
      </c>
      <c r="B60" s="1" t="n">
        <v>45063</v>
      </c>
      <c r="C60" s="1" t="n">
        <v>45999</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18539-2024</t>
        </is>
      </c>
      <c r="B61" s="1" t="n">
        <v>45425.63697916667</v>
      </c>
      <c r="C61" s="1" t="n">
        <v>45999</v>
      </c>
      <c r="D61" t="inlineStr">
        <is>
          <t>UPPSALA LÄN</t>
        </is>
      </c>
      <c r="E61" t="inlineStr">
        <is>
          <t>ÖSTHAMMAR</t>
        </is>
      </c>
      <c r="G61" t="n">
        <v>4.7</v>
      </c>
      <c r="H61" t="n">
        <v>0</v>
      </c>
      <c r="I61" t="n">
        <v>2</v>
      </c>
      <c r="J61" t="n">
        <v>0</v>
      </c>
      <c r="K61" t="n">
        <v>0</v>
      </c>
      <c r="L61" t="n">
        <v>0</v>
      </c>
      <c r="M61" t="n">
        <v>0</v>
      </c>
      <c r="N61" t="n">
        <v>0</v>
      </c>
      <c r="O61" t="n">
        <v>0</v>
      </c>
      <c r="P61" t="n">
        <v>0</v>
      </c>
      <c r="Q61" t="n">
        <v>2</v>
      </c>
      <c r="R61" s="2" t="inlineStr">
        <is>
          <t>Bronshjon
Vågbandad barkbock</t>
        </is>
      </c>
      <c r="S61">
        <f>HYPERLINK("https://klasma.github.io/Logging_0382/artfynd/A 18539-2024 artfynd.xlsx", "A 18539-2024")</f>
        <v/>
      </c>
      <c r="T61">
        <f>HYPERLINK("https://klasma.github.io/Logging_0382/kartor/A 18539-2024 karta.png", "A 18539-2024")</f>
        <v/>
      </c>
      <c r="V61">
        <f>HYPERLINK("https://klasma.github.io/Logging_0382/klagomål/A 18539-2024 FSC-klagomål.docx", "A 18539-2024")</f>
        <v/>
      </c>
      <c r="W61">
        <f>HYPERLINK("https://klasma.github.io/Logging_0382/klagomålsmail/A 18539-2024 FSC-klagomål mail.docx", "A 18539-2024")</f>
        <v/>
      </c>
      <c r="X61">
        <f>HYPERLINK("https://klasma.github.io/Logging_0382/tillsyn/A 18539-2024 tillsynsbegäran.docx", "A 18539-2024")</f>
        <v/>
      </c>
      <c r="Y61">
        <f>HYPERLINK("https://klasma.github.io/Logging_0382/tillsynsmail/A 18539-2024 tillsynsbegäran mail.docx", "A 18539-2024")</f>
        <v/>
      </c>
    </row>
    <row r="62" ht="15" customHeight="1">
      <c r="A62" t="inlineStr">
        <is>
          <t>A 9646-2024</t>
        </is>
      </c>
      <c r="B62" s="1" t="n">
        <v>45362.37055555556</v>
      </c>
      <c r="C62" s="1" t="n">
        <v>45999</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73981-2021</t>
        </is>
      </c>
      <c r="B63" s="1" t="n">
        <v>44555</v>
      </c>
      <c r="C63" s="1" t="n">
        <v>45999</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45999</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67855-2021</t>
        </is>
      </c>
      <c r="B65" s="1" t="n">
        <v>44525</v>
      </c>
      <c r="C65" s="1" t="n">
        <v>45999</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45999</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20553-2025</t>
        </is>
      </c>
      <c r="B67" s="1" t="n">
        <v>45775.63983796296</v>
      </c>
      <c r="C67" s="1" t="n">
        <v>45999</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30943-2024</t>
        </is>
      </c>
      <c r="B68" s="1" t="n">
        <v>45499</v>
      </c>
      <c r="C68" s="1" t="n">
        <v>45999</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25098-2022</t>
        </is>
      </c>
      <c r="B69" s="1" t="n">
        <v>44729.44149305556</v>
      </c>
      <c r="C69" s="1" t="n">
        <v>45999</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45999</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37768-2025</t>
        </is>
      </c>
      <c r="B71" s="1" t="n">
        <v>45880</v>
      </c>
      <c r="C71" s="1" t="n">
        <v>45999</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41303-2025</t>
        </is>
      </c>
      <c r="B72" s="1" t="n">
        <v>45898.69215277778</v>
      </c>
      <c r="C72" s="1" t="n">
        <v>45999</v>
      </c>
      <c r="D72" t="inlineStr">
        <is>
          <t>UPPSALA LÄN</t>
        </is>
      </c>
      <c r="E72" t="inlineStr">
        <is>
          <t>ÖSTHAMMAR</t>
        </is>
      </c>
      <c r="G72" t="n">
        <v>10.1</v>
      </c>
      <c r="H72" t="n">
        <v>1</v>
      </c>
      <c r="I72" t="n">
        <v>1</v>
      </c>
      <c r="J72" t="n">
        <v>0</v>
      </c>
      <c r="K72" t="n">
        <v>0</v>
      </c>
      <c r="L72" t="n">
        <v>0</v>
      </c>
      <c r="M72" t="n">
        <v>0</v>
      </c>
      <c r="N72" t="n">
        <v>0</v>
      </c>
      <c r="O72" t="n">
        <v>0</v>
      </c>
      <c r="P72" t="n">
        <v>0</v>
      </c>
      <c r="Q72" t="n">
        <v>2</v>
      </c>
      <c r="R72" s="2" t="inlineStr">
        <is>
          <t>Svavelriska
Revlummer</t>
        </is>
      </c>
      <c r="S72">
        <f>HYPERLINK("https://klasma.github.io/Logging_0382/artfynd/A 41303-2025 artfynd.xlsx", "A 41303-2025")</f>
        <v/>
      </c>
      <c r="T72">
        <f>HYPERLINK("https://klasma.github.io/Logging_0382/kartor/A 41303-2025 karta.png", "A 41303-2025")</f>
        <v/>
      </c>
      <c r="V72">
        <f>HYPERLINK("https://klasma.github.io/Logging_0382/klagomål/A 41303-2025 FSC-klagomål.docx", "A 41303-2025")</f>
        <v/>
      </c>
      <c r="W72">
        <f>HYPERLINK("https://klasma.github.io/Logging_0382/klagomålsmail/A 41303-2025 FSC-klagomål mail.docx", "A 41303-2025")</f>
        <v/>
      </c>
      <c r="X72">
        <f>HYPERLINK("https://klasma.github.io/Logging_0382/tillsyn/A 41303-2025 tillsynsbegäran.docx", "A 41303-2025")</f>
        <v/>
      </c>
      <c r="Y72">
        <f>HYPERLINK("https://klasma.github.io/Logging_0382/tillsynsmail/A 41303-2025 tillsynsbegäran mail.docx", "A 41303-2025")</f>
        <v/>
      </c>
    </row>
    <row r="73" ht="15" customHeight="1">
      <c r="A73" t="inlineStr">
        <is>
          <t>A 56669-2025</t>
        </is>
      </c>
      <c r="B73" s="1" t="n">
        <v>45975.69306712963</v>
      </c>
      <c r="C73" s="1" t="n">
        <v>45999</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2916-2025</t>
        </is>
      </c>
      <c r="B74" s="1" t="n">
        <v>45677</v>
      </c>
      <c r="C74" s="1" t="n">
        <v>45999</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33269-2025</t>
        </is>
      </c>
      <c r="B75" s="1" t="n">
        <v>45840.68208333333</v>
      </c>
      <c r="C75" s="1" t="n">
        <v>45999</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38442-2022</t>
        </is>
      </c>
      <c r="B76" s="1" t="n">
        <v>44813</v>
      </c>
      <c r="C76" s="1" t="n">
        <v>45999</v>
      </c>
      <c r="D76" t="inlineStr">
        <is>
          <t>UPPSALA LÄN</t>
        </is>
      </c>
      <c r="E76" t="inlineStr">
        <is>
          <t>ÖSTHAMMAR</t>
        </is>
      </c>
      <c r="F76" t="inlineStr">
        <is>
          <t>Kyrkan</t>
        </is>
      </c>
      <c r="G76" t="n">
        <v>2.9</v>
      </c>
      <c r="H76" t="n">
        <v>0</v>
      </c>
      <c r="I76" t="n">
        <v>0</v>
      </c>
      <c r="J76" t="n">
        <v>1</v>
      </c>
      <c r="K76" t="n">
        <v>0</v>
      </c>
      <c r="L76" t="n">
        <v>0</v>
      </c>
      <c r="M76" t="n">
        <v>0</v>
      </c>
      <c r="N76" t="n">
        <v>0</v>
      </c>
      <c r="O76" t="n">
        <v>1</v>
      </c>
      <c r="P76" t="n">
        <v>0</v>
      </c>
      <c r="Q76" t="n">
        <v>1</v>
      </c>
      <c r="R76" s="2" t="inlineStr">
        <is>
          <t>Slåtterfibbla</t>
        </is>
      </c>
      <c r="S76">
        <f>HYPERLINK("https://klasma.github.io/Logging_0382/artfynd/A 38442-2022 artfynd.xlsx", "A 38442-2022")</f>
        <v/>
      </c>
      <c r="T76">
        <f>HYPERLINK("https://klasma.github.io/Logging_0382/kartor/A 38442-2022 karta.png", "A 38442-2022")</f>
        <v/>
      </c>
      <c r="V76">
        <f>HYPERLINK("https://klasma.github.io/Logging_0382/klagomål/A 38442-2022 FSC-klagomål.docx", "A 38442-2022")</f>
        <v/>
      </c>
      <c r="W76">
        <f>HYPERLINK("https://klasma.github.io/Logging_0382/klagomålsmail/A 38442-2022 FSC-klagomål mail.docx", "A 38442-2022")</f>
        <v/>
      </c>
      <c r="X76">
        <f>HYPERLINK("https://klasma.github.io/Logging_0382/tillsyn/A 38442-2022 tillsynsbegäran.docx", "A 38442-2022")</f>
        <v/>
      </c>
      <c r="Y76">
        <f>HYPERLINK("https://klasma.github.io/Logging_0382/tillsynsmail/A 38442-2022 tillsynsbegäran mail.docx", "A 38442-2022")</f>
        <v/>
      </c>
    </row>
    <row r="77" ht="15" customHeight="1">
      <c r="A77" t="inlineStr">
        <is>
          <t>A 61536-2021</t>
        </is>
      </c>
      <c r="B77" s="1" t="n">
        <v>44501</v>
      </c>
      <c r="C77" s="1" t="n">
        <v>45999</v>
      </c>
      <c r="D77" t="inlineStr">
        <is>
          <t>UPPSALA LÄN</t>
        </is>
      </c>
      <c r="E77" t="inlineStr">
        <is>
          <t>ÖSTHAMMAR</t>
        </is>
      </c>
      <c r="F77" t="inlineStr">
        <is>
          <t>Sveaskog</t>
        </is>
      </c>
      <c r="G77" t="n">
        <v>2.1</v>
      </c>
      <c r="H77" t="n">
        <v>0</v>
      </c>
      <c r="I77" t="n">
        <v>0</v>
      </c>
      <c r="J77" t="n">
        <v>1</v>
      </c>
      <c r="K77" t="n">
        <v>0</v>
      </c>
      <c r="L77" t="n">
        <v>0</v>
      </c>
      <c r="M77" t="n">
        <v>0</v>
      </c>
      <c r="N77" t="n">
        <v>0</v>
      </c>
      <c r="O77" t="n">
        <v>1</v>
      </c>
      <c r="P77" t="n">
        <v>0</v>
      </c>
      <c r="Q77" t="n">
        <v>1</v>
      </c>
      <c r="R77" s="2" t="inlineStr">
        <is>
          <t>Klasefibbla</t>
        </is>
      </c>
      <c r="S77">
        <f>HYPERLINK("https://klasma.github.io/Logging_0382/artfynd/A 61536-2021 artfynd.xlsx", "A 61536-2021")</f>
        <v/>
      </c>
      <c r="T77">
        <f>HYPERLINK("https://klasma.github.io/Logging_0382/kartor/A 61536-2021 karta.png", "A 61536-2021")</f>
        <v/>
      </c>
      <c r="V77">
        <f>HYPERLINK("https://klasma.github.io/Logging_0382/klagomål/A 61536-2021 FSC-klagomål.docx", "A 61536-2021")</f>
        <v/>
      </c>
      <c r="W77">
        <f>HYPERLINK("https://klasma.github.io/Logging_0382/klagomålsmail/A 61536-2021 FSC-klagomål mail.docx", "A 61536-2021")</f>
        <v/>
      </c>
      <c r="X77">
        <f>HYPERLINK("https://klasma.github.io/Logging_0382/tillsyn/A 61536-2021 tillsynsbegäran.docx", "A 61536-2021")</f>
        <v/>
      </c>
      <c r="Y77">
        <f>HYPERLINK("https://klasma.github.io/Logging_0382/tillsynsmail/A 61536-2021 tillsynsbegäran mail.docx", "A 61536-2021")</f>
        <v/>
      </c>
    </row>
    <row r="78" ht="15" customHeight="1">
      <c r="A78" t="inlineStr">
        <is>
          <t>A 49871-2021</t>
        </is>
      </c>
      <c r="B78" s="1" t="n">
        <v>44455</v>
      </c>
      <c r="C78" s="1" t="n">
        <v>45999</v>
      </c>
      <c r="D78" t="inlineStr">
        <is>
          <t>UPPSALA LÄN</t>
        </is>
      </c>
      <c r="E78" t="inlineStr">
        <is>
          <t>ÖSTHAMMAR</t>
        </is>
      </c>
      <c r="G78" t="n">
        <v>0.5</v>
      </c>
      <c r="H78" t="n">
        <v>0</v>
      </c>
      <c r="I78" t="n">
        <v>1</v>
      </c>
      <c r="J78" t="n">
        <v>0</v>
      </c>
      <c r="K78" t="n">
        <v>0</v>
      </c>
      <c r="L78" t="n">
        <v>0</v>
      </c>
      <c r="M78" t="n">
        <v>0</v>
      </c>
      <c r="N78" t="n">
        <v>0</v>
      </c>
      <c r="O78" t="n">
        <v>0</v>
      </c>
      <c r="P78" t="n">
        <v>0</v>
      </c>
      <c r="Q78" t="n">
        <v>1</v>
      </c>
      <c r="R78" s="2" t="inlineStr">
        <is>
          <t>Anisspindling</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22287-2023</t>
        </is>
      </c>
      <c r="B79" s="1" t="n">
        <v>45070</v>
      </c>
      <c r="C79" s="1" t="n">
        <v>45999</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45999</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33800-2024</t>
        </is>
      </c>
      <c r="B81" s="1" t="n">
        <v>45520</v>
      </c>
      <c r="C81" s="1" t="n">
        <v>45999</v>
      </c>
      <c r="D81" t="inlineStr">
        <is>
          <t>UPPSALA LÄN</t>
        </is>
      </c>
      <c r="E81" t="inlineStr">
        <is>
          <t>ÖSTHAMMAR</t>
        </is>
      </c>
      <c r="F81" t="inlineStr">
        <is>
          <t>Naturvårdsverket</t>
        </is>
      </c>
      <c r="G81" t="n">
        <v>1.5</v>
      </c>
      <c r="H81" t="n">
        <v>1</v>
      </c>
      <c r="I81" t="n">
        <v>0</v>
      </c>
      <c r="J81" t="n">
        <v>0</v>
      </c>
      <c r="K81" t="n">
        <v>0</v>
      </c>
      <c r="L81" t="n">
        <v>0</v>
      </c>
      <c r="M81" t="n">
        <v>0</v>
      </c>
      <c r="N81" t="n">
        <v>0</v>
      </c>
      <c r="O81" t="n">
        <v>0</v>
      </c>
      <c r="P81" t="n">
        <v>0</v>
      </c>
      <c r="Q81" t="n">
        <v>1</v>
      </c>
      <c r="R81" s="2" t="inlineStr">
        <is>
          <t>Fläcknycklar</t>
        </is>
      </c>
      <c r="S81">
        <f>HYPERLINK("https://klasma.github.io/Logging_0382/artfynd/A 33800-2024 artfynd.xlsx", "A 33800-2024")</f>
        <v/>
      </c>
      <c r="T81">
        <f>HYPERLINK("https://klasma.github.io/Logging_0382/kartor/A 33800-2024 karta.png", "A 33800-2024")</f>
        <v/>
      </c>
      <c r="V81">
        <f>HYPERLINK("https://klasma.github.io/Logging_0382/klagomål/A 33800-2024 FSC-klagomål.docx", "A 33800-2024")</f>
        <v/>
      </c>
      <c r="W81">
        <f>HYPERLINK("https://klasma.github.io/Logging_0382/klagomålsmail/A 33800-2024 FSC-klagomål mail.docx", "A 33800-2024")</f>
        <v/>
      </c>
      <c r="X81">
        <f>HYPERLINK("https://klasma.github.io/Logging_0382/tillsyn/A 33800-2024 tillsynsbegäran.docx", "A 33800-2024")</f>
        <v/>
      </c>
      <c r="Y81">
        <f>HYPERLINK("https://klasma.github.io/Logging_0382/tillsynsmail/A 33800-2024 tillsynsbegäran mail.docx", "A 33800-2024")</f>
        <v/>
      </c>
    </row>
    <row r="82" ht="15" customHeight="1">
      <c r="A82" t="inlineStr">
        <is>
          <t>A 11017-2023</t>
        </is>
      </c>
      <c r="B82" s="1" t="n">
        <v>44991</v>
      </c>
      <c r="C82" s="1" t="n">
        <v>45999</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49839-2021</t>
        </is>
      </c>
      <c r="B83" s="1" t="n">
        <v>44455</v>
      </c>
      <c r="C83" s="1" t="n">
        <v>45999</v>
      </c>
      <c r="D83" t="inlineStr">
        <is>
          <t>UPPSALA LÄN</t>
        </is>
      </c>
      <c r="E83" t="inlineStr">
        <is>
          <t>ÖSTHAMMAR</t>
        </is>
      </c>
      <c r="G83" t="n">
        <v>3.6</v>
      </c>
      <c r="H83" t="n">
        <v>0</v>
      </c>
      <c r="I83" t="n">
        <v>0</v>
      </c>
      <c r="J83" t="n">
        <v>0</v>
      </c>
      <c r="K83" t="n">
        <v>1</v>
      </c>
      <c r="L83" t="n">
        <v>0</v>
      </c>
      <c r="M83" t="n">
        <v>0</v>
      </c>
      <c r="N83" t="n">
        <v>0</v>
      </c>
      <c r="O83" t="n">
        <v>1</v>
      </c>
      <c r="P83" t="n">
        <v>1</v>
      </c>
      <c r="Q83" t="n">
        <v>1</v>
      </c>
      <c r="R83" s="2" t="inlineStr">
        <is>
          <t>Violgubbe</t>
        </is>
      </c>
      <c r="S83">
        <f>HYPERLINK("https://klasma.github.io/Logging_0382/artfynd/A 49839-2021 artfynd.xlsx", "A 49839-2021")</f>
        <v/>
      </c>
      <c r="T83">
        <f>HYPERLINK("https://klasma.github.io/Logging_0382/kartor/A 49839-2021 karta.png", "A 49839-2021")</f>
        <v/>
      </c>
      <c r="V83">
        <f>HYPERLINK("https://klasma.github.io/Logging_0382/klagomål/A 49839-2021 FSC-klagomål.docx", "A 49839-2021")</f>
        <v/>
      </c>
      <c r="W83">
        <f>HYPERLINK("https://klasma.github.io/Logging_0382/klagomålsmail/A 49839-2021 FSC-klagomål mail.docx", "A 49839-2021")</f>
        <v/>
      </c>
      <c r="X83">
        <f>HYPERLINK("https://klasma.github.io/Logging_0382/tillsyn/A 49839-2021 tillsynsbegäran.docx", "A 49839-2021")</f>
        <v/>
      </c>
      <c r="Y83">
        <f>HYPERLINK("https://klasma.github.io/Logging_0382/tillsynsmail/A 49839-2021 tillsynsbegäran mail.docx", "A 49839-2021")</f>
        <v/>
      </c>
    </row>
    <row r="84" ht="15" customHeight="1">
      <c r="A84" t="inlineStr">
        <is>
          <t>A 52651-2022</t>
        </is>
      </c>
      <c r="B84" s="1" t="n">
        <v>44874</v>
      </c>
      <c r="C84" s="1" t="n">
        <v>45999</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22375-2024</t>
        </is>
      </c>
      <c r="B85" s="1" t="n">
        <v>45446</v>
      </c>
      <c r="C85" s="1" t="n">
        <v>45999</v>
      </c>
      <c r="D85" t="inlineStr">
        <is>
          <t>UPPSALA LÄN</t>
        </is>
      </c>
      <c r="E85" t="inlineStr">
        <is>
          <t>ÖSTHAMMAR</t>
        </is>
      </c>
      <c r="F85" t="inlineStr">
        <is>
          <t>Bergvik skog öst AB</t>
        </is>
      </c>
      <c r="G85" t="n">
        <v>2.2</v>
      </c>
      <c r="H85" t="n">
        <v>0</v>
      </c>
      <c r="I85" t="n">
        <v>0</v>
      </c>
      <c r="J85" t="n">
        <v>1</v>
      </c>
      <c r="K85" t="n">
        <v>0</v>
      </c>
      <c r="L85" t="n">
        <v>0</v>
      </c>
      <c r="M85" t="n">
        <v>0</v>
      </c>
      <c r="N85" t="n">
        <v>0</v>
      </c>
      <c r="O85" t="n">
        <v>1</v>
      </c>
      <c r="P85" t="n">
        <v>0</v>
      </c>
      <c r="Q85" t="n">
        <v>1</v>
      </c>
      <c r="R85" s="2" t="inlineStr">
        <is>
          <t>Slåtterfibbla</t>
        </is>
      </c>
      <c r="S85">
        <f>HYPERLINK("https://klasma.github.io/Logging_0382/artfynd/A 22375-2024 artfynd.xlsx", "A 22375-2024")</f>
        <v/>
      </c>
      <c r="T85">
        <f>HYPERLINK("https://klasma.github.io/Logging_0382/kartor/A 22375-2024 karta.png", "A 22375-2024")</f>
        <v/>
      </c>
      <c r="V85">
        <f>HYPERLINK("https://klasma.github.io/Logging_0382/klagomål/A 22375-2024 FSC-klagomål.docx", "A 22375-2024")</f>
        <v/>
      </c>
      <c r="W85">
        <f>HYPERLINK("https://klasma.github.io/Logging_0382/klagomålsmail/A 22375-2024 FSC-klagomål mail.docx", "A 22375-2024")</f>
        <v/>
      </c>
      <c r="X85">
        <f>HYPERLINK("https://klasma.github.io/Logging_0382/tillsyn/A 22375-2024 tillsynsbegäran.docx", "A 22375-2024")</f>
        <v/>
      </c>
      <c r="Y85">
        <f>HYPERLINK("https://klasma.github.io/Logging_0382/tillsynsmail/A 22375-2024 tillsynsbegäran mail.docx", "A 22375-2024")</f>
        <v/>
      </c>
    </row>
    <row r="86" ht="15" customHeight="1">
      <c r="A86" t="inlineStr">
        <is>
          <t>A 37296-2023</t>
        </is>
      </c>
      <c r="B86" s="1" t="n">
        <v>45156</v>
      </c>
      <c r="C86" s="1" t="n">
        <v>45999</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65989-2021</t>
        </is>
      </c>
      <c r="B87" s="1" t="n">
        <v>44517</v>
      </c>
      <c r="C87" s="1" t="n">
        <v>45999</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7446-2022</t>
        </is>
      </c>
      <c r="B88" s="1" t="n">
        <v>44606</v>
      </c>
      <c r="C88" s="1" t="n">
        <v>45999</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12753-2024</t>
        </is>
      </c>
      <c r="B89" s="1" t="n">
        <v>45384</v>
      </c>
      <c r="C89" s="1" t="n">
        <v>45999</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52818-2022</t>
        </is>
      </c>
      <c r="B90" s="1" t="n">
        <v>44875</v>
      </c>
      <c r="C90" s="1" t="n">
        <v>45999</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1227-2022</t>
        </is>
      </c>
      <c r="B91" s="1" t="n">
        <v>44572.57641203704</v>
      </c>
      <c r="C91" s="1" t="n">
        <v>45999</v>
      </c>
      <c r="D91" t="inlineStr">
        <is>
          <t>UPPSALA LÄN</t>
        </is>
      </c>
      <c r="E91" t="inlineStr">
        <is>
          <t>ÖSTHAMMAR</t>
        </is>
      </c>
      <c r="G91" t="n">
        <v>1.7</v>
      </c>
      <c r="H91" t="n">
        <v>0</v>
      </c>
      <c r="I91" t="n">
        <v>1</v>
      </c>
      <c r="J91" t="n">
        <v>0</v>
      </c>
      <c r="K91" t="n">
        <v>0</v>
      </c>
      <c r="L91" t="n">
        <v>0</v>
      </c>
      <c r="M91" t="n">
        <v>0</v>
      </c>
      <c r="N91" t="n">
        <v>0</v>
      </c>
      <c r="O91" t="n">
        <v>0</v>
      </c>
      <c r="P91" t="n">
        <v>0</v>
      </c>
      <c r="Q91" t="n">
        <v>1</v>
      </c>
      <c r="R91" s="2" t="inlineStr">
        <is>
          <t>Guldkremla</t>
        </is>
      </c>
      <c r="S91">
        <f>HYPERLINK("https://klasma.github.io/Logging_0382/artfynd/A 1227-2022 artfynd.xlsx", "A 1227-2022")</f>
        <v/>
      </c>
      <c r="T91">
        <f>HYPERLINK("https://klasma.github.io/Logging_0382/kartor/A 1227-2022 karta.png", "A 1227-2022")</f>
        <v/>
      </c>
      <c r="V91">
        <f>HYPERLINK("https://klasma.github.io/Logging_0382/klagomål/A 1227-2022 FSC-klagomål.docx", "A 1227-2022")</f>
        <v/>
      </c>
      <c r="W91">
        <f>HYPERLINK("https://klasma.github.io/Logging_0382/klagomålsmail/A 1227-2022 FSC-klagomål mail.docx", "A 1227-2022")</f>
        <v/>
      </c>
      <c r="X91">
        <f>HYPERLINK("https://klasma.github.io/Logging_0382/tillsyn/A 1227-2022 tillsynsbegäran.docx", "A 1227-2022")</f>
        <v/>
      </c>
      <c r="Y91">
        <f>HYPERLINK("https://klasma.github.io/Logging_0382/tillsynsmail/A 1227-2022 tillsynsbegäran mail.docx", "A 1227-2022")</f>
        <v/>
      </c>
    </row>
    <row r="92" ht="15" customHeight="1">
      <c r="A92" t="inlineStr">
        <is>
          <t>A 29679-2023</t>
        </is>
      </c>
      <c r="B92" s="1" t="n">
        <v>45107</v>
      </c>
      <c r="C92" s="1" t="n">
        <v>45999</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24797-2022</t>
        </is>
      </c>
      <c r="B93" s="1" t="n">
        <v>44728</v>
      </c>
      <c r="C93" s="1" t="n">
        <v>45999</v>
      </c>
      <c r="D93" t="inlineStr">
        <is>
          <t>UPPSALA LÄN</t>
        </is>
      </c>
      <c r="E93" t="inlineStr">
        <is>
          <t>ÖSTHAMMAR</t>
        </is>
      </c>
      <c r="F93" t="inlineStr">
        <is>
          <t>Sveaskog</t>
        </is>
      </c>
      <c r="G93" t="n">
        <v>1.7</v>
      </c>
      <c r="H93" t="n">
        <v>1</v>
      </c>
      <c r="I93" t="n">
        <v>0</v>
      </c>
      <c r="J93" t="n">
        <v>1</v>
      </c>
      <c r="K93" t="n">
        <v>0</v>
      </c>
      <c r="L93" t="n">
        <v>0</v>
      </c>
      <c r="M93" t="n">
        <v>0</v>
      </c>
      <c r="N93" t="n">
        <v>0</v>
      </c>
      <c r="O93" t="n">
        <v>1</v>
      </c>
      <c r="P93" t="n">
        <v>0</v>
      </c>
      <c r="Q93" t="n">
        <v>1</v>
      </c>
      <c r="R93" s="2" t="inlineStr">
        <is>
          <t>Gulsparv</t>
        </is>
      </c>
      <c r="S93">
        <f>HYPERLINK("https://klasma.github.io/Logging_0382/artfynd/A 24797-2022 artfynd.xlsx", "A 24797-2022")</f>
        <v/>
      </c>
      <c r="T93">
        <f>HYPERLINK("https://klasma.github.io/Logging_0382/kartor/A 24797-2022 karta.png", "A 24797-2022")</f>
        <v/>
      </c>
      <c r="V93">
        <f>HYPERLINK("https://klasma.github.io/Logging_0382/klagomål/A 24797-2022 FSC-klagomål.docx", "A 24797-2022")</f>
        <v/>
      </c>
      <c r="W93">
        <f>HYPERLINK("https://klasma.github.io/Logging_0382/klagomålsmail/A 24797-2022 FSC-klagomål mail.docx", "A 24797-2022")</f>
        <v/>
      </c>
      <c r="X93">
        <f>HYPERLINK("https://klasma.github.io/Logging_0382/tillsyn/A 24797-2022 tillsynsbegäran.docx", "A 24797-2022")</f>
        <v/>
      </c>
      <c r="Y93">
        <f>HYPERLINK("https://klasma.github.io/Logging_0382/tillsynsmail/A 24797-2022 tillsynsbegäran mail.docx", "A 24797-2022")</f>
        <v/>
      </c>
      <c r="Z93">
        <f>HYPERLINK("https://klasma.github.io/Logging_0382/fåglar/A 24797-2022 prioriterade fågelarter.docx", "A 24797-2022")</f>
        <v/>
      </c>
    </row>
    <row r="94" ht="15" customHeight="1">
      <c r="A94" t="inlineStr">
        <is>
          <t>A 14706-2023</t>
        </is>
      </c>
      <c r="B94" s="1" t="n">
        <v>45013</v>
      </c>
      <c r="C94" s="1" t="n">
        <v>45999</v>
      </c>
      <c r="D94" t="inlineStr">
        <is>
          <t>UPPSALA LÄN</t>
        </is>
      </c>
      <c r="E94" t="inlineStr">
        <is>
          <t>ÖSTHAMMAR</t>
        </is>
      </c>
      <c r="G94" t="n">
        <v>0.9</v>
      </c>
      <c r="H94" t="n">
        <v>0</v>
      </c>
      <c r="I94" t="n">
        <v>1</v>
      </c>
      <c r="J94" t="n">
        <v>0</v>
      </c>
      <c r="K94" t="n">
        <v>0</v>
      </c>
      <c r="L94" t="n">
        <v>0</v>
      </c>
      <c r="M94" t="n">
        <v>0</v>
      </c>
      <c r="N94" t="n">
        <v>0</v>
      </c>
      <c r="O94" t="n">
        <v>0</v>
      </c>
      <c r="P94" t="n">
        <v>0</v>
      </c>
      <c r="Q94" t="n">
        <v>1</v>
      </c>
      <c r="R94" s="2" t="inlineStr">
        <is>
          <t>Olivspindling</t>
        </is>
      </c>
      <c r="S94">
        <f>HYPERLINK("https://klasma.github.io/Logging_0382/artfynd/A 14706-2023 artfynd.xlsx", "A 14706-2023")</f>
        <v/>
      </c>
      <c r="T94">
        <f>HYPERLINK("https://klasma.github.io/Logging_0382/kartor/A 14706-2023 karta.png", "A 14706-2023")</f>
        <v/>
      </c>
      <c r="V94">
        <f>HYPERLINK("https://klasma.github.io/Logging_0382/klagomål/A 14706-2023 FSC-klagomål.docx", "A 14706-2023")</f>
        <v/>
      </c>
      <c r="W94">
        <f>HYPERLINK("https://klasma.github.io/Logging_0382/klagomålsmail/A 14706-2023 FSC-klagomål mail.docx", "A 14706-2023")</f>
        <v/>
      </c>
      <c r="X94">
        <f>HYPERLINK("https://klasma.github.io/Logging_0382/tillsyn/A 14706-2023 tillsynsbegäran.docx", "A 14706-2023")</f>
        <v/>
      </c>
      <c r="Y94">
        <f>HYPERLINK("https://klasma.github.io/Logging_0382/tillsynsmail/A 14706-2023 tillsynsbegäran mail.docx", "A 14706-2023")</f>
        <v/>
      </c>
    </row>
    <row r="95" ht="15" customHeight="1">
      <c r="A95" t="inlineStr">
        <is>
          <t>A 14203-2024</t>
        </is>
      </c>
      <c r="B95" s="1" t="n">
        <v>45393</v>
      </c>
      <c r="C95" s="1" t="n">
        <v>45999</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63615-2021</t>
        </is>
      </c>
      <c r="B96" s="1" t="n">
        <v>44509</v>
      </c>
      <c r="C96" s="1" t="n">
        <v>45999</v>
      </c>
      <c r="D96" t="inlineStr">
        <is>
          <t>UPPSALA LÄN</t>
        </is>
      </c>
      <c r="E96" t="inlineStr">
        <is>
          <t>ÖSTHAMMAR</t>
        </is>
      </c>
      <c r="G96" t="n">
        <v>1.9</v>
      </c>
      <c r="H96" t="n">
        <v>0</v>
      </c>
      <c r="I96" t="n">
        <v>0</v>
      </c>
      <c r="J96" t="n">
        <v>1</v>
      </c>
      <c r="K96" t="n">
        <v>0</v>
      </c>
      <c r="L96" t="n">
        <v>0</v>
      </c>
      <c r="M96" t="n">
        <v>0</v>
      </c>
      <c r="N96" t="n">
        <v>0</v>
      </c>
      <c r="O96" t="n">
        <v>1</v>
      </c>
      <c r="P96" t="n">
        <v>0</v>
      </c>
      <c r="Q96" t="n">
        <v>1</v>
      </c>
      <c r="R96" s="2" t="inlineStr">
        <is>
          <t>Gul taggsvamp</t>
        </is>
      </c>
      <c r="S96">
        <f>HYPERLINK("https://klasma.github.io/Logging_0382/artfynd/A 63615-2021 artfynd.xlsx", "A 63615-2021")</f>
        <v/>
      </c>
      <c r="T96">
        <f>HYPERLINK("https://klasma.github.io/Logging_0382/kartor/A 63615-2021 karta.png", "A 63615-2021")</f>
        <v/>
      </c>
      <c r="V96">
        <f>HYPERLINK("https://klasma.github.io/Logging_0382/klagomål/A 63615-2021 FSC-klagomål.docx", "A 63615-2021")</f>
        <v/>
      </c>
      <c r="W96">
        <f>HYPERLINK("https://klasma.github.io/Logging_0382/klagomålsmail/A 63615-2021 FSC-klagomål mail.docx", "A 63615-2021")</f>
        <v/>
      </c>
      <c r="X96">
        <f>HYPERLINK("https://klasma.github.io/Logging_0382/tillsyn/A 63615-2021 tillsynsbegäran.docx", "A 63615-2021")</f>
        <v/>
      </c>
      <c r="Y96">
        <f>HYPERLINK("https://klasma.github.io/Logging_0382/tillsynsmail/A 63615-2021 tillsynsbegäran mail.docx", "A 63615-2021")</f>
        <v/>
      </c>
    </row>
    <row r="97" ht="15" customHeight="1">
      <c r="A97" t="inlineStr">
        <is>
          <t>A 34090-2023</t>
        </is>
      </c>
      <c r="B97" s="1" t="n">
        <v>45135</v>
      </c>
      <c r="C97" s="1" t="n">
        <v>45999</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70495-2021</t>
        </is>
      </c>
      <c r="B98" s="1" t="n">
        <v>44536</v>
      </c>
      <c r="C98" s="1" t="n">
        <v>45999</v>
      </c>
      <c r="D98" t="inlineStr">
        <is>
          <t>UPPSALA LÄN</t>
        </is>
      </c>
      <c r="E98" t="inlineStr">
        <is>
          <t>ÖSTHAMMAR</t>
        </is>
      </c>
      <c r="G98" t="n">
        <v>1</v>
      </c>
      <c r="H98" t="n">
        <v>1</v>
      </c>
      <c r="I98" t="n">
        <v>0</v>
      </c>
      <c r="J98" t="n">
        <v>1</v>
      </c>
      <c r="K98" t="n">
        <v>0</v>
      </c>
      <c r="L98" t="n">
        <v>0</v>
      </c>
      <c r="M98" t="n">
        <v>0</v>
      </c>
      <c r="N98" t="n">
        <v>0</v>
      </c>
      <c r="O98" t="n">
        <v>1</v>
      </c>
      <c r="P98" t="n">
        <v>0</v>
      </c>
      <c r="Q98" t="n">
        <v>1</v>
      </c>
      <c r="R98" s="2" t="inlineStr">
        <is>
          <t>Slaguggla</t>
        </is>
      </c>
      <c r="S98">
        <f>HYPERLINK("https://klasma.github.io/Logging_0382/artfynd/A 70495-2021 artfynd.xlsx", "A 70495-2021")</f>
        <v/>
      </c>
      <c r="T98">
        <f>HYPERLINK("https://klasma.github.io/Logging_0382/kartor/A 70495-2021 karta.png", "A 70495-2021")</f>
        <v/>
      </c>
      <c r="V98">
        <f>HYPERLINK("https://klasma.github.io/Logging_0382/klagomål/A 70495-2021 FSC-klagomål.docx", "A 70495-2021")</f>
        <v/>
      </c>
      <c r="W98">
        <f>HYPERLINK("https://klasma.github.io/Logging_0382/klagomålsmail/A 70495-2021 FSC-klagomål mail.docx", "A 70495-2021")</f>
        <v/>
      </c>
      <c r="X98">
        <f>HYPERLINK("https://klasma.github.io/Logging_0382/tillsyn/A 70495-2021 tillsynsbegäran.docx", "A 70495-2021")</f>
        <v/>
      </c>
      <c r="Y98">
        <f>HYPERLINK("https://klasma.github.io/Logging_0382/tillsynsmail/A 70495-2021 tillsynsbegäran mail.docx", "A 70495-2021")</f>
        <v/>
      </c>
      <c r="Z98">
        <f>HYPERLINK("https://klasma.github.io/Logging_0382/fåglar/A 70495-2021 prioriterade fågelarter.docx", "A 70495-2021")</f>
        <v/>
      </c>
    </row>
    <row r="99" ht="15" customHeight="1">
      <c r="A99" t="inlineStr">
        <is>
          <t>A 41220-2025</t>
        </is>
      </c>
      <c r="B99" s="1" t="n">
        <v>45898.58630787037</v>
      </c>
      <c r="C99" s="1" t="n">
        <v>45999</v>
      </c>
      <c r="D99" t="inlineStr">
        <is>
          <t>UPPSALA LÄN</t>
        </is>
      </c>
      <c r="E99" t="inlineStr">
        <is>
          <t>ÖSTHAMMAR</t>
        </is>
      </c>
      <c r="F99" t="inlineStr">
        <is>
          <t>Bergvik skog öst AB</t>
        </is>
      </c>
      <c r="G99" t="n">
        <v>2.5</v>
      </c>
      <c r="H99" t="n">
        <v>1</v>
      </c>
      <c r="I99" t="n">
        <v>0</v>
      </c>
      <c r="J99" t="n">
        <v>1</v>
      </c>
      <c r="K99" t="n">
        <v>0</v>
      </c>
      <c r="L99" t="n">
        <v>0</v>
      </c>
      <c r="M99" t="n">
        <v>0</v>
      </c>
      <c r="N99" t="n">
        <v>0</v>
      </c>
      <c r="O99" t="n">
        <v>1</v>
      </c>
      <c r="P99" t="n">
        <v>0</v>
      </c>
      <c r="Q99" t="n">
        <v>1</v>
      </c>
      <c r="R99" s="2" t="inlineStr">
        <is>
          <t>Spillkråka</t>
        </is>
      </c>
      <c r="S99">
        <f>HYPERLINK("https://klasma.github.io/Logging_0382/artfynd/A 41220-2025 artfynd.xlsx", "A 41220-2025")</f>
        <v/>
      </c>
      <c r="T99">
        <f>HYPERLINK("https://klasma.github.io/Logging_0382/kartor/A 41220-2025 karta.png", "A 41220-2025")</f>
        <v/>
      </c>
      <c r="V99">
        <f>HYPERLINK("https://klasma.github.io/Logging_0382/klagomål/A 41220-2025 FSC-klagomål.docx", "A 41220-2025")</f>
        <v/>
      </c>
      <c r="W99">
        <f>HYPERLINK("https://klasma.github.io/Logging_0382/klagomålsmail/A 41220-2025 FSC-klagomål mail.docx", "A 41220-2025")</f>
        <v/>
      </c>
      <c r="X99">
        <f>HYPERLINK("https://klasma.github.io/Logging_0382/tillsyn/A 41220-2025 tillsynsbegäran.docx", "A 41220-2025")</f>
        <v/>
      </c>
      <c r="Y99">
        <f>HYPERLINK("https://klasma.github.io/Logging_0382/tillsynsmail/A 41220-2025 tillsynsbegäran mail.docx", "A 41220-2025")</f>
        <v/>
      </c>
      <c r="Z99">
        <f>HYPERLINK("https://klasma.github.io/Logging_0382/fåglar/A 41220-2025 prioriterade fågelarter.docx", "A 41220-2025")</f>
        <v/>
      </c>
    </row>
    <row r="100" ht="15" customHeight="1">
      <c r="A100" t="inlineStr">
        <is>
          <t>A 52879-2025</t>
        </is>
      </c>
      <c r="B100" s="1" t="n">
        <v>45957.544375</v>
      </c>
      <c r="C100" s="1" t="n">
        <v>45999</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30605-2025</t>
        </is>
      </c>
      <c r="B101" s="1" t="n">
        <v>45831.45510416666</v>
      </c>
      <c r="C101" s="1" t="n">
        <v>45999</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10034-2023</t>
        </is>
      </c>
      <c r="B102" s="1" t="n">
        <v>44985</v>
      </c>
      <c r="C102" s="1" t="n">
        <v>45999</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46629-2024</t>
        </is>
      </c>
      <c r="B103" s="1" t="n">
        <v>45583.33221064815</v>
      </c>
      <c r="C103" s="1" t="n">
        <v>45999</v>
      </c>
      <c r="D103" t="inlineStr">
        <is>
          <t>UPPSALA LÄN</t>
        </is>
      </c>
      <c r="E103" t="inlineStr">
        <is>
          <t>ÖSTHAMMAR</t>
        </is>
      </c>
      <c r="F103" t="inlineStr">
        <is>
          <t>Bergvik skog öst AB</t>
        </is>
      </c>
      <c r="G103" t="n">
        <v>0.7</v>
      </c>
      <c r="H103" t="n">
        <v>0</v>
      </c>
      <c r="I103" t="n">
        <v>0</v>
      </c>
      <c r="J103" t="n">
        <v>1</v>
      </c>
      <c r="K103" t="n">
        <v>0</v>
      </c>
      <c r="L103" t="n">
        <v>0</v>
      </c>
      <c r="M103" t="n">
        <v>0</v>
      </c>
      <c r="N103" t="n">
        <v>0</v>
      </c>
      <c r="O103" t="n">
        <v>1</v>
      </c>
      <c r="P103" t="n">
        <v>0</v>
      </c>
      <c r="Q103" t="n">
        <v>1</v>
      </c>
      <c r="R103" s="2" t="inlineStr">
        <is>
          <t>Slåtterfibbla</t>
        </is>
      </c>
      <c r="S103">
        <f>HYPERLINK("https://klasma.github.io/Logging_0382/artfynd/A 46629-2024 artfynd.xlsx", "A 46629-2024")</f>
        <v/>
      </c>
      <c r="T103">
        <f>HYPERLINK("https://klasma.github.io/Logging_0382/kartor/A 46629-2024 karta.png", "A 46629-2024")</f>
        <v/>
      </c>
      <c r="V103">
        <f>HYPERLINK("https://klasma.github.io/Logging_0382/klagomål/A 46629-2024 FSC-klagomål.docx", "A 46629-2024")</f>
        <v/>
      </c>
      <c r="W103">
        <f>HYPERLINK("https://klasma.github.io/Logging_0382/klagomålsmail/A 46629-2024 FSC-klagomål mail.docx", "A 46629-2024")</f>
        <v/>
      </c>
      <c r="X103">
        <f>HYPERLINK("https://klasma.github.io/Logging_0382/tillsyn/A 46629-2024 tillsynsbegäran.docx", "A 46629-2024")</f>
        <v/>
      </c>
      <c r="Y103">
        <f>HYPERLINK("https://klasma.github.io/Logging_0382/tillsynsmail/A 46629-2024 tillsynsbegäran mail.docx", "A 46629-2024")</f>
        <v/>
      </c>
    </row>
    <row r="104" ht="15" customHeight="1">
      <c r="A104" t="inlineStr">
        <is>
          <t>A 25179-2023</t>
        </is>
      </c>
      <c r="B104" s="1" t="n">
        <v>45078</v>
      </c>
      <c r="C104" s="1" t="n">
        <v>45999</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22209-2022</t>
        </is>
      </c>
      <c r="B105" s="1" t="n">
        <v>44712</v>
      </c>
      <c r="C105" s="1" t="n">
        <v>45999</v>
      </c>
      <c r="D105" t="inlineStr">
        <is>
          <t>UPPSALA LÄN</t>
        </is>
      </c>
      <c r="E105" t="inlineStr">
        <is>
          <t>ÖSTHAMMAR</t>
        </is>
      </c>
      <c r="F105" t="inlineStr">
        <is>
          <t>Bergvik skog öst AB</t>
        </is>
      </c>
      <c r="G105" t="n">
        <v>1.5</v>
      </c>
      <c r="H105" t="n">
        <v>1</v>
      </c>
      <c r="I105" t="n">
        <v>0</v>
      </c>
      <c r="J105" t="n">
        <v>0</v>
      </c>
      <c r="K105" t="n">
        <v>0</v>
      </c>
      <c r="L105" t="n">
        <v>0</v>
      </c>
      <c r="M105" t="n">
        <v>0</v>
      </c>
      <c r="N105" t="n">
        <v>0</v>
      </c>
      <c r="O105" t="n">
        <v>0</v>
      </c>
      <c r="P105" t="n">
        <v>0</v>
      </c>
      <c r="Q105" t="n">
        <v>1</v>
      </c>
      <c r="R105" s="2" t="inlineStr">
        <is>
          <t>Blåsippa</t>
        </is>
      </c>
      <c r="S105">
        <f>HYPERLINK("https://klasma.github.io/Logging_0382/artfynd/A 22209-2022 artfynd.xlsx", "A 22209-2022")</f>
        <v/>
      </c>
      <c r="T105">
        <f>HYPERLINK("https://klasma.github.io/Logging_0382/kartor/A 22209-2022 karta.png", "A 22209-2022")</f>
        <v/>
      </c>
      <c r="V105">
        <f>HYPERLINK("https://klasma.github.io/Logging_0382/klagomål/A 22209-2022 FSC-klagomål.docx", "A 22209-2022")</f>
        <v/>
      </c>
      <c r="W105">
        <f>HYPERLINK("https://klasma.github.io/Logging_0382/klagomålsmail/A 22209-2022 FSC-klagomål mail.docx", "A 22209-2022")</f>
        <v/>
      </c>
      <c r="X105">
        <f>HYPERLINK("https://klasma.github.io/Logging_0382/tillsyn/A 22209-2022 tillsynsbegäran.docx", "A 22209-2022")</f>
        <v/>
      </c>
      <c r="Y105">
        <f>HYPERLINK("https://klasma.github.io/Logging_0382/tillsynsmail/A 22209-2022 tillsynsbegäran mail.docx", "A 22209-2022")</f>
        <v/>
      </c>
    </row>
    <row r="106" ht="15" customHeight="1">
      <c r="A106" t="inlineStr">
        <is>
          <t>A 3693-2021</t>
        </is>
      </c>
      <c r="B106" s="1" t="n">
        <v>44221</v>
      </c>
      <c r="C106" s="1" t="n">
        <v>45999</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73983-2021</t>
        </is>
      </c>
      <c r="B107" s="1" t="n">
        <v>44555.80506944445</v>
      </c>
      <c r="C107" s="1" t="n">
        <v>45999</v>
      </c>
      <c r="D107" t="inlineStr">
        <is>
          <t>UPPSALA LÄN</t>
        </is>
      </c>
      <c r="E107" t="inlineStr">
        <is>
          <t>ÖSTHAMMAR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45999</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45999</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45999</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45999</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45999</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45999</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45999</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45999</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15847-2022</t>
        </is>
      </c>
      <c r="B116" s="1" t="n">
        <v>44664</v>
      </c>
      <c r="C116" s="1" t="n">
        <v>45999</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18727-2022</t>
        </is>
      </c>
      <c r="B117" s="1" t="n">
        <v>44687.68890046296</v>
      </c>
      <c r="C117" s="1" t="n">
        <v>45999</v>
      </c>
      <c r="D117" t="inlineStr">
        <is>
          <t>UPPSALA LÄN</t>
        </is>
      </c>
      <c r="E117" t="inlineStr">
        <is>
          <t>ÖSTHAMMAR</t>
        </is>
      </c>
      <c r="G117" t="n">
        <v>0.4</v>
      </c>
      <c r="H117" t="n">
        <v>0</v>
      </c>
      <c r="I117" t="n">
        <v>0</v>
      </c>
      <c r="J117" t="n">
        <v>0</v>
      </c>
      <c r="K117" t="n">
        <v>0</v>
      </c>
      <c r="L117" t="n">
        <v>0</v>
      </c>
      <c r="M117" t="n">
        <v>0</v>
      </c>
      <c r="N117" t="n">
        <v>0</v>
      </c>
      <c r="O117" t="n">
        <v>0</v>
      </c>
      <c r="P117" t="n">
        <v>0</v>
      </c>
      <c r="Q117" t="n">
        <v>0</v>
      </c>
      <c r="R117" s="2" t="inlineStr"/>
    </row>
    <row r="118" ht="15" customHeight="1">
      <c r="A118" t="inlineStr">
        <is>
          <t>A 18732-2022</t>
        </is>
      </c>
      <c r="B118" s="1" t="n">
        <v>44687</v>
      </c>
      <c r="C118" s="1" t="n">
        <v>45999</v>
      </c>
      <c r="D118" t="inlineStr">
        <is>
          <t>UPPSALA LÄN</t>
        </is>
      </c>
      <c r="E118" t="inlineStr">
        <is>
          <t>ÖSTHAMMAR</t>
        </is>
      </c>
      <c r="G118" t="n">
        <v>10.5</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45999</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45999</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45999</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45999</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45999</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45999</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45999</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45999</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45999</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45999</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45999</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45999</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45999</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45999</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31263-2021</t>
        </is>
      </c>
      <c r="B133" s="1" t="n">
        <v>44368</v>
      </c>
      <c r="C133" s="1" t="n">
        <v>45999</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45999</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45999</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45999</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45999</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45999</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8009-2021</t>
        </is>
      </c>
      <c r="B139" s="1" t="n">
        <v>44243</v>
      </c>
      <c r="C139" s="1" t="n">
        <v>45999</v>
      </c>
      <c r="D139" t="inlineStr">
        <is>
          <t>UPPSALA LÄN</t>
        </is>
      </c>
      <c r="E139" t="inlineStr">
        <is>
          <t>ÖSTHAMMAR</t>
        </is>
      </c>
      <c r="G139" t="n">
        <v>9.9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45999</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30209-2022</t>
        </is>
      </c>
      <c r="B141" s="1" t="n">
        <v>44757.75236111111</v>
      </c>
      <c r="C141" s="1" t="n">
        <v>45999</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45999</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45999</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45999</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45999</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45999</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49334-2022</t>
        </is>
      </c>
      <c r="B147" s="1" t="n">
        <v>44861</v>
      </c>
      <c r="C147" s="1" t="n">
        <v>45999</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45999</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45999</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14248-2021</t>
        </is>
      </c>
      <c r="B150" s="1" t="n">
        <v>44278</v>
      </c>
      <c r="C150" s="1" t="n">
        <v>45999</v>
      </c>
      <c r="D150" t="inlineStr">
        <is>
          <t>UPPSALA LÄN</t>
        </is>
      </c>
      <c r="E150" t="inlineStr">
        <is>
          <t>ÖSTHAMMAR</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61560-2021</t>
        </is>
      </c>
      <c r="B151" s="1" t="n">
        <v>44501.42905092592</v>
      </c>
      <c r="C151" s="1" t="n">
        <v>45999</v>
      </c>
      <c r="D151" t="inlineStr">
        <is>
          <t>UPPSALA LÄN</t>
        </is>
      </c>
      <c r="E151" t="inlineStr">
        <is>
          <t>ÖSTHAMMAR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37570-2022</t>
        </is>
      </c>
      <c r="B152" s="1" t="n">
        <v>44809</v>
      </c>
      <c r="C152" s="1" t="n">
        <v>45999</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37545-2022</t>
        </is>
      </c>
      <c r="B153" s="1" t="n">
        <v>44809.63373842592</v>
      </c>
      <c r="C153" s="1" t="n">
        <v>45999</v>
      </c>
      <c r="D153" t="inlineStr">
        <is>
          <t>UPPSALA LÄN</t>
        </is>
      </c>
      <c r="E153" t="inlineStr">
        <is>
          <t>ÖSTHAMMAR</t>
        </is>
      </c>
      <c r="G153" t="n">
        <v>3.1</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45999</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37813-2022</t>
        </is>
      </c>
      <c r="B155" s="1" t="n">
        <v>44810</v>
      </c>
      <c r="C155" s="1" t="n">
        <v>45999</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45999</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45999</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45999</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4491-2022</t>
        </is>
      </c>
      <c r="B159" s="1" t="n">
        <v>44589.66446759259</v>
      </c>
      <c r="C159" s="1" t="n">
        <v>45999</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22207-2022</t>
        </is>
      </c>
      <c r="B160" s="1" t="n">
        <v>44712.51509259259</v>
      </c>
      <c r="C160" s="1" t="n">
        <v>45999</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45999</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41558-2021</t>
        </is>
      </c>
      <c r="B162" s="1" t="n">
        <v>44425.37835648148</v>
      </c>
      <c r="C162" s="1" t="n">
        <v>45999</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15457-2022</t>
        </is>
      </c>
      <c r="B163" s="1" t="n">
        <v>44661.74027777778</v>
      </c>
      <c r="C163" s="1" t="n">
        <v>45999</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25987-2022</t>
        </is>
      </c>
      <c r="B164" s="1" t="n">
        <v>44734.49601851852</v>
      </c>
      <c r="C164" s="1" t="n">
        <v>45999</v>
      </c>
      <c r="D164" t="inlineStr">
        <is>
          <t>UPPSALA LÄN</t>
        </is>
      </c>
      <c r="E164" t="inlineStr">
        <is>
          <t>ÖSTHAMMAR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7871-2022</t>
        </is>
      </c>
      <c r="B165" s="1" t="n">
        <v>44608</v>
      </c>
      <c r="C165" s="1" t="n">
        <v>45999</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24817-2022</t>
        </is>
      </c>
      <c r="B166" s="1" t="n">
        <v>44728</v>
      </c>
      <c r="C166" s="1" t="n">
        <v>45999</v>
      </c>
      <c r="D166" t="inlineStr">
        <is>
          <t>UPPSALA LÄN</t>
        </is>
      </c>
      <c r="E166" t="inlineStr">
        <is>
          <t>ÖSTHAMMAR</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45999</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45999</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51906-2022</t>
        </is>
      </c>
      <c r="B169" s="1" t="n">
        <v>44872.62109953703</v>
      </c>
      <c r="C169" s="1" t="n">
        <v>45999</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15334-2022</t>
        </is>
      </c>
      <c r="B170" s="1" t="n">
        <v>44659</v>
      </c>
      <c r="C170" s="1" t="n">
        <v>45999</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64872-2021</t>
        </is>
      </c>
      <c r="B171" s="1" t="n">
        <v>44512.6108912037</v>
      </c>
      <c r="C171" s="1" t="n">
        <v>45999</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16184-2022</t>
        </is>
      </c>
      <c r="B172" s="1" t="n">
        <v>44669.36354166667</v>
      </c>
      <c r="C172" s="1" t="n">
        <v>45999</v>
      </c>
      <c r="D172" t="inlineStr">
        <is>
          <t>UPPSALA LÄN</t>
        </is>
      </c>
      <c r="E172" t="inlineStr">
        <is>
          <t>ÖSTHAMMAR</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6221-2021</t>
        </is>
      </c>
      <c r="B173" s="1" t="n">
        <v>44235</v>
      </c>
      <c r="C173" s="1" t="n">
        <v>45999</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43469-2021</t>
        </is>
      </c>
      <c r="B174" s="1" t="n">
        <v>44432</v>
      </c>
      <c r="C174" s="1" t="n">
        <v>45999</v>
      </c>
      <c r="D174" t="inlineStr">
        <is>
          <t>UPPSALA LÄN</t>
        </is>
      </c>
      <c r="E174" t="inlineStr">
        <is>
          <t>ÖSTHAMMAR</t>
        </is>
      </c>
      <c r="G174" t="n">
        <v>3.9</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45999</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9789-2022</t>
        </is>
      </c>
      <c r="B176" s="1" t="n">
        <v>44620.35590277778</v>
      </c>
      <c r="C176" s="1" t="n">
        <v>45999</v>
      </c>
      <c r="D176" t="inlineStr">
        <is>
          <t>UPPSALA LÄN</t>
        </is>
      </c>
      <c r="E176" t="inlineStr">
        <is>
          <t>ÖSTHAMMAR</t>
        </is>
      </c>
      <c r="G176" t="n">
        <v>1.2</v>
      </c>
      <c r="H176" t="n">
        <v>0</v>
      </c>
      <c r="I176" t="n">
        <v>0</v>
      </c>
      <c r="J176" t="n">
        <v>0</v>
      </c>
      <c r="K176" t="n">
        <v>0</v>
      </c>
      <c r="L176" t="n">
        <v>0</v>
      </c>
      <c r="M176" t="n">
        <v>0</v>
      </c>
      <c r="N176" t="n">
        <v>0</v>
      </c>
      <c r="O176" t="n">
        <v>0</v>
      </c>
      <c r="P176" t="n">
        <v>0</v>
      </c>
      <c r="Q176" t="n">
        <v>0</v>
      </c>
      <c r="R176" s="2" t="inlineStr"/>
    </row>
    <row r="177" ht="15" customHeight="1">
      <c r="A177" t="inlineStr">
        <is>
          <t>A 31182-2022</t>
        </is>
      </c>
      <c r="B177" s="1" t="n">
        <v>44770</v>
      </c>
      <c r="C177" s="1" t="n">
        <v>45999</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26534-2022</t>
        </is>
      </c>
      <c r="B178" s="1" t="n">
        <v>44739</v>
      </c>
      <c r="C178" s="1" t="n">
        <v>45999</v>
      </c>
      <c r="D178" t="inlineStr">
        <is>
          <t>UPPSALA LÄN</t>
        </is>
      </c>
      <c r="E178" t="inlineStr">
        <is>
          <t>ÖSTHAMMAR</t>
        </is>
      </c>
      <c r="F178" t="inlineStr">
        <is>
          <t>Övriga statliga verk och myndigheter</t>
        </is>
      </c>
      <c r="G178" t="n">
        <v>0.6</v>
      </c>
      <c r="H178" t="n">
        <v>0</v>
      </c>
      <c r="I178" t="n">
        <v>0</v>
      </c>
      <c r="J178" t="n">
        <v>0</v>
      </c>
      <c r="K178" t="n">
        <v>0</v>
      </c>
      <c r="L178" t="n">
        <v>0</v>
      </c>
      <c r="M178" t="n">
        <v>0</v>
      </c>
      <c r="N178" t="n">
        <v>0</v>
      </c>
      <c r="O178" t="n">
        <v>0</v>
      </c>
      <c r="P178" t="n">
        <v>0</v>
      </c>
      <c r="Q178" t="n">
        <v>0</v>
      </c>
      <c r="R178" s="2" t="inlineStr"/>
    </row>
    <row r="179" ht="15" customHeight="1">
      <c r="A179" t="inlineStr">
        <is>
          <t>A 49914-2022</t>
        </is>
      </c>
      <c r="B179" s="1" t="n">
        <v>44865</v>
      </c>
      <c r="C179" s="1" t="n">
        <v>45999</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22945-2022</t>
        </is>
      </c>
      <c r="B180" s="1" t="n">
        <v>44715.91158564815</v>
      </c>
      <c r="C180" s="1" t="n">
        <v>45999</v>
      </c>
      <c r="D180" t="inlineStr">
        <is>
          <t>UPPSALA LÄN</t>
        </is>
      </c>
      <c r="E180" t="inlineStr">
        <is>
          <t>ÖSTHAMMAR</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12999-2022</t>
        </is>
      </c>
      <c r="B181" s="1" t="n">
        <v>44643.4372337963</v>
      </c>
      <c r="C181" s="1" t="n">
        <v>45999</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2168-2022</t>
        </is>
      </c>
      <c r="B182" s="1" t="n">
        <v>44578</v>
      </c>
      <c r="C182" s="1" t="n">
        <v>45999</v>
      </c>
      <c r="D182" t="inlineStr">
        <is>
          <t>UPPSALA LÄN</t>
        </is>
      </c>
      <c r="E182" t="inlineStr">
        <is>
          <t>ÖSTHAMMAR</t>
        </is>
      </c>
      <c r="G182" t="n">
        <v>2.9</v>
      </c>
      <c r="H182" t="n">
        <v>0</v>
      </c>
      <c r="I182" t="n">
        <v>0</v>
      </c>
      <c r="J182" t="n">
        <v>0</v>
      </c>
      <c r="K182" t="n">
        <v>0</v>
      </c>
      <c r="L182" t="n">
        <v>0</v>
      </c>
      <c r="M182" t="n">
        <v>0</v>
      </c>
      <c r="N182" t="n">
        <v>0</v>
      </c>
      <c r="O182" t="n">
        <v>0</v>
      </c>
      <c r="P182" t="n">
        <v>0</v>
      </c>
      <c r="Q182" t="n">
        <v>0</v>
      </c>
      <c r="R182" s="2" t="inlineStr"/>
    </row>
    <row r="183" ht="15" customHeight="1">
      <c r="A183" t="inlineStr">
        <is>
          <t>A 15845-2022</t>
        </is>
      </c>
      <c r="B183" s="1" t="n">
        <v>44664</v>
      </c>
      <c r="C183" s="1" t="n">
        <v>45999</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16185-2022</t>
        </is>
      </c>
      <c r="B184" s="1" t="n">
        <v>44669</v>
      </c>
      <c r="C184" s="1" t="n">
        <v>45999</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24316-2021</t>
        </is>
      </c>
      <c r="B185" s="1" t="n">
        <v>44337</v>
      </c>
      <c r="C185" s="1" t="n">
        <v>45999</v>
      </c>
      <c r="D185" t="inlineStr">
        <is>
          <t>UPPSALA LÄN</t>
        </is>
      </c>
      <c r="E185" t="inlineStr">
        <is>
          <t>ÖSTHAMMAR</t>
        </is>
      </c>
      <c r="G185" t="n">
        <v>1.2</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45999</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45999</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22887-2022</t>
        </is>
      </c>
      <c r="B188" s="1" t="n">
        <v>44715</v>
      </c>
      <c r="C188" s="1" t="n">
        <v>45999</v>
      </c>
      <c r="D188" t="inlineStr">
        <is>
          <t>UPPSALA LÄN</t>
        </is>
      </c>
      <c r="E188" t="inlineStr">
        <is>
          <t>ÖSTHAMMAR</t>
        </is>
      </c>
      <c r="G188" t="n">
        <v>0.2</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45999</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52544-2021</t>
        </is>
      </c>
      <c r="B190" s="1" t="n">
        <v>44466</v>
      </c>
      <c r="C190" s="1" t="n">
        <v>45999</v>
      </c>
      <c r="D190" t="inlineStr">
        <is>
          <t>UPPSALA LÄN</t>
        </is>
      </c>
      <c r="E190" t="inlineStr">
        <is>
          <t>ÖSTHAMMAR</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30086-2023</t>
        </is>
      </c>
      <c r="B191" s="1" t="n">
        <v>45110.43907407407</v>
      </c>
      <c r="C191" s="1" t="n">
        <v>45999</v>
      </c>
      <c r="D191" t="inlineStr">
        <is>
          <t>UPPSALA LÄN</t>
        </is>
      </c>
      <c r="E191" t="inlineStr">
        <is>
          <t>ÖSTHAMMAR</t>
        </is>
      </c>
      <c r="G191" t="n">
        <v>3.5</v>
      </c>
      <c r="H191" t="n">
        <v>0</v>
      </c>
      <c r="I191" t="n">
        <v>0</v>
      </c>
      <c r="J191" t="n">
        <v>0</v>
      </c>
      <c r="K191" t="n">
        <v>0</v>
      </c>
      <c r="L191" t="n">
        <v>0</v>
      </c>
      <c r="M191" t="n">
        <v>0</v>
      </c>
      <c r="N191" t="n">
        <v>0</v>
      </c>
      <c r="O191" t="n">
        <v>0</v>
      </c>
      <c r="P191" t="n">
        <v>0</v>
      </c>
      <c r="Q191" t="n">
        <v>0</v>
      </c>
      <c r="R191" s="2" t="inlineStr"/>
    </row>
    <row r="192" ht="15" customHeight="1">
      <c r="A192" t="inlineStr">
        <is>
          <t>A 34418-2022</t>
        </is>
      </c>
      <c r="B192" s="1" t="n">
        <v>44792</v>
      </c>
      <c r="C192" s="1" t="n">
        <v>45999</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11008-2023</t>
        </is>
      </c>
      <c r="B193" s="1" t="n">
        <v>44991</v>
      </c>
      <c r="C193" s="1" t="n">
        <v>45999</v>
      </c>
      <c r="D193" t="inlineStr">
        <is>
          <t>UPPSALA LÄN</t>
        </is>
      </c>
      <c r="E193" t="inlineStr">
        <is>
          <t>ÖSTHAMMAR</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19040-2023</t>
        </is>
      </c>
      <c r="B194" s="1" t="n">
        <v>45047</v>
      </c>
      <c r="C194" s="1" t="n">
        <v>45999</v>
      </c>
      <c r="D194" t="inlineStr">
        <is>
          <t>UPPSALA LÄN</t>
        </is>
      </c>
      <c r="E194" t="inlineStr">
        <is>
          <t>ÖSTHAMMAR</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18838-2023</t>
        </is>
      </c>
      <c r="B195" s="1" t="n">
        <v>45044</v>
      </c>
      <c r="C195" s="1" t="n">
        <v>45999</v>
      </c>
      <c r="D195" t="inlineStr">
        <is>
          <t>UPPSALA LÄN</t>
        </is>
      </c>
      <c r="E195" t="inlineStr">
        <is>
          <t>ÖSTHAMMAR</t>
        </is>
      </c>
      <c r="G195" t="n">
        <v>2.8</v>
      </c>
      <c r="H195" t="n">
        <v>0</v>
      </c>
      <c r="I195" t="n">
        <v>0</v>
      </c>
      <c r="J195" t="n">
        <v>0</v>
      </c>
      <c r="K195" t="n">
        <v>0</v>
      </c>
      <c r="L195" t="n">
        <v>0</v>
      </c>
      <c r="M195" t="n">
        <v>0</v>
      </c>
      <c r="N195" t="n">
        <v>0</v>
      </c>
      <c r="O195" t="n">
        <v>0</v>
      </c>
      <c r="P195" t="n">
        <v>0</v>
      </c>
      <c r="Q195" t="n">
        <v>0</v>
      </c>
      <c r="R195" s="2" t="inlineStr"/>
    </row>
    <row r="196" ht="15" customHeight="1">
      <c r="A196" t="inlineStr">
        <is>
          <t>A 13771-2023</t>
        </is>
      </c>
      <c r="B196" s="1" t="n">
        <v>45007</v>
      </c>
      <c r="C196" s="1" t="n">
        <v>45999</v>
      </c>
      <c r="D196" t="inlineStr">
        <is>
          <t>UPPSALA LÄN</t>
        </is>
      </c>
      <c r="E196" t="inlineStr">
        <is>
          <t>ÖSTHAMMAR</t>
        </is>
      </c>
      <c r="G196" t="n">
        <v>2.7</v>
      </c>
      <c r="H196" t="n">
        <v>0</v>
      </c>
      <c r="I196" t="n">
        <v>0</v>
      </c>
      <c r="J196" t="n">
        <v>0</v>
      </c>
      <c r="K196" t="n">
        <v>0</v>
      </c>
      <c r="L196" t="n">
        <v>0</v>
      </c>
      <c r="M196" t="n">
        <v>0</v>
      </c>
      <c r="N196" t="n">
        <v>0</v>
      </c>
      <c r="O196" t="n">
        <v>0</v>
      </c>
      <c r="P196" t="n">
        <v>0</v>
      </c>
      <c r="Q196" t="n">
        <v>0</v>
      </c>
      <c r="R196" s="2" t="inlineStr"/>
    </row>
    <row r="197" ht="15" customHeight="1">
      <c r="A197" t="inlineStr">
        <is>
          <t>A 17022-2021</t>
        </is>
      </c>
      <c r="B197" s="1" t="n">
        <v>44295.65875</v>
      </c>
      <c r="C197" s="1" t="n">
        <v>45999</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1436-2025</t>
        </is>
      </c>
      <c r="B198" s="1" t="n">
        <v>45669.67625</v>
      </c>
      <c r="C198" s="1" t="n">
        <v>45999</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38702-2022</t>
        </is>
      </c>
      <c r="B199" s="1" t="n">
        <v>44814.5991087963</v>
      </c>
      <c r="C199" s="1" t="n">
        <v>45999</v>
      </c>
      <c r="D199" t="inlineStr">
        <is>
          <t>UPPSALA LÄN</t>
        </is>
      </c>
      <c r="E199" t="inlineStr">
        <is>
          <t>ÖSTHAMMAR</t>
        </is>
      </c>
      <c r="G199" t="n">
        <v>1.2</v>
      </c>
      <c r="H199" t="n">
        <v>0</v>
      </c>
      <c r="I199" t="n">
        <v>0</v>
      </c>
      <c r="J199" t="n">
        <v>0</v>
      </c>
      <c r="K199" t="n">
        <v>0</v>
      </c>
      <c r="L199" t="n">
        <v>0</v>
      </c>
      <c r="M199" t="n">
        <v>0</v>
      </c>
      <c r="N199" t="n">
        <v>0</v>
      </c>
      <c r="O199" t="n">
        <v>0</v>
      </c>
      <c r="P199" t="n">
        <v>0</v>
      </c>
      <c r="Q199" t="n">
        <v>0</v>
      </c>
      <c r="R199" s="2" t="inlineStr"/>
    </row>
    <row r="200" ht="15" customHeight="1">
      <c r="A200" t="inlineStr">
        <is>
          <t>A 33062-2021</t>
        </is>
      </c>
      <c r="B200" s="1" t="n">
        <v>44376</v>
      </c>
      <c r="C200" s="1" t="n">
        <v>45999</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58324-2023</t>
        </is>
      </c>
      <c r="B201" s="1" t="n">
        <v>45250.58635416667</v>
      </c>
      <c r="C201" s="1" t="n">
        <v>45999</v>
      </c>
      <c r="D201" t="inlineStr">
        <is>
          <t>UPPSALA LÄN</t>
        </is>
      </c>
      <c r="E201" t="inlineStr">
        <is>
          <t>ÖSTHAMMAR</t>
        </is>
      </c>
      <c r="G201" t="n">
        <v>5.1</v>
      </c>
      <c r="H201" t="n">
        <v>0</v>
      </c>
      <c r="I201" t="n">
        <v>0</v>
      </c>
      <c r="J201" t="n">
        <v>0</v>
      </c>
      <c r="K201" t="n">
        <v>0</v>
      </c>
      <c r="L201" t="n">
        <v>0</v>
      </c>
      <c r="M201" t="n">
        <v>0</v>
      </c>
      <c r="N201" t="n">
        <v>0</v>
      </c>
      <c r="O201" t="n">
        <v>0</v>
      </c>
      <c r="P201" t="n">
        <v>0</v>
      </c>
      <c r="Q201" t="n">
        <v>0</v>
      </c>
      <c r="R201" s="2" t="inlineStr"/>
    </row>
    <row r="202" ht="15" customHeight="1">
      <c r="A202" t="inlineStr">
        <is>
          <t>A 69411-2021</t>
        </is>
      </c>
      <c r="B202" s="1" t="n">
        <v>44531.61038194445</v>
      </c>
      <c r="C202" s="1" t="n">
        <v>45999</v>
      </c>
      <c r="D202" t="inlineStr">
        <is>
          <t>UPPSALA LÄN</t>
        </is>
      </c>
      <c r="E202" t="inlineStr">
        <is>
          <t>ÖSTHAMMAR</t>
        </is>
      </c>
      <c r="F202" t="inlineStr">
        <is>
          <t>Bergvik skog öst AB</t>
        </is>
      </c>
      <c r="G202" t="n">
        <v>1.1</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45999</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20326-2021</t>
        </is>
      </c>
      <c r="B204" s="1" t="n">
        <v>44308</v>
      </c>
      <c r="C204" s="1" t="n">
        <v>45999</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28421-2023</t>
        </is>
      </c>
      <c r="B205" s="1" t="n">
        <v>45102</v>
      </c>
      <c r="C205" s="1" t="n">
        <v>45999</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17867-2024</t>
        </is>
      </c>
      <c r="B206" s="1" t="n">
        <v>45419.44106481481</v>
      </c>
      <c r="C206" s="1" t="n">
        <v>45999</v>
      </c>
      <c r="D206" t="inlineStr">
        <is>
          <t>UPPSALA LÄN</t>
        </is>
      </c>
      <c r="E206" t="inlineStr">
        <is>
          <t>ÖSTHAMMAR</t>
        </is>
      </c>
      <c r="G206" t="n">
        <v>7.2</v>
      </c>
      <c r="H206" t="n">
        <v>0</v>
      </c>
      <c r="I206" t="n">
        <v>0</v>
      </c>
      <c r="J206" t="n">
        <v>0</v>
      </c>
      <c r="K206" t="n">
        <v>0</v>
      </c>
      <c r="L206" t="n">
        <v>0</v>
      </c>
      <c r="M206" t="n">
        <v>0</v>
      </c>
      <c r="N206" t="n">
        <v>0</v>
      </c>
      <c r="O206" t="n">
        <v>0</v>
      </c>
      <c r="P206" t="n">
        <v>0</v>
      </c>
      <c r="Q206" t="n">
        <v>0</v>
      </c>
      <c r="R206" s="2" t="inlineStr"/>
    </row>
    <row r="207" ht="15" customHeight="1">
      <c r="A207" t="inlineStr">
        <is>
          <t>A 49831-2023</t>
        </is>
      </c>
      <c r="B207" s="1" t="n">
        <v>45212.71241898148</v>
      </c>
      <c r="C207" s="1" t="n">
        <v>45999</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49899-2023</t>
        </is>
      </c>
      <c r="B208" s="1" t="n">
        <v>45213</v>
      </c>
      <c r="C208" s="1" t="n">
        <v>45999</v>
      </c>
      <c r="D208" t="inlineStr">
        <is>
          <t>UPPSALA LÄN</t>
        </is>
      </c>
      <c r="E208" t="inlineStr">
        <is>
          <t>ÖSTHAMMAR</t>
        </is>
      </c>
      <c r="G208" t="n">
        <v>6.2</v>
      </c>
      <c r="H208" t="n">
        <v>0</v>
      </c>
      <c r="I208" t="n">
        <v>0</v>
      </c>
      <c r="J208" t="n">
        <v>0</v>
      </c>
      <c r="K208" t="n">
        <v>0</v>
      </c>
      <c r="L208" t="n">
        <v>0</v>
      </c>
      <c r="M208" t="n">
        <v>0</v>
      </c>
      <c r="N208" t="n">
        <v>0</v>
      </c>
      <c r="O208" t="n">
        <v>0</v>
      </c>
      <c r="P208" t="n">
        <v>0</v>
      </c>
      <c r="Q208" t="n">
        <v>0</v>
      </c>
      <c r="R208" s="2" t="inlineStr"/>
    </row>
    <row r="209" ht="15" customHeight="1">
      <c r="A209" t="inlineStr">
        <is>
          <t>A 64811-2021</t>
        </is>
      </c>
      <c r="B209" s="1" t="n">
        <v>44512</v>
      </c>
      <c r="C209" s="1" t="n">
        <v>45999</v>
      </c>
      <c r="D209" t="inlineStr">
        <is>
          <t>UPPSALA LÄN</t>
        </is>
      </c>
      <c r="E209" t="inlineStr">
        <is>
          <t>ÖSTHAMMAR</t>
        </is>
      </c>
      <c r="G209" t="n">
        <v>4.2</v>
      </c>
      <c r="H209" t="n">
        <v>0</v>
      </c>
      <c r="I209" t="n">
        <v>0</v>
      </c>
      <c r="J209" t="n">
        <v>0</v>
      </c>
      <c r="K209" t="n">
        <v>0</v>
      </c>
      <c r="L209" t="n">
        <v>0</v>
      </c>
      <c r="M209" t="n">
        <v>0</v>
      </c>
      <c r="N209" t="n">
        <v>0</v>
      </c>
      <c r="O209" t="n">
        <v>0</v>
      </c>
      <c r="P209" t="n">
        <v>0</v>
      </c>
      <c r="Q209" t="n">
        <v>0</v>
      </c>
      <c r="R209" s="2" t="inlineStr"/>
    </row>
    <row r="210" ht="15" customHeight="1">
      <c r="A210" t="inlineStr">
        <is>
          <t>A 17939-2025</t>
        </is>
      </c>
      <c r="B210" s="1" t="n">
        <v>45760.55671296296</v>
      </c>
      <c r="C210" s="1" t="n">
        <v>45999</v>
      </c>
      <c r="D210" t="inlineStr">
        <is>
          <t>UPPSALA LÄN</t>
        </is>
      </c>
      <c r="E210" t="inlineStr">
        <is>
          <t>ÖSTHAMMAR</t>
        </is>
      </c>
      <c r="F210" t="inlineStr">
        <is>
          <t>Bergvik skog öst AB</t>
        </is>
      </c>
      <c r="G210" t="n">
        <v>5.4</v>
      </c>
      <c r="H210" t="n">
        <v>0</v>
      </c>
      <c r="I210" t="n">
        <v>0</v>
      </c>
      <c r="J210" t="n">
        <v>0</v>
      </c>
      <c r="K210" t="n">
        <v>0</v>
      </c>
      <c r="L210" t="n">
        <v>0</v>
      </c>
      <c r="M210" t="n">
        <v>0</v>
      </c>
      <c r="N210" t="n">
        <v>0</v>
      </c>
      <c r="O210" t="n">
        <v>0</v>
      </c>
      <c r="P210" t="n">
        <v>0</v>
      </c>
      <c r="Q210" t="n">
        <v>0</v>
      </c>
      <c r="R210" s="2" t="inlineStr"/>
    </row>
    <row r="211" ht="15" customHeight="1">
      <c r="A211" t="inlineStr">
        <is>
          <t>A 17940-2025</t>
        </is>
      </c>
      <c r="B211" s="1" t="n">
        <v>45760.55842592593</v>
      </c>
      <c r="C211" s="1" t="n">
        <v>45999</v>
      </c>
      <c r="D211" t="inlineStr">
        <is>
          <t>UPPSALA LÄN</t>
        </is>
      </c>
      <c r="E211" t="inlineStr">
        <is>
          <t>ÖSTHAMMAR</t>
        </is>
      </c>
      <c r="F211" t="inlineStr">
        <is>
          <t>Bergvik skog öst AB</t>
        </is>
      </c>
      <c r="G211" t="n">
        <v>5.6</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45999</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5855-2022</t>
        </is>
      </c>
      <c r="B213" s="1" t="n">
        <v>44596.63290509259</v>
      </c>
      <c r="C213" s="1" t="n">
        <v>45999</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54366-2023</t>
        </is>
      </c>
      <c r="B214" s="1" t="n">
        <v>45233</v>
      </c>
      <c r="C214" s="1" t="n">
        <v>45999</v>
      </c>
      <c r="D214" t="inlineStr">
        <is>
          <t>UPPSALA LÄN</t>
        </is>
      </c>
      <c r="E214" t="inlineStr">
        <is>
          <t>ÖSTHAMMAR</t>
        </is>
      </c>
      <c r="F214" t="inlineStr">
        <is>
          <t>Bergvik skog öst AB</t>
        </is>
      </c>
      <c r="G214" t="n">
        <v>2.9</v>
      </c>
      <c r="H214" t="n">
        <v>0</v>
      </c>
      <c r="I214" t="n">
        <v>0</v>
      </c>
      <c r="J214" t="n">
        <v>0</v>
      </c>
      <c r="K214" t="n">
        <v>0</v>
      </c>
      <c r="L214" t="n">
        <v>0</v>
      </c>
      <c r="M214" t="n">
        <v>0</v>
      </c>
      <c r="N214" t="n">
        <v>0</v>
      </c>
      <c r="O214" t="n">
        <v>0</v>
      </c>
      <c r="P214" t="n">
        <v>0</v>
      </c>
      <c r="Q214" t="n">
        <v>0</v>
      </c>
      <c r="R214" s="2" t="inlineStr"/>
    </row>
    <row r="215" ht="15" customHeight="1">
      <c r="A215" t="inlineStr">
        <is>
          <t>A 57-2023</t>
        </is>
      </c>
      <c r="B215" s="1" t="n">
        <v>44928.40917824074</v>
      </c>
      <c r="C215" s="1" t="n">
        <v>45999</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59-2023</t>
        </is>
      </c>
      <c r="B216" s="1" t="n">
        <v>44928.41822916667</v>
      </c>
      <c r="C216" s="1" t="n">
        <v>45999</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19947-2024</t>
        </is>
      </c>
      <c r="B217" s="1" t="n">
        <v>45433</v>
      </c>
      <c r="C217" s="1" t="n">
        <v>45999</v>
      </c>
      <c r="D217" t="inlineStr">
        <is>
          <t>UPPSALA LÄN</t>
        </is>
      </c>
      <c r="E217" t="inlineStr">
        <is>
          <t>ÖSTHAMMAR</t>
        </is>
      </c>
      <c r="G217" t="n">
        <v>0.3</v>
      </c>
      <c r="H217" t="n">
        <v>0</v>
      </c>
      <c r="I217" t="n">
        <v>0</v>
      </c>
      <c r="J217" t="n">
        <v>0</v>
      </c>
      <c r="K217" t="n">
        <v>0</v>
      </c>
      <c r="L217" t="n">
        <v>0</v>
      </c>
      <c r="M217" t="n">
        <v>0</v>
      </c>
      <c r="N217" t="n">
        <v>0</v>
      </c>
      <c r="O217" t="n">
        <v>0</v>
      </c>
      <c r="P217" t="n">
        <v>0</v>
      </c>
      <c r="Q217" t="n">
        <v>0</v>
      </c>
      <c r="R217" s="2" t="inlineStr"/>
    </row>
    <row r="218" ht="15" customHeight="1">
      <c r="A218" t="inlineStr">
        <is>
          <t>A 11385-2024</t>
        </is>
      </c>
      <c r="B218" s="1" t="n">
        <v>45372</v>
      </c>
      <c r="C218" s="1" t="n">
        <v>45999</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14433-2024</t>
        </is>
      </c>
      <c r="B219" s="1" t="n">
        <v>45394.46115740741</v>
      </c>
      <c r="C219" s="1" t="n">
        <v>45999</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17643-2025</t>
        </is>
      </c>
      <c r="B220" s="1" t="n">
        <v>45758.32454861111</v>
      </c>
      <c r="C220" s="1" t="n">
        <v>45999</v>
      </c>
      <c r="D220" t="inlineStr">
        <is>
          <t>UPPSALA LÄN</t>
        </is>
      </c>
      <c r="E220" t="inlineStr">
        <is>
          <t>ÖSTHAMMAR</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13248-2025</t>
        </is>
      </c>
      <c r="B221" s="1" t="n">
        <v>45735</v>
      </c>
      <c r="C221" s="1" t="n">
        <v>45999</v>
      </c>
      <c r="D221" t="inlineStr">
        <is>
          <t>UPPSALA LÄN</t>
        </is>
      </c>
      <c r="E221" t="inlineStr">
        <is>
          <t>ÖSTHAMMAR</t>
        </is>
      </c>
      <c r="F221" t="inlineStr">
        <is>
          <t>Kyrkan</t>
        </is>
      </c>
      <c r="G221" t="n">
        <v>12.2</v>
      </c>
      <c r="H221" t="n">
        <v>0</v>
      </c>
      <c r="I221" t="n">
        <v>0</v>
      </c>
      <c r="J221" t="n">
        <v>0</v>
      </c>
      <c r="K221" t="n">
        <v>0</v>
      </c>
      <c r="L221" t="n">
        <v>0</v>
      </c>
      <c r="M221" t="n">
        <v>0</v>
      </c>
      <c r="N221" t="n">
        <v>0</v>
      </c>
      <c r="O221" t="n">
        <v>0</v>
      </c>
      <c r="P221" t="n">
        <v>0</v>
      </c>
      <c r="Q221" t="n">
        <v>0</v>
      </c>
      <c r="R221" s="2" t="inlineStr"/>
    </row>
    <row r="222" ht="15" customHeight="1">
      <c r="A222" t="inlineStr">
        <is>
          <t>A 8830-2023</t>
        </is>
      </c>
      <c r="B222" s="1" t="n">
        <v>44978</v>
      </c>
      <c r="C222" s="1" t="n">
        <v>45999</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25252-2024</t>
        </is>
      </c>
      <c r="B223" s="1" t="n">
        <v>45462</v>
      </c>
      <c r="C223" s="1" t="n">
        <v>45999</v>
      </c>
      <c r="D223" t="inlineStr">
        <is>
          <t>UPPSALA LÄN</t>
        </is>
      </c>
      <c r="E223" t="inlineStr">
        <is>
          <t>ÖSTHAMMAR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56382-2022</t>
        </is>
      </c>
      <c r="B224" s="1" t="n">
        <v>44890.75795138889</v>
      </c>
      <c r="C224" s="1" t="n">
        <v>45999</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51364-2021</t>
        </is>
      </c>
      <c r="B225" s="1" t="n">
        <v>44461</v>
      </c>
      <c r="C225" s="1" t="n">
        <v>45999</v>
      </c>
      <c r="D225" t="inlineStr">
        <is>
          <t>UPPSALA LÄN</t>
        </is>
      </c>
      <c r="E225" t="inlineStr">
        <is>
          <t>ÖSTHAMMAR</t>
        </is>
      </c>
      <c r="G225" t="n">
        <v>2.4</v>
      </c>
      <c r="H225" t="n">
        <v>0</v>
      </c>
      <c r="I225" t="n">
        <v>0</v>
      </c>
      <c r="J225" t="n">
        <v>0</v>
      </c>
      <c r="K225" t="n">
        <v>0</v>
      </c>
      <c r="L225" t="n">
        <v>0</v>
      </c>
      <c r="M225" t="n">
        <v>0</v>
      </c>
      <c r="N225" t="n">
        <v>0</v>
      </c>
      <c r="O225" t="n">
        <v>0</v>
      </c>
      <c r="P225" t="n">
        <v>0</v>
      </c>
      <c r="Q225" t="n">
        <v>0</v>
      </c>
      <c r="R225" s="2" t="inlineStr"/>
    </row>
    <row r="226" ht="15" customHeight="1">
      <c r="A226" t="inlineStr">
        <is>
          <t>A 5877-2023</t>
        </is>
      </c>
      <c r="B226" s="1" t="n">
        <v>44963.62001157407</v>
      </c>
      <c r="C226" s="1" t="n">
        <v>45999</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25938-2024</t>
        </is>
      </c>
      <c r="B227" s="1" t="n">
        <v>45467.63127314814</v>
      </c>
      <c r="C227" s="1" t="n">
        <v>45999</v>
      </c>
      <c r="D227" t="inlineStr">
        <is>
          <t>UPPSALA LÄN</t>
        </is>
      </c>
      <c r="E227" t="inlineStr">
        <is>
          <t>ÖSTHAMMAR</t>
        </is>
      </c>
      <c r="F227" t="inlineStr">
        <is>
          <t>Bergvik skog öst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33552-2024</t>
        </is>
      </c>
      <c r="B228" s="1" t="n">
        <v>45519</v>
      </c>
      <c r="C228" s="1" t="n">
        <v>45999</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33553-2024</t>
        </is>
      </c>
      <c r="B229" s="1" t="n">
        <v>45519</v>
      </c>
      <c r="C229" s="1" t="n">
        <v>45999</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61062-2023</t>
        </is>
      </c>
      <c r="B230" s="1" t="n">
        <v>45259</v>
      </c>
      <c r="C230" s="1" t="n">
        <v>45999</v>
      </c>
      <c r="D230" t="inlineStr">
        <is>
          <t>UPPSALA LÄN</t>
        </is>
      </c>
      <c r="E230" t="inlineStr">
        <is>
          <t>ÖSTHAMMAR</t>
        </is>
      </c>
      <c r="G230" t="n">
        <v>5.3</v>
      </c>
      <c r="H230" t="n">
        <v>0</v>
      </c>
      <c r="I230" t="n">
        <v>0</v>
      </c>
      <c r="J230" t="n">
        <v>0</v>
      </c>
      <c r="K230" t="n">
        <v>0</v>
      </c>
      <c r="L230" t="n">
        <v>0</v>
      </c>
      <c r="M230" t="n">
        <v>0</v>
      </c>
      <c r="N230" t="n">
        <v>0</v>
      </c>
      <c r="O230" t="n">
        <v>0</v>
      </c>
      <c r="P230" t="n">
        <v>0</v>
      </c>
      <c r="Q230" t="n">
        <v>0</v>
      </c>
      <c r="R230" s="2" t="inlineStr"/>
    </row>
    <row r="231" ht="15" customHeight="1">
      <c r="A231" t="inlineStr">
        <is>
          <t>A 5429-2023</t>
        </is>
      </c>
      <c r="B231" s="1" t="n">
        <v>44959.83037037037</v>
      </c>
      <c r="C231" s="1" t="n">
        <v>45999</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61443-2024</t>
        </is>
      </c>
      <c r="B232" s="1" t="n">
        <v>45646.47936342593</v>
      </c>
      <c r="C232" s="1" t="n">
        <v>45999</v>
      </c>
      <c r="D232" t="inlineStr">
        <is>
          <t>UPPSALA LÄN</t>
        </is>
      </c>
      <c r="E232" t="inlineStr">
        <is>
          <t>ÖSTHAMMAR</t>
        </is>
      </c>
      <c r="G232" t="n">
        <v>0.4</v>
      </c>
      <c r="H232" t="n">
        <v>0</v>
      </c>
      <c r="I232" t="n">
        <v>0</v>
      </c>
      <c r="J232" t="n">
        <v>0</v>
      </c>
      <c r="K232" t="n">
        <v>0</v>
      </c>
      <c r="L232" t="n">
        <v>0</v>
      </c>
      <c r="M232" t="n">
        <v>0</v>
      </c>
      <c r="N232" t="n">
        <v>0</v>
      </c>
      <c r="O232" t="n">
        <v>0</v>
      </c>
      <c r="P232" t="n">
        <v>0</v>
      </c>
      <c r="Q232" t="n">
        <v>0</v>
      </c>
      <c r="R232" s="2" t="inlineStr"/>
    </row>
    <row r="233" ht="15" customHeight="1">
      <c r="A233" t="inlineStr">
        <is>
          <t>A 59731-2023</t>
        </is>
      </c>
      <c r="B233" s="1" t="n">
        <v>45257</v>
      </c>
      <c r="C233" s="1" t="n">
        <v>45999</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34607-2023</t>
        </is>
      </c>
      <c r="B234" s="1" t="n">
        <v>45138</v>
      </c>
      <c r="C234" s="1" t="n">
        <v>45999</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54666-2022</t>
        </is>
      </c>
      <c r="B235" s="1" t="n">
        <v>44883</v>
      </c>
      <c r="C235" s="1" t="n">
        <v>45999</v>
      </c>
      <c r="D235" t="inlineStr">
        <is>
          <t>UPPSALA LÄN</t>
        </is>
      </c>
      <c r="E235" t="inlineStr">
        <is>
          <t>ÖSTHAMMAR</t>
        </is>
      </c>
      <c r="G235" t="n">
        <v>14.3</v>
      </c>
      <c r="H235" t="n">
        <v>0</v>
      </c>
      <c r="I235" t="n">
        <v>0</v>
      </c>
      <c r="J235" t="n">
        <v>0</v>
      </c>
      <c r="K235" t="n">
        <v>0</v>
      </c>
      <c r="L235" t="n">
        <v>0</v>
      </c>
      <c r="M235" t="n">
        <v>0</v>
      </c>
      <c r="N235" t="n">
        <v>0</v>
      </c>
      <c r="O235" t="n">
        <v>0</v>
      </c>
      <c r="P235" t="n">
        <v>0</v>
      </c>
      <c r="Q235" t="n">
        <v>0</v>
      </c>
      <c r="R235" s="2" t="inlineStr"/>
    </row>
    <row r="236" ht="15" customHeight="1">
      <c r="A236" t="inlineStr">
        <is>
          <t>A 52659-2021</t>
        </is>
      </c>
      <c r="B236" s="1" t="n">
        <v>44466</v>
      </c>
      <c r="C236" s="1" t="n">
        <v>45999</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26612-2023</t>
        </is>
      </c>
      <c r="B237" s="1" t="n">
        <v>45089</v>
      </c>
      <c r="C237" s="1" t="n">
        <v>45999</v>
      </c>
      <c r="D237" t="inlineStr">
        <is>
          <t>UPPSALA LÄN</t>
        </is>
      </c>
      <c r="E237" t="inlineStr">
        <is>
          <t>ÖSTHAMMAR</t>
        </is>
      </c>
      <c r="G237" t="n">
        <v>2.1</v>
      </c>
      <c r="H237" t="n">
        <v>0</v>
      </c>
      <c r="I237" t="n">
        <v>0</v>
      </c>
      <c r="J237" t="n">
        <v>0</v>
      </c>
      <c r="K237" t="n">
        <v>0</v>
      </c>
      <c r="L237" t="n">
        <v>0</v>
      </c>
      <c r="M237" t="n">
        <v>0</v>
      </c>
      <c r="N237" t="n">
        <v>0</v>
      </c>
      <c r="O237" t="n">
        <v>0</v>
      </c>
      <c r="P237" t="n">
        <v>0</v>
      </c>
      <c r="Q237" t="n">
        <v>0</v>
      </c>
      <c r="R237" s="2" t="inlineStr"/>
    </row>
    <row r="238" ht="15" customHeight="1">
      <c r="A238" t="inlineStr">
        <is>
          <t>A 56969-2022</t>
        </is>
      </c>
      <c r="B238" s="1" t="n">
        <v>44894.68043981482</v>
      </c>
      <c r="C238" s="1" t="n">
        <v>45999</v>
      </c>
      <c r="D238" t="inlineStr">
        <is>
          <t>UPPSALA LÄN</t>
        </is>
      </c>
      <c r="E238" t="inlineStr">
        <is>
          <t>ÖSTHAMMAR</t>
        </is>
      </c>
      <c r="G238" t="n">
        <v>5.5</v>
      </c>
      <c r="H238" t="n">
        <v>0</v>
      </c>
      <c r="I238" t="n">
        <v>0</v>
      </c>
      <c r="J238" t="n">
        <v>0</v>
      </c>
      <c r="K238" t="n">
        <v>0</v>
      </c>
      <c r="L238" t="n">
        <v>0</v>
      </c>
      <c r="M238" t="n">
        <v>0</v>
      </c>
      <c r="N238" t="n">
        <v>0</v>
      </c>
      <c r="O238" t="n">
        <v>0</v>
      </c>
      <c r="P238" t="n">
        <v>0</v>
      </c>
      <c r="Q238" t="n">
        <v>0</v>
      </c>
      <c r="R238" s="2" t="inlineStr"/>
    </row>
    <row r="239" ht="15" customHeight="1">
      <c r="A239" t="inlineStr">
        <is>
          <t>A 7876-2023</t>
        </is>
      </c>
      <c r="B239" s="1" t="n">
        <v>44973.57263888889</v>
      </c>
      <c r="C239" s="1" t="n">
        <v>45999</v>
      </c>
      <c r="D239" t="inlineStr">
        <is>
          <t>UPPSALA LÄN</t>
        </is>
      </c>
      <c r="E239" t="inlineStr">
        <is>
          <t>ÖSTHAMMAR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65361-2020</t>
        </is>
      </c>
      <c r="B240" s="1" t="n">
        <v>44173</v>
      </c>
      <c r="C240" s="1" t="n">
        <v>45999</v>
      </c>
      <c r="D240" t="inlineStr">
        <is>
          <t>UPPSALA LÄN</t>
        </is>
      </c>
      <c r="E240" t="inlineStr">
        <is>
          <t>ÖSTHAMMAR</t>
        </is>
      </c>
      <c r="G240" t="n">
        <v>3.6</v>
      </c>
      <c r="H240" t="n">
        <v>0</v>
      </c>
      <c r="I240" t="n">
        <v>0</v>
      </c>
      <c r="J240" t="n">
        <v>0</v>
      </c>
      <c r="K240" t="n">
        <v>0</v>
      </c>
      <c r="L240" t="n">
        <v>0</v>
      </c>
      <c r="M240" t="n">
        <v>0</v>
      </c>
      <c r="N240" t="n">
        <v>0</v>
      </c>
      <c r="O240" t="n">
        <v>0</v>
      </c>
      <c r="P240" t="n">
        <v>0</v>
      </c>
      <c r="Q240" t="n">
        <v>0</v>
      </c>
      <c r="R240" s="2" t="inlineStr"/>
    </row>
    <row r="241" ht="15" customHeight="1">
      <c r="A241" t="inlineStr">
        <is>
          <t>A 14269-2025</t>
        </is>
      </c>
      <c r="B241" s="1" t="n">
        <v>45740.64078703704</v>
      </c>
      <c r="C241" s="1" t="n">
        <v>45999</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18088-2025</t>
        </is>
      </c>
      <c r="B242" s="1" t="n">
        <v>45761.53104166667</v>
      </c>
      <c r="C242" s="1" t="n">
        <v>45999</v>
      </c>
      <c r="D242" t="inlineStr">
        <is>
          <t>UPPSALA LÄN</t>
        </is>
      </c>
      <c r="E242" t="inlineStr">
        <is>
          <t>ÖSTHAMMAR</t>
        </is>
      </c>
      <c r="F242" t="inlineStr">
        <is>
          <t>Bergvik skog öst AB</t>
        </is>
      </c>
      <c r="G242" t="n">
        <v>1.9</v>
      </c>
      <c r="H242" t="n">
        <v>0</v>
      </c>
      <c r="I242" t="n">
        <v>0</v>
      </c>
      <c r="J242" t="n">
        <v>0</v>
      </c>
      <c r="K242" t="n">
        <v>0</v>
      </c>
      <c r="L242" t="n">
        <v>0</v>
      </c>
      <c r="M242" t="n">
        <v>0</v>
      </c>
      <c r="N242" t="n">
        <v>0</v>
      </c>
      <c r="O242" t="n">
        <v>0</v>
      </c>
      <c r="P242" t="n">
        <v>0</v>
      </c>
      <c r="Q242" t="n">
        <v>0</v>
      </c>
      <c r="R242" s="2" t="inlineStr"/>
    </row>
    <row r="243" ht="15" customHeight="1">
      <c r="A243" t="inlineStr">
        <is>
          <t>A 18095-2025</t>
        </is>
      </c>
      <c r="B243" s="1" t="n">
        <v>45761.54925925926</v>
      </c>
      <c r="C243" s="1" t="n">
        <v>45999</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45999</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35539-2023</t>
        </is>
      </c>
      <c r="B245" s="1" t="n">
        <v>45147.37006944444</v>
      </c>
      <c r="C245" s="1" t="n">
        <v>45999</v>
      </c>
      <c r="D245" t="inlineStr">
        <is>
          <t>UPPSALA LÄN</t>
        </is>
      </c>
      <c r="E245" t="inlineStr">
        <is>
          <t>ÖSTHAMMAR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16531-2025</t>
        </is>
      </c>
      <c r="B246" s="1" t="n">
        <v>45751</v>
      </c>
      <c r="C246" s="1" t="n">
        <v>45999</v>
      </c>
      <c r="D246" t="inlineStr">
        <is>
          <t>UPPSALA LÄN</t>
        </is>
      </c>
      <c r="E246" t="inlineStr">
        <is>
          <t>ÖSTHAMMAR</t>
        </is>
      </c>
      <c r="G246" t="n">
        <v>3.3</v>
      </c>
      <c r="H246" t="n">
        <v>0</v>
      </c>
      <c r="I246" t="n">
        <v>0</v>
      </c>
      <c r="J246" t="n">
        <v>0</v>
      </c>
      <c r="K246" t="n">
        <v>0</v>
      </c>
      <c r="L246" t="n">
        <v>0</v>
      </c>
      <c r="M246" t="n">
        <v>0</v>
      </c>
      <c r="N246" t="n">
        <v>0</v>
      </c>
      <c r="O246" t="n">
        <v>0</v>
      </c>
      <c r="P246" t="n">
        <v>0</v>
      </c>
      <c r="Q246" t="n">
        <v>0</v>
      </c>
      <c r="R246" s="2" t="inlineStr"/>
    </row>
    <row r="247" ht="15" customHeight="1">
      <c r="A247" t="inlineStr">
        <is>
          <t>A 38233-2024</t>
        </is>
      </c>
      <c r="B247" s="1" t="n">
        <v>45545</v>
      </c>
      <c r="C247" s="1" t="n">
        <v>45999</v>
      </c>
      <c r="D247" t="inlineStr">
        <is>
          <t>UPPSALA LÄN</t>
        </is>
      </c>
      <c r="E247" t="inlineStr">
        <is>
          <t>ÖSTHAMMAR</t>
        </is>
      </c>
      <c r="G247" t="n">
        <v>3.4</v>
      </c>
      <c r="H247" t="n">
        <v>0</v>
      </c>
      <c r="I247" t="n">
        <v>0</v>
      </c>
      <c r="J247" t="n">
        <v>0</v>
      </c>
      <c r="K247" t="n">
        <v>0</v>
      </c>
      <c r="L247" t="n">
        <v>0</v>
      </c>
      <c r="M247" t="n">
        <v>0</v>
      </c>
      <c r="N247" t="n">
        <v>0</v>
      </c>
      <c r="O247" t="n">
        <v>0</v>
      </c>
      <c r="P247" t="n">
        <v>0</v>
      </c>
      <c r="Q247" t="n">
        <v>0</v>
      </c>
      <c r="R247" s="2" t="inlineStr"/>
    </row>
    <row r="248" ht="15" customHeight="1">
      <c r="A248" t="inlineStr">
        <is>
          <t>A 56260-2022</t>
        </is>
      </c>
      <c r="B248" s="1" t="n">
        <v>44890</v>
      </c>
      <c r="C248" s="1" t="n">
        <v>45999</v>
      </c>
      <c r="D248" t="inlineStr">
        <is>
          <t>UPPSALA LÄN</t>
        </is>
      </c>
      <c r="E248" t="inlineStr">
        <is>
          <t>ÖSTHAMMAR</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6106-2024</t>
        </is>
      </c>
      <c r="B249" s="1" t="n">
        <v>45337.36831018519</v>
      </c>
      <c r="C249" s="1" t="n">
        <v>45999</v>
      </c>
      <c r="D249" t="inlineStr">
        <is>
          <t>UPPSALA LÄN</t>
        </is>
      </c>
      <c r="E249" t="inlineStr">
        <is>
          <t>ÖSTHAMMAR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19214-2021</t>
        </is>
      </c>
      <c r="B250" s="1" t="n">
        <v>44309.28576388889</v>
      </c>
      <c r="C250" s="1" t="n">
        <v>45999</v>
      </c>
      <c r="D250" t="inlineStr">
        <is>
          <t>UPPSALA LÄN</t>
        </is>
      </c>
      <c r="E250" t="inlineStr">
        <is>
          <t>ÖSTHAMMAR</t>
        </is>
      </c>
      <c r="F250" t="inlineStr">
        <is>
          <t>Bergvik skog öst AB</t>
        </is>
      </c>
      <c r="G250" t="n">
        <v>6</v>
      </c>
      <c r="H250" t="n">
        <v>0</v>
      </c>
      <c r="I250" t="n">
        <v>0</v>
      </c>
      <c r="J250" t="n">
        <v>0</v>
      </c>
      <c r="K250" t="n">
        <v>0</v>
      </c>
      <c r="L250" t="n">
        <v>0</v>
      </c>
      <c r="M250" t="n">
        <v>0</v>
      </c>
      <c r="N250" t="n">
        <v>0</v>
      </c>
      <c r="O250" t="n">
        <v>0</v>
      </c>
      <c r="P250" t="n">
        <v>0</v>
      </c>
      <c r="Q250" t="n">
        <v>0</v>
      </c>
      <c r="R250" s="2" t="inlineStr"/>
    </row>
    <row r="251" ht="15" customHeight="1">
      <c r="A251" t="inlineStr">
        <is>
          <t>A 17013-2022</t>
        </is>
      </c>
      <c r="B251" s="1" t="n">
        <v>44676</v>
      </c>
      <c r="C251" s="1" t="n">
        <v>45999</v>
      </c>
      <c r="D251" t="inlineStr">
        <is>
          <t>UPPSALA LÄN</t>
        </is>
      </c>
      <c r="E251" t="inlineStr">
        <is>
          <t>ÖSTHAMMAR</t>
        </is>
      </c>
      <c r="F251" t="inlineStr">
        <is>
          <t>Bergvik skog öst AB</t>
        </is>
      </c>
      <c r="G251" t="n">
        <v>0.2</v>
      </c>
      <c r="H251" t="n">
        <v>0</v>
      </c>
      <c r="I251" t="n">
        <v>0</v>
      </c>
      <c r="J251" t="n">
        <v>0</v>
      </c>
      <c r="K251" t="n">
        <v>0</v>
      </c>
      <c r="L251" t="n">
        <v>0</v>
      </c>
      <c r="M251" t="n">
        <v>0</v>
      </c>
      <c r="N251" t="n">
        <v>0</v>
      </c>
      <c r="O251" t="n">
        <v>0</v>
      </c>
      <c r="P251" t="n">
        <v>0</v>
      </c>
      <c r="Q251" t="n">
        <v>0</v>
      </c>
      <c r="R251" s="2" t="inlineStr"/>
    </row>
    <row r="252" ht="15" customHeight="1">
      <c r="A252" t="inlineStr">
        <is>
          <t>A 25897-2023</t>
        </is>
      </c>
      <c r="B252" s="1" t="n">
        <v>45090.63300925926</v>
      </c>
      <c r="C252" s="1" t="n">
        <v>45999</v>
      </c>
      <c r="D252" t="inlineStr">
        <is>
          <t>UPPSALA LÄN</t>
        </is>
      </c>
      <c r="E252" t="inlineStr">
        <is>
          <t>ÖSTHAMMAR</t>
        </is>
      </c>
      <c r="F252" t="inlineStr">
        <is>
          <t>Bergvik skog öst AB</t>
        </is>
      </c>
      <c r="G252" t="n">
        <v>1.6</v>
      </c>
      <c r="H252" t="n">
        <v>0</v>
      </c>
      <c r="I252" t="n">
        <v>0</v>
      </c>
      <c r="J252" t="n">
        <v>0</v>
      </c>
      <c r="K252" t="n">
        <v>0</v>
      </c>
      <c r="L252" t="n">
        <v>0</v>
      </c>
      <c r="M252" t="n">
        <v>0</v>
      </c>
      <c r="N252" t="n">
        <v>0</v>
      </c>
      <c r="O252" t="n">
        <v>0</v>
      </c>
      <c r="P252" t="n">
        <v>0</v>
      </c>
      <c r="Q252" t="n">
        <v>0</v>
      </c>
      <c r="R252" s="2" t="inlineStr"/>
    </row>
    <row r="253" ht="15" customHeight="1">
      <c r="A253" t="inlineStr">
        <is>
          <t>A 29231-2024</t>
        </is>
      </c>
      <c r="B253" s="1" t="n">
        <v>45482</v>
      </c>
      <c r="C253" s="1" t="n">
        <v>45999</v>
      </c>
      <c r="D253" t="inlineStr">
        <is>
          <t>UPPSALA LÄN</t>
        </is>
      </c>
      <c r="E253" t="inlineStr">
        <is>
          <t>ÖSTHAMMAR</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20046-2023</t>
        </is>
      </c>
      <c r="B254" s="1" t="n">
        <v>45054</v>
      </c>
      <c r="C254" s="1" t="n">
        <v>45999</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41478-2024</t>
        </is>
      </c>
      <c r="B255" s="1" t="n">
        <v>45560.44158564815</v>
      </c>
      <c r="C255" s="1" t="n">
        <v>45999</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30931-2021</t>
        </is>
      </c>
      <c r="B256" s="1" t="n">
        <v>44365</v>
      </c>
      <c r="C256" s="1" t="n">
        <v>45999</v>
      </c>
      <c r="D256" t="inlineStr">
        <is>
          <t>UPPSALA LÄN</t>
        </is>
      </c>
      <c r="E256" t="inlineStr">
        <is>
          <t>ÖSTHAMMAR</t>
        </is>
      </c>
      <c r="F256" t="inlineStr">
        <is>
          <t>Bergvik skog öst AB</t>
        </is>
      </c>
      <c r="G256" t="n">
        <v>2.3</v>
      </c>
      <c r="H256" t="n">
        <v>0</v>
      </c>
      <c r="I256" t="n">
        <v>0</v>
      </c>
      <c r="J256" t="n">
        <v>0</v>
      </c>
      <c r="K256" t="n">
        <v>0</v>
      </c>
      <c r="L256" t="n">
        <v>0</v>
      </c>
      <c r="M256" t="n">
        <v>0</v>
      </c>
      <c r="N256" t="n">
        <v>0</v>
      </c>
      <c r="O256" t="n">
        <v>0</v>
      </c>
      <c r="P256" t="n">
        <v>0</v>
      </c>
      <c r="Q256" t="n">
        <v>0</v>
      </c>
      <c r="R256" s="2" t="inlineStr"/>
    </row>
    <row r="257" ht="15" customHeight="1">
      <c r="A257" t="inlineStr">
        <is>
          <t>A 3638-2022</t>
        </is>
      </c>
      <c r="B257" s="1" t="n">
        <v>44578</v>
      </c>
      <c r="C257" s="1" t="n">
        <v>45999</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45999</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52629-2023</t>
        </is>
      </c>
      <c r="B259" s="1" t="n">
        <v>45225</v>
      </c>
      <c r="C259" s="1" t="n">
        <v>45999</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33550-2024</t>
        </is>
      </c>
      <c r="B260" s="1" t="n">
        <v>45519.81043981481</v>
      </c>
      <c r="C260" s="1" t="n">
        <v>45999</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62295-2022</t>
        </is>
      </c>
      <c r="B261" s="1" t="n">
        <v>44916</v>
      </c>
      <c r="C261" s="1" t="n">
        <v>45999</v>
      </c>
      <c r="D261" t="inlineStr">
        <is>
          <t>UPPSALA LÄN</t>
        </is>
      </c>
      <c r="E261" t="inlineStr">
        <is>
          <t>ÖSTHAMMAR</t>
        </is>
      </c>
      <c r="G261" t="n">
        <v>3.3</v>
      </c>
      <c r="H261" t="n">
        <v>0</v>
      </c>
      <c r="I261" t="n">
        <v>0</v>
      </c>
      <c r="J261" t="n">
        <v>0</v>
      </c>
      <c r="K261" t="n">
        <v>0</v>
      </c>
      <c r="L261" t="n">
        <v>0</v>
      </c>
      <c r="M261" t="n">
        <v>0</v>
      </c>
      <c r="N261" t="n">
        <v>0</v>
      </c>
      <c r="O261" t="n">
        <v>0</v>
      </c>
      <c r="P261" t="n">
        <v>0</v>
      </c>
      <c r="Q261" t="n">
        <v>0</v>
      </c>
      <c r="R261" s="2" t="inlineStr"/>
    </row>
    <row r="262" ht="15" customHeight="1">
      <c r="A262" t="inlineStr">
        <is>
          <t>A 22709-2021</t>
        </is>
      </c>
      <c r="B262" s="1" t="n">
        <v>44327.61518518518</v>
      </c>
      <c r="C262" s="1" t="n">
        <v>45999</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9642-2024</t>
        </is>
      </c>
      <c r="B263" s="1" t="n">
        <v>45362.36296296296</v>
      </c>
      <c r="C263" s="1" t="n">
        <v>45999</v>
      </c>
      <c r="D263" t="inlineStr">
        <is>
          <t>UPPSALA LÄN</t>
        </is>
      </c>
      <c r="E263" t="inlineStr">
        <is>
          <t>ÖSTHAMMAR</t>
        </is>
      </c>
      <c r="G263" t="n">
        <v>3.1</v>
      </c>
      <c r="H263" t="n">
        <v>0</v>
      </c>
      <c r="I263" t="n">
        <v>0</v>
      </c>
      <c r="J263" t="n">
        <v>0</v>
      </c>
      <c r="K263" t="n">
        <v>0</v>
      </c>
      <c r="L263" t="n">
        <v>0</v>
      </c>
      <c r="M263" t="n">
        <v>0</v>
      </c>
      <c r="N263" t="n">
        <v>0</v>
      </c>
      <c r="O263" t="n">
        <v>0</v>
      </c>
      <c r="P263" t="n">
        <v>0</v>
      </c>
      <c r="Q263" t="n">
        <v>0</v>
      </c>
      <c r="R263" s="2" t="inlineStr"/>
    </row>
    <row r="264" ht="15" customHeight="1">
      <c r="A264" t="inlineStr">
        <is>
          <t>A 31549-2022</t>
        </is>
      </c>
      <c r="B264" s="1" t="n">
        <v>44775.400625</v>
      </c>
      <c r="C264" s="1" t="n">
        <v>45999</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47522-2023</t>
        </is>
      </c>
      <c r="B265" s="1" t="n">
        <v>45203</v>
      </c>
      <c r="C265" s="1" t="n">
        <v>45999</v>
      </c>
      <c r="D265" t="inlineStr">
        <is>
          <t>UPPSALA LÄN</t>
        </is>
      </c>
      <c r="E265" t="inlineStr">
        <is>
          <t>ÖSTHAMMAR</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17969-2023</t>
        </is>
      </c>
      <c r="B266" s="1" t="n">
        <v>45040.47081018519</v>
      </c>
      <c r="C266" s="1" t="n">
        <v>45999</v>
      </c>
      <c r="D266" t="inlineStr">
        <is>
          <t>UPPSALA LÄN</t>
        </is>
      </c>
      <c r="E266" t="inlineStr">
        <is>
          <t>ÖSTHAMMAR</t>
        </is>
      </c>
      <c r="G266" t="n">
        <v>5.4</v>
      </c>
      <c r="H266" t="n">
        <v>0</v>
      </c>
      <c r="I266" t="n">
        <v>0</v>
      </c>
      <c r="J266" t="n">
        <v>0</v>
      </c>
      <c r="K266" t="n">
        <v>0</v>
      </c>
      <c r="L266" t="n">
        <v>0</v>
      </c>
      <c r="M266" t="n">
        <v>0</v>
      </c>
      <c r="N266" t="n">
        <v>0</v>
      </c>
      <c r="O266" t="n">
        <v>0</v>
      </c>
      <c r="P266" t="n">
        <v>0</v>
      </c>
      <c r="Q266" t="n">
        <v>0</v>
      </c>
      <c r="R266" s="2" t="inlineStr"/>
    </row>
    <row r="267" ht="15" customHeight="1">
      <c r="A267" t="inlineStr">
        <is>
          <t>A 13738-2023</t>
        </is>
      </c>
      <c r="B267" s="1" t="n">
        <v>45007.37081018519</v>
      </c>
      <c r="C267" s="1" t="n">
        <v>45999</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58878-2022</t>
        </is>
      </c>
      <c r="B268" s="1" t="n">
        <v>44903</v>
      </c>
      <c r="C268" s="1" t="n">
        <v>45999</v>
      </c>
      <c r="D268" t="inlineStr">
        <is>
          <t>UPPSALA LÄN</t>
        </is>
      </c>
      <c r="E268" t="inlineStr">
        <is>
          <t>ÖSTHAMMAR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34971-2022</t>
        </is>
      </c>
      <c r="B269" s="1" t="n">
        <v>44796.66613425926</v>
      </c>
      <c r="C269" s="1" t="n">
        <v>45999</v>
      </c>
      <c r="D269" t="inlineStr">
        <is>
          <t>UPPSALA LÄN</t>
        </is>
      </c>
      <c r="E269" t="inlineStr">
        <is>
          <t>ÖSTHAMMAR</t>
        </is>
      </c>
      <c r="F269" t="inlineStr">
        <is>
          <t>Bergvik skog öst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12528-2024</t>
        </is>
      </c>
      <c r="B270" s="1" t="n">
        <v>45379.61878472222</v>
      </c>
      <c r="C270" s="1" t="n">
        <v>45999</v>
      </c>
      <c r="D270" t="inlineStr">
        <is>
          <t>UPPSALA LÄN</t>
        </is>
      </c>
      <c r="E270" t="inlineStr">
        <is>
          <t>ÖSTHAMMAR</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55646-2021</t>
        </is>
      </c>
      <c r="B271" s="1" t="n">
        <v>44476.3632175926</v>
      </c>
      <c r="C271" s="1" t="n">
        <v>45999</v>
      </c>
      <c r="D271" t="inlineStr">
        <is>
          <t>UPPSALA LÄN</t>
        </is>
      </c>
      <c r="E271" t="inlineStr">
        <is>
          <t>ÖSTHAMMAR</t>
        </is>
      </c>
      <c r="F271" t="inlineStr">
        <is>
          <t>Bergvik skog öst AB</t>
        </is>
      </c>
      <c r="G271" t="n">
        <v>0.2</v>
      </c>
      <c r="H271" t="n">
        <v>0</v>
      </c>
      <c r="I271" t="n">
        <v>0</v>
      </c>
      <c r="J271" t="n">
        <v>0</v>
      </c>
      <c r="K271" t="n">
        <v>0</v>
      </c>
      <c r="L271" t="n">
        <v>0</v>
      </c>
      <c r="M271" t="n">
        <v>0</v>
      </c>
      <c r="N271" t="n">
        <v>0</v>
      </c>
      <c r="O271" t="n">
        <v>0</v>
      </c>
      <c r="P271" t="n">
        <v>0</v>
      </c>
      <c r="Q271" t="n">
        <v>0</v>
      </c>
      <c r="R271" s="2" t="inlineStr"/>
    </row>
    <row r="272" ht="15" customHeight="1">
      <c r="A272" t="inlineStr">
        <is>
          <t>A 4228-2023</t>
        </is>
      </c>
      <c r="B272" s="1" t="n">
        <v>44953.48179398148</v>
      </c>
      <c r="C272" s="1" t="n">
        <v>45999</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16240-2025</t>
        </is>
      </c>
      <c r="B273" s="1" t="n">
        <v>45746</v>
      </c>
      <c r="C273" s="1" t="n">
        <v>45999</v>
      </c>
      <c r="D273" t="inlineStr">
        <is>
          <t>UPPSALA LÄN</t>
        </is>
      </c>
      <c r="E273" t="inlineStr">
        <is>
          <t>ÖSTHAMMAR</t>
        </is>
      </c>
      <c r="G273" t="n">
        <v>1.4</v>
      </c>
      <c r="H273" t="n">
        <v>0</v>
      </c>
      <c r="I273" t="n">
        <v>0</v>
      </c>
      <c r="J273" t="n">
        <v>0</v>
      </c>
      <c r="K273" t="n">
        <v>0</v>
      </c>
      <c r="L273" t="n">
        <v>0</v>
      </c>
      <c r="M273" t="n">
        <v>0</v>
      </c>
      <c r="N273" t="n">
        <v>0</v>
      </c>
      <c r="O273" t="n">
        <v>0</v>
      </c>
      <c r="P273" t="n">
        <v>0</v>
      </c>
      <c r="Q273" t="n">
        <v>0</v>
      </c>
      <c r="R273" s="2" t="inlineStr"/>
    </row>
    <row r="274" ht="15" customHeight="1">
      <c r="A274" t="inlineStr">
        <is>
          <t>A 20038-2023</t>
        </is>
      </c>
      <c r="B274" s="1" t="n">
        <v>45054.65834490741</v>
      </c>
      <c r="C274" s="1" t="n">
        <v>45999</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6121-2024</t>
        </is>
      </c>
      <c r="B275" s="1" t="n">
        <v>45337.4219212963</v>
      </c>
      <c r="C275" s="1" t="n">
        <v>45999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18091-2023</t>
        </is>
      </c>
      <c r="B276" s="1" t="n">
        <v>45040</v>
      </c>
      <c r="C276" s="1" t="n">
        <v>45999</v>
      </c>
      <c r="D276" t="inlineStr">
        <is>
          <t>UPPSALA LÄN</t>
        </is>
      </c>
      <c r="E276" t="inlineStr">
        <is>
          <t>ÖSTHAMMAR</t>
        </is>
      </c>
      <c r="G276" t="n">
        <v>2.4</v>
      </c>
      <c r="H276" t="n">
        <v>0</v>
      </c>
      <c r="I276" t="n">
        <v>0</v>
      </c>
      <c r="J276" t="n">
        <v>0</v>
      </c>
      <c r="K276" t="n">
        <v>0</v>
      </c>
      <c r="L276" t="n">
        <v>0</v>
      </c>
      <c r="M276" t="n">
        <v>0</v>
      </c>
      <c r="N276" t="n">
        <v>0</v>
      </c>
      <c r="O276" t="n">
        <v>0</v>
      </c>
      <c r="P276" t="n">
        <v>0</v>
      </c>
      <c r="Q276" t="n">
        <v>0</v>
      </c>
      <c r="R276" s="2" t="inlineStr"/>
    </row>
    <row r="277" ht="15" customHeight="1">
      <c r="A277" t="inlineStr">
        <is>
          <t>A 8699-2025</t>
        </is>
      </c>
      <c r="B277" s="1" t="n">
        <v>45712.47983796296</v>
      </c>
      <c r="C277" s="1" t="n">
        <v>45999</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15031-2025</t>
        </is>
      </c>
      <c r="B278" s="1" t="n">
        <v>45743.67333333333</v>
      </c>
      <c r="C278" s="1" t="n">
        <v>45999</v>
      </c>
      <c r="D278" t="inlineStr">
        <is>
          <t>UPPSALA LÄN</t>
        </is>
      </c>
      <c r="E278" t="inlineStr">
        <is>
          <t>ÖSTHAMMAR</t>
        </is>
      </c>
      <c r="G278" t="n">
        <v>9.6</v>
      </c>
      <c r="H278" t="n">
        <v>0</v>
      </c>
      <c r="I278" t="n">
        <v>0</v>
      </c>
      <c r="J278" t="n">
        <v>0</v>
      </c>
      <c r="K278" t="n">
        <v>0</v>
      </c>
      <c r="L278" t="n">
        <v>0</v>
      </c>
      <c r="M278" t="n">
        <v>0</v>
      </c>
      <c r="N278" t="n">
        <v>0</v>
      </c>
      <c r="O278" t="n">
        <v>0</v>
      </c>
      <c r="P278" t="n">
        <v>0</v>
      </c>
      <c r="Q278" t="n">
        <v>0</v>
      </c>
      <c r="R278" s="2" t="inlineStr"/>
    </row>
    <row r="279" ht="15" customHeight="1">
      <c r="A279" t="inlineStr">
        <is>
          <t>A 66779-2021</t>
        </is>
      </c>
      <c r="B279" s="1" t="n">
        <v>44522.31700231481</v>
      </c>
      <c r="C279" s="1" t="n">
        <v>45999</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60555-2023</t>
        </is>
      </c>
      <c r="B280" s="1" t="n">
        <v>45259</v>
      </c>
      <c r="C280" s="1" t="n">
        <v>45999</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23197-2023</t>
        </is>
      </c>
      <c r="B281" s="1" t="n">
        <v>45075</v>
      </c>
      <c r="C281" s="1" t="n">
        <v>45999</v>
      </c>
      <c r="D281" t="inlineStr">
        <is>
          <t>UPPSALA LÄN</t>
        </is>
      </c>
      <c r="E281" t="inlineStr">
        <is>
          <t>ÖSTHAMMAR</t>
        </is>
      </c>
      <c r="G281" t="n">
        <v>0.5</v>
      </c>
      <c r="H281" t="n">
        <v>0</v>
      </c>
      <c r="I281" t="n">
        <v>0</v>
      </c>
      <c r="J281" t="n">
        <v>0</v>
      </c>
      <c r="K281" t="n">
        <v>0</v>
      </c>
      <c r="L281" t="n">
        <v>0</v>
      </c>
      <c r="M281" t="n">
        <v>0</v>
      </c>
      <c r="N281" t="n">
        <v>0</v>
      </c>
      <c r="O281" t="n">
        <v>0</v>
      </c>
      <c r="P281" t="n">
        <v>0</v>
      </c>
      <c r="Q281" t="n">
        <v>0</v>
      </c>
      <c r="R281" s="2" t="inlineStr"/>
    </row>
    <row r="282" ht="15" customHeight="1">
      <c r="A282" t="inlineStr">
        <is>
          <t>A 60079-2022</t>
        </is>
      </c>
      <c r="B282" s="1" t="n">
        <v>44909</v>
      </c>
      <c r="C282" s="1" t="n">
        <v>45999</v>
      </c>
      <c r="D282" t="inlineStr">
        <is>
          <t>UPPSALA LÄN</t>
        </is>
      </c>
      <c r="E282" t="inlineStr">
        <is>
          <t>ÖSTHAMMAR</t>
        </is>
      </c>
      <c r="G282" t="n">
        <v>9.6</v>
      </c>
      <c r="H282" t="n">
        <v>0</v>
      </c>
      <c r="I282" t="n">
        <v>0</v>
      </c>
      <c r="J282" t="n">
        <v>0</v>
      </c>
      <c r="K282" t="n">
        <v>0</v>
      </c>
      <c r="L282" t="n">
        <v>0</v>
      </c>
      <c r="M282" t="n">
        <v>0</v>
      </c>
      <c r="N282" t="n">
        <v>0</v>
      </c>
      <c r="O282" t="n">
        <v>0</v>
      </c>
      <c r="P282" t="n">
        <v>0</v>
      </c>
      <c r="Q282" t="n">
        <v>0</v>
      </c>
      <c r="R282" s="2" t="inlineStr"/>
    </row>
    <row r="283" ht="15" customHeight="1">
      <c r="A283" t="inlineStr">
        <is>
          <t>A 60584-2021</t>
        </is>
      </c>
      <c r="B283" s="1" t="n">
        <v>44496</v>
      </c>
      <c r="C283" s="1" t="n">
        <v>45999</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9267-2024</t>
        </is>
      </c>
      <c r="B284" s="1" t="n">
        <v>45358</v>
      </c>
      <c r="C284" s="1" t="n">
        <v>45999</v>
      </c>
      <c r="D284" t="inlineStr">
        <is>
          <t>UPPSALA LÄN</t>
        </is>
      </c>
      <c r="E284" t="inlineStr">
        <is>
          <t>ÖSTHAMMAR</t>
        </is>
      </c>
      <c r="F284" t="inlineStr">
        <is>
          <t>Bergvik skog öst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33758-2024</t>
        </is>
      </c>
      <c r="B285" s="1" t="n">
        <v>45520.56896990741</v>
      </c>
      <c r="C285" s="1" t="n">
        <v>45999</v>
      </c>
      <c r="D285" t="inlineStr">
        <is>
          <t>UPPSALA LÄN</t>
        </is>
      </c>
      <c r="E285" t="inlineStr">
        <is>
          <t>ÖSTHAMMAR</t>
        </is>
      </c>
      <c r="G285" t="n">
        <v>6.5</v>
      </c>
      <c r="H285" t="n">
        <v>0</v>
      </c>
      <c r="I285" t="n">
        <v>0</v>
      </c>
      <c r="J285" t="n">
        <v>0</v>
      </c>
      <c r="K285" t="n">
        <v>0</v>
      </c>
      <c r="L285" t="n">
        <v>0</v>
      </c>
      <c r="M285" t="n">
        <v>0</v>
      </c>
      <c r="N285" t="n">
        <v>0</v>
      </c>
      <c r="O285" t="n">
        <v>0</v>
      </c>
      <c r="P285" t="n">
        <v>0</v>
      </c>
      <c r="Q285" t="n">
        <v>0</v>
      </c>
      <c r="R285" s="2" t="inlineStr"/>
    </row>
    <row r="286" ht="15" customHeight="1">
      <c r="A286" t="inlineStr">
        <is>
          <t>A 17652-2025</t>
        </is>
      </c>
      <c r="B286" s="1" t="n">
        <v>45758.33583333333</v>
      </c>
      <c r="C286" s="1" t="n">
        <v>45999</v>
      </c>
      <c r="D286" t="inlineStr">
        <is>
          <t>UPPSALA LÄN</t>
        </is>
      </c>
      <c r="E286" t="inlineStr">
        <is>
          <t>ÖSTHAMMAR</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35316-2024</t>
        </is>
      </c>
      <c r="B287" s="1" t="n">
        <v>45530.68873842592</v>
      </c>
      <c r="C287" s="1" t="n">
        <v>45999</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48719-2023</t>
        </is>
      </c>
      <c r="B288" s="1" t="n">
        <v>45208.70452546296</v>
      </c>
      <c r="C288" s="1" t="n">
        <v>45999</v>
      </c>
      <c r="D288" t="inlineStr">
        <is>
          <t>UPPSALA LÄN</t>
        </is>
      </c>
      <c r="E288" t="inlineStr">
        <is>
          <t>ÖSTHAMMAR</t>
        </is>
      </c>
      <c r="G288" t="n">
        <v>0.6</v>
      </c>
      <c r="H288" t="n">
        <v>0</v>
      </c>
      <c r="I288" t="n">
        <v>0</v>
      </c>
      <c r="J288" t="n">
        <v>0</v>
      </c>
      <c r="K288" t="n">
        <v>0</v>
      </c>
      <c r="L288" t="n">
        <v>0</v>
      </c>
      <c r="M288" t="n">
        <v>0</v>
      </c>
      <c r="N288" t="n">
        <v>0</v>
      </c>
      <c r="O288" t="n">
        <v>0</v>
      </c>
      <c r="P288" t="n">
        <v>0</v>
      </c>
      <c r="Q288" t="n">
        <v>0</v>
      </c>
      <c r="R288" s="2" t="inlineStr"/>
    </row>
    <row r="289" ht="15" customHeight="1">
      <c r="A289" t="inlineStr">
        <is>
          <t>A 38571-2023</t>
        </is>
      </c>
      <c r="B289" s="1" t="n">
        <v>45162.6177662037</v>
      </c>
      <c r="C289" s="1" t="n">
        <v>45999</v>
      </c>
      <c r="D289" t="inlineStr">
        <is>
          <t>UPPSALA LÄN</t>
        </is>
      </c>
      <c r="E289" t="inlineStr">
        <is>
          <t>ÖSTHAMMAR</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33784-2024</t>
        </is>
      </c>
      <c r="B290" s="1" t="n">
        <v>45520</v>
      </c>
      <c r="C290" s="1" t="n">
        <v>45999</v>
      </c>
      <c r="D290" t="inlineStr">
        <is>
          <t>UPPSALA LÄN</t>
        </is>
      </c>
      <c r="E290" t="inlineStr">
        <is>
          <t>ÖSTHAMMAR</t>
        </is>
      </c>
      <c r="F290" t="inlineStr">
        <is>
          <t>Naturvårdsverket</t>
        </is>
      </c>
      <c r="G290" t="n">
        <v>0.6</v>
      </c>
      <c r="H290" t="n">
        <v>0</v>
      </c>
      <c r="I290" t="n">
        <v>0</v>
      </c>
      <c r="J290" t="n">
        <v>0</v>
      </c>
      <c r="K290" t="n">
        <v>0</v>
      </c>
      <c r="L290" t="n">
        <v>0</v>
      </c>
      <c r="M290" t="n">
        <v>0</v>
      </c>
      <c r="N290" t="n">
        <v>0</v>
      </c>
      <c r="O290" t="n">
        <v>0</v>
      </c>
      <c r="P290" t="n">
        <v>0</v>
      </c>
      <c r="Q290" t="n">
        <v>0</v>
      </c>
      <c r="R290" s="2" t="inlineStr"/>
    </row>
    <row r="291" ht="15" customHeight="1">
      <c r="A291" t="inlineStr">
        <is>
          <t>A 7560-2023</t>
        </is>
      </c>
      <c r="B291" s="1" t="n">
        <v>44972.34811342593</v>
      </c>
      <c r="C291" s="1" t="n">
        <v>45999</v>
      </c>
      <c r="D291" t="inlineStr">
        <is>
          <t>UPPSALA LÄN</t>
        </is>
      </c>
      <c r="E291" t="inlineStr">
        <is>
          <t>ÖSTHAMMAR</t>
        </is>
      </c>
      <c r="F291" t="inlineStr">
        <is>
          <t>Bergvik skog öst AB</t>
        </is>
      </c>
      <c r="G291" t="n">
        <v>1.3</v>
      </c>
      <c r="H291" t="n">
        <v>0</v>
      </c>
      <c r="I291" t="n">
        <v>0</v>
      </c>
      <c r="J291" t="n">
        <v>0</v>
      </c>
      <c r="K291" t="n">
        <v>0</v>
      </c>
      <c r="L291" t="n">
        <v>0</v>
      </c>
      <c r="M291" t="n">
        <v>0</v>
      </c>
      <c r="N291" t="n">
        <v>0</v>
      </c>
      <c r="O291" t="n">
        <v>0</v>
      </c>
      <c r="P291" t="n">
        <v>0</v>
      </c>
      <c r="Q291" t="n">
        <v>0</v>
      </c>
      <c r="R291" s="2" t="inlineStr"/>
    </row>
    <row r="292" ht="15" customHeight="1">
      <c r="A292" t="inlineStr">
        <is>
          <t>A 44184-2024</t>
        </is>
      </c>
      <c r="B292" s="1" t="n">
        <v>45572</v>
      </c>
      <c r="C292" s="1" t="n">
        <v>45999</v>
      </c>
      <c r="D292" t="inlineStr">
        <is>
          <t>UPPSALA LÄN</t>
        </is>
      </c>
      <c r="E292" t="inlineStr">
        <is>
          <t>ÖSTHAMMAR</t>
        </is>
      </c>
      <c r="G292" t="n">
        <v>0.6</v>
      </c>
      <c r="H292" t="n">
        <v>0</v>
      </c>
      <c r="I292" t="n">
        <v>0</v>
      </c>
      <c r="J292" t="n">
        <v>0</v>
      </c>
      <c r="K292" t="n">
        <v>0</v>
      </c>
      <c r="L292" t="n">
        <v>0</v>
      </c>
      <c r="M292" t="n">
        <v>0</v>
      </c>
      <c r="N292" t="n">
        <v>0</v>
      </c>
      <c r="O292" t="n">
        <v>0</v>
      </c>
      <c r="P292" t="n">
        <v>0</v>
      </c>
      <c r="Q292" t="n">
        <v>0</v>
      </c>
      <c r="R292" s="2" t="inlineStr"/>
    </row>
    <row r="293" ht="15" customHeight="1">
      <c r="A293" t="inlineStr">
        <is>
          <t>A 55097-2024</t>
        </is>
      </c>
      <c r="B293" s="1" t="n">
        <v>45621.43855324074</v>
      </c>
      <c r="C293" s="1" t="n">
        <v>45999</v>
      </c>
      <c r="D293" t="inlineStr">
        <is>
          <t>UPPSALA LÄN</t>
        </is>
      </c>
      <c r="E293" t="inlineStr">
        <is>
          <t>ÖSTHAMMAR</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18230-2025</t>
        </is>
      </c>
      <c r="B294" s="1" t="n">
        <v>45761.87114583333</v>
      </c>
      <c r="C294" s="1" t="n">
        <v>45999</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48083-2024</t>
        </is>
      </c>
      <c r="B295" s="1" t="n">
        <v>45589.58766203704</v>
      </c>
      <c r="C295" s="1" t="n">
        <v>45999</v>
      </c>
      <c r="D295" t="inlineStr">
        <is>
          <t>UPPSALA LÄN</t>
        </is>
      </c>
      <c r="E295" t="inlineStr">
        <is>
          <t>ÖSTHAMMAR</t>
        </is>
      </c>
      <c r="G295" t="n">
        <v>3</v>
      </c>
      <c r="H295" t="n">
        <v>0</v>
      </c>
      <c r="I295" t="n">
        <v>0</v>
      </c>
      <c r="J295" t="n">
        <v>0</v>
      </c>
      <c r="K295" t="n">
        <v>0</v>
      </c>
      <c r="L295" t="n">
        <v>0</v>
      </c>
      <c r="M295" t="n">
        <v>0</v>
      </c>
      <c r="N295" t="n">
        <v>0</v>
      </c>
      <c r="O295" t="n">
        <v>0</v>
      </c>
      <c r="P295" t="n">
        <v>0</v>
      </c>
      <c r="Q295" t="n">
        <v>0</v>
      </c>
      <c r="R295" s="2" t="inlineStr"/>
    </row>
    <row r="296" ht="15" customHeight="1">
      <c r="A296" t="inlineStr">
        <is>
          <t>A 37865-2023</t>
        </is>
      </c>
      <c r="B296" s="1" t="n">
        <v>45160</v>
      </c>
      <c r="C296" s="1" t="n">
        <v>45999</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74436-2021</t>
        </is>
      </c>
      <c r="B297" s="1" t="n">
        <v>44560.4502199074</v>
      </c>
      <c r="C297" s="1" t="n">
        <v>45999</v>
      </c>
      <c r="D297" t="inlineStr">
        <is>
          <t>UPPSALA LÄN</t>
        </is>
      </c>
      <c r="E297" t="inlineStr">
        <is>
          <t>ÖSTHAMMAR</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32815-2024</t>
        </is>
      </c>
      <c r="B298" s="1" t="n">
        <v>45516.57682870371</v>
      </c>
      <c r="C298" s="1" t="n">
        <v>45999</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32884-2024</t>
        </is>
      </c>
      <c r="B299" s="1" t="n">
        <v>45516.72097222223</v>
      </c>
      <c r="C299" s="1" t="n">
        <v>45999</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32778-2023</t>
        </is>
      </c>
      <c r="B300" s="1" t="n">
        <v>45123.88789351852</v>
      </c>
      <c r="C300" s="1" t="n">
        <v>45999</v>
      </c>
      <c r="D300" t="inlineStr">
        <is>
          <t>UPPSALA LÄN</t>
        </is>
      </c>
      <c r="E300" t="inlineStr">
        <is>
          <t>ÖSTHAMMAR</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33601-2024</t>
        </is>
      </c>
      <c r="B301" s="1" t="n">
        <v>45520</v>
      </c>
      <c r="C301" s="1" t="n">
        <v>45999</v>
      </c>
      <c r="D301" t="inlineStr">
        <is>
          <t>UPPSALA LÄN</t>
        </is>
      </c>
      <c r="E301" t="inlineStr">
        <is>
          <t>ÖSTHAMMAR</t>
        </is>
      </c>
      <c r="F301" t="inlineStr">
        <is>
          <t>Övriga Aktiebolag</t>
        </is>
      </c>
      <c r="G301" t="n">
        <v>2.5</v>
      </c>
      <c r="H301" t="n">
        <v>0</v>
      </c>
      <c r="I301" t="n">
        <v>0</v>
      </c>
      <c r="J301" t="n">
        <v>0</v>
      </c>
      <c r="K301" t="n">
        <v>0</v>
      </c>
      <c r="L301" t="n">
        <v>0</v>
      </c>
      <c r="M301" t="n">
        <v>0</v>
      </c>
      <c r="N301" t="n">
        <v>0</v>
      </c>
      <c r="O301" t="n">
        <v>0</v>
      </c>
      <c r="P301" t="n">
        <v>0</v>
      </c>
      <c r="Q301" t="n">
        <v>0</v>
      </c>
      <c r="R301" s="2" t="inlineStr"/>
    </row>
    <row r="302" ht="15" customHeight="1">
      <c r="A302" t="inlineStr">
        <is>
          <t>A 33680-2024</t>
        </is>
      </c>
      <c r="B302" s="1" t="n">
        <v>45520.50712962963</v>
      </c>
      <c r="C302" s="1" t="n">
        <v>45999</v>
      </c>
      <c r="D302" t="inlineStr">
        <is>
          <t>UPPSALA LÄN</t>
        </is>
      </c>
      <c r="E302" t="inlineStr">
        <is>
          <t>ÖSTHAMMAR</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19009-2023</t>
        </is>
      </c>
      <c r="B303" s="1" t="n">
        <v>45045</v>
      </c>
      <c r="C303" s="1" t="n">
        <v>45999</v>
      </c>
      <c r="D303" t="inlineStr">
        <is>
          <t>UPPSALA LÄN</t>
        </is>
      </c>
      <c r="E303" t="inlineStr">
        <is>
          <t>ÖSTHAMMAR</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7944-2023</t>
        </is>
      </c>
      <c r="B304" s="1" t="n">
        <v>44973.66458333333</v>
      </c>
      <c r="C304" s="1" t="n">
        <v>45999</v>
      </c>
      <c r="D304" t="inlineStr">
        <is>
          <t>UPPSALA LÄN</t>
        </is>
      </c>
      <c r="E304" t="inlineStr">
        <is>
          <t>ÖSTHAMMAR</t>
        </is>
      </c>
      <c r="G304" t="n">
        <v>4.6</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45999</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8616-2023</t>
        </is>
      </c>
      <c r="B306" s="1" t="n">
        <v>44977</v>
      </c>
      <c r="C306" s="1" t="n">
        <v>45999</v>
      </c>
      <c r="D306" t="inlineStr">
        <is>
          <t>UPPSALA LÄN</t>
        </is>
      </c>
      <c r="E306" t="inlineStr">
        <is>
          <t>ÖSTHAMMAR</t>
        </is>
      </c>
      <c r="F306" t="inlineStr">
        <is>
          <t>Bergvik skog öst AB</t>
        </is>
      </c>
      <c r="G306" t="n">
        <v>0.2</v>
      </c>
      <c r="H306" t="n">
        <v>0</v>
      </c>
      <c r="I306" t="n">
        <v>0</v>
      </c>
      <c r="J306" t="n">
        <v>0</v>
      </c>
      <c r="K306" t="n">
        <v>0</v>
      </c>
      <c r="L306" t="n">
        <v>0</v>
      </c>
      <c r="M306" t="n">
        <v>0</v>
      </c>
      <c r="N306" t="n">
        <v>0</v>
      </c>
      <c r="O306" t="n">
        <v>0</v>
      </c>
      <c r="P306" t="n">
        <v>0</v>
      </c>
      <c r="Q306" t="n">
        <v>0</v>
      </c>
      <c r="R306" s="2" t="inlineStr"/>
    </row>
    <row r="307" ht="15" customHeight="1">
      <c r="A307" t="inlineStr">
        <is>
          <t>A 1567-2025</t>
        </is>
      </c>
      <c r="B307" s="1" t="n">
        <v>45670</v>
      </c>
      <c r="C307" s="1" t="n">
        <v>45999</v>
      </c>
      <c r="D307" t="inlineStr">
        <is>
          <t>UPPSALA LÄN</t>
        </is>
      </c>
      <c r="E307" t="inlineStr">
        <is>
          <t>ÖSTHAMMAR</t>
        </is>
      </c>
      <c r="G307" t="n">
        <v>2.8</v>
      </c>
      <c r="H307" t="n">
        <v>0</v>
      </c>
      <c r="I307" t="n">
        <v>0</v>
      </c>
      <c r="J307" t="n">
        <v>0</v>
      </c>
      <c r="K307" t="n">
        <v>0</v>
      </c>
      <c r="L307" t="n">
        <v>0</v>
      </c>
      <c r="M307" t="n">
        <v>0</v>
      </c>
      <c r="N307" t="n">
        <v>0</v>
      </c>
      <c r="O307" t="n">
        <v>0</v>
      </c>
      <c r="P307" t="n">
        <v>0</v>
      </c>
      <c r="Q307" t="n">
        <v>0</v>
      </c>
      <c r="R307" s="2" t="inlineStr"/>
    </row>
    <row r="308" ht="15" customHeight="1">
      <c r="A308" t="inlineStr">
        <is>
          <t>A 30755-2024</t>
        </is>
      </c>
      <c r="B308" s="1" t="n">
        <v>45496</v>
      </c>
      <c r="C308" s="1" t="n">
        <v>45999</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9052-2023</t>
        </is>
      </c>
      <c r="B309" s="1" t="n">
        <v>44979</v>
      </c>
      <c r="C309" s="1" t="n">
        <v>45999</v>
      </c>
      <c r="D309" t="inlineStr">
        <is>
          <t>UPPSALA LÄN</t>
        </is>
      </c>
      <c r="E309" t="inlineStr">
        <is>
          <t>ÖSTHAMMAR</t>
        </is>
      </c>
      <c r="F309" t="inlineStr">
        <is>
          <t>Kyrkan</t>
        </is>
      </c>
      <c r="G309" t="n">
        <v>0.2</v>
      </c>
      <c r="H309" t="n">
        <v>0</v>
      </c>
      <c r="I309" t="n">
        <v>0</v>
      </c>
      <c r="J309" t="n">
        <v>0</v>
      </c>
      <c r="K309" t="n">
        <v>0</v>
      </c>
      <c r="L309" t="n">
        <v>0</v>
      </c>
      <c r="M309" t="n">
        <v>0</v>
      </c>
      <c r="N309" t="n">
        <v>0</v>
      </c>
      <c r="O309" t="n">
        <v>0</v>
      </c>
      <c r="P309" t="n">
        <v>0</v>
      </c>
      <c r="Q309" t="n">
        <v>0</v>
      </c>
      <c r="R309" s="2" t="inlineStr"/>
    </row>
    <row r="310" ht="15" customHeight="1">
      <c r="A310" t="inlineStr">
        <is>
          <t>A 46785-2023</t>
        </is>
      </c>
      <c r="B310" s="1" t="n">
        <v>45198</v>
      </c>
      <c r="C310" s="1" t="n">
        <v>45999</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33760-2024</t>
        </is>
      </c>
      <c r="B311" s="1" t="n">
        <v>45520</v>
      </c>
      <c r="C311" s="1" t="n">
        <v>45999</v>
      </c>
      <c r="D311" t="inlineStr">
        <is>
          <t>UPPSALA LÄN</t>
        </is>
      </c>
      <c r="E311" t="inlineStr">
        <is>
          <t>ÖSTHAMMAR</t>
        </is>
      </c>
      <c r="F311" t="inlineStr">
        <is>
          <t>Övriga Aktiebolag</t>
        </is>
      </c>
      <c r="G311" t="n">
        <v>0.7</v>
      </c>
      <c r="H311" t="n">
        <v>0</v>
      </c>
      <c r="I311" t="n">
        <v>0</v>
      </c>
      <c r="J311" t="n">
        <v>0</v>
      </c>
      <c r="K311" t="n">
        <v>0</v>
      </c>
      <c r="L311" t="n">
        <v>0</v>
      </c>
      <c r="M311" t="n">
        <v>0</v>
      </c>
      <c r="N311" t="n">
        <v>0</v>
      </c>
      <c r="O311" t="n">
        <v>0</v>
      </c>
      <c r="P311" t="n">
        <v>0</v>
      </c>
      <c r="Q311" t="n">
        <v>0</v>
      </c>
      <c r="R311" s="2" t="inlineStr"/>
    </row>
    <row r="312" ht="15" customHeight="1">
      <c r="A312" t="inlineStr">
        <is>
          <t>A 73965-2021</t>
        </is>
      </c>
      <c r="B312" s="1" t="n">
        <v>44553.80824074074</v>
      </c>
      <c r="C312" s="1" t="n">
        <v>45999</v>
      </c>
      <c r="D312" t="inlineStr">
        <is>
          <t>UPPSALA LÄN</t>
        </is>
      </c>
      <c r="E312" t="inlineStr">
        <is>
          <t>ÖSTHAMMAR</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3725-2022</t>
        </is>
      </c>
      <c r="B313" s="1" t="n">
        <v>44586</v>
      </c>
      <c r="C313" s="1" t="n">
        <v>45999</v>
      </c>
      <c r="D313" t="inlineStr">
        <is>
          <t>UPPSALA LÄN</t>
        </is>
      </c>
      <c r="E313" t="inlineStr">
        <is>
          <t>ÖSTHAMMAR</t>
        </is>
      </c>
      <c r="G313" t="n">
        <v>2</v>
      </c>
      <c r="H313" t="n">
        <v>0</v>
      </c>
      <c r="I313" t="n">
        <v>0</v>
      </c>
      <c r="J313" t="n">
        <v>0</v>
      </c>
      <c r="K313" t="n">
        <v>0</v>
      </c>
      <c r="L313" t="n">
        <v>0</v>
      </c>
      <c r="M313" t="n">
        <v>0</v>
      </c>
      <c r="N313" t="n">
        <v>0</v>
      </c>
      <c r="O313" t="n">
        <v>0</v>
      </c>
      <c r="P313" t="n">
        <v>0</v>
      </c>
      <c r="Q313" t="n">
        <v>0</v>
      </c>
      <c r="R313" s="2" t="inlineStr"/>
    </row>
    <row r="314" ht="15" customHeight="1">
      <c r="A314" t="inlineStr">
        <is>
          <t>A 8006-2023</t>
        </is>
      </c>
      <c r="B314" s="1" t="n">
        <v>44973</v>
      </c>
      <c r="C314" s="1" t="n">
        <v>45999</v>
      </c>
      <c r="D314" t="inlineStr">
        <is>
          <t>UPPSALA LÄN</t>
        </is>
      </c>
      <c r="E314" t="inlineStr">
        <is>
          <t>ÖSTHAMMAR</t>
        </is>
      </c>
      <c r="F314" t="inlineStr">
        <is>
          <t>Bergvik skog öst AB</t>
        </is>
      </c>
      <c r="G314" t="n">
        <v>0.6</v>
      </c>
      <c r="H314" t="n">
        <v>0</v>
      </c>
      <c r="I314" t="n">
        <v>0</v>
      </c>
      <c r="J314" t="n">
        <v>0</v>
      </c>
      <c r="K314" t="n">
        <v>0</v>
      </c>
      <c r="L314" t="n">
        <v>0</v>
      </c>
      <c r="M314" t="n">
        <v>0</v>
      </c>
      <c r="N314" t="n">
        <v>0</v>
      </c>
      <c r="O314" t="n">
        <v>0</v>
      </c>
      <c r="P314" t="n">
        <v>0</v>
      </c>
      <c r="Q314" t="n">
        <v>0</v>
      </c>
      <c r="R314" s="2" t="inlineStr"/>
    </row>
    <row r="315" ht="15" customHeight="1">
      <c r="A315" t="inlineStr">
        <is>
          <t>A 11469-2023</t>
        </is>
      </c>
      <c r="B315" s="1" t="n">
        <v>44993.60099537037</v>
      </c>
      <c r="C315" s="1" t="n">
        <v>45999</v>
      </c>
      <c r="D315" t="inlineStr">
        <is>
          <t>UPPSALA LÄN</t>
        </is>
      </c>
      <c r="E315" t="inlineStr">
        <is>
          <t>ÖSTHAMMAR</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73592-2021</t>
        </is>
      </c>
      <c r="B316" s="1" t="n">
        <v>44552.36974537037</v>
      </c>
      <c r="C316" s="1" t="n">
        <v>45999</v>
      </c>
      <c r="D316" t="inlineStr">
        <is>
          <t>UPPSALA LÄN</t>
        </is>
      </c>
      <c r="E316" t="inlineStr">
        <is>
          <t>ÖSTHAMMAR</t>
        </is>
      </c>
      <c r="G316" t="n">
        <v>1.7</v>
      </c>
      <c r="H316" t="n">
        <v>0</v>
      </c>
      <c r="I316" t="n">
        <v>0</v>
      </c>
      <c r="J316" t="n">
        <v>0</v>
      </c>
      <c r="K316" t="n">
        <v>0</v>
      </c>
      <c r="L316" t="n">
        <v>0</v>
      </c>
      <c r="M316" t="n">
        <v>0</v>
      </c>
      <c r="N316" t="n">
        <v>0</v>
      </c>
      <c r="O316" t="n">
        <v>0</v>
      </c>
      <c r="P316" t="n">
        <v>0</v>
      </c>
      <c r="Q316" t="n">
        <v>0</v>
      </c>
      <c r="R316" s="2" t="inlineStr"/>
    </row>
    <row r="317" ht="15" customHeight="1">
      <c r="A317" t="inlineStr">
        <is>
          <t>A 20324-2021</t>
        </is>
      </c>
      <c r="B317" s="1" t="n">
        <v>44308</v>
      </c>
      <c r="C317" s="1" t="n">
        <v>45999</v>
      </c>
      <c r="D317" t="inlineStr">
        <is>
          <t>UPPSALA LÄN</t>
        </is>
      </c>
      <c r="E317" t="inlineStr">
        <is>
          <t>ÖSTHAMMAR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31479-2023</t>
        </is>
      </c>
      <c r="B318" s="1" t="n">
        <v>45114.79793981482</v>
      </c>
      <c r="C318" s="1" t="n">
        <v>45999</v>
      </c>
      <c r="D318" t="inlineStr">
        <is>
          <t>UPPSALA LÄN</t>
        </is>
      </c>
      <c r="E318" t="inlineStr">
        <is>
          <t>ÖSTHAMMAR</t>
        </is>
      </c>
      <c r="F318" t="inlineStr">
        <is>
          <t>Bergvik skog öst AB</t>
        </is>
      </c>
      <c r="G318" t="n">
        <v>1.9</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44341.590625</v>
      </c>
      <c r="C319" s="1" t="n">
        <v>45999</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45999</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24128-2023</t>
        </is>
      </c>
      <c r="B321" s="1" t="n">
        <v>45079.50289351852</v>
      </c>
      <c r="C321" s="1" t="n">
        <v>45999</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35918-2023</t>
        </is>
      </c>
      <c r="B322" s="1" t="n">
        <v>45148.64976851852</v>
      </c>
      <c r="C322" s="1" t="n">
        <v>45999</v>
      </c>
      <c r="D322" t="inlineStr">
        <is>
          <t>UPPSALA LÄN</t>
        </is>
      </c>
      <c r="E322" t="inlineStr">
        <is>
          <t>ÖSTHAMMAR</t>
        </is>
      </c>
      <c r="F322" t="inlineStr">
        <is>
          <t>Bergvik skog öst AB</t>
        </is>
      </c>
      <c r="G322" t="n">
        <v>0.9</v>
      </c>
      <c r="H322" t="n">
        <v>0</v>
      </c>
      <c r="I322" t="n">
        <v>0</v>
      </c>
      <c r="J322" t="n">
        <v>0</v>
      </c>
      <c r="K322" t="n">
        <v>0</v>
      </c>
      <c r="L322" t="n">
        <v>0</v>
      </c>
      <c r="M322" t="n">
        <v>0</v>
      </c>
      <c r="N322" t="n">
        <v>0</v>
      </c>
      <c r="O322" t="n">
        <v>0</v>
      </c>
      <c r="P322" t="n">
        <v>0</v>
      </c>
      <c r="Q322" t="n">
        <v>0</v>
      </c>
      <c r="R322" s="2" t="inlineStr"/>
    </row>
    <row r="323" ht="15" customHeight="1">
      <c r="A323" t="inlineStr">
        <is>
          <t>A 18113-2023</t>
        </is>
      </c>
      <c r="B323" s="1" t="n">
        <v>45040</v>
      </c>
      <c r="C323" s="1" t="n">
        <v>45999</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23120-2021</t>
        </is>
      </c>
      <c r="B324" s="1" t="n">
        <v>44330</v>
      </c>
      <c r="C324" s="1" t="n">
        <v>45999</v>
      </c>
      <c r="D324" t="inlineStr">
        <is>
          <t>UPPSALA LÄN</t>
        </is>
      </c>
      <c r="E324" t="inlineStr">
        <is>
          <t>ÖSTHAMMAR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52389-2022</t>
        </is>
      </c>
      <c r="B325" s="1" t="n">
        <v>44874.38325231482</v>
      </c>
      <c r="C325" s="1" t="n">
        <v>45999</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4004-2023</t>
        </is>
      </c>
      <c r="B326" s="1" t="n">
        <v>44952</v>
      </c>
      <c r="C326" s="1" t="n">
        <v>45999</v>
      </c>
      <c r="D326" t="inlineStr">
        <is>
          <t>UPPSALA LÄN</t>
        </is>
      </c>
      <c r="E326" t="inlineStr">
        <is>
          <t>ÖSTHAMMAR</t>
        </is>
      </c>
      <c r="G326" t="n">
        <v>4.1</v>
      </c>
      <c r="H326" t="n">
        <v>0</v>
      </c>
      <c r="I326" t="n">
        <v>0</v>
      </c>
      <c r="J326" t="n">
        <v>0</v>
      </c>
      <c r="K326" t="n">
        <v>0</v>
      </c>
      <c r="L326" t="n">
        <v>0</v>
      </c>
      <c r="M326" t="n">
        <v>0</v>
      </c>
      <c r="N326" t="n">
        <v>0</v>
      </c>
      <c r="O326" t="n">
        <v>0</v>
      </c>
      <c r="P326" t="n">
        <v>0</v>
      </c>
      <c r="Q326" t="n">
        <v>0</v>
      </c>
      <c r="R326" s="2" t="inlineStr"/>
    </row>
    <row r="327" ht="15" customHeight="1">
      <c r="A327" t="inlineStr">
        <is>
          <t>A 1238-2022</t>
        </is>
      </c>
      <c r="B327" s="1" t="n">
        <v>44572.5827662037</v>
      </c>
      <c r="C327" s="1" t="n">
        <v>45999</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1527-2025</t>
        </is>
      </c>
      <c r="B328" s="1" t="n">
        <v>45670</v>
      </c>
      <c r="C328" s="1" t="n">
        <v>45999</v>
      </c>
      <c r="D328" t="inlineStr">
        <is>
          <t>UPPSALA LÄN</t>
        </is>
      </c>
      <c r="E328" t="inlineStr">
        <is>
          <t>ÖSTHAMMAR</t>
        </is>
      </c>
      <c r="F328" t="inlineStr">
        <is>
          <t>Bergvik skog öst AB</t>
        </is>
      </c>
      <c r="G328" t="n">
        <v>7.7</v>
      </c>
      <c r="H328" t="n">
        <v>0</v>
      </c>
      <c r="I328" t="n">
        <v>0</v>
      </c>
      <c r="J328" t="n">
        <v>0</v>
      </c>
      <c r="K328" t="n">
        <v>0</v>
      </c>
      <c r="L328" t="n">
        <v>0</v>
      </c>
      <c r="M328" t="n">
        <v>0</v>
      </c>
      <c r="N328" t="n">
        <v>0</v>
      </c>
      <c r="O328" t="n">
        <v>0</v>
      </c>
      <c r="P328" t="n">
        <v>0</v>
      </c>
      <c r="Q328" t="n">
        <v>0</v>
      </c>
      <c r="R328" s="2" t="inlineStr"/>
    </row>
    <row r="329" ht="15" customHeight="1">
      <c r="A329" t="inlineStr">
        <is>
          <t>A 35474-2023</t>
        </is>
      </c>
      <c r="B329" s="1" t="n">
        <v>45146.68921296296</v>
      </c>
      <c r="C329" s="1" t="n">
        <v>45999</v>
      </c>
      <c r="D329" t="inlineStr">
        <is>
          <t>UPPSALA LÄN</t>
        </is>
      </c>
      <c r="E329" t="inlineStr">
        <is>
          <t>ÖSTHAMMAR</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26303-2024</t>
        </is>
      </c>
      <c r="B330" s="1" t="n">
        <v>45468</v>
      </c>
      <c r="C330" s="1" t="n">
        <v>45999</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44152-2024</t>
        </is>
      </c>
      <c r="B331" s="1" t="n">
        <v>45572</v>
      </c>
      <c r="C331" s="1" t="n">
        <v>45999</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4561-2022</t>
        </is>
      </c>
      <c r="B332" s="1" t="n">
        <v>44591.59170138889</v>
      </c>
      <c r="C332" s="1" t="n">
        <v>45999</v>
      </c>
      <c r="D332" t="inlineStr">
        <is>
          <t>UPPSALA LÄN</t>
        </is>
      </c>
      <c r="E332" t="inlineStr">
        <is>
          <t>ÖSTHAMMAR</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3327-2023</t>
        </is>
      </c>
      <c r="B333" s="1" t="n">
        <v>44949.4377662037</v>
      </c>
      <c r="C333" s="1" t="n">
        <v>45999</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4233-2023</t>
        </is>
      </c>
      <c r="B334" s="1" t="n">
        <v>44953.48619212963</v>
      </c>
      <c r="C334" s="1" t="n">
        <v>45999</v>
      </c>
      <c r="D334" t="inlineStr">
        <is>
          <t>UPPSALA LÄN</t>
        </is>
      </c>
      <c r="E334" t="inlineStr">
        <is>
          <t>ÖSTHAMMAR</t>
        </is>
      </c>
      <c r="G334" t="n">
        <v>0.9</v>
      </c>
      <c r="H334" t="n">
        <v>0</v>
      </c>
      <c r="I334" t="n">
        <v>0</v>
      </c>
      <c r="J334" t="n">
        <v>0</v>
      </c>
      <c r="K334" t="n">
        <v>0</v>
      </c>
      <c r="L334" t="n">
        <v>0</v>
      </c>
      <c r="M334" t="n">
        <v>0</v>
      </c>
      <c r="N334" t="n">
        <v>0</v>
      </c>
      <c r="O334" t="n">
        <v>0</v>
      </c>
      <c r="P334" t="n">
        <v>0</v>
      </c>
      <c r="Q334" t="n">
        <v>0</v>
      </c>
      <c r="R334" s="2" t="inlineStr"/>
    </row>
    <row r="335" ht="15" customHeight="1">
      <c r="A335" t="inlineStr">
        <is>
          <t>A 30811-2023</t>
        </is>
      </c>
      <c r="B335" s="1" t="n">
        <v>45112.86422453704</v>
      </c>
      <c r="C335" s="1" t="n">
        <v>45999</v>
      </c>
      <c r="D335" t="inlineStr">
        <is>
          <t>UPPSALA LÄN</t>
        </is>
      </c>
      <c r="E335" t="inlineStr">
        <is>
          <t>ÖSTHAMMAR</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17651-2025</t>
        </is>
      </c>
      <c r="B336" s="1" t="n">
        <v>45758.33304398148</v>
      </c>
      <c r="C336" s="1" t="n">
        <v>45999</v>
      </c>
      <c r="D336" t="inlineStr">
        <is>
          <t>UPPSALA LÄN</t>
        </is>
      </c>
      <c r="E336" t="inlineStr">
        <is>
          <t>ÖSTHAMMAR</t>
        </is>
      </c>
      <c r="F336" t="inlineStr">
        <is>
          <t>Bergvik skog väst AB</t>
        </is>
      </c>
      <c r="G336" t="n">
        <v>1.8</v>
      </c>
      <c r="H336" t="n">
        <v>0</v>
      </c>
      <c r="I336" t="n">
        <v>0</v>
      </c>
      <c r="J336" t="n">
        <v>0</v>
      </c>
      <c r="K336" t="n">
        <v>0</v>
      </c>
      <c r="L336" t="n">
        <v>0</v>
      </c>
      <c r="M336" t="n">
        <v>0</v>
      </c>
      <c r="N336" t="n">
        <v>0</v>
      </c>
      <c r="O336" t="n">
        <v>0</v>
      </c>
      <c r="P336" t="n">
        <v>0</v>
      </c>
      <c r="Q336" t="n">
        <v>0</v>
      </c>
      <c r="R336" s="2" t="inlineStr"/>
    </row>
    <row r="337" ht="15" customHeight="1">
      <c r="A337" t="inlineStr">
        <is>
          <t>A 8708-2022</t>
        </is>
      </c>
      <c r="B337" s="1" t="n">
        <v>44613.77238425926</v>
      </c>
      <c r="C337" s="1" t="n">
        <v>45999</v>
      </c>
      <c r="D337" t="inlineStr">
        <is>
          <t>UPPSALA LÄN</t>
        </is>
      </c>
      <c r="E337" t="inlineStr">
        <is>
          <t>ÖSTHAMMAR</t>
        </is>
      </c>
      <c r="G337" t="n">
        <v>4.3</v>
      </c>
      <c r="H337" t="n">
        <v>0</v>
      </c>
      <c r="I337" t="n">
        <v>0</v>
      </c>
      <c r="J337" t="n">
        <v>0</v>
      </c>
      <c r="K337" t="n">
        <v>0</v>
      </c>
      <c r="L337" t="n">
        <v>0</v>
      </c>
      <c r="M337" t="n">
        <v>0</v>
      </c>
      <c r="N337" t="n">
        <v>0</v>
      </c>
      <c r="O337" t="n">
        <v>0</v>
      </c>
      <c r="P337" t="n">
        <v>0</v>
      </c>
      <c r="Q337" t="n">
        <v>0</v>
      </c>
      <c r="R337" s="2" t="inlineStr"/>
    </row>
    <row r="338" ht="15" customHeight="1">
      <c r="A338" t="inlineStr">
        <is>
          <t>A 11547-2022</t>
        </is>
      </c>
      <c r="B338" s="1" t="n">
        <v>44631.43116898148</v>
      </c>
      <c r="C338" s="1" t="n">
        <v>45999</v>
      </c>
      <c r="D338" t="inlineStr">
        <is>
          <t>UPPSALA LÄN</t>
        </is>
      </c>
      <c r="E338" t="inlineStr">
        <is>
          <t>ÖSTHAMMAR</t>
        </is>
      </c>
      <c r="G338" t="n">
        <v>4.4</v>
      </c>
      <c r="H338" t="n">
        <v>0</v>
      </c>
      <c r="I338" t="n">
        <v>0</v>
      </c>
      <c r="J338" t="n">
        <v>0</v>
      </c>
      <c r="K338" t="n">
        <v>0</v>
      </c>
      <c r="L338" t="n">
        <v>0</v>
      </c>
      <c r="M338" t="n">
        <v>0</v>
      </c>
      <c r="N338" t="n">
        <v>0</v>
      </c>
      <c r="O338" t="n">
        <v>0</v>
      </c>
      <c r="P338" t="n">
        <v>0</v>
      </c>
      <c r="Q338" t="n">
        <v>0</v>
      </c>
      <c r="R338" s="2" t="inlineStr"/>
    </row>
    <row r="339" ht="15" customHeight="1">
      <c r="A339" t="inlineStr">
        <is>
          <t>A 10290-2025</t>
        </is>
      </c>
      <c r="B339" s="1" t="n">
        <v>45720.41847222222</v>
      </c>
      <c r="C339" s="1" t="n">
        <v>45999</v>
      </c>
      <c r="D339" t="inlineStr">
        <is>
          <t>UPPSALA LÄN</t>
        </is>
      </c>
      <c r="E339" t="inlineStr">
        <is>
          <t>ÖSTHAMMAR</t>
        </is>
      </c>
      <c r="G339" t="n">
        <v>8.6</v>
      </c>
      <c r="H339" t="n">
        <v>0</v>
      </c>
      <c r="I339" t="n">
        <v>0</v>
      </c>
      <c r="J339" t="n">
        <v>0</v>
      </c>
      <c r="K339" t="n">
        <v>0</v>
      </c>
      <c r="L339" t="n">
        <v>0</v>
      </c>
      <c r="M339" t="n">
        <v>0</v>
      </c>
      <c r="N339" t="n">
        <v>0</v>
      </c>
      <c r="O339" t="n">
        <v>0</v>
      </c>
      <c r="P339" t="n">
        <v>0</v>
      </c>
      <c r="Q339" t="n">
        <v>0</v>
      </c>
      <c r="R339" s="2" t="inlineStr"/>
    </row>
    <row r="340" ht="15" customHeight="1">
      <c r="A340" t="inlineStr">
        <is>
          <t>A 25269-2024</t>
        </is>
      </c>
      <c r="B340" s="1" t="n">
        <v>45462</v>
      </c>
      <c r="C340" s="1" t="n">
        <v>45999</v>
      </c>
      <c r="D340" t="inlineStr">
        <is>
          <t>UPPSALA LÄN</t>
        </is>
      </c>
      <c r="E340" t="inlineStr">
        <is>
          <t>ÖSTHAMMAR</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59382-2022</t>
        </is>
      </c>
      <c r="B341" s="1" t="n">
        <v>44905.50363425926</v>
      </c>
      <c r="C341" s="1" t="n">
        <v>45999</v>
      </c>
      <c r="D341" t="inlineStr">
        <is>
          <t>UPPSALA LÄN</t>
        </is>
      </c>
      <c r="E341" t="inlineStr">
        <is>
          <t>ÖSTHAMMAR</t>
        </is>
      </c>
      <c r="G341" t="n">
        <v>2.9</v>
      </c>
      <c r="H341" t="n">
        <v>0</v>
      </c>
      <c r="I341" t="n">
        <v>0</v>
      </c>
      <c r="J341" t="n">
        <v>0</v>
      </c>
      <c r="K341" t="n">
        <v>0</v>
      </c>
      <c r="L341" t="n">
        <v>0</v>
      </c>
      <c r="M341" t="n">
        <v>0</v>
      </c>
      <c r="N341" t="n">
        <v>0</v>
      </c>
      <c r="O341" t="n">
        <v>0</v>
      </c>
      <c r="P341" t="n">
        <v>0</v>
      </c>
      <c r="Q341" t="n">
        <v>0</v>
      </c>
      <c r="R341" s="2" t="inlineStr"/>
    </row>
    <row r="342" ht="15" customHeight="1">
      <c r="A342" t="inlineStr">
        <is>
          <t>A 25969-2023</t>
        </is>
      </c>
      <c r="B342" s="1" t="n">
        <v>45090</v>
      </c>
      <c r="C342" s="1" t="n">
        <v>45999</v>
      </c>
      <c r="D342" t="inlineStr">
        <is>
          <t>UPPSALA LÄN</t>
        </is>
      </c>
      <c r="E342" t="inlineStr">
        <is>
          <t>ÖSTHAMMAR</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45102-2024</t>
        </is>
      </c>
      <c r="B343" s="1" t="n">
        <v>45575.58836805556</v>
      </c>
      <c r="C343" s="1" t="n">
        <v>45999</v>
      </c>
      <c r="D343" t="inlineStr">
        <is>
          <t>UPPSALA LÄN</t>
        </is>
      </c>
      <c r="E343" t="inlineStr">
        <is>
          <t>ÖSTHAMMAR</t>
        </is>
      </c>
      <c r="G343" t="n">
        <v>8.6</v>
      </c>
      <c r="H343" t="n">
        <v>0</v>
      </c>
      <c r="I343" t="n">
        <v>0</v>
      </c>
      <c r="J343" t="n">
        <v>0</v>
      </c>
      <c r="K343" t="n">
        <v>0</v>
      </c>
      <c r="L343" t="n">
        <v>0</v>
      </c>
      <c r="M343" t="n">
        <v>0</v>
      </c>
      <c r="N343" t="n">
        <v>0</v>
      </c>
      <c r="O343" t="n">
        <v>0</v>
      </c>
      <c r="P343" t="n">
        <v>0</v>
      </c>
      <c r="Q343" t="n">
        <v>0</v>
      </c>
      <c r="R343" s="2" t="inlineStr"/>
    </row>
    <row r="344" ht="15" customHeight="1">
      <c r="A344" t="inlineStr">
        <is>
          <t>A 56903-2023</t>
        </is>
      </c>
      <c r="B344" s="1" t="n">
        <v>45244.56943287037</v>
      </c>
      <c r="C344" s="1" t="n">
        <v>45999</v>
      </c>
      <c r="D344" t="inlineStr">
        <is>
          <t>UPPSALA LÄN</t>
        </is>
      </c>
      <c r="E344" t="inlineStr">
        <is>
          <t>ÖSTHAMMAR</t>
        </is>
      </c>
      <c r="G344" t="n">
        <v>3.1</v>
      </c>
      <c r="H344" t="n">
        <v>0</v>
      </c>
      <c r="I344" t="n">
        <v>0</v>
      </c>
      <c r="J344" t="n">
        <v>0</v>
      </c>
      <c r="K344" t="n">
        <v>0</v>
      </c>
      <c r="L344" t="n">
        <v>0</v>
      </c>
      <c r="M344" t="n">
        <v>0</v>
      </c>
      <c r="N344" t="n">
        <v>0</v>
      </c>
      <c r="O344" t="n">
        <v>0</v>
      </c>
      <c r="P344" t="n">
        <v>0</v>
      </c>
      <c r="Q344" t="n">
        <v>0</v>
      </c>
      <c r="R344" s="2" t="inlineStr"/>
    </row>
    <row r="345" ht="15" customHeight="1">
      <c r="A345" t="inlineStr">
        <is>
          <t>A 45307-2023</t>
        </is>
      </c>
      <c r="B345" s="1" t="n">
        <v>45191</v>
      </c>
      <c r="C345" s="1" t="n">
        <v>45999</v>
      </c>
      <c r="D345" t="inlineStr">
        <is>
          <t>UPPSALA LÄN</t>
        </is>
      </c>
      <c r="E345" t="inlineStr">
        <is>
          <t>ÖSTHAMMAR</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67151-2021</t>
        </is>
      </c>
      <c r="B346" s="1" t="n">
        <v>44523</v>
      </c>
      <c r="C346" s="1" t="n">
        <v>45999</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29824-2023</t>
        </is>
      </c>
      <c r="B347" s="1" t="n">
        <v>45107</v>
      </c>
      <c r="C347" s="1" t="n">
        <v>45999</v>
      </c>
      <c r="D347" t="inlineStr">
        <is>
          <t>UPPSALA LÄN</t>
        </is>
      </c>
      <c r="E347" t="inlineStr">
        <is>
          <t>ÖSTHAMMAR</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6661-2024</t>
        </is>
      </c>
      <c r="B348" s="1" t="n">
        <v>45341.70582175926</v>
      </c>
      <c r="C348" s="1" t="n">
        <v>45999</v>
      </c>
      <c r="D348" t="inlineStr">
        <is>
          <t>UPPSALA LÄN</t>
        </is>
      </c>
      <c r="E348" t="inlineStr">
        <is>
          <t>ÖSTHAMMAR</t>
        </is>
      </c>
      <c r="G348" t="n">
        <v>0.2</v>
      </c>
      <c r="H348" t="n">
        <v>0</v>
      </c>
      <c r="I348" t="n">
        <v>0</v>
      </c>
      <c r="J348" t="n">
        <v>0</v>
      </c>
      <c r="K348" t="n">
        <v>0</v>
      </c>
      <c r="L348" t="n">
        <v>0</v>
      </c>
      <c r="M348" t="n">
        <v>0</v>
      </c>
      <c r="N348" t="n">
        <v>0</v>
      </c>
      <c r="O348" t="n">
        <v>0</v>
      </c>
      <c r="P348" t="n">
        <v>0</v>
      </c>
      <c r="Q348" t="n">
        <v>0</v>
      </c>
      <c r="R348" s="2" t="inlineStr"/>
    </row>
    <row r="349" ht="15" customHeight="1">
      <c r="A349" t="inlineStr">
        <is>
          <t>A 4101-2022</t>
        </is>
      </c>
      <c r="B349" s="1" t="n">
        <v>44588</v>
      </c>
      <c r="C349" s="1" t="n">
        <v>45999</v>
      </c>
      <c r="D349" t="inlineStr">
        <is>
          <t>UPPSALA LÄN</t>
        </is>
      </c>
      <c r="E349" t="inlineStr">
        <is>
          <t>ÖSTHAMMAR</t>
        </is>
      </c>
      <c r="G349" t="n">
        <v>4.4</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45999</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52478-2024</t>
        </is>
      </c>
      <c r="B351" s="1" t="n">
        <v>45609.55065972222</v>
      </c>
      <c r="C351" s="1" t="n">
        <v>45999</v>
      </c>
      <c r="D351" t="inlineStr">
        <is>
          <t>UPPSALA LÄN</t>
        </is>
      </c>
      <c r="E351" t="inlineStr">
        <is>
          <t>ÖSTHAMMAR</t>
        </is>
      </c>
      <c r="G351" t="n">
        <v>0.7</v>
      </c>
      <c r="H351" t="n">
        <v>0</v>
      </c>
      <c r="I351" t="n">
        <v>0</v>
      </c>
      <c r="J351" t="n">
        <v>0</v>
      </c>
      <c r="K351" t="n">
        <v>0</v>
      </c>
      <c r="L351" t="n">
        <v>0</v>
      </c>
      <c r="M351" t="n">
        <v>0</v>
      </c>
      <c r="N351" t="n">
        <v>0</v>
      </c>
      <c r="O351" t="n">
        <v>0</v>
      </c>
      <c r="P351" t="n">
        <v>0</v>
      </c>
      <c r="Q351" t="n">
        <v>0</v>
      </c>
      <c r="R351" s="2" t="inlineStr"/>
    </row>
    <row r="352" ht="15" customHeight="1">
      <c r="A352" t="inlineStr">
        <is>
          <t>A 5933-2022</t>
        </is>
      </c>
      <c r="B352" s="1" t="n">
        <v>44598.82957175926</v>
      </c>
      <c r="C352" s="1" t="n">
        <v>45999</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29873-2023</t>
        </is>
      </c>
      <c r="B353" s="1" t="n">
        <v>45107</v>
      </c>
      <c r="C353" s="1" t="n">
        <v>45999</v>
      </c>
      <c r="D353" t="inlineStr">
        <is>
          <t>UPPSALA LÄN</t>
        </is>
      </c>
      <c r="E353" t="inlineStr">
        <is>
          <t>ÖSTHAMMAR</t>
        </is>
      </c>
      <c r="F353" t="inlineStr">
        <is>
          <t>Naturvårdsverket</t>
        </is>
      </c>
      <c r="G353" t="n">
        <v>7.8</v>
      </c>
      <c r="H353" t="n">
        <v>0</v>
      </c>
      <c r="I353" t="n">
        <v>0</v>
      </c>
      <c r="J353" t="n">
        <v>0</v>
      </c>
      <c r="K353" t="n">
        <v>0</v>
      </c>
      <c r="L353" t="n">
        <v>0</v>
      </c>
      <c r="M353" t="n">
        <v>0</v>
      </c>
      <c r="N353" t="n">
        <v>0</v>
      </c>
      <c r="O353" t="n">
        <v>0</v>
      </c>
      <c r="P353" t="n">
        <v>0</v>
      </c>
      <c r="Q353" t="n">
        <v>0</v>
      </c>
      <c r="R353" s="2" t="inlineStr"/>
    </row>
    <row r="354" ht="15" customHeight="1">
      <c r="A354" t="inlineStr">
        <is>
          <t>A 17009-2021</t>
        </is>
      </c>
      <c r="B354" s="1" t="n">
        <v>44295.63969907408</v>
      </c>
      <c r="C354" s="1" t="n">
        <v>45999</v>
      </c>
      <c r="D354" t="inlineStr">
        <is>
          <t>UPPSALA LÄN</t>
        </is>
      </c>
      <c r="E354" t="inlineStr">
        <is>
          <t>ÖSTHAMMAR</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7100-2025</t>
        </is>
      </c>
      <c r="B355" s="1" t="n">
        <v>45701.83930555556</v>
      </c>
      <c r="C355" s="1" t="n">
        <v>45999</v>
      </c>
      <c r="D355" t="inlineStr">
        <is>
          <t>UPPSALA LÄN</t>
        </is>
      </c>
      <c r="E355" t="inlineStr">
        <is>
          <t>ÖSTHAMMAR</t>
        </is>
      </c>
      <c r="G355" t="n">
        <v>4.3</v>
      </c>
      <c r="H355" t="n">
        <v>0</v>
      </c>
      <c r="I355" t="n">
        <v>0</v>
      </c>
      <c r="J355" t="n">
        <v>0</v>
      </c>
      <c r="K355" t="n">
        <v>0</v>
      </c>
      <c r="L355" t="n">
        <v>0</v>
      </c>
      <c r="M355" t="n">
        <v>0</v>
      </c>
      <c r="N355" t="n">
        <v>0</v>
      </c>
      <c r="O355" t="n">
        <v>0</v>
      </c>
      <c r="P355" t="n">
        <v>0</v>
      </c>
      <c r="Q355" t="n">
        <v>0</v>
      </c>
      <c r="R355" s="2" t="inlineStr"/>
    </row>
    <row r="356" ht="15" customHeight="1">
      <c r="A356" t="inlineStr">
        <is>
          <t>A 13755-2023</t>
        </is>
      </c>
      <c r="B356" s="1" t="n">
        <v>45007</v>
      </c>
      <c r="C356" s="1" t="n">
        <v>45999</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13279-2022</t>
        </is>
      </c>
      <c r="B357" s="1" t="n">
        <v>44644</v>
      </c>
      <c r="C357" s="1" t="n">
        <v>45999</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6892-2022</t>
        </is>
      </c>
      <c r="B358" s="1" t="n">
        <v>44602</v>
      </c>
      <c r="C358" s="1" t="n">
        <v>45999</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54314-2023</t>
        </is>
      </c>
      <c r="B359" s="1" t="n">
        <v>45225</v>
      </c>
      <c r="C359" s="1" t="n">
        <v>45999</v>
      </c>
      <c r="D359" t="inlineStr">
        <is>
          <t>UPPSALA LÄN</t>
        </is>
      </c>
      <c r="E359" t="inlineStr">
        <is>
          <t>ÖSTHAMMAR</t>
        </is>
      </c>
      <c r="G359" t="n">
        <v>5.1</v>
      </c>
      <c r="H359" t="n">
        <v>0</v>
      </c>
      <c r="I359" t="n">
        <v>0</v>
      </c>
      <c r="J359" t="n">
        <v>0</v>
      </c>
      <c r="K359" t="n">
        <v>0</v>
      </c>
      <c r="L359" t="n">
        <v>0</v>
      </c>
      <c r="M359" t="n">
        <v>0</v>
      </c>
      <c r="N359" t="n">
        <v>0</v>
      </c>
      <c r="O359" t="n">
        <v>0</v>
      </c>
      <c r="P359" t="n">
        <v>0</v>
      </c>
      <c r="Q359" t="n">
        <v>0</v>
      </c>
      <c r="R359" s="2" t="inlineStr"/>
    </row>
    <row r="360" ht="15" customHeight="1">
      <c r="A360" t="inlineStr">
        <is>
          <t>A 64774-2023</t>
        </is>
      </c>
      <c r="B360" s="1" t="n">
        <v>45282</v>
      </c>
      <c r="C360" s="1" t="n">
        <v>45999</v>
      </c>
      <c r="D360" t="inlineStr">
        <is>
          <t>UPPSALA LÄN</t>
        </is>
      </c>
      <c r="E360" t="inlineStr">
        <is>
          <t>ÖSTHAMMAR</t>
        </is>
      </c>
      <c r="F360" t="inlineStr">
        <is>
          <t>Övriga Aktiebolag</t>
        </is>
      </c>
      <c r="G360" t="n">
        <v>3.7</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45999</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49796-2024</t>
        </is>
      </c>
      <c r="B362" s="1" t="n">
        <v>45597</v>
      </c>
      <c r="C362" s="1" t="n">
        <v>45999</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13044-2022</t>
        </is>
      </c>
      <c r="B363" s="1" t="n">
        <v>44643</v>
      </c>
      <c r="C363" s="1" t="n">
        <v>45999</v>
      </c>
      <c r="D363" t="inlineStr">
        <is>
          <t>UPPSALA LÄN</t>
        </is>
      </c>
      <c r="E363" t="inlineStr">
        <is>
          <t>ÖSTHAMMAR</t>
        </is>
      </c>
      <c r="G363" t="n">
        <v>2.5</v>
      </c>
      <c r="H363" t="n">
        <v>0</v>
      </c>
      <c r="I363" t="n">
        <v>0</v>
      </c>
      <c r="J363" t="n">
        <v>0</v>
      </c>
      <c r="K363" t="n">
        <v>0</v>
      </c>
      <c r="L363" t="n">
        <v>0</v>
      </c>
      <c r="M363" t="n">
        <v>0</v>
      </c>
      <c r="N363" t="n">
        <v>0</v>
      </c>
      <c r="O363" t="n">
        <v>0</v>
      </c>
      <c r="P363" t="n">
        <v>0</v>
      </c>
      <c r="Q363" t="n">
        <v>0</v>
      </c>
      <c r="R363" s="2" t="inlineStr"/>
    </row>
    <row r="364" ht="15" customHeight="1">
      <c r="A364" t="inlineStr">
        <is>
          <t>A 1791-2023</t>
        </is>
      </c>
      <c r="B364" s="1" t="n">
        <v>44938</v>
      </c>
      <c r="C364" s="1" t="n">
        <v>45999</v>
      </c>
      <c r="D364" t="inlineStr">
        <is>
          <t>UPPSALA LÄN</t>
        </is>
      </c>
      <c r="E364" t="inlineStr">
        <is>
          <t>ÖSTHAMMAR</t>
        </is>
      </c>
      <c r="G364" t="n">
        <v>2</v>
      </c>
      <c r="H364" t="n">
        <v>0</v>
      </c>
      <c r="I364" t="n">
        <v>0</v>
      </c>
      <c r="J364" t="n">
        <v>0</v>
      </c>
      <c r="K364" t="n">
        <v>0</v>
      </c>
      <c r="L364" t="n">
        <v>0</v>
      </c>
      <c r="M364" t="n">
        <v>0</v>
      </c>
      <c r="N364" t="n">
        <v>0</v>
      </c>
      <c r="O364" t="n">
        <v>0</v>
      </c>
      <c r="P364" t="n">
        <v>0</v>
      </c>
      <c r="Q364" t="n">
        <v>0</v>
      </c>
      <c r="R364" s="2" t="inlineStr"/>
    </row>
    <row r="365" ht="15" customHeight="1">
      <c r="A365" t="inlineStr">
        <is>
          <t>A 2085-2022</t>
        </is>
      </c>
      <c r="B365" s="1" t="n">
        <v>44576.78626157407</v>
      </c>
      <c r="C365" s="1" t="n">
        <v>45999</v>
      </c>
      <c r="D365" t="inlineStr">
        <is>
          <t>UPPSALA LÄN</t>
        </is>
      </c>
      <c r="E365" t="inlineStr">
        <is>
          <t>ÖSTHAMMAR</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61261-2022</t>
        </is>
      </c>
      <c r="B366" s="1" t="n">
        <v>44915.59645833333</v>
      </c>
      <c r="C366" s="1" t="n">
        <v>45999</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4984-2024</t>
        </is>
      </c>
      <c r="B367" s="1" t="n">
        <v>45329</v>
      </c>
      <c r="C367" s="1" t="n">
        <v>45999</v>
      </c>
      <c r="D367" t="inlineStr">
        <is>
          <t>UPPSALA LÄN</t>
        </is>
      </c>
      <c r="E367" t="inlineStr">
        <is>
          <t>ÖSTHAMMAR</t>
        </is>
      </c>
      <c r="G367" t="n">
        <v>2.2</v>
      </c>
      <c r="H367" t="n">
        <v>0</v>
      </c>
      <c r="I367" t="n">
        <v>0</v>
      </c>
      <c r="J367" t="n">
        <v>0</v>
      </c>
      <c r="K367" t="n">
        <v>0</v>
      </c>
      <c r="L367" t="n">
        <v>0</v>
      </c>
      <c r="M367" t="n">
        <v>0</v>
      </c>
      <c r="N367" t="n">
        <v>0</v>
      </c>
      <c r="O367" t="n">
        <v>0</v>
      </c>
      <c r="P367" t="n">
        <v>0</v>
      </c>
      <c r="Q367" t="n">
        <v>0</v>
      </c>
      <c r="R367" s="2" t="inlineStr"/>
    </row>
    <row r="368" ht="15" customHeight="1">
      <c r="A368" t="inlineStr">
        <is>
          <t>A 8763-2025</t>
        </is>
      </c>
      <c r="B368" s="1" t="n">
        <v>45712.57872685185</v>
      </c>
      <c r="C368" s="1" t="n">
        <v>45999</v>
      </c>
      <c r="D368" t="inlineStr">
        <is>
          <t>UPPSALA LÄN</t>
        </is>
      </c>
      <c r="E368" t="inlineStr">
        <is>
          <t>ÖSTHAMMAR</t>
        </is>
      </c>
      <c r="G368" t="n">
        <v>0.6</v>
      </c>
      <c r="H368" t="n">
        <v>0</v>
      </c>
      <c r="I368" t="n">
        <v>0</v>
      </c>
      <c r="J368" t="n">
        <v>0</v>
      </c>
      <c r="K368" t="n">
        <v>0</v>
      </c>
      <c r="L368" t="n">
        <v>0</v>
      </c>
      <c r="M368" t="n">
        <v>0</v>
      </c>
      <c r="N368" t="n">
        <v>0</v>
      </c>
      <c r="O368" t="n">
        <v>0</v>
      </c>
      <c r="P368" t="n">
        <v>0</v>
      </c>
      <c r="Q368" t="n">
        <v>0</v>
      </c>
      <c r="R368" s="2" t="inlineStr"/>
    </row>
    <row r="369" ht="15" customHeight="1">
      <c r="A369" t="inlineStr">
        <is>
          <t>A 14671-2022</t>
        </is>
      </c>
      <c r="B369" s="1" t="n">
        <v>44655.80475694445</v>
      </c>
      <c r="C369" s="1" t="n">
        <v>45999</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12215-2023</t>
        </is>
      </c>
      <c r="B370" s="1" t="n">
        <v>44998</v>
      </c>
      <c r="C370" s="1" t="n">
        <v>45999</v>
      </c>
      <c r="D370" t="inlineStr">
        <is>
          <t>UPPSALA LÄN</t>
        </is>
      </c>
      <c r="E370" t="inlineStr">
        <is>
          <t>ÖSTHAMMAR</t>
        </is>
      </c>
      <c r="G370" t="n">
        <v>5.1</v>
      </c>
      <c r="H370" t="n">
        <v>0</v>
      </c>
      <c r="I370" t="n">
        <v>0</v>
      </c>
      <c r="J370" t="n">
        <v>0</v>
      </c>
      <c r="K370" t="n">
        <v>0</v>
      </c>
      <c r="L370" t="n">
        <v>0</v>
      </c>
      <c r="M370" t="n">
        <v>0</v>
      </c>
      <c r="N370" t="n">
        <v>0</v>
      </c>
      <c r="O370" t="n">
        <v>0</v>
      </c>
      <c r="P370" t="n">
        <v>0</v>
      </c>
      <c r="Q370" t="n">
        <v>0</v>
      </c>
      <c r="R370" s="2" t="inlineStr"/>
    </row>
    <row r="371" ht="15" customHeight="1">
      <c r="A371" t="inlineStr">
        <is>
          <t>A 21132-2025</t>
        </is>
      </c>
      <c r="B371" s="1" t="n">
        <v>45778.4108912037</v>
      </c>
      <c r="C371" s="1" t="n">
        <v>45999</v>
      </c>
      <c r="D371" t="inlineStr">
        <is>
          <t>UPPSALA LÄN</t>
        </is>
      </c>
      <c r="E371" t="inlineStr">
        <is>
          <t>ÖSTHAMMAR</t>
        </is>
      </c>
      <c r="G371" t="n">
        <v>10.1</v>
      </c>
      <c r="H371" t="n">
        <v>0</v>
      </c>
      <c r="I371" t="n">
        <v>0</v>
      </c>
      <c r="J371" t="n">
        <v>0</v>
      </c>
      <c r="K371" t="n">
        <v>0</v>
      </c>
      <c r="L371" t="n">
        <v>0</v>
      </c>
      <c r="M371" t="n">
        <v>0</v>
      </c>
      <c r="N371" t="n">
        <v>0</v>
      </c>
      <c r="O371" t="n">
        <v>0</v>
      </c>
      <c r="P371" t="n">
        <v>0</v>
      </c>
      <c r="Q371" t="n">
        <v>0</v>
      </c>
      <c r="R371" s="2" t="inlineStr"/>
    </row>
    <row r="372" ht="15" customHeight="1">
      <c r="A372" t="inlineStr">
        <is>
          <t>A 21133-2025</t>
        </is>
      </c>
      <c r="B372" s="1" t="n">
        <v>45778.415625</v>
      </c>
      <c r="C372" s="1" t="n">
        <v>45999</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41996-2024</t>
        </is>
      </c>
      <c r="B373" s="1" t="n">
        <v>45561</v>
      </c>
      <c r="C373" s="1" t="n">
        <v>45999</v>
      </c>
      <c r="D373" t="inlineStr">
        <is>
          <t>UPPSALA LÄN</t>
        </is>
      </c>
      <c r="E373" t="inlineStr">
        <is>
          <t>ÖSTHAMMAR</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15449-2022</t>
        </is>
      </c>
      <c r="B374" s="1" t="n">
        <v>44660.91659722223</v>
      </c>
      <c r="C374" s="1" t="n">
        <v>45999</v>
      </c>
      <c r="D374" t="inlineStr">
        <is>
          <t>UPPSALA LÄN</t>
        </is>
      </c>
      <c r="E374" t="inlineStr">
        <is>
          <t>ÖSTHAMMAR</t>
        </is>
      </c>
      <c r="F374" t="inlineStr">
        <is>
          <t>Bergvik skog öst AB</t>
        </is>
      </c>
      <c r="G374" t="n">
        <v>2</v>
      </c>
      <c r="H374" t="n">
        <v>0</v>
      </c>
      <c r="I374" t="n">
        <v>0</v>
      </c>
      <c r="J374" t="n">
        <v>0</v>
      </c>
      <c r="K374" t="n">
        <v>0</v>
      </c>
      <c r="L374" t="n">
        <v>0</v>
      </c>
      <c r="M374" t="n">
        <v>0</v>
      </c>
      <c r="N374" t="n">
        <v>0</v>
      </c>
      <c r="O374" t="n">
        <v>0</v>
      </c>
      <c r="P374" t="n">
        <v>0</v>
      </c>
      <c r="Q374" t="n">
        <v>0</v>
      </c>
      <c r="R374" s="2" t="inlineStr"/>
    </row>
    <row r="375" ht="15" customHeight="1">
      <c r="A375" t="inlineStr">
        <is>
          <t>A 1439-2025</t>
        </is>
      </c>
      <c r="B375" s="1" t="n">
        <v>45669.69075231482</v>
      </c>
      <c r="C375" s="1" t="n">
        <v>45999</v>
      </c>
      <c r="D375" t="inlineStr">
        <is>
          <t>UPPSALA LÄN</t>
        </is>
      </c>
      <c r="E375" t="inlineStr">
        <is>
          <t>ÖSTHAMMAR</t>
        </is>
      </c>
      <c r="G375" t="n">
        <v>1</v>
      </c>
      <c r="H375" t="n">
        <v>0</v>
      </c>
      <c r="I375" t="n">
        <v>0</v>
      </c>
      <c r="J375" t="n">
        <v>0</v>
      </c>
      <c r="K375" t="n">
        <v>0</v>
      </c>
      <c r="L375" t="n">
        <v>0</v>
      </c>
      <c r="M375" t="n">
        <v>0</v>
      </c>
      <c r="N375" t="n">
        <v>0</v>
      </c>
      <c r="O375" t="n">
        <v>0</v>
      </c>
      <c r="P375" t="n">
        <v>0</v>
      </c>
      <c r="Q375" t="n">
        <v>0</v>
      </c>
      <c r="R375" s="2" t="inlineStr"/>
    </row>
    <row r="376" ht="15" customHeight="1">
      <c r="A376" t="inlineStr">
        <is>
          <t>A 5884-2023</t>
        </is>
      </c>
      <c r="B376" s="1" t="n">
        <v>44963</v>
      </c>
      <c r="C376" s="1" t="n">
        <v>45999</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74429-2021</t>
        </is>
      </c>
      <c r="B377" s="1" t="n">
        <v>44560.43136574074</v>
      </c>
      <c r="C377" s="1" t="n">
        <v>45999</v>
      </c>
      <c r="D377" t="inlineStr">
        <is>
          <t>UPPSALA LÄN</t>
        </is>
      </c>
      <c r="E377" t="inlineStr">
        <is>
          <t>ÖSTHAMMAR</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45999</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45999</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5215-2025</t>
        </is>
      </c>
      <c r="B380" s="1" t="n">
        <v>45691</v>
      </c>
      <c r="C380" s="1" t="n">
        <v>45999</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65028-2021</t>
        </is>
      </c>
      <c r="B381" s="1" t="n">
        <v>44515</v>
      </c>
      <c r="C381" s="1" t="n">
        <v>45999</v>
      </c>
      <c r="D381" t="inlineStr">
        <is>
          <t>UPPSALA LÄN</t>
        </is>
      </c>
      <c r="E381" t="inlineStr">
        <is>
          <t>ÖSTHAMMAR</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7543-2023</t>
        </is>
      </c>
      <c r="B382" s="1" t="n">
        <v>44972</v>
      </c>
      <c r="C382" s="1" t="n">
        <v>45999</v>
      </c>
      <c r="D382" t="inlineStr">
        <is>
          <t>UPPSALA LÄN</t>
        </is>
      </c>
      <c r="E382" t="inlineStr">
        <is>
          <t>ÖSTHAMMAR</t>
        </is>
      </c>
      <c r="F382" t="inlineStr">
        <is>
          <t>Bergvik skog öst AB</t>
        </is>
      </c>
      <c r="G382" t="n">
        <v>13.3</v>
      </c>
      <c r="H382" t="n">
        <v>0</v>
      </c>
      <c r="I382" t="n">
        <v>0</v>
      </c>
      <c r="J382" t="n">
        <v>0</v>
      </c>
      <c r="K382" t="n">
        <v>0</v>
      </c>
      <c r="L382" t="n">
        <v>0</v>
      </c>
      <c r="M382" t="n">
        <v>0</v>
      </c>
      <c r="N382" t="n">
        <v>0</v>
      </c>
      <c r="O382" t="n">
        <v>0</v>
      </c>
      <c r="P382" t="n">
        <v>0</v>
      </c>
      <c r="Q382" t="n">
        <v>0</v>
      </c>
      <c r="R382" s="2" t="inlineStr"/>
    </row>
    <row r="383" ht="15" customHeight="1">
      <c r="A383" t="inlineStr">
        <is>
          <t>A 1525-2025</t>
        </is>
      </c>
      <c r="B383" s="1" t="n">
        <v>45670.47300925926</v>
      </c>
      <c r="C383" s="1" t="n">
        <v>45999</v>
      </c>
      <c r="D383" t="inlineStr">
        <is>
          <t>UPPSALA LÄN</t>
        </is>
      </c>
      <c r="E383" t="inlineStr">
        <is>
          <t>ÖSTHAMMAR</t>
        </is>
      </c>
      <c r="F383" t="inlineStr">
        <is>
          <t>Bergvik skog öst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20634-2024</t>
        </is>
      </c>
      <c r="B384" s="1" t="n">
        <v>45436</v>
      </c>
      <c r="C384" s="1" t="n">
        <v>45999</v>
      </c>
      <c r="D384" t="inlineStr">
        <is>
          <t>UPPSALA LÄN</t>
        </is>
      </c>
      <c r="E384" t="inlineStr">
        <is>
          <t>ÖSTHAMMAR</t>
        </is>
      </c>
      <c r="G384" t="n">
        <v>6.5</v>
      </c>
      <c r="H384" t="n">
        <v>0</v>
      </c>
      <c r="I384" t="n">
        <v>0</v>
      </c>
      <c r="J384" t="n">
        <v>0</v>
      </c>
      <c r="K384" t="n">
        <v>0</v>
      </c>
      <c r="L384" t="n">
        <v>0</v>
      </c>
      <c r="M384" t="n">
        <v>0</v>
      </c>
      <c r="N384" t="n">
        <v>0</v>
      </c>
      <c r="O384" t="n">
        <v>0</v>
      </c>
      <c r="P384" t="n">
        <v>0</v>
      </c>
      <c r="Q384" t="n">
        <v>0</v>
      </c>
      <c r="R384" s="2" t="inlineStr"/>
    </row>
    <row r="385" ht="15" customHeight="1">
      <c r="A385" t="inlineStr">
        <is>
          <t>A 61257-2022</t>
        </is>
      </c>
      <c r="B385" s="1" t="n">
        <v>44915.59418981482</v>
      </c>
      <c r="C385" s="1" t="n">
        <v>45999</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42262-2024</t>
        </is>
      </c>
      <c r="B386" s="1" t="n">
        <v>45562</v>
      </c>
      <c r="C386" s="1" t="n">
        <v>45999</v>
      </c>
      <c r="D386" t="inlineStr">
        <is>
          <t>UPPSALA LÄN</t>
        </is>
      </c>
      <c r="E386" t="inlineStr">
        <is>
          <t>ÖSTHAMMAR</t>
        </is>
      </c>
      <c r="F386" t="inlineStr">
        <is>
          <t>Bergvik skog öst AB</t>
        </is>
      </c>
      <c r="G386" t="n">
        <v>1.7</v>
      </c>
      <c r="H386" t="n">
        <v>0</v>
      </c>
      <c r="I386" t="n">
        <v>0</v>
      </c>
      <c r="J386" t="n">
        <v>0</v>
      </c>
      <c r="K386" t="n">
        <v>0</v>
      </c>
      <c r="L386" t="n">
        <v>0</v>
      </c>
      <c r="M386" t="n">
        <v>0</v>
      </c>
      <c r="N386" t="n">
        <v>0</v>
      </c>
      <c r="O386" t="n">
        <v>0</v>
      </c>
      <c r="P386" t="n">
        <v>0</v>
      </c>
      <c r="Q386" t="n">
        <v>0</v>
      </c>
      <c r="R386" s="2" t="inlineStr"/>
    </row>
    <row r="387" ht="15" customHeight="1">
      <c r="A387" t="inlineStr">
        <is>
          <t>A 52694-2023</t>
        </is>
      </c>
      <c r="B387" s="1" t="n">
        <v>45225.76836805556</v>
      </c>
      <c r="C387" s="1" t="n">
        <v>45999</v>
      </c>
      <c r="D387" t="inlineStr">
        <is>
          <t>UPPSALA LÄN</t>
        </is>
      </c>
      <c r="E387" t="inlineStr">
        <is>
          <t>ÖSTHAMMAR</t>
        </is>
      </c>
      <c r="G387" t="n">
        <v>0.8</v>
      </c>
      <c r="H387" t="n">
        <v>0</v>
      </c>
      <c r="I387" t="n">
        <v>0</v>
      </c>
      <c r="J387" t="n">
        <v>0</v>
      </c>
      <c r="K387" t="n">
        <v>0</v>
      </c>
      <c r="L387" t="n">
        <v>0</v>
      </c>
      <c r="M387" t="n">
        <v>0</v>
      </c>
      <c r="N387" t="n">
        <v>0</v>
      </c>
      <c r="O387" t="n">
        <v>0</v>
      </c>
      <c r="P387" t="n">
        <v>0</v>
      </c>
      <c r="Q387" t="n">
        <v>0</v>
      </c>
      <c r="R387" s="2" t="inlineStr"/>
    </row>
    <row r="388" ht="15" customHeight="1">
      <c r="A388" t="inlineStr">
        <is>
          <t>A 36857-2023</t>
        </is>
      </c>
      <c r="B388" s="1" t="n">
        <v>45154.55175925926</v>
      </c>
      <c r="C388" s="1" t="n">
        <v>45999</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6206-2022</t>
        </is>
      </c>
      <c r="B389" s="1" t="n">
        <v>44600.35755787037</v>
      </c>
      <c r="C389" s="1" t="n">
        <v>45999</v>
      </c>
      <c r="D389" t="inlineStr">
        <is>
          <t>UPPSALA LÄN</t>
        </is>
      </c>
      <c r="E389" t="inlineStr">
        <is>
          <t>ÖSTHAMMAR</t>
        </is>
      </c>
      <c r="G389" t="n">
        <v>7.4</v>
      </c>
      <c r="H389" t="n">
        <v>0</v>
      </c>
      <c r="I389" t="n">
        <v>0</v>
      </c>
      <c r="J389" t="n">
        <v>0</v>
      </c>
      <c r="K389" t="n">
        <v>0</v>
      </c>
      <c r="L389" t="n">
        <v>0</v>
      </c>
      <c r="M389" t="n">
        <v>0</v>
      </c>
      <c r="N389" t="n">
        <v>0</v>
      </c>
      <c r="O389" t="n">
        <v>0</v>
      </c>
      <c r="P389" t="n">
        <v>0</v>
      </c>
      <c r="Q389" t="n">
        <v>0</v>
      </c>
      <c r="R389" s="2" t="inlineStr"/>
    </row>
    <row r="390" ht="15" customHeight="1">
      <c r="A390" t="inlineStr">
        <is>
          <t>A 6143-2022</t>
        </is>
      </c>
      <c r="B390" s="1" t="n">
        <v>44599.72306712963</v>
      </c>
      <c r="C390" s="1" t="n">
        <v>45999</v>
      </c>
      <c r="D390" t="inlineStr">
        <is>
          <t>UPPSALA LÄN</t>
        </is>
      </c>
      <c r="E390" t="inlineStr">
        <is>
          <t>ÖSTHAMMAR</t>
        </is>
      </c>
      <c r="G390" t="n">
        <v>3.4</v>
      </c>
      <c r="H390" t="n">
        <v>0</v>
      </c>
      <c r="I390" t="n">
        <v>0</v>
      </c>
      <c r="J390" t="n">
        <v>0</v>
      </c>
      <c r="K390" t="n">
        <v>0</v>
      </c>
      <c r="L390" t="n">
        <v>0</v>
      </c>
      <c r="M390" t="n">
        <v>0</v>
      </c>
      <c r="N390" t="n">
        <v>0</v>
      </c>
      <c r="O390" t="n">
        <v>0</v>
      </c>
      <c r="P390" t="n">
        <v>0</v>
      </c>
      <c r="Q390" t="n">
        <v>0</v>
      </c>
      <c r="R390" s="2" t="inlineStr"/>
    </row>
    <row r="391" ht="15" customHeight="1">
      <c r="A391" t="inlineStr">
        <is>
          <t>A 3514-2023</t>
        </is>
      </c>
      <c r="B391" s="1" t="n">
        <v>44950</v>
      </c>
      <c r="C391" s="1" t="n">
        <v>45999</v>
      </c>
      <c r="D391" t="inlineStr">
        <is>
          <t>UPPSALA LÄN</t>
        </is>
      </c>
      <c r="E391" t="inlineStr">
        <is>
          <t>ÖSTHAMMAR</t>
        </is>
      </c>
      <c r="F391" t="inlineStr">
        <is>
          <t>Övriga Aktiebolag</t>
        </is>
      </c>
      <c r="G391" t="n">
        <v>1.9</v>
      </c>
      <c r="H391" t="n">
        <v>0</v>
      </c>
      <c r="I391" t="n">
        <v>0</v>
      </c>
      <c r="J391" t="n">
        <v>0</v>
      </c>
      <c r="K391" t="n">
        <v>0</v>
      </c>
      <c r="L391" t="n">
        <v>0</v>
      </c>
      <c r="M391" t="n">
        <v>0</v>
      </c>
      <c r="N391" t="n">
        <v>0</v>
      </c>
      <c r="O391" t="n">
        <v>0</v>
      </c>
      <c r="P391" t="n">
        <v>0</v>
      </c>
      <c r="Q391" t="n">
        <v>0</v>
      </c>
      <c r="R391" s="2" t="inlineStr"/>
    </row>
    <row r="392" ht="15" customHeight="1">
      <c r="A392" t="inlineStr">
        <is>
          <t>A 45561-2023</t>
        </is>
      </c>
      <c r="B392" s="1" t="n">
        <v>45194.59335648148</v>
      </c>
      <c r="C392" s="1" t="n">
        <v>45999</v>
      </c>
      <c r="D392" t="inlineStr">
        <is>
          <t>UPPSALA LÄN</t>
        </is>
      </c>
      <c r="E392" t="inlineStr">
        <is>
          <t>ÖSTHAMMAR</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5303-2025</t>
        </is>
      </c>
      <c r="B393" s="1" t="n">
        <v>45692</v>
      </c>
      <c r="C393" s="1" t="n">
        <v>45999</v>
      </c>
      <c r="D393" t="inlineStr">
        <is>
          <t>UPPSALA LÄN</t>
        </is>
      </c>
      <c r="E393" t="inlineStr">
        <is>
          <t>ÖSTHAMMAR</t>
        </is>
      </c>
      <c r="G393" t="n">
        <v>5</v>
      </c>
      <c r="H393" t="n">
        <v>0</v>
      </c>
      <c r="I393" t="n">
        <v>0</v>
      </c>
      <c r="J393" t="n">
        <v>0</v>
      </c>
      <c r="K393" t="n">
        <v>0</v>
      </c>
      <c r="L393" t="n">
        <v>0</v>
      </c>
      <c r="M393" t="n">
        <v>0</v>
      </c>
      <c r="N393" t="n">
        <v>0</v>
      </c>
      <c r="O393" t="n">
        <v>0</v>
      </c>
      <c r="P393" t="n">
        <v>0</v>
      </c>
      <c r="Q393" t="n">
        <v>0</v>
      </c>
      <c r="R393" s="2" t="inlineStr"/>
    </row>
    <row r="394" ht="15" customHeight="1">
      <c r="A394" t="inlineStr">
        <is>
          <t>A 24493-2023</t>
        </is>
      </c>
      <c r="B394" s="1" t="n">
        <v>45082.62603009259</v>
      </c>
      <c r="C394" s="1" t="n">
        <v>45999</v>
      </c>
      <c r="D394" t="inlineStr">
        <is>
          <t>UPPSALA LÄN</t>
        </is>
      </c>
      <c r="E394" t="inlineStr">
        <is>
          <t>ÖSTHAMMAR</t>
        </is>
      </c>
      <c r="G394" t="n">
        <v>1.9</v>
      </c>
      <c r="H394" t="n">
        <v>0</v>
      </c>
      <c r="I394" t="n">
        <v>0</v>
      </c>
      <c r="J394" t="n">
        <v>0</v>
      </c>
      <c r="K394" t="n">
        <v>0</v>
      </c>
      <c r="L394" t="n">
        <v>0</v>
      </c>
      <c r="M394" t="n">
        <v>0</v>
      </c>
      <c r="N394" t="n">
        <v>0</v>
      </c>
      <c r="O394" t="n">
        <v>0</v>
      </c>
      <c r="P394" t="n">
        <v>0</v>
      </c>
      <c r="Q394" t="n">
        <v>0</v>
      </c>
      <c r="R394" s="2" t="inlineStr"/>
    </row>
    <row r="395" ht="15" customHeight="1">
      <c r="A395" t="inlineStr">
        <is>
          <t>A 34742-2022</t>
        </is>
      </c>
      <c r="B395" s="1" t="n">
        <v>44795.61990740741</v>
      </c>
      <c r="C395" s="1" t="n">
        <v>45999</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13622-2025</t>
        </is>
      </c>
      <c r="B396" s="1" t="n">
        <v>45736</v>
      </c>
      <c r="C396" s="1" t="n">
        <v>45999</v>
      </c>
      <c r="D396" t="inlineStr">
        <is>
          <t>UPPSALA LÄN</t>
        </is>
      </c>
      <c r="E396" t="inlineStr">
        <is>
          <t>ÖSTHAMMAR</t>
        </is>
      </c>
      <c r="G396" t="n">
        <v>2.6</v>
      </c>
      <c r="H396" t="n">
        <v>0</v>
      </c>
      <c r="I396" t="n">
        <v>0</v>
      </c>
      <c r="J396" t="n">
        <v>0</v>
      </c>
      <c r="K396" t="n">
        <v>0</v>
      </c>
      <c r="L396" t="n">
        <v>0</v>
      </c>
      <c r="M396" t="n">
        <v>0</v>
      </c>
      <c r="N396" t="n">
        <v>0</v>
      </c>
      <c r="O396" t="n">
        <v>0</v>
      </c>
      <c r="P396" t="n">
        <v>0</v>
      </c>
      <c r="Q396" t="n">
        <v>0</v>
      </c>
      <c r="R396" s="2" t="inlineStr"/>
    </row>
    <row r="397" ht="15" customHeight="1">
      <c r="A397" t="inlineStr">
        <is>
          <t>A 43439-2024</t>
        </is>
      </c>
      <c r="B397" s="1" t="n">
        <v>45568</v>
      </c>
      <c r="C397" s="1" t="n">
        <v>45999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46399-2023</t>
        </is>
      </c>
      <c r="B398" s="1" t="n">
        <v>45197.49262731482</v>
      </c>
      <c r="C398" s="1" t="n">
        <v>45999</v>
      </c>
      <c r="D398" t="inlineStr">
        <is>
          <t>UPPSALA LÄN</t>
        </is>
      </c>
      <c r="E398" t="inlineStr">
        <is>
          <t>ÖSTHAMMAR</t>
        </is>
      </c>
      <c r="G398" t="n">
        <v>5.8</v>
      </c>
      <c r="H398" t="n">
        <v>0</v>
      </c>
      <c r="I398" t="n">
        <v>0</v>
      </c>
      <c r="J398" t="n">
        <v>0</v>
      </c>
      <c r="K398" t="n">
        <v>0</v>
      </c>
      <c r="L398" t="n">
        <v>0</v>
      </c>
      <c r="M398" t="n">
        <v>0</v>
      </c>
      <c r="N398" t="n">
        <v>0</v>
      </c>
      <c r="O398" t="n">
        <v>0</v>
      </c>
      <c r="P398" t="n">
        <v>0</v>
      </c>
      <c r="Q398" t="n">
        <v>0</v>
      </c>
      <c r="R398" s="2" t="inlineStr"/>
    </row>
    <row r="399" ht="15" customHeight="1">
      <c r="A399" t="inlineStr">
        <is>
          <t>A 13358-2024</t>
        </is>
      </c>
      <c r="B399" s="1" t="n">
        <v>45387.3503125</v>
      </c>
      <c r="C399" s="1" t="n">
        <v>45999</v>
      </c>
      <c r="D399" t="inlineStr">
        <is>
          <t>UPPSALA LÄN</t>
        </is>
      </c>
      <c r="E399" t="inlineStr">
        <is>
          <t>ÖSTHAMMAR</t>
        </is>
      </c>
      <c r="G399" t="n">
        <v>2.2</v>
      </c>
      <c r="H399" t="n">
        <v>0</v>
      </c>
      <c r="I399" t="n">
        <v>0</v>
      </c>
      <c r="J399" t="n">
        <v>0</v>
      </c>
      <c r="K399" t="n">
        <v>0</v>
      </c>
      <c r="L399" t="n">
        <v>0</v>
      </c>
      <c r="M399" t="n">
        <v>0</v>
      </c>
      <c r="N399" t="n">
        <v>0</v>
      </c>
      <c r="O399" t="n">
        <v>0</v>
      </c>
      <c r="P399" t="n">
        <v>0</v>
      </c>
      <c r="Q399" t="n">
        <v>0</v>
      </c>
      <c r="R399" s="2" t="inlineStr"/>
    </row>
    <row r="400" ht="15" customHeight="1">
      <c r="A400" t="inlineStr">
        <is>
          <t>A 59880-2022</t>
        </is>
      </c>
      <c r="B400" s="1" t="n">
        <v>44908.69575231482</v>
      </c>
      <c r="C400" s="1" t="n">
        <v>45999</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55079-2024</t>
        </is>
      </c>
      <c r="B401" s="1" t="n">
        <v>45621.42747685185</v>
      </c>
      <c r="C401" s="1" t="n">
        <v>45999</v>
      </c>
      <c r="D401" t="inlineStr">
        <is>
          <t>UPPSALA LÄN</t>
        </is>
      </c>
      <c r="E401" t="inlineStr">
        <is>
          <t>ÖSTHAMMAR</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36873-2022</t>
        </is>
      </c>
      <c r="B402" s="1" t="n">
        <v>44805.63708333333</v>
      </c>
      <c r="C402" s="1" t="n">
        <v>45999</v>
      </c>
      <c r="D402" t="inlineStr">
        <is>
          <t>UPPSALA LÄN</t>
        </is>
      </c>
      <c r="E402" t="inlineStr">
        <is>
          <t>ÖSTHAMMAR</t>
        </is>
      </c>
      <c r="G402" t="n">
        <v>2.5</v>
      </c>
      <c r="H402" t="n">
        <v>0</v>
      </c>
      <c r="I402" t="n">
        <v>0</v>
      </c>
      <c r="J402" t="n">
        <v>0</v>
      </c>
      <c r="K402" t="n">
        <v>0</v>
      </c>
      <c r="L402" t="n">
        <v>0</v>
      </c>
      <c r="M402" t="n">
        <v>0</v>
      </c>
      <c r="N402" t="n">
        <v>0</v>
      </c>
      <c r="O402" t="n">
        <v>0</v>
      </c>
      <c r="P402" t="n">
        <v>0</v>
      </c>
      <c r="Q402" t="n">
        <v>0</v>
      </c>
      <c r="R402" s="2" t="inlineStr"/>
    </row>
    <row r="403" ht="15" customHeight="1">
      <c r="A403" t="inlineStr">
        <is>
          <t>A 53733-2023</t>
        </is>
      </c>
      <c r="B403" s="1" t="n">
        <v>45230.76862268519</v>
      </c>
      <c r="C403" s="1" t="n">
        <v>45999</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53735-2023</t>
        </is>
      </c>
      <c r="B404" s="1" t="n">
        <v>45230.77258101852</v>
      </c>
      <c r="C404" s="1" t="n">
        <v>45999</v>
      </c>
      <c r="D404" t="inlineStr">
        <is>
          <t>UPPSALA LÄN</t>
        </is>
      </c>
      <c r="E404" t="inlineStr">
        <is>
          <t>ÖSTHAMMAR</t>
        </is>
      </c>
      <c r="G404" t="n">
        <v>1.1</v>
      </c>
      <c r="H404" t="n">
        <v>0</v>
      </c>
      <c r="I404" t="n">
        <v>0</v>
      </c>
      <c r="J404" t="n">
        <v>0</v>
      </c>
      <c r="K404" t="n">
        <v>0</v>
      </c>
      <c r="L404" t="n">
        <v>0</v>
      </c>
      <c r="M404" t="n">
        <v>0</v>
      </c>
      <c r="N404" t="n">
        <v>0</v>
      </c>
      <c r="O404" t="n">
        <v>0</v>
      </c>
      <c r="P404" t="n">
        <v>0</v>
      </c>
      <c r="Q404" t="n">
        <v>0</v>
      </c>
      <c r="R404" s="2" t="inlineStr"/>
    </row>
    <row r="405" ht="15" customHeight="1">
      <c r="A405" t="inlineStr">
        <is>
          <t>A 4562-2022</t>
        </is>
      </c>
      <c r="B405" s="1" t="n">
        <v>44591</v>
      </c>
      <c r="C405" s="1" t="n">
        <v>45999</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21522-2022</t>
        </is>
      </c>
      <c r="B406" s="1" t="n">
        <v>44706</v>
      </c>
      <c r="C406" s="1" t="n">
        <v>45999</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14187-2022</t>
        </is>
      </c>
      <c r="B407" s="1" t="n">
        <v>44651.5625</v>
      </c>
      <c r="C407" s="1" t="n">
        <v>45999</v>
      </c>
      <c r="D407" t="inlineStr">
        <is>
          <t>UPPSALA LÄN</t>
        </is>
      </c>
      <c r="E407" t="inlineStr">
        <is>
          <t>ÖSTHAMMAR</t>
        </is>
      </c>
      <c r="F407" t="inlineStr">
        <is>
          <t>Övriga Aktiebolag</t>
        </is>
      </c>
      <c r="G407" t="n">
        <v>14.1</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45999</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4676-2025</t>
        </is>
      </c>
      <c r="B409" s="1" t="n">
        <v>45687.8313425926</v>
      </c>
      <c r="C409" s="1" t="n">
        <v>45999</v>
      </c>
      <c r="D409" t="inlineStr">
        <is>
          <t>UPPSALA LÄN</t>
        </is>
      </c>
      <c r="E409" t="inlineStr">
        <is>
          <t>ÖSTHAMMAR</t>
        </is>
      </c>
      <c r="G409" t="n">
        <v>3.7</v>
      </c>
      <c r="H409" t="n">
        <v>0</v>
      </c>
      <c r="I409" t="n">
        <v>0</v>
      </c>
      <c r="J409" t="n">
        <v>0</v>
      </c>
      <c r="K409" t="n">
        <v>0</v>
      </c>
      <c r="L409" t="n">
        <v>0</v>
      </c>
      <c r="M409" t="n">
        <v>0</v>
      </c>
      <c r="N409" t="n">
        <v>0</v>
      </c>
      <c r="O409" t="n">
        <v>0</v>
      </c>
      <c r="P409" t="n">
        <v>0</v>
      </c>
      <c r="Q409" t="n">
        <v>0</v>
      </c>
      <c r="R409" s="2" t="inlineStr"/>
    </row>
    <row r="410" ht="15" customHeight="1">
      <c r="A410" t="inlineStr">
        <is>
          <t>A 55837-2023</t>
        </is>
      </c>
      <c r="B410" s="1" t="n">
        <v>45239</v>
      </c>
      <c r="C410" s="1" t="n">
        <v>45999</v>
      </c>
      <c r="D410" t="inlineStr">
        <is>
          <t>UPPSALA LÄN</t>
        </is>
      </c>
      <c r="E410" t="inlineStr">
        <is>
          <t>ÖSTHAMMAR</t>
        </is>
      </c>
      <c r="G410" t="n">
        <v>0.5</v>
      </c>
      <c r="H410" t="n">
        <v>0</v>
      </c>
      <c r="I410" t="n">
        <v>0</v>
      </c>
      <c r="J410" t="n">
        <v>0</v>
      </c>
      <c r="K410" t="n">
        <v>0</v>
      </c>
      <c r="L410" t="n">
        <v>0</v>
      </c>
      <c r="M410" t="n">
        <v>0</v>
      </c>
      <c r="N410" t="n">
        <v>0</v>
      </c>
      <c r="O410" t="n">
        <v>0</v>
      </c>
      <c r="P410" t="n">
        <v>0</v>
      </c>
      <c r="Q410" t="n">
        <v>0</v>
      </c>
      <c r="R410" s="2" t="inlineStr"/>
    </row>
    <row r="411" ht="15" customHeight="1">
      <c r="A411" t="inlineStr">
        <is>
          <t>A 4099-2025</t>
        </is>
      </c>
      <c r="B411" s="1" t="n">
        <v>45684</v>
      </c>
      <c r="C411" s="1" t="n">
        <v>45999</v>
      </c>
      <c r="D411" t="inlineStr">
        <is>
          <t>UPPSALA LÄN</t>
        </is>
      </c>
      <c r="E411" t="inlineStr">
        <is>
          <t>ÖSTHAMMAR</t>
        </is>
      </c>
      <c r="G411" t="n">
        <v>0.7</v>
      </c>
      <c r="H411" t="n">
        <v>0</v>
      </c>
      <c r="I411" t="n">
        <v>0</v>
      </c>
      <c r="J411" t="n">
        <v>0</v>
      </c>
      <c r="K411" t="n">
        <v>0</v>
      </c>
      <c r="L411" t="n">
        <v>0</v>
      </c>
      <c r="M411" t="n">
        <v>0</v>
      </c>
      <c r="N411" t="n">
        <v>0</v>
      </c>
      <c r="O411" t="n">
        <v>0</v>
      </c>
      <c r="P411" t="n">
        <v>0</v>
      </c>
      <c r="Q411" t="n">
        <v>0</v>
      </c>
      <c r="R411" s="2" t="inlineStr"/>
    </row>
    <row r="412" ht="15" customHeight="1">
      <c r="A412" t="inlineStr">
        <is>
          <t>A 13093-2022</t>
        </is>
      </c>
      <c r="B412" s="1" t="n">
        <v>44643.93269675926</v>
      </c>
      <c r="C412" s="1" t="n">
        <v>45999</v>
      </c>
      <c r="D412" t="inlineStr">
        <is>
          <t>UPPSALA LÄN</t>
        </is>
      </c>
      <c r="E412" t="inlineStr">
        <is>
          <t>ÖSTHAMMAR</t>
        </is>
      </c>
      <c r="F412" t="inlineStr">
        <is>
          <t>Bergvik skog öst AB</t>
        </is>
      </c>
      <c r="G412" t="n">
        <v>3.2</v>
      </c>
      <c r="H412" t="n">
        <v>0</v>
      </c>
      <c r="I412" t="n">
        <v>0</v>
      </c>
      <c r="J412" t="n">
        <v>0</v>
      </c>
      <c r="K412" t="n">
        <v>0</v>
      </c>
      <c r="L412" t="n">
        <v>0</v>
      </c>
      <c r="M412" t="n">
        <v>0</v>
      </c>
      <c r="N412" t="n">
        <v>0</v>
      </c>
      <c r="O412" t="n">
        <v>0</v>
      </c>
      <c r="P412" t="n">
        <v>0</v>
      </c>
      <c r="Q412" t="n">
        <v>0</v>
      </c>
      <c r="R412" s="2" t="inlineStr"/>
    </row>
    <row r="413" ht="15" customHeight="1">
      <c r="A413" t="inlineStr">
        <is>
          <t>A 41538-2021</t>
        </is>
      </c>
      <c r="B413" s="1" t="n">
        <v>44425.35016203704</v>
      </c>
      <c r="C413" s="1" t="n">
        <v>45999</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45795-2023</t>
        </is>
      </c>
      <c r="B414" s="1" t="n">
        <v>45195</v>
      </c>
      <c r="C414" s="1" t="n">
        <v>45999</v>
      </c>
      <c r="D414" t="inlineStr">
        <is>
          <t>UPPSALA LÄN</t>
        </is>
      </c>
      <c r="E414" t="inlineStr">
        <is>
          <t>ÖSTHAMMAR</t>
        </is>
      </c>
      <c r="G414" t="n">
        <v>4</v>
      </c>
      <c r="H414" t="n">
        <v>0</v>
      </c>
      <c r="I414" t="n">
        <v>0</v>
      </c>
      <c r="J414" t="n">
        <v>0</v>
      </c>
      <c r="K414" t="n">
        <v>0</v>
      </c>
      <c r="L414" t="n">
        <v>0</v>
      </c>
      <c r="M414" t="n">
        <v>0</v>
      </c>
      <c r="N414" t="n">
        <v>0</v>
      </c>
      <c r="O414" t="n">
        <v>0</v>
      </c>
      <c r="P414" t="n">
        <v>0</v>
      </c>
      <c r="Q414" t="n">
        <v>0</v>
      </c>
      <c r="R414" s="2" t="inlineStr"/>
    </row>
    <row r="415" ht="15" customHeight="1">
      <c r="A415" t="inlineStr">
        <is>
          <t>A 36301-2023</t>
        </is>
      </c>
      <c r="B415" s="1" t="n">
        <v>45152.37296296296</v>
      </c>
      <c r="C415" s="1" t="n">
        <v>45999</v>
      </c>
      <c r="D415" t="inlineStr">
        <is>
          <t>UPPSALA LÄN</t>
        </is>
      </c>
      <c r="E415" t="inlineStr">
        <is>
          <t>ÖSTHAMMAR</t>
        </is>
      </c>
      <c r="G415" t="n">
        <v>0.9</v>
      </c>
      <c r="H415" t="n">
        <v>0</v>
      </c>
      <c r="I415" t="n">
        <v>0</v>
      </c>
      <c r="J415" t="n">
        <v>0</v>
      </c>
      <c r="K415" t="n">
        <v>0</v>
      </c>
      <c r="L415" t="n">
        <v>0</v>
      </c>
      <c r="M415" t="n">
        <v>0</v>
      </c>
      <c r="N415" t="n">
        <v>0</v>
      </c>
      <c r="O415" t="n">
        <v>0</v>
      </c>
      <c r="P415" t="n">
        <v>0</v>
      </c>
      <c r="Q415" t="n">
        <v>0</v>
      </c>
      <c r="R415" s="2" t="inlineStr"/>
    </row>
    <row r="416" ht="15" customHeight="1">
      <c r="A416" t="inlineStr">
        <is>
          <t>A 38600-2023</t>
        </is>
      </c>
      <c r="B416" s="1" t="n">
        <v>45162</v>
      </c>
      <c r="C416" s="1" t="n">
        <v>45999</v>
      </c>
      <c r="D416" t="inlineStr">
        <is>
          <t>UPPSALA LÄN</t>
        </is>
      </c>
      <c r="E416" t="inlineStr">
        <is>
          <t>ÖSTHAMMAR</t>
        </is>
      </c>
      <c r="F416" t="inlineStr">
        <is>
          <t>Bergvik skog väst AB</t>
        </is>
      </c>
      <c r="G416" t="n">
        <v>0.1</v>
      </c>
      <c r="H416" t="n">
        <v>0</v>
      </c>
      <c r="I416" t="n">
        <v>0</v>
      </c>
      <c r="J416" t="n">
        <v>0</v>
      </c>
      <c r="K416" t="n">
        <v>0</v>
      </c>
      <c r="L416" t="n">
        <v>0</v>
      </c>
      <c r="M416" t="n">
        <v>0</v>
      </c>
      <c r="N416" t="n">
        <v>0</v>
      </c>
      <c r="O416" t="n">
        <v>0</v>
      </c>
      <c r="P416" t="n">
        <v>0</v>
      </c>
      <c r="Q416" t="n">
        <v>0</v>
      </c>
      <c r="R416" s="2" t="inlineStr"/>
    </row>
    <row r="417" ht="15" customHeight="1">
      <c r="A417" t="inlineStr">
        <is>
          <t>A 8624-2025</t>
        </is>
      </c>
      <c r="B417" s="1" t="n">
        <v>45711.52333333333</v>
      </c>
      <c r="C417" s="1" t="n">
        <v>45999</v>
      </c>
      <c r="D417" t="inlineStr">
        <is>
          <t>UPPSALA LÄN</t>
        </is>
      </c>
      <c r="E417" t="inlineStr">
        <is>
          <t>ÖSTHAMMAR</t>
        </is>
      </c>
      <c r="F417" t="inlineStr">
        <is>
          <t>Bergvik skog väst AB</t>
        </is>
      </c>
      <c r="G417" t="n">
        <v>2.8</v>
      </c>
      <c r="H417" t="n">
        <v>0</v>
      </c>
      <c r="I417" t="n">
        <v>0</v>
      </c>
      <c r="J417" t="n">
        <v>0</v>
      </c>
      <c r="K417" t="n">
        <v>0</v>
      </c>
      <c r="L417" t="n">
        <v>0</v>
      </c>
      <c r="M417" t="n">
        <v>0</v>
      </c>
      <c r="N417" t="n">
        <v>0</v>
      </c>
      <c r="O417" t="n">
        <v>0</v>
      </c>
      <c r="P417" t="n">
        <v>0</v>
      </c>
      <c r="Q417" t="n">
        <v>0</v>
      </c>
      <c r="R417" s="2" t="inlineStr"/>
    </row>
    <row r="418" ht="15" customHeight="1">
      <c r="A418" t="inlineStr">
        <is>
          <t>A 17644-2025</t>
        </is>
      </c>
      <c r="B418" s="1" t="n">
        <v>45758.32645833334</v>
      </c>
      <c r="C418" s="1" t="n">
        <v>45999</v>
      </c>
      <c r="D418" t="inlineStr">
        <is>
          <t>UPPSALA LÄN</t>
        </is>
      </c>
      <c r="E418" t="inlineStr">
        <is>
          <t>ÖSTHAMMAR</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20385-2025</t>
        </is>
      </c>
      <c r="B419" s="1" t="n">
        <v>45775.44483796296</v>
      </c>
      <c r="C419" s="1" t="n">
        <v>45999</v>
      </c>
      <c r="D419" t="inlineStr">
        <is>
          <t>UPPSALA LÄN</t>
        </is>
      </c>
      <c r="E419" t="inlineStr">
        <is>
          <t>ÖSTHAMMAR</t>
        </is>
      </c>
      <c r="G419" t="n">
        <v>1.9</v>
      </c>
      <c r="H419" t="n">
        <v>0</v>
      </c>
      <c r="I419" t="n">
        <v>0</v>
      </c>
      <c r="J419" t="n">
        <v>0</v>
      </c>
      <c r="K419" t="n">
        <v>0</v>
      </c>
      <c r="L419" t="n">
        <v>0</v>
      </c>
      <c r="M419" t="n">
        <v>0</v>
      </c>
      <c r="N419" t="n">
        <v>0</v>
      </c>
      <c r="O419" t="n">
        <v>0</v>
      </c>
      <c r="P419" t="n">
        <v>0</v>
      </c>
      <c r="Q419" t="n">
        <v>0</v>
      </c>
      <c r="R419" s="2" t="inlineStr"/>
    </row>
    <row r="420" ht="15" customHeight="1">
      <c r="A420" t="inlineStr">
        <is>
          <t>A 28429-2023</t>
        </is>
      </c>
      <c r="B420" s="1" t="n">
        <v>45102.58728009259</v>
      </c>
      <c r="C420" s="1" t="n">
        <v>45999</v>
      </c>
      <c r="D420" t="inlineStr">
        <is>
          <t>UPPSALA LÄN</t>
        </is>
      </c>
      <c r="E420" t="inlineStr">
        <is>
          <t>ÖSTHAMMAR</t>
        </is>
      </c>
      <c r="F420" t="inlineStr">
        <is>
          <t>Bergvik skog öst AB</t>
        </is>
      </c>
      <c r="G420" t="n">
        <v>0.9</v>
      </c>
      <c r="H420" t="n">
        <v>0</v>
      </c>
      <c r="I420" t="n">
        <v>0</v>
      </c>
      <c r="J420" t="n">
        <v>0</v>
      </c>
      <c r="K420" t="n">
        <v>0</v>
      </c>
      <c r="L420" t="n">
        <v>0</v>
      </c>
      <c r="M420" t="n">
        <v>0</v>
      </c>
      <c r="N420" t="n">
        <v>0</v>
      </c>
      <c r="O420" t="n">
        <v>0</v>
      </c>
      <c r="P420" t="n">
        <v>0</v>
      </c>
      <c r="Q420" t="n">
        <v>0</v>
      </c>
      <c r="R420" s="2" t="inlineStr"/>
    </row>
    <row r="421" ht="15" customHeight="1">
      <c r="A421" t="inlineStr">
        <is>
          <t>A 35309-2023</t>
        </is>
      </c>
      <c r="B421" s="1" t="n">
        <v>45146</v>
      </c>
      <c r="C421" s="1" t="n">
        <v>45999</v>
      </c>
      <c r="D421" t="inlineStr">
        <is>
          <t>UPPSALA LÄN</t>
        </is>
      </c>
      <c r="E421" t="inlineStr">
        <is>
          <t>ÖSTHAMMAR</t>
        </is>
      </c>
      <c r="G421" t="n">
        <v>1.3</v>
      </c>
      <c r="H421" t="n">
        <v>0</v>
      </c>
      <c r="I421" t="n">
        <v>0</v>
      </c>
      <c r="J421" t="n">
        <v>0</v>
      </c>
      <c r="K421" t="n">
        <v>0</v>
      </c>
      <c r="L421" t="n">
        <v>0</v>
      </c>
      <c r="M421" t="n">
        <v>0</v>
      </c>
      <c r="N421" t="n">
        <v>0</v>
      </c>
      <c r="O421" t="n">
        <v>0</v>
      </c>
      <c r="P421" t="n">
        <v>0</v>
      </c>
      <c r="Q421" t="n">
        <v>0</v>
      </c>
      <c r="R421" s="2" t="inlineStr"/>
    </row>
    <row r="422" ht="15" customHeight="1">
      <c r="A422" t="inlineStr">
        <is>
          <t>A 835-2025</t>
        </is>
      </c>
      <c r="B422" s="1" t="n">
        <v>45665.58465277778</v>
      </c>
      <c r="C422" s="1" t="n">
        <v>45999</v>
      </c>
      <c r="D422" t="inlineStr">
        <is>
          <t>UPPSALA LÄN</t>
        </is>
      </c>
      <c r="E422" t="inlineStr">
        <is>
          <t>ÖSTHAMMAR</t>
        </is>
      </c>
      <c r="F422" t="inlineStr">
        <is>
          <t>Övriga Aktiebolag</t>
        </is>
      </c>
      <c r="G422" t="n">
        <v>4.8</v>
      </c>
      <c r="H422" t="n">
        <v>0</v>
      </c>
      <c r="I422" t="n">
        <v>0</v>
      </c>
      <c r="J422" t="n">
        <v>0</v>
      </c>
      <c r="K422" t="n">
        <v>0</v>
      </c>
      <c r="L422" t="n">
        <v>0</v>
      </c>
      <c r="M422" t="n">
        <v>0</v>
      </c>
      <c r="N422" t="n">
        <v>0</v>
      </c>
      <c r="O422" t="n">
        <v>0</v>
      </c>
      <c r="P422" t="n">
        <v>0</v>
      </c>
      <c r="Q422" t="n">
        <v>0</v>
      </c>
      <c r="R422" s="2" t="inlineStr"/>
    </row>
    <row r="423" ht="15" customHeight="1">
      <c r="A423" t="inlineStr">
        <is>
          <t>A 67199-2021</t>
        </is>
      </c>
      <c r="B423" s="1" t="n">
        <v>44523.46197916667</v>
      </c>
      <c r="C423" s="1" t="n">
        <v>45999</v>
      </c>
      <c r="D423" t="inlineStr">
        <is>
          <t>UPPSALA LÄN</t>
        </is>
      </c>
      <c r="E423" t="inlineStr">
        <is>
          <t>ÖSTHAMMAR</t>
        </is>
      </c>
      <c r="G423" t="n">
        <v>2.3</v>
      </c>
      <c r="H423" t="n">
        <v>0</v>
      </c>
      <c r="I423" t="n">
        <v>0</v>
      </c>
      <c r="J423" t="n">
        <v>0</v>
      </c>
      <c r="K423" t="n">
        <v>0</v>
      </c>
      <c r="L423" t="n">
        <v>0</v>
      </c>
      <c r="M423" t="n">
        <v>0</v>
      </c>
      <c r="N423" t="n">
        <v>0</v>
      </c>
      <c r="O423" t="n">
        <v>0</v>
      </c>
      <c r="P423" t="n">
        <v>0</v>
      </c>
      <c r="Q423" t="n">
        <v>0</v>
      </c>
      <c r="R423" s="2" t="inlineStr"/>
    </row>
    <row r="424" ht="15" customHeight="1">
      <c r="A424" t="inlineStr">
        <is>
          <t>A 24259-2022</t>
        </is>
      </c>
      <c r="B424" s="1" t="n">
        <v>44725</v>
      </c>
      <c r="C424" s="1" t="n">
        <v>45999</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24367-2022</t>
        </is>
      </c>
      <c r="B425" s="1" t="n">
        <v>44726.42716435185</v>
      </c>
      <c r="C425" s="1" t="n">
        <v>45999</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49897-2023</t>
        </is>
      </c>
      <c r="B426" s="1" t="n">
        <v>45213.84846064815</v>
      </c>
      <c r="C426" s="1" t="n">
        <v>45999</v>
      </c>
      <c r="D426" t="inlineStr">
        <is>
          <t>UPPSALA LÄN</t>
        </is>
      </c>
      <c r="E426" t="inlineStr">
        <is>
          <t>ÖSTHAMMAR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34922-2023</t>
        </is>
      </c>
      <c r="B427" s="1" t="n">
        <v>45142.48359953704</v>
      </c>
      <c r="C427" s="1" t="n">
        <v>45999</v>
      </c>
      <c r="D427" t="inlineStr">
        <is>
          <t>UPPSALA LÄN</t>
        </is>
      </c>
      <c r="E427" t="inlineStr">
        <is>
          <t>ÖSTHAMMAR</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45999</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45999</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31669-2022</t>
        </is>
      </c>
      <c r="B430" s="1" t="n">
        <v>44775</v>
      </c>
      <c r="C430" s="1" t="n">
        <v>45999</v>
      </c>
      <c r="D430" t="inlineStr">
        <is>
          <t>UPPSALA LÄN</t>
        </is>
      </c>
      <c r="E430" t="inlineStr">
        <is>
          <t>ÖSTHAMMAR</t>
        </is>
      </c>
      <c r="G430" t="n">
        <v>6</v>
      </c>
      <c r="H430" t="n">
        <v>0</v>
      </c>
      <c r="I430" t="n">
        <v>0</v>
      </c>
      <c r="J430" t="n">
        <v>0</v>
      </c>
      <c r="K430" t="n">
        <v>0</v>
      </c>
      <c r="L430" t="n">
        <v>0</v>
      </c>
      <c r="M430" t="n">
        <v>0</v>
      </c>
      <c r="N430" t="n">
        <v>0</v>
      </c>
      <c r="O430" t="n">
        <v>0</v>
      </c>
      <c r="P430" t="n">
        <v>0</v>
      </c>
      <c r="Q430" t="n">
        <v>0</v>
      </c>
      <c r="R430" s="2" t="inlineStr"/>
    </row>
    <row r="431" ht="15" customHeight="1">
      <c r="A431" t="inlineStr">
        <is>
          <t>A 4304-2025</t>
        </is>
      </c>
      <c r="B431" s="1" t="n">
        <v>45685.68193287037</v>
      </c>
      <c r="C431" s="1" t="n">
        <v>45999</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28170-2023</t>
        </is>
      </c>
      <c r="B432" s="1" t="n">
        <v>45093</v>
      </c>
      <c r="C432" s="1" t="n">
        <v>45999</v>
      </c>
      <c r="D432" t="inlineStr">
        <is>
          <t>UPPSALA LÄN</t>
        </is>
      </c>
      <c r="E432" t="inlineStr">
        <is>
          <t>ÖSTHAMMAR</t>
        </is>
      </c>
      <c r="G432" t="n">
        <v>7.2</v>
      </c>
      <c r="H432" t="n">
        <v>0</v>
      </c>
      <c r="I432" t="n">
        <v>0</v>
      </c>
      <c r="J432" t="n">
        <v>0</v>
      </c>
      <c r="K432" t="n">
        <v>0</v>
      </c>
      <c r="L432" t="n">
        <v>0</v>
      </c>
      <c r="M432" t="n">
        <v>0</v>
      </c>
      <c r="N432" t="n">
        <v>0</v>
      </c>
      <c r="O432" t="n">
        <v>0</v>
      </c>
      <c r="P432" t="n">
        <v>0</v>
      </c>
      <c r="Q432" t="n">
        <v>0</v>
      </c>
      <c r="R432" s="2" t="inlineStr"/>
    </row>
    <row r="433" ht="15" customHeight="1">
      <c r="A433" t="inlineStr">
        <is>
          <t>A 48856-2024</t>
        </is>
      </c>
      <c r="B433" s="1" t="n">
        <v>45593</v>
      </c>
      <c r="C433" s="1" t="n">
        <v>45999</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17947-2022</t>
        </is>
      </c>
      <c r="B434" s="1" t="n">
        <v>44683</v>
      </c>
      <c r="C434" s="1" t="n">
        <v>45999</v>
      </c>
      <c r="D434" t="inlineStr">
        <is>
          <t>UPPSALA LÄN</t>
        </is>
      </c>
      <c r="E434" t="inlineStr">
        <is>
          <t>ÖSTHAMMAR</t>
        </is>
      </c>
      <c r="G434" t="n">
        <v>5.5</v>
      </c>
      <c r="H434" t="n">
        <v>0</v>
      </c>
      <c r="I434" t="n">
        <v>0</v>
      </c>
      <c r="J434" t="n">
        <v>0</v>
      </c>
      <c r="K434" t="n">
        <v>0</v>
      </c>
      <c r="L434" t="n">
        <v>0</v>
      </c>
      <c r="M434" t="n">
        <v>0</v>
      </c>
      <c r="N434" t="n">
        <v>0</v>
      </c>
      <c r="O434" t="n">
        <v>0</v>
      </c>
      <c r="P434" t="n">
        <v>0</v>
      </c>
      <c r="Q434" t="n">
        <v>0</v>
      </c>
      <c r="R434" s="2" t="inlineStr"/>
    </row>
    <row r="435" ht="15" customHeight="1">
      <c r="A435" t="inlineStr">
        <is>
          <t>A 21862-2023</t>
        </is>
      </c>
      <c r="B435" s="1" t="n">
        <v>45068</v>
      </c>
      <c r="C435" s="1" t="n">
        <v>45999</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12654-2025</t>
        </is>
      </c>
      <c r="B436" s="1" t="n">
        <v>45733.41601851852</v>
      </c>
      <c r="C436" s="1" t="n">
        <v>45999</v>
      </c>
      <c r="D436" t="inlineStr">
        <is>
          <t>UPPSALA LÄN</t>
        </is>
      </c>
      <c r="E436" t="inlineStr">
        <is>
          <t>ÖSTHAMMAR</t>
        </is>
      </c>
      <c r="G436" t="n">
        <v>9.9</v>
      </c>
      <c r="H436" t="n">
        <v>0</v>
      </c>
      <c r="I436" t="n">
        <v>0</v>
      </c>
      <c r="J436" t="n">
        <v>0</v>
      </c>
      <c r="K436" t="n">
        <v>0</v>
      </c>
      <c r="L436" t="n">
        <v>0</v>
      </c>
      <c r="M436" t="n">
        <v>0</v>
      </c>
      <c r="N436" t="n">
        <v>0</v>
      </c>
      <c r="O436" t="n">
        <v>0</v>
      </c>
      <c r="P436" t="n">
        <v>0</v>
      </c>
      <c r="Q436" t="n">
        <v>0</v>
      </c>
      <c r="R436" s="2" t="inlineStr"/>
    </row>
    <row r="437" ht="15" customHeight="1">
      <c r="A437" t="inlineStr">
        <is>
          <t>A 16933-2022</t>
        </is>
      </c>
      <c r="B437" s="1" t="n">
        <v>44676</v>
      </c>
      <c r="C437" s="1" t="n">
        <v>45999</v>
      </c>
      <c r="D437" t="inlineStr">
        <is>
          <t>UPPSALA LÄN</t>
        </is>
      </c>
      <c r="E437" t="inlineStr">
        <is>
          <t>ÖSTHAMMAR</t>
        </is>
      </c>
      <c r="G437" t="n">
        <v>1.3</v>
      </c>
      <c r="H437" t="n">
        <v>0</v>
      </c>
      <c r="I437" t="n">
        <v>0</v>
      </c>
      <c r="J437" t="n">
        <v>0</v>
      </c>
      <c r="K437" t="n">
        <v>0</v>
      </c>
      <c r="L437" t="n">
        <v>0</v>
      </c>
      <c r="M437" t="n">
        <v>0</v>
      </c>
      <c r="N437" t="n">
        <v>0</v>
      </c>
      <c r="O437" t="n">
        <v>0</v>
      </c>
      <c r="P437" t="n">
        <v>0</v>
      </c>
      <c r="Q437" t="n">
        <v>0</v>
      </c>
      <c r="R437" s="2" t="inlineStr"/>
    </row>
    <row r="438" ht="15" customHeight="1">
      <c r="A438" t="inlineStr">
        <is>
          <t>A 23741-2024</t>
        </is>
      </c>
      <c r="B438" s="1" t="n">
        <v>45455</v>
      </c>
      <c r="C438" s="1" t="n">
        <v>45999</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27308-2023</t>
        </is>
      </c>
      <c r="B439" s="1" t="n">
        <v>45096.65381944444</v>
      </c>
      <c r="C439" s="1" t="n">
        <v>45999</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9264-2024</t>
        </is>
      </c>
      <c r="B440" s="1" t="n">
        <v>45358</v>
      </c>
      <c r="C440" s="1" t="n">
        <v>45999</v>
      </c>
      <c r="D440" t="inlineStr">
        <is>
          <t>UPPSALA LÄN</t>
        </is>
      </c>
      <c r="E440" t="inlineStr">
        <is>
          <t>ÖSTHAMMAR</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28420-2023</t>
        </is>
      </c>
      <c r="B441" s="1" t="n">
        <v>45102.33054398148</v>
      </c>
      <c r="C441" s="1" t="n">
        <v>45999</v>
      </c>
      <c r="D441" t="inlineStr">
        <is>
          <t>UPPSALA LÄN</t>
        </is>
      </c>
      <c r="E441" t="inlineStr">
        <is>
          <t>ÖSTHAMMAR</t>
        </is>
      </c>
      <c r="F441" t="inlineStr">
        <is>
          <t>Bergvik skog öst AB</t>
        </is>
      </c>
      <c r="G441" t="n">
        <v>3.2</v>
      </c>
      <c r="H441" t="n">
        <v>0</v>
      </c>
      <c r="I441" t="n">
        <v>0</v>
      </c>
      <c r="J441" t="n">
        <v>0</v>
      </c>
      <c r="K441" t="n">
        <v>0</v>
      </c>
      <c r="L441" t="n">
        <v>0</v>
      </c>
      <c r="M441" t="n">
        <v>0</v>
      </c>
      <c r="N441" t="n">
        <v>0</v>
      </c>
      <c r="O441" t="n">
        <v>0</v>
      </c>
      <c r="P441" t="n">
        <v>0</v>
      </c>
      <c r="Q441" t="n">
        <v>0</v>
      </c>
      <c r="R441" s="2" t="inlineStr"/>
    </row>
    <row r="442" ht="15" customHeight="1">
      <c r="A442" t="inlineStr">
        <is>
          <t>A 57043-2022</t>
        </is>
      </c>
      <c r="B442" s="1" t="n">
        <v>44895.36748842592</v>
      </c>
      <c r="C442" s="1" t="n">
        <v>45999</v>
      </c>
      <c r="D442" t="inlineStr">
        <is>
          <t>UPPSALA LÄN</t>
        </is>
      </c>
      <c r="E442" t="inlineStr">
        <is>
          <t>ÖSTHAMMAR</t>
        </is>
      </c>
      <c r="F442" t="inlineStr">
        <is>
          <t>Bergvik skog öst AB</t>
        </is>
      </c>
      <c r="G442" t="n">
        <v>5.7</v>
      </c>
      <c r="H442" t="n">
        <v>0</v>
      </c>
      <c r="I442" t="n">
        <v>0</v>
      </c>
      <c r="J442" t="n">
        <v>0</v>
      </c>
      <c r="K442" t="n">
        <v>0</v>
      </c>
      <c r="L442" t="n">
        <v>0</v>
      </c>
      <c r="M442" t="n">
        <v>0</v>
      </c>
      <c r="N442" t="n">
        <v>0</v>
      </c>
      <c r="O442" t="n">
        <v>0</v>
      </c>
      <c r="P442" t="n">
        <v>0</v>
      </c>
      <c r="Q442" t="n">
        <v>0</v>
      </c>
      <c r="R442" s="2" t="inlineStr"/>
    </row>
    <row r="443" ht="15" customHeight="1">
      <c r="A443" t="inlineStr">
        <is>
          <t>A 47390-2023</t>
        </is>
      </c>
      <c r="B443" s="1" t="n">
        <v>45202</v>
      </c>
      <c r="C443" s="1" t="n">
        <v>45999</v>
      </c>
      <c r="D443" t="inlineStr">
        <is>
          <t>UPPSALA LÄN</t>
        </is>
      </c>
      <c r="E443" t="inlineStr">
        <is>
          <t>ÖSTHAMMAR</t>
        </is>
      </c>
      <c r="G443" t="n">
        <v>3.7</v>
      </c>
      <c r="H443" t="n">
        <v>0</v>
      </c>
      <c r="I443" t="n">
        <v>0</v>
      </c>
      <c r="J443" t="n">
        <v>0</v>
      </c>
      <c r="K443" t="n">
        <v>0</v>
      </c>
      <c r="L443" t="n">
        <v>0</v>
      </c>
      <c r="M443" t="n">
        <v>0</v>
      </c>
      <c r="N443" t="n">
        <v>0</v>
      </c>
      <c r="O443" t="n">
        <v>0</v>
      </c>
      <c r="P443" t="n">
        <v>0</v>
      </c>
      <c r="Q443" t="n">
        <v>0</v>
      </c>
      <c r="R443" s="2" t="inlineStr"/>
    </row>
    <row r="444" ht="15" customHeight="1">
      <c r="A444" t="inlineStr">
        <is>
          <t>A 40547-2023</t>
        </is>
      </c>
      <c r="B444" s="1" t="n">
        <v>45170.45050925926</v>
      </c>
      <c r="C444" s="1" t="n">
        <v>45999</v>
      </c>
      <c r="D444" t="inlineStr">
        <is>
          <t>UPPSALA LÄN</t>
        </is>
      </c>
      <c r="E444" t="inlineStr">
        <is>
          <t>ÖSTHAMMAR</t>
        </is>
      </c>
      <c r="G444" t="n">
        <v>2.1</v>
      </c>
      <c r="H444" t="n">
        <v>0</v>
      </c>
      <c r="I444" t="n">
        <v>0</v>
      </c>
      <c r="J444" t="n">
        <v>0</v>
      </c>
      <c r="K444" t="n">
        <v>0</v>
      </c>
      <c r="L444" t="n">
        <v>0</v>
      </c>
      <c r="M444" t="n">
        <v>0</v>
      </c>
      <c r="N444" t="n">
        <v>0</v>
      </c>
      <c r="O444" t="n">
        <v>0</v>
      </c>
      <c r="P444" t="n">
        <v>0</v>
      </c>
      <c r="Q444" t="n">
        <v>0</v>
      </c>
      <c r="R444" s="2" t="inlineStr"/>
    </row>
    <row r="445" ht="15" customHeight="1">
      <c r="A445" t="inlineStr">
        <is>
          <t>A 10449-2023</t>
        </is>
      </c>
      <c r="B445" s="1" t="n">
        <v>44987</v>
      </c>
      <c r="C445" s="1" t="n">
        <v>45999</v>
      </c>
      <c r="D445" t="inlineStr">
        <is>
          <t>UPPSALA LÄN</t>
        </is>
      </c>
      <c r="E445" t="inlineStr">
        <is>
          <t>ÖSTHAMMAR</t>
        </is>
      </c>
      <c r="G445" t="n">
        <v>3.1</v>
      </c>
      <c r="H445" t="n">
        <v>0</v>
      </c>
      <c r="I445" t="n">
        <v>0</v>
      </c>
      <c r="J445" t="n">
        <v>0</v>
      </c>
      <c r="K445" t="n">
        <v>0</v>
      </c>
      <c r="L445" t="n">
        <v>0</v>
      </c>
      <c r="M445" t="n">
        <v>0</v>
      </c>
      <c r="N445" t="n">
        <v>0</v>
      </c>
      <c r="O445" t="n">
        <v>0</v>
      </c>
      <c r="P445" t="n">
        <v>0</v>
      </c>
      <c r="Q445" t="n">
        <v>0</v>
      </c>
      <c r="R445" s="2" t="inlineStr"/>
    </row>
    <row r="446" ht="15" customHeight="1">
      <c r="A446" t="inlineStr">
        <is>
          <t>A 31035-2022</t>
        </is>
      </c>
      <c r="B446" s="1" t="n">
        <v>44768.88685185185</v>
      </c>
      <c r="C446" s="1" t="n">
        <v>45999</v>
      </c>
      <c r="D446" t="inlineStr">
        <is>
          <t>UPPSALA LÄN</t>
        </is>
      </c>
      <c r="E446" t="inlineStr">
        <is>
          <t>ÖSTHAMMAR</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52650-2022</t>
        </is>
      </c>
      <c r="B447" s="1" t="n">
        <v>44874</v>
      </c>
      <c r="C447" s="1" t="n">
        <v>45999</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52661-2022</t>
        </is>
      </c>
      <c r="B448" s="1" t="n">
        <v>44874</v>
      </c>
      <c r="C448" s="1" t="n">
        <v>45999</v>
      </c>
      <c r="D448" t="inlineStr">
        <is>
          <t>UPPSALA LÄN</t>
        </is>
      </c>
      <c r="E448" t="inlineStr">
        <is>
          <t>ÖSTHAMMAR</t>
        </is>
      </c>
      <c r="F448" t="inlineStr">
        <is>
          <t>Bergvik skog öst AB</t>
        </is>
      </c>
      <c r="G448" t="n">
        <v>0.2</v>
      </c>
      <c r="H448" t="n">
        <v>0</v>
      </c>
      <c r="I448" t="n">
        <v>0</v>
      </c>
      <c r="J448" t="n">
        <v>0</v>
      </c>
      <c r="K448" t="n">
        <v>0</v>
      </c>
      <c r="L448" t="n">
        <v>0</v>
      </c>
      <c r="M448" t="n">
        <v>0</v>
      </c>
      <c r="N448" t="n">
        <v>0</v>
      </c>
      <c r="O448" t="n">
        <v>0</v>
      </c>
      <c r="P448" t="n">
        <v>0</v>
      </c>
      <c r="Q448" t="n">
        <v>0</v>
      </c>
      <c r="R448" s="2" t="inlineStr"/>
    </row>
    <row r="449" ht="15" customHeight="1">
      <c r="A449" t="inlineStr">
        <is>
          <t>A 44796-2024</t>
        </is>
      </c>
      <c r="B449" s="1" t="n">
        <v>45574</v>
      </c>
      <c r="C449" s="1" t="n">
        <v>45999</v>
      </c>
      <c r="D449" t="inlineStr">
        <is>
          <t>UPPSALA LÄN</t>
        </is>
      </c>
      <c r="E449" t="inlineStr">
        <is>
          <t>ÖSTHAMMAR</t>
        </is>
      </c>
      <c r="G449" t="n">
        <v>4.7</v>
      </c>
      <c r="H449" t="n">
        <v>0</v>
      </c>
      <c r="I449" t="n">
        <v>0</v>
      </c>
      <c r="J449" t="n">
        <v>0</v>
      </c>
      <c r="K449" t="n">
        <v>0</v>
      </c>
      <c r="L449" t="n">
        <v>0</v>
      </c>
      <c r="M449" t="n">
        <v>0</v>
      </c>
      <c r="N449" t="n">
        <v>0</v>
      </c>
      <c r="O449" t="n">
        <v>0</v>
      </c>
      <c r="P449" t="n">
        <v>0</v>
      </c>
      <c r="Q449" t="n">
        <v>0</v>
      </c>
      <c r="R449" s="2" t="inlineStr"/>
    </row>
    <row r="450" ht="15" customHeight="1">
      <c r="A450" t="inlineStr">
        <is>
          <t>A 15928-2022</t>
        </is>
      </c>
      <c r="B450" s="1" t="n">
        <v>44664</v>
      </c>
      <c r="C450" s="1" t="n">
        <v>45999</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22488-2025</t>
        </is>
      </c>
      <c r="B451" s="1" t="n">
        <v>45786.64865740741</v>
      </c>
      <c r="C451" s="1" t="n">
        <v>45999</v>
      </c>
      <c r="D451" t="inlineStr">
        <is>
          <t>UPPSALA LÄN</t>
        </is>
      </c>
      <c r="E451" t="inlineStr">
        <is>
          <t>ÖSTHAMMAR</t>
        </is>
      </c>
      <c r="F451" t="inlineStr">
        <is>
          <t>Bergvik skog öst AB</t>
        </is>
      </c>
      <c r="G451" t="n">
        <v>14.9</v>
      </c>
      <c r="H451" t="n">
        <v>0</v>
      </c>
      <c r="I451" t="n">
        <v>0</v>
      </c>
      <c r="J451" t="n">
        <v>0</v>
      </c>
      <c r="K451" t="n">
        <v>0</v>
      </c>
      <c r="L451" t="n">
        <v>0</v>
      </c>
      <c r="M451" t="n">
        <v>0</v>
      </c>
      <c r="N451" t="n">
        <v>0</v>
      </c>
      <c r="O451" t="n">
        <v>0</v>
      </c>
      <c r="P451" t="n">
        <v>0</v>
      </c>
      <c r="Q451" t="n">
        <v>0</v>
      </c>
      <c r="R451" s="2" t="inlineStr"/>
    </row>
    <row r="452" ht="15" customHeight="1">
      <c r="A452" t="inlineStr">
        <is>
          <t>A 28228-2022</t>
        </is>
      </c>
      <c r="B452" s="1" t="n">
        <v>44746.65873842593</v>
      </c>
      <c r="C452" s="1" t="n">
        <v>45999</v>
      </c>
      <c r="D452" t="inlineStr">
        <is>
          <t>UPPSALA LÄN</t>
        </is>
      </c>
      <c r="E452" t="inlineStr">
        <is>
          <t>ÖSTHAMMAR</t>
        </is>
      </c>
      <c r="G452" t="n">
        <v>2.7</v>
      </c>
      <c r="H452" t="n">
        <v>0</v>
      </c>
      <c r="I452" t="n">
        <v>0</v>
      </c>
      <c r="J452" t="n">
        <v>0</v>
      </c>
      <c r="K452" t="n">
        <v>0</v>
      </c>
      <c r="L452" t="n">
        <v>0</v>
      </c>
      <c r="M452" t="n">
        <v>0</v>
      </c>
      <c r="N452" t="n">
        <v>0</v>
      </c>
      <c r="O452" t="n">
        <v>0</v>
      </c>
      <c r="P452" t="n">
        <v>0</v>
      </c>
      <c r="Q452" t="n">
        <v>0</v>
      </c>
      <c r="R452" s="2" t="inlineStr"/>
    </row>
    <row r="453" ht="15" customHeight="1">
      <c r="A453" t="inlineStr">
        <is>
          <t>A 15445-2022</t>
        </is>
      </c>
      <c r="B453" s="1" t="n">
        <v>44660.4987962963</v>
      </c>
      <c r="C453" s="1" t="n">
        <v>45999</v>
      </c>
      <c r="D453" t="inlineStr">
        <is>
          <t>UPPSALA LÄN</t>
        </is>
      </c>
      <c r="E453" t="inlineStr">
        <is>
          <t>ÖSTHAMMAR</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36954-2024</t>
        </is>
      </c>
      <c r="B454" s="1" t="n">
        <v>45538.71109953704</v>
      </c>
      <c r="C454" s="1" t="n">
        <v>45999</v>
      </c>
      <c r="D454" t="inlineStr">
        <is>
          <t>UPPSALA LÄN</t>
        </is>
      </c>
      <c r="E454" t="inlineStr">
        <is>
          <t>ÖSTHAMMAR</t>
        </is>
      </c>
      <c r="F454" t="inlineStr">
        <is>
          <t>Bergvik skog öst AB</t>
        </is>
      </c>
      <c r="G454" t="n">
        <v>5.1</v>
      </c>
      <c r="H454" t="n">
        <v>0</v>
      </c>
      <c r="I454" t="n">
        <v>0</v>
      </c>
      <c r="J454" t="n">
        <v>0</v>
      </c>
      <c r="K454" t="n">
        <v>0</v>
      </c>
      <c r="L454" t="n">
        <v>0</v>
      </c>
      <c r="M454" t="n">
        <v>0</v>
      </c>
      <c r="N454" t="n">
        <v>0</v>
      </c>
      <c r="O454" t="n">
        <v>0</v>
      </c>
      <c r="P454" t="n">
        <v>0</v>
      </c>
      <c r="Q454" t="n">
        <v>0</v>
      </c>
      <c r="R454" s="2" t="inlineStr"/>
    </row>
    <row r="455" ht="15" customHeight="1">
      <c r="A455" t="inlineStr">
        <is>
          <t>A 22483-2025</t>
        </is>
      </c>
      <c r="B455" s="1" t="n">
        <v>45786.64141203704</v>
      </c>
      <c r="C455" s="1" t="n">
        <v>45999</v>
      </c>
      <c r="D455" t="inlineStr">
        <is>
          <t>UPPSALA LÄN</t>
        </is>
      </c>
      <c r="E455" t="inlineStr">
        <is>
          <t>ÖSTHAMMAR</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10275-2025</t>
        </is>
      </c>
      <c r="B456" s="1" t="n">
        <v>45720.39715277778</v>
      </c>
      <c r="C456" s="1" t="n">
        <v>45999</v>
      </c>
      <c r="D456" t="inlineStr">
        <is>
          <t>UPPSALA LÄN</t>
        </is>
      </c>
      <c r="E456" t="inlineStr">
        <is>
          <t>ÖSTHAMMAR</t>
        </is>
      </c>
      <c r="G456" t="n">
        <v>6.2</v>
      </c>
      <c r="H456" t="n">
        <v>0</v>
      </c>
      <c r="I456" t="n">
        <v>0</v>
      </c>
      <c r="J456" t="n">
        <v>0</v>
      </c>
      <c r="K456" t="n">
        <v>0</v>
      </c>
      <c r="L456" t="n">
        <v>0</v>
      </c>
      <c r="M456" t="n">
        <v>0</v>
      </c>
      <c r="N456" t="n">
        <v>0</v>
      </c>
      <c r="O456" t="n">
        <v>0</v>
      </c>
      <c r="P456" t="n">
        <v>0</v>
      </c>
      <c r="Q456" t="n">
        <v>0</v>
      </c>
      <c r="R456" s="2" t="inlineStr"/>
    </row>
    <row r="457" ht="15" customHeight="1">
      <c r="A457" t="inlineStr">
        <is>
          <t>A 59291-2023</t>
        </is>
      </c>
      <c r="B457" s="1" t="n">
        <v>45253.57559027777</v>
      </c>
      <c r="C457" s="1" t="n">
        <v>45999</v>
      </c>
      <c r="D457" t="inlineStr">
        <is>
          <t>UPPSALA LÄN</t>
        </is>
      </c>
      <c r="E457" t="inlineStr">
        <is>
          <t>ÖSTHAMMAR</t>
        </is>
      </c>
      <c r="G457" t="n">
        <v>1.7</v>
      </c>
      <c r="H457" t="n">
        <v>0</v>
      </c>
      <c r="I457" t="n">
        <v>0</v>
      </c>
      <c r="J457" t="n">
        <v>0</v>
      </c>
      <c r="K457" t="n">
        <v>0</v>
      </c>
      <c r="L457" t="n">
        <v>0</v>
      </c>
      <c r="M457" t="n">
        <v>0</v>
      </c>
      <c r="N457" t="n">
        <v>0</v>
      </c>
      <c r="O457" t="n">
        <v>0</v>
      </c>
      <c r="P457" t="n">
        <v>0</v>
      </c>
      <c r="Q457" t="n">
        <v>0</v>
      </c>
      <c r="R457" s="2" t="inlineStr"/>
    </row>
    <row r="458" ht="15" customHeight="1">
      <c r="A458" t="inlineStr">
        <is>
          <t>A 43685-2024</t>
        </is>
      </c>
      <c r="B458" s="1" t="n">
        <v>45569</v>
      </c>
      <c r="C458" s="1" t="n">
        <v>45999</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38575-2024</t>
        </is>
      </c>
      <c r="B459" s="1" t="n">
        <v>45546.64221064815</v>
      </c>
      <c r="C459" s="1" t="n">
        <v>45999</v>
      </c>
      <c r="D459" t="inlineStr">
        <is>
          <t>UPPSALA LÄN</t>
        </is>
      </c>
      <c r="E459" t="inlineStr">
        <is>
          <t>ÖSTHAMMAR</t>
        </is>
      </c>
      <c r="F459" t="inlineStr">
        <is>
          <t>Bergvik skog öst AB</t>
        </is>
      </c>
      <c r="G459" t="n">
        <v>5.1</v>
      </c>
      <c r="H459" t="n">
        <v>0</v>
      </c>
      <c r="I459" t="n">
        <v>0</v>
      </c>
      <c r="J459" t="n">
        <v>0</v>
      </c>
      <c r="K459" t="n">
        <v>0</v>
      </c>
      <c r="L459" t="n">
        <v>0</v>
      </c>
      <c r="M459" t="n">
        <v>0</v>
      </c>
      <c r="N459" t="n">
        <v>0</v>
      </c>
      <c r="O459" t="n">
        <v>0</v>
      </c>
      <c r="P459" t="n">
        <v>0</v>
      </c>
      <c r="Q459" t="n">
        <v>0</v>
      </c>
      <c r="R459" s="2" t="inlineStr"/>
    </row>
    <row r="460" ht="15" customHeight="1">
      <c r="A460" t="inlineStr">
        <is>
          <t>A 43993-2024</t>
        </is>
      </c>
      <c r="B460" s="1" t="n">
        <v>45572.52690972222</v>
      </c>
      <c r="C460" s="1" t="n">
        <v>45999</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14124-2022</t>
        </is>
      </c>
      <c r="B461" s="1" t="n">
        <v>44651.40924768519</v>
      </c>
      <c r="C461" s="1" t="n">
        <v>45999</v>
      </c>
      <c r="D461" t="inlineStr">
        <is>
          <t>UPPSALA LÄN</t>
        </is>
      </c>
      <c r="E461" t="inlineStr">
        <is>
          <t>ÖSTHAMMAR</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37812-2022</t>
        </is>
      </c>
      <c r="B462" s="1" t="n">
        <v>44810</v>
      </c>
      <c r="C462" s="1" t="n">
        <v>45999</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22798-2023</t>
        </is>
      </c>
      <c r="B463" s="1" t="n">
        <v>45072</v>
      </c>
      <c r="C463" s="1" t="n">
        <v>45999</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19501-2025</t>
        </is>
      </c>
      <c r="B464" s="1" t="n">
        <v>45770.4015625</v>
      </c>
      <c r="C464" s="1" t="n">
        <v>45999</v>
      </c>
      <c r="D464" t="inlineStr">
        <is>
          <t>UPPSALA LÄN</t>
        </is>
      </c>
      <c r="E464" t="inlineStr">
        <is>
          <t>ÖSTHAMMAR</t>
        </is>
      </c>
      <c r="F464" t="inlineStr">
        <is>
          <t>Övriga Aktiebolag</t>
        </is>
      </c>
      <c r="G464" t="n">
        <v>17.3</v>
      </c>
      <c r="H464" t="n">
        <v>0</v>
      </c>
      <c r="I464" t="n">
        <v>0</v>
      </c>
      <c r="J464" t="n">
        <v>0</v>
      </c>
      <c r="K464" t="n">
        <v>0</v>
      </c>
      <c r="L464" t="n">
        <v>0</v>
      </c>
      <c r="M464" t="n">
        <v>0</v>
      </c>
      <c r="N464" t="n">
        <v>0</v>
      </c>
      <c r="O464" t="n">
        <v>0</v>
      </c>
      <c r="P464" t="n">
        <v>0</v>
      </c>
      <c r="Q464" t="n">
        <v>0</v>
      </c>
      <c r="R464" s="2" t="inlineStr"/>
    </row>
    <row r="465" ht="15" customHeight="1">
      <c r="A465" t="inlineStr">
        <is>
          <t>A 41821-2023</t>
        </is>
      </c>
      <c r="B465" s="1" t="n">
        <v>45176</v>
      </c>
      <c r="C465" s="1" t="n">
        <v>45999</v>
      </c>
      <c r="D465" t="inlineStr">
        <is>
          <t>UPPSALA LÄN</t>
        </is>
      </c>
      <c r="E465" t="inlineStr">
        <is>
          <t>ÖSTHAMMAR</t>
        </is>
      </c>
      <c r="G465" t="n">
        <v>0.9</v>
      </c>
      <c r="H465" t="n">
        <v>0</v>
      </c>
      <c r="I465" t="n">
        <v>0</v>
      </c>
      <c r="J465" t="n">
        <v>0</v>
      </c>
      <c r="K465" t="n">
        <v>0</v>
      </c>
      <c r="L465" t="n">
        <v>0</v>
      </c>
      <c r="M465" t="n">
        <v>0</v>
      </c>
      <c r="N465" t="n">
        <v>0</v>
      </c>
      <c r="O465" t="n">
        <v>0</v>
      </c>
      <c r="P465" t="n">
        <v>0</v>
      </c>
      <c r="Q465" t="n">
        <v>0</v>
      </c>
      <c r="R465" s="2" t="inlineStr"/>
    </row>
    <row r="466" ht="15" customHeight="1">
      <c r="A466" t="inlineStr">
        <is>
          <t>A 3732-2022</t>
        </is>
      </c>
      <c r="B466" s="1" t="n">
        <v>44586.64851851852</v>
      </c>
      <c r="C466" s="1" t="n">
        <v>45999</v>
      </c>
      <c r="D466" t="inlineStr">
        <is>
          <t>UPPSALA LÄN</t>
        </is>
      </c>
      <c r="E466" t="inlineStr">
        <is>
          <t>ÖSTHAMMAR</t>
        </is>
      </c>
      <c r="F466" t="inlineStr">
        <is>
          <t>Bergvik skog öst AB</t>
        </is>
      </c>
      <c r="G466" t="n">
        <v>3.6</v>
      </c>
      <c r="H466" t="n">
        <v>0</v>
      </c>
      <c r="I466" t="n">
        <v>0</v>
      </c>
      <c r="J466" t="n">
        <v>0</v>
      </c>
      <c r="K466" t="n">
        <v>0</v>
      </c>
      <c r="L466" t="n">
        <v>0</v>
      </c>
      <c r="M466" t="n">
        <v>0</v>
      </c>
      <c r="N466" t="n">
        <v>0</v>
      </c>
      <c r="O466" t="n">
        <v>0</v>
      </c>
      <c r="P466" t="n">
        <v>0</v>
      </c>
      <c r="Q466" t="n">
        <v>0</v>
      </c>
      <c r="R466" s="2" t="inlineStr"/>
    </row>
    <row r="467" ht="15" customHeight="1">
      <c r="A467" t="inlineStr">
        <is>
          <t>A 10982-2023</t>
        </is>
      </c>
      <c r="B467" s="1" t="n">
        <v>44991.62203703704</v>
      </c>
      <c r="C467" s="1" t="n">
        <v>45999</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32742-2022</t>
        </is>
      </c>
      <c r="B468" s="1" t="n">
        <v>44783.69886574074</v>
      </c>
      <c r="C468" s="1" t="n">
        <v>45999</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40637-2022</t>
        </is>
      </c>
      <c r="B469" s="1" t="n">
        <v>44824</v>
      </c>
      <c r="C469" s="1" t="n">
        <v>45999</v>
      </c>
      <c r="D469" t="inlineStr">
        <is>
          <t>UPPSALA LÄN</t>
        </is>
      </c>
      <c r="E469" t="inlineStr">
        <is>
          <t>ÖSTHAMMAR</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41308-2023</t>
        </is>
      </c>
      <c r="B470" s="1" t="n">
        <v>45174.62788194444</v>
      </c>
      <c r="C470" s="1" t="n">
        <v>45999</v>
      </c>
      <c r="D470" t="inlineStr">
        <is>
          <t>UPPSALA LÄN</t>
        </is>
      </c>
      <c r="E470" t="inlineStr">
        <is>
          <t>ÖSTHAMMAR</t>
        </is>
      </c>
      <c r="F470" t="inlineStr">
        <is>
          <t>Övriga Aktiebolag</t>
        </is>
      </c>
      <c r="G470" t="n">
        <v>2.8</v>
      </c>
      <c r="H470" t="n">
        <v>0</v>
      </c>
      <c r="I470" t="n">
        <v>0</v>
      </c>
      <c r="J470" t="n">
        <v>0</v>
      </c>
      <c r="K470" t="n">
        <v>0</v>
      </c>
      <c r="L470" t="n">
        <v>0</v>
      </c>
      <c r="M470" t="n">
        <v>0</v>
      </c>
      <c r="N470" t="n">
        <v>0</v>
      </c>
      <c r="O470" t="n">
        <v>0</v>
      </c>
      <c r="P470" t="n">
        <v>0</v>
      </c>
      <c r="Q470" t="n">
        <v>0</v>
      </c>
      <c r="R470" s="2" t="inlineStr"/>
    </row>
    <row r="471" ht="15" customHeight="1">
      <c r="A471" t="inlineStr">
        <is>
          <t>A 6046-2025</t>
        </is>
      </c>
      <c r="B471" s="1" t="n">
        <v>45695</v>
      </c>
      <c r="C471" s="1" t="n">
        <v>45999</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c r="U471">
        <f>HYPERLINK("https://klasma.github.io/Logging_0382/knärot/A 6046-2025 karta knärot.png", "A 6046-2025")</f>
        <v/>
      </c>
      <c r="V471">
        <f>HYPERLINK("https://klasma.github.io/Logging_0382/klagomål/A 6046-2025 FSC-klagomål.docx", "A 6046-2025")</f>
        <v/>
      </c>
      <c r="W471">
        <f>HYPERLINK("https://klasma.github.io/Logging_0382/klagomålsmail/A 6046-2025 FSC-klagomål mail.docx", "A 6046-2025")</f>
        <v/>
      </c>
      <c r="X471">
        <f>HYPERLINK("https://klasma.github.io/Logging_0382/tillsyn/A 6046-2025 tillsynsbegäran.docx", "A 6046-2025")</f>
        <v/>
      </c>
      <c r="Y471">
        <f>HYPERLINK("https://klasma.github.io/Logging_0382/tillsynsmail/A 6046-2025 tillsynsbegäran mail.docx", "A 6046-2025")</f>
        <v/>
      </c>
    </row>
    <row r="472" ht="15" customHeight="1">
      <c r="A472" t="inlineStr">
        <is>
          <t>A 49833-2023</t>
        </is>
      </c>
      <c r="B472" s="1" t="n">
        <v>45212.71481481481</v>
      </c>
      <c r="C472" s="1" t="n">
        <v>45999</v>
      </c>
      <c r="D472" t="inlineStr">
        <is>
          <t>UPPSALA LÄN</t>
        </is>
      </c>
      <c r="E472" t="inlineStr">
        <is>
          <t>ÖSTHAMMAR</t>
        </is>
      </c>
      <c r="F472" t="inlineStr">
        <is>
          <t>Bergvik skog öst AB</t>
        </is>
      </c>
      <c r="G472" t="n">
        <v>0.4</v>
      </c>
      <c r="H472" t="n">
        <v>0</v>
      </c>
      <c r="I472" t="n">
        <v>0</v>
      </c>
      <c r="J472" t="n">
        <v>0</v>
      </c>
      <c r="K472" t="n">
        <v>0</v>
      </c>
      <c r="L472" t="n">
        <v>0</v>
      </c>
      <c r="M472" t="n">
        <v>0</v>
      </c>
      <c r="N472" t="n">
        <v>0</v>
      </c>
      <c r="O472" t="n">
        <v>0</v>
      </c>
      <c r="P472" t="n">
        <v>0</v>
      </c>
      <c r="Q472" t="n">
        <v>0</v>
      </c>
      <c r="R472" s="2" t="inlineStr"/>
    </row>
    <row r="473" ht="15" customHeight="1">
      <c r="A473" t="inlineStr">
        <is>
          <t>A 21624-2023</t>
        </is>
      </c>
      <c r="B473" s="1" t="n">
        <v>45063.65543981481</v>
      </c>
      <c r="C473" s="1" t="n">
        <v>45999</v>
      </c>
      <c r="D473" t="inlineStr">
        <is>
          <t>UPPSALA LÄN</t>
        </is>
      </c>
      <c r="E473" t="inlineStr">
        <is>
          <t>ÖSTHAMMAR</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6120-2024</t>
        </is>
      </c>
      <c r="B474" s="1" t="n">
        <v>45337.41784722222</v>
      </c>
      <c r="C474" s="1" t="n">
        <v>45999</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17433-2025</t>
        </is>
      </c>
      <c r="B475" s="1" t="n">
        <v>45757.40733796296</v>
      </c>
      <c r="C475" s="1" t="n">
        <v>45999</v>
      </c>
      <c r="D475" t="inlineStr">
        <is>
          <t>UPPSALA LÄN</t>
        </is>
      </c>
      <c r="E475" t="inlineStr">
        <is>
          <t>ÖSTHAMMAR</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45550-2023</t>
        </is>
      </c>
      <c r="B476" s="1" t="n">
        <v>45194.57125</v>
      </c>
      <c r="C476" s="1" t="n">
        <v>45999</v>
      </c>
      <c r="D476" t="inlineStr">
        <is>
          <t>UPPSALA LÄN</t>
        </is>
      </c>
      <c r="E476" t="inlineStr">
        <is>
          <t>ÖSTHAMMAR</t>
        </is>
      </c>
      <c r="F476" t="inlineStr">
        <is>
          <t>Bergvik skog öst AB</t>
        </is>
      </c>
      <c r="G476" t="n">
        <v>0.4</v>
      </c>
      <c r="H476" t="n">
        <v>0</v>
      </c>
      <c r="I476" t="n">
        <v>0</v>
      </c>
      <c r="J476" t="n">
        <v>0</v>
      </c>
      <c r="K476" t="n">
        <v>0</v>
      </c>
      <c r="L476" t="n">
        <v>0</v>
      </c>
      <c r="M476" t="n">
        <v>0</v>
      </c>
      <c r="N476" t="n">
        <v>0</v>
      </c>
      <c r="O476" t="n">
        <v>0</v>
      </c>
      <c r="P476" t="n">
        <v>0</v>
      </c>
      <c r="Q476" t="n">
        <v>0</v>
      </c>
      <c r="R476" s="2" t="inlineStr"/>
    </row>
    <row r="477" ht="15" customHeight="1">
      <c r="A477" t="inlineStr">
        <is>
          <t>A 58270-2023</t>
        </is>
      </c>
      <c r="B477" s="1" t="n">
        <v>45250.49961805555</v>
      </c>
      <c r="C477" s="1" t="n">
        <v>45999</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54368-2023</t>
        </is>
      </c>
      <c r="B478" s="1" t="n">
        <v>45233.33221064815</v>
      </c>
      <c r="C478" s="1" t="n">
        <v>45999</v>
      </c>
      <c r="D478" t="inlineStr">
        <is>
          <t>UPPSALA LÄN</t>
        </is>
      </c>
      <c r="E478" t="inlineStr">
        <is>
          <t>ÖSTHAMMAR</t>
        </is>
      </c>
      <c r="F478" t="inlineStr">
        <is>
          <t>Bergvik skog öst AB</t>
        </is>
      </c>
      <c r="G478" t="n">
        <v>3</v>
      </c>
      <c r="H478" t="n">
        <v>0</v>
      </c>
      <c r="I478" t="n">
        <v>0</v>
      </c>
      <c r="J478" t="n">
        <v>0</v>
      </c>
      <c r="K478" t="n">
        <v>0</v>
      </c>
      <c r="L478" t="n">
        <v>0</v>
      </c>
      <c r="M478" t="n">
        <v>0</v>
      </c>
      <c r="N478" t="n">
        <v>0</v>
      </c>
      <c r="O478" t="n">
        <v>0</v>
      </c>
      <c r="P478" t="n">
        <v>0</v>
      </c>
      <c r="Q478" t="n">
        <v>0</v>
      </c>
      <c r="R478" s="2" t="inlineStr"/>
    </row>
    <row r="479" ht="15" customHeight="1">
      <c r="A479" t="inlineStr">
        <is>
          <t>A 22804-2022</t>
        </is>
      </c>
      <c r="B479" s="1" t="n">
        <v>44715</v>
      </c>
      <c r="C479" s="1" t="n">
        <v>45999</v>
      </c>
      <c r="D479" t="inlineStr">
        <is>
          <t>UPPSALA LÄN</t>
        </is>
      </c>
      <c r="E479" t="inlineStr">
        <is>
          <t>ÖSTHAMMAR</t>
        </is>
      </c>
      <c r="G479" t="n">
        <v>2.7</v>
      </c>
      <c r="H479" t="n">
        <v>0</v>
      </c>
      <c r="I479" t="n">
        <v>0</v>
      </c>
      <c r="J479" t="n">
        <v>0</v>
      </c>
      <c r="K479" t="n">
        <v>0</v>
      </c>
      <c r="L479" t="n">
        <v>0</v>
      </c>
      <c r="M479" t="n">
        <v>0</v>
      </c>
      <c r="N479" t="n">
        <v>0</v>
      </c>
      <c r="O479" t="n">
        <v>0</v>
      </c>
      <c r="P479" t="n">
        <v>0</v>
      </c>
      <c r="Q479" t="n">
        <v>0</v>
      </c>
      <c r="R479" s="2" t="inlineStr"/>
    </row>
    <row r="480" ht="15" customHeight="1">
      <c r="A480" t="inlineStr">
        <is>
          <t>A 17931-2025</t>
        </is>
      </c>
      <c r="B480" s="1" t="n">
        <v>45759.56894675926</v>
      </c>
      <c r="C480" s="1" t="n">
        <v>45999</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17938-2025</t>
        </is>
      </c>
      <c r="B481" s="1" t="n">
        <v>45760.55626157407</v>
      </c>
      <c r="C481" s="1" t="n">
        <v>45999</v>
      </c>
      <c r="D481" t="inlineStr">
        <is>
          <t>UPPSALA LÄN</t>
        </is>
      </c>
      <c r="E481" t="inlineStr">
        <is>
          <t>ÖSTHAMMAR</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57003-2021</t>
        </is>
      </c>
      <c r="B482" s="1" t="n">
        <v>44482.47577546296</v>
      </c>
      <c r="C482" s="1" t="n">
        <v>45999</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73483-2021</t>
        </is>
      </c>
      <c r="B483" s="1" t="n">
        <v>44550</v>
      </c>
      <c r="C483" s="1" t="n">
        <v>45999</v>
      </c>
      <c r="D483" t="inlineStr">
        <is>
          <t>UPPSALA LÄN</t>
        </is>
      </c>
      <c r="E483" t="inlineStr">
        <is>
          <t>ÖSTHAMMAR</t>
        </is>
      </c>
      <c r="G483" t="n">
        <v>2.8</v>
      </c>
      <c r="H483" t="n">
        <v>0</v>
      </c>
      <c r="I483" t="n">
        <v>0</v>
      </c>
      <c r="J483" t="n">
        <v>0</v>
      </c>
      <c r="K483" t="n">
        <v>0</v>
      </c>
      <c r="L483" t="n">
        <v>0</v>
      </c>
      <c r="M483" t="n">
        <v>0</v>
      </c>
      <c r="N483" t="n">
        <v>0</v>
      </c>
      <c r="O483" t="n">
        <v>0</v>
      </c>
      <c r="P483" t="n">
        <v>0</v>
      </c>
      <c r="Q483" t="n">
        <v>0</v>
      </c>
      <c r="R483" s="2" t="inlineStr"/>
    </row>
    <row r="484" ht="15" customHeight="1">
      <c r="A484" t="inlineStr">
        <is>
          <t>A 8791-2025</t>
        </is>
      </c>
      <c r="B484" s="1" t="n">
        <v>45712</v>
      </c>
      <c r="C484" s="1" t="n">
        <v>45999</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24033-2023</t>
        </is>
      </c>
      <c r="B485" s="1" t="n">
        <v>45078</v>
      </c>
      <c r="C485" s="1" t="n">
        <v>45999</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26552-2022</t>
        </is>
      </c>
      <c r="B486" s="1" t="n">
        <v>44739</v>
      </c>
      <c r="C486" s="1" t="n">
        <v>45999</v>
      </c>
      <c r="D486" t="inlineStr">
        <is>
          <t>UPPSALA LÄN</t>
        </is>
      </c>
      <c r="E486" t="inlineStr">
        <is>
          <t>ÖSTHAMMAR</t>
        </is>
      </c>
      <c r="G486" t="n">
        <v>2.2</v>
      </c>
      <c r="H486" t="n">
        <v>0</v>
      </c>
      <c r="I486" t="n">
        <v>0</v>
      </c>
      <c r="J486" t="n">
        <v>0</v>
      </c>
      <c r="K486" t="n">
        <v>0</v>
      </c>
      <c r="L486" t="n">
        <v>0</v>
      </c>
      <c r="M486" t="n">
        <v>0</v>
      </c>
      <c r="N486" t="n">
        <v>0</v>
      </c>
      <c r="O486" t="n">
        <v>0</v>
      </c>
      <c r="P486" t="n">
        <v>0</v>
      </c>
      <c r="Q486" t="n">
        <v>0</v>
      </c>
      <c r="R486" s="2" t="inlineStr"/>
    </row>
    <row r="487" ht="15" customHeight="1">
      <c r="A487" t="inlineStr">
        <is>
          <t>A 7216-2025</t>
        </is>
      </c>
      <c r="B487" s="1" t="n">
        <v>45702.47630787037</v>
      </c>
      <c r="C487" s="1" t="n">
        <v>45999</v>
      </c>
      <c r="D487" t="inlineStr">
        <is>
          <t>UPPSALA LÄN</t>
        </is>
      </c>
      <c r="E487" t="inlineStr">
        <is>
          <t>ÖSTHAMMAR</t>
        </is>
      </c>
      <c r="F487" t="inlineStr">
        <is>
          <t>Övriga Aktiebolag</t>
        </is>
      </c>
      <c r="G487" t="n">
        <v>12.5</v>
      </c>
      <c r="H487" t="n">
        <v>0</v>
      </c>
      <c r="I487" t="n">
        <v>0</v>
      </c>
      <c r="J487" t="n">
        <v>0</v>
      </c>
      <c r="K487" t="n">
        <v>0</v>
      </c>
      <c r="L487" t="n">
        <v>0</v>
      </c>
      <c r="M487" t="n">
        <v>0</v>
      </c>
      <c r="N487" t="n">
        <v>0</v>
      </c>
      <c r="O487" t="n">
        <v>0</v>
      </c>
      <c r="P487" t="n">
        <v>0</v>
      </c>
      <c r="Q487" t="n">
        <v>0</v>
      </c>
      <c r="R487" s="2" t="inlineStr"/>
    </row>
    <row r="488" ht="15" customHeight="1">
      <c r="A488" t="inlineStr">
        <is>
          <t>A 12262-2023</t>
        </is>
      </c>
      <c r="B488" s="1" t="n">
        <v>44998.66662037037</v>
      </c>
      <c r="C488" s="1" t="n">
        <v>45999</v>
      </c>
      <c r="D488" t="inlineStr">
        <is>
          <t>UPPSALA LÄN</t>
        </is>
      </c>
      <c r="E488" t="inlineStr">
        <is>
          <t>ÖSTHAMMAR</t>
        </is>
      </c>
      <c r="G488" t="n">
        <v>4.1</v>
      </c>
      <c r="H488" t="n">
        <v>0</v>
      </c>
      <c r="I488" t="n">
        <v>0</v>
      </c>
      <c r="J488" t="n">
        <v>0</v>
      </c>
      <c r="K488" t="n">
        <v>0</v>
      </c>
      <c r="L488" t="n">
        <v>0</v>
      </c>
      <c r="M488" t="n">
        <v>0</v>
      </c>
      <c r="N488" t="n">
        <v>0</v>
      </c>
      <c r="O488" t="n">
        <v>0</v>
      </c>
      <c r="P488" t="n">
        <v>0</v>
      </c>
      <c r="Q488" t="n">
        <v>0</v>
      </c>
      <c r="R488" s="2" t="inlineStr"/>
    </row>
    <row r="489" ht="15" customHeight="1">
      <c r="A489" t="inlineStr">
        <is>
          <t>A 5254-2025</t>
        </is>
      </c>
      <c r="B489" s="1" t="n">
        <v>45692</v>
      </c>
      <c r="C489" s="1" t="n">
        <v>45999</v>
      </c>
      <c r="D489" t="inlineStr">
        <is>
          <t>UPPSALA LÄN</t>
        </is>
      </c>
      <c r="E489" t="inlineStr">
        <is>
          <t>ÖSTHAMMAR</t>
        </is>
      </c>
      <c r="G489" t="n">
        <v>5</v>
      </c>
      <c r="H489" t="n">
        <v>0</v>
      </c>
      <c r="I489" t="n">
        <v>0</v>
      </c>
      <c r="J489" t="n">
        <v>0</v>
      </c>
      <c r="K489" t="n">
        <v>0</v>
      </c>
      <c r="L489" t="n">
        <v>0</v>
      </c>
      <c r="M489" t="n">
        <v>0</v>
      </c>
      <c r="N489" t="n">
        <v>0</v>
      </c>
      <c r="O489" t="n">
        <v>0</v>
      </c>
      <c r="P489" t="n">
        <v>0</v>
      </c>
      <c r="Q489" t="n">
        <v>0</v>
      </c>
      <c r="R489" s="2" t="inlineStr"/>
    </row>
    <row r="490" ht="15" customHeight="1">
      <c r="A490" t="inlineStr">
        <is>
          <t>A 44807-2024</t>
        </is>
      </c>
      <c r="B490" s="1" t="n">
        <v>45574.65427083334</v>
      </c>
      <c r="C490" s="1" t="n">
        <v>45999</v>
      </c>
      <c r="D490" t="inlineStr">
        <is>
          <t>UPPSALA LÄN</t>
        </is>
      </c>
      <c r="E490" t="inlineStr">
        <is>
          <t>ÖSTHAMMAR</t>
        </is>
      </c>
      <c r="G490" t="n">
        <v>2.9</v>
      </c>
      <c r="H490" t="n">
        <v>0</v>
      </c>
      <c r="I490" t="n">
        <v>0</v>
      </c>
      <c r="J490" t="n">
        <v>0</v>
      </c>
      <c r="K490" t="n">
        <v>0</v>
      </c>
      <c r="L490" t="n">
        <v>0</v>
      </c>
      <c r="M490" t="n">
        <v>0</v>
      </c>
      <c r="N490" t="n">
        <v>0</v>
      </c>
      <c r="O490" t="n">
        <v>0</v>
      </c>
      <c r="P490" t="n">
        <v>0</v>
      </c>
      <c r="Q490" t="n">
        <v>0</v>
      </c>
      <c r="R490" s="2" t="inlineStr"/>
    </row>
    <row r="491" ht="15" customHeight="1">
      <c r="A491" t="inlineStr">
        <is>
          <t>A 22492-2025</t>
        </is>
      </c>
      <c r="B491" s="1" t="n">
        <v>45786.65072916666</v>
      </c>
      <c r="C491" s="1" t="n">
        <v>45999</v>
      </c>
      <c r="D491" t="inlineStr">
        <is>
          <t>UPPSALA LÄN</t>
        </is>
      </c>
      <c r="E491" t="inlineStr">
        <is>
          <t>ÖSTHAMMAR</t>
        </is>
      </c>
      <c r="F491" t="inlineStr">
        <is>
          <t>Bergvik skog öst AB</t>
        </is>
      </c>
      <c r="G491" t="n">
        <v>16.6</v>
      </c>
      <c r="H491" t="n">
        <v>0</v>
      </c>
      <c r="I491" t="n">
        <v>0</v>
      </c>
      <c r="J491" t="n">
        <v>0</v>
      </c>
      <c r="K491" t="n">
        <v>0</v>
      </c>
      <c r="L491" t="n">
        <v>0</v>
      </c>
      <c r="M491" t="n">
        <v>0</v>
      </c>
      <c r="N491" t="n">
        <v>0</v>
      </c>
      <c r="O491" t="n">
        <v>0</v>
      </c>
      <c r="P491" t="n">
        <v>0</v>
      </c>
      <c r="Q491" t="n">
        <v>0</v>
      </c>
      <c r="R491" s="2" t="inlineStr"/>
    </row>
    <row r="492" ht="15" customHeight="1">
      <c r="A492" t="inlineStr">
        <is>
          <t>A 31137-2022</t>
        </is>
      </c>
      <c r="B492" s="1" t="n">
        <v>44770.42166666667</v>
      </c>
      <c r="C492" s="1" t="n">
        <v>45999</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7195-2023</t>
        </is>
      </c>
      <c r="B493" s="1" t="n">
        <v>44970</v>
      </c>
      <c r="C493" s="1" t="n">
        <v>45999</v>
      </c>
      <c r="D493" t="inlineStr">
        <is>
          <t>UPPSALA LÄN</t>
        </is>
      </c>
      <c r="E493" t="inlineStr">
        <is>
          <t>ÖSTHAMMAR</t>
        </is>
      </c>
      <c r="G493" t="n">
        <v>1.3</v>
      </c>
      <c r="H493" t="n">
        <v>0</v>
      </c>
      <c r="I493" t="n">
        <v>0</v>
      </c>
      <c r="J493" t="n">
        <v>0</v>
      </c>
      <c r="K493" t="n">
        <v>0</v>
      </c>
      <c r="L493" t="n">
        <v>0</v>
      </c>
      <c r="M493" t="n">
        <v>0</v>
      </c>
      <c r="N493" t="n">
        <v>0</v>
      </c>
      <c r="O493" t="n">
        <v>0</v>
      </c>
      <c r="P493" t="n">
        <v>0</v>
      </c>
      <c r="Q493" t="n">
        <v>0</v>
      </c>
      <c r="R493" s="2" t="inlineStr"/>
    </row>
    <row r="494" ht="15" customHeight="1">
      <c r="A494" t="inlineStr">
        <is>
          <t>A 37568-2022</t>
        </is>
      </c>
      <c r="B494" s="1" t="n">
        <v>44809</v>
      </c>
      <c r="C494" s="1" t="n">
        <v>45999</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9542-2023</t>
        </is>
      </c>
      <c r="B495" s="1" t="n">
        <v>44981</v>
      </c>
      <c r="C495" s="1" t="n">
        <v>45999</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55100-2024</t>
        </is>
      </c>
      <c r="B496" s="1" t="n">
        <v>45621.4405787037</v>
      </c>
      <c r="C496" s="1" t="n">
        <v>45999</v>
      </c>
      <c r="D496" t="inlineStr">
        <is>
          <t>UPPSALA LÄN</t>
        </is>
      </c>
      <c r="E496" t="inlineStr">
        <is>
          <t>ÖSTHAMMAR</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18094-2025</t>
        </is>
      </c>
      <c r="B497" s="1" t="n">
        <v>45761.54710648148</v>
      </c>
      <c r="C497" s="1" t="n">
        <v>45999</v>
      </c>
      <c r="D497" t="inlineStr">
        <is>
          <t>UPPSALA LÄN</t>
        </is>
      </c>
      <c r="E497" t="inlineStr">
        <is>
          <t>ÖSTHAMMAR</t>
        </is>
      </c>
      <c r="F497" t="inlineStr">
        <is>
          <t>Bergvik skog öst AB</t>
        </is>
      </c>
      <c r="G497" t="n">
        <v>6.5</v>
      </c>
      <c r="H497" t="n">
        <v>0</v>
      </c>
      <c r="I497" t="n">
        <v>0</v>
      </c>
      <c r="J497" t="n">
        <v>0</v>
      </c>
      <c r="K497" t="n">
        <v>0</v>
      </c>
      <c r="L497" t="n">
        <v>0</v>
      </c>
      <c r="M497" t="n">
        <v>0</v>
      </c>
      <c r="N497" t="n">
        <v>0</v>
      </c>
      <c r="O497" t="n">
        <v>0</v>
      </c>
      <c r="P497" t="n">
        <v>0</v>
      </c>
      <c r="Q497" t="n">
        <v>0</v>
      </c>
      <c r="R497" s="2" t="inlineStr"/>
    </row>
    <row r="498" ht="15" customHeight="1">
      <c r="A498" t="inlineStr">
        <is>
          <t>A 44815-2022</t>
        </is>
      </c>
      <c r="B498" s="1" t="n">
        <v>44841.40452546296</v>
      </c>
      <c r="C498" s="1" t="n">
        <v>45999</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29753-2022</t>
        </is>
      </c>
      <c r="B499" s="1" t="n">
        <v>44755</v>
      </c>
      <c r="C499" s="1" t="n">
        <v>45999</v>
      </c>
      <c r="D499" t="inlineStr">
        <is>
          <t>UPPSALA LÄN</t>
        </is>
      </c>
      <c r="E499" t="inlineStr">
        <is>
          <t>ÖSTHAMMAR</t>
        </is>
      </c>
      <c r="G499" t="n">
        <v>9.4</v>
      </c>
      <c r="H499" t="n">
        <v>0</v>
      </c>
      <c r="I499" t="n">
        <v>0</v>
      </c>
      <c r="J499" t="n">
        <v>0</v>
      </c>
      <c r="K499" t="n">
        <v>0</v>
      </c>
      <c r="L499" t="n">
        <v>0</v>
      </c>
      <c r="M499" t="n">
        <v>0</v>
      </c>
      <c r="N499" t="n">
        <v>0</v>
      </c>
      <c r="O499" t="n">
        <v>0</v>
      </c>
      <c r="P499" t="n">
        <v>0</v>
      </c>
      <c r="Q499" t="n">
        <v>0</v>
      </c>
      <c r="R499" s="2" t="inlineStr"/>
    </row>
    <row r="500" ht="15" customHeight="1">
      <c r="A500" t="inlineStr">
        <is>
          <t>A 26774-2023</t>
        </is>
      </c>
      <c r="B500" s="1" t="n">
        <v>45093.47947916666</v>
      </c>
      <c r="C500" s="1" t="n">
        <v>45999</v>
      </c>
      <c r="D500" t="inlineStr">
        <is>
          <t>UPPSALA LÄN</t>
        </is>
      </c>
      <c r="E500" t="inlineStr">
        <is>
          <t>ÖSTHAMMAR</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67848-2021</t>
        </is>
      </c>
      <c r="B501" s="1" t="n">
        <v>44525</v>
      </c>
      <c r="C501" s="1" t="n">
        <v>45999</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17929-2025</t>
        </is>
      </c>
      <c r="B502" s="1" t="n">
        <v>45759.56462962963</v>
      </c>
      <c r="C502" s="1" t="n">
        <v>45999</v>
      </c>
      <c r="D502" t="inlineStr">
        <is>
          <t>UPPSALA LÄN</t>
        </is>
      </c>
      <c r="E502" t="inlineStr">
        <is>
          <t>ÖSTHAMMAR</t>
        </is>
      </c>
      <c r="G502" t="n">
        <v>3.4</v>
      </c>
      <c r="H502" t="n">
        <v>0</v>
      </c>
      <c r="I502" t="n">
        <v>0</v>
      </c>
      <c r="J502" t="n">
        <v>0</v>
      </c>
      <c r="K502" t="n">
        <v>0</v>
      </c>
      <c r="L502" t="n">
        <v>0</v>
      </c>
      <c r="M502" t="n">
        <v>0</v>
      </c>
      <c r="N502" t="n">
        <v>0</v>
      </c>
      <c r="O502" t="n">
        <v>0</v>
      </c>
      <c r="P502" t="n">
        <v>0</v>
      </c>
      <c r="Q502" t="n">
        <v>0</v>
      </c>
      <c r="R502" s="2" t="inlineStr"/>
    </row>
    <row r="503" ht="15" customHeight="1">
      <c r="A503" t="inlineStr">
        <is>
          <t>A 36092-2025</t>
        </is>
      </c>
      <c r="B503" s="1" t="n">
        <v>45866.48244212963</v>
      </c>
      <c r="C503" s="1" t="n">
        <v>45999</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36451-2025</t>
        </is>
      </c>
      <c r="B504" s="1" t="n">
        <v>45869.4290625</v>
      </c>
      <c r="C504" s="1" t="n">
        <v>45999</v>
      </c>
      <c r="D504" t="inlineStr">
        <is>
          <t>UPPSALA LÄN</t>
        </is>
      </c>
      <c r="E504" t="inlineStr">
        <is>
          <t>ÖSTHAMMAR</t>
        </is>
      </c>
      <c r="G504" t="n">
        <v>0.8</v>
      </c>
      <c r="H504" t="n">
        <v>0</v>
      </c>
      <c r="I504" t="n">
        <v>0</v>
      </c>
      <c r="J504" t="n">
        <v>0</v>
      </c>
      <c r="K504" t="n">
        <v>0</v>
      </c>
      <c r="L504" t="n">
        <v>0</v>
      </c>
      <c r="M504" t="n">
        <v>0</v>
      </c>
      <c r="N504" t="n">
        <v>0</v>
      </c>
      <c r="O504" t="n">
        <v>0</v>
      </c>
      <c r="P504" t="n">
        <v>0</v>
      </c>
      <c r="Q504" t="n">
        <v>0</v>
      </c>
      <c r="R504" s="2" t="inlineStr"/>
    </row>
    <row r="505" ht="15" customHeight="1">
      <c r="A505" t="inlineStr">
        <is>
          <t>A 38003-2024</t>
        </is>
      </c>
      <c r="B505" s="1" t="n">
        <v>45544</v>
      </c>
      <c r="C505" s="1" t="n">
        <v>45999</v>
      </c>
      <c r="D505" t="inlineStr">
        <is>
          <t>UPPSALA LÄN</t>
        </is>
      </c>
      <c r="E505" t="inlineStr">
        <is>
          <t>ÖSTHAMMAR</t>
        </is>
      </c>
      <c r="F505" t="inlineStr">
        <is>
          <t>Naturvårdsverket</t>
        </is>
      </c>
      <c r="G505" t="n">
        <v>4.2</v>
      </c>
      <c r="H505" t="n">
        <v>0</v>
      </c>
      <c r="I505" t="n">
        <v>0</v>
      </c>
      <c r="J505" t="n">
        <v>0</v>
      </c>
      <c r="K505" t="n">
        <v>0</v>
      </c>
      <c r="L505" t="n">
        <v>0</v>
      </c>
      <c r="M505" t="n">
        <v>0</v>
      </c>
      <c r="N505" t="n">
        <v>0</v>
      </c>
      <c r="O505" t="n">
        <v>0</v>
      </c>
      <c r="P505" t="n">
        <v>0</v>
      </c>
      <c r="Q505" t="n">
        <v>0</v>
      </c>
      <c r="R505" s="2" t="inlineStr"/>
    </row>
    <row r="506" ht="15" customHeight="1">
      <c r="A506" t="inlineStr">
        <is>
          <t>A 36646-2025</t>
        </is>
      </c>
      <c r="B506" s="1" t="n">
        <v>45872</v>
      </c>
      <c r="C506" s="1" t="n">
        <v>45999</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5931-2022</t>
        </is>
      </c>
      <c r="B507" s="1" t="n">
        <v>44598.82700231481</v>
      </c>
      <c r="C507" s="1" t="n">
        <v>45999</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1575-2025</t>
        </is>
      </c>
      <c r="B508" s="1" t="n">
        <v>45670</v>
      </c>
      <c r="C508" s="1" t="n">
        <v>45999</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16141-2022</t>
        </is>
      </c>
      <c r="B509" s="1" t="n">
        <v>44665</v>
      </c>
      <c r="C509" s="1" t="n">
        <v>45999</v>
      </c>
      <c r="D509" t="inlineStr">
        <is>
          <t>UPPSALA LÄN</t>
        </is>
      </c>
      <c r="E509" t="inlineStr">
        <is>
          <t>ÖSTHAMMAR</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43655-2024</t>
        </is>
      </c>
      <c r="B510" s="1" t="n">
        <v>45569</v>
      </c>
      <c r="C510" s="1" t="n">
        <v>45999</v>
      </c>
      <c r="D510" t="inlineStr">
        <is>
          <t>UPPSALA LÄN</t>
        </is>
      </c>
      <c r="E510" t="inlineStr">
        <is>
          <t>ÖSTHAMMAR</t>
        </is>
      </c>
      <c r="G510" t="n">
        <v>2.1</v>
      </c>
      <c r="H510" t="n">
        <v>0</v>
      </c>
      <c r="I510" t="n">
        <v>0</v>
      </c>
      <c r="J510" t="n">
        <v>0</v>
      </c>
      <c r="K510" t="n">
        <v>0</v>
      </c>
      <c r="L510" t="n">
        <v>0</v>
      </c>
      <c r="M510" t="n">
        <v>0</v>
      </c>
      <c r="N510" t="n">
        <v>0</v>
      </c>
      <c r="O510" t="n">
        <v>0</v>
      </c>
      <c r="P510" t="n">
        <v>0</v>
      </c>
      <c r="Q510" t="n">
        <v>0</v>
      </c>
      <c r="R510" s="2" t="inlineStr"/>
    </row>
    <row r="511" ht="15" customHeight="1">
      <c r="A511" t="inlineStr">
        <is>
          <t>A 43683-2024</t>
        </is>
      </c>
      <c r="B511" s="1" t="n">
        <v>45569.57518518518</v>
      </c>
      <c r="C511" s="1" t="n">
        <v>45999</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28152-2024</t>
        </is>
      </c>
      <c r="B512" s="1" t="n">
        <v>45476.77056712963</v>
      </c>
      <c r="C512" s="1" t="n">
        <v>45999</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45999</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45999</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36643-2025</t>
        </is>
      </c>
      <c r="B515" s="1" t="n">
        <v>45872.47782407407</v>
      </c>
      <c r="C515" s="1" t="n">
        <v>45999</v>
      </c>
      <c r="D515" t="inlineStr">
        <is>
          <t>UPPSALA LÄN</t>
        </is>
      </c>
      <c r="E515" t="inlineStr">
        <is>
          <t>ÖSTHAMMAR</t>
        </is>
      </c>
      <c r="F515" t="inlineStr">
        <is>
          <t>Bergvik skog öst AB</t>
        </is>
      </c>
      <c r="G515" t="n">
        <v>15.1</v>
      </c>
      <c r="H515" t="n">
        <v>0</v>
      </c>
      <c r="I515" t="n">
        <v>0</v>
      </c>
      <c r="J515" t="n">
        <v>0</v>
      </c>
      <c r="K515" t="n">
        <v>0</v>
      </c>
      <c r="L515" t="n">
        <v>0</v>
      </c>
      <c r="M515" t="n">
        <v>0</v>
      </c>
      <c r="N515" t="n">
        <v>0</v>
      </c>
      <c r="O515" t="n">
        <v>0</v>
      </c>
      <c r="P515" t="n">
        <v>0</v>
      </c>
      <c r="Q515" t="n">
        <v>0</v>
      </c>
      <c r="R515" s="2" t="inlineStr"/>
    </row>
    <row r="516" ht="15" customHeight="1">
      <c r="A516" t="inlineStr">
        <is>
          <t>A 32483-2024</t>
        </is>
      </c>
      <c r="B516" s="1" t="n">
        <v>45513.36644675926</v>
      </c>
      <c r="C516" s="1" t="n">
        <v>45999</v>
      </c>
      <c r="D516" t="inlineStr">
        <is>
          <t>UPPSALA LÄN</t>
        </is>
      </c>
      <c r="E516" t="inlineStr">
        <is>
          <t>ÖSTHAMMAR</t>
        </is>
      </c>
      <c r="F516" t="inlineStr">
        <is>
          <t>Kyrkan</t>
        </is>
      </c>
      <c r="G516" t="n">
        <v>4.7</v>
      </c>
      <c r="H516" t="n">
        <v>0</v>
      </c>
      <c r="I516" t="n">
        <v>0</v>
      </c>
      <c r="J516" t="n">
        <v>0</v>
      </c>
      <c r="K516" t="n">
        <v>0</v>
      </c>
      <c r="L516" t="n">
        <v>0</v>
      </c>
      <c r="M516" t="n">
        <v>0</v>
      </c>
      <c r="N516" t="n">
        <v>0</v>
      </c>
      <c r="O516" t="n">
        <v>0</v>
      </c>
      <c r="P516" t="n">
        <v>0</v>
      </c>
      <c r="Q516" t="n">
        <v>0</v>
      </c>
      <c r="R516" s="2" t="inlineStr"/>
    </row>
    <row r="517" ht="15" customHeight="1">
      <c r="A517" t="inlineStr">
        <is>
          <t>A 2839-2025</t>
        </is>
      </c>
      <c r="B517" s="1" t="n">
        <v>45677</v>
      </c>
      <c r="C517" s="1" t="n">
        <v>45999</v>
      </c>
      <c r="D517" t="inlineStr">
        <is>
          <t>UPPSALA LÄN</t>
        </is>
      </c>
      <c r="E517" t="inlineStr">
        <is>
          <t>ÖSTHAMMAR</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2947-2025</t>
        </is>
      </c>
      <c r="B518" s="1" t="n">
        <v>45678</v>
      </c>
      <c r="C518" s="1" t="n">
        <v>45999</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36645-2025</t>
        </is>
      </c>
      <c r="B519" s="1" t="n">
        <v>45872</v>
      </c>
      <c r="C519" s="1" t="n">
        <v>45999</v>
      </c>
      <c r="D519" t="inlineStr">
        <is>
          <t>UPPSALA LÄN</t>
        </is>
      </c>
      <c r="E519" t="inlineStr">
        <is>
          <t>ÖSTHAMMAR</t>
        </is>
      </c>
      <c r="F519" t="inlineStr">
        <is>
          <t>Bergvik skog öst AB</t>
        </is>
      </c>
      <c r="G519" t="n">
        <v>1.8</v>
      </c>
      <c r="H519" t="n">
        <v>0</v>
      </c>
      <c r="I519" t="n">
        <v>0</v>
      </c>
      <c r="J519" t="n">
        <v>0</v>
      </c>
      <c r="K519" t="n">
        <v>0</v>
      </c>
      <c r="L519" t="n">
        <v>0</v>
      </c>
      <c r="M519" t="n">
        <v>0</v>
      </c>
      <c r="N519" t="n">
        <v>0</v>
      </c>
      <c r="O519" t="n">
        <v>0</v>
      </c>
      <c r="P519" t="n">
        <v>0</v>
      </c>
      <c r="Q519" t="n">
        <v>0</v>
      </c>
      <c r="R519" s="2" t="inlineStr"/>
    </row>
    <row r="520" ht="15" customHeight="1">
      <c r="A520" t="inlineStr">
        <is>
          <t>A 36644-2025</t>
        </is>
      </c>
      <c r="B520" s="1" t="n">
        <v>45872.48738425926</v>
      </c>
      <c r="C520" s="1" t="n">
        <v>45999</v>
      </c>
      <c r="D520" t="inlineStr">
        <is>
          <t>UPPSALA LÄN</t>
        </is>
      </c>
      <c r="E520" t="inlineStr">
        <is>
          <t>ÖSTHAMMAR</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14595-2023</t>
        </is>
      </c>
      <c r="B521" s="1" t="n">
        <v>45013.57858796296</v>
      </c>
      <c r="C521" s="1" t="n">
        <v>45999</v>
      </c>
      <c r="D521" t="inlineStr">
        <is>
          <t>UPPSALA LÄN</t>
        </is>
      </c>
      <c r="E521" t="inlineStr">
        <is>
          <t>ÖSTHAMMAR</t>
        </is>
      </c>
      <c r="G521" t="n">
        <v>5</v>
      </c>
      <c r="H521" t="n">
        <v>0</v>
      </c>
      <c r="I521" t="n">
        <v>0</v>
      </c>
      <c r="J521" t="n">
        <v>0</v>
      </c>
      <c r="K521" t="n">
        <v>0</v>
      </c>
      <c r="L521" t="n">
        <v>0</v>
      </c>
      <c r="M521" t="n">
        <v>0</v>
      </c>
      <c r="N521" t="n">
        <v>0</v>
      </c>
      <c r="O521" t="n">
        <v>0</v>
      </c>
      <c r="P521" t="n">
        <v>0</v>
      </c>
      <c r="Q521" t="n">
        <v>0</v>
      </c>
      <c r="R521" s="2" t="inlineStr"/>
    </row>
    <row r="522" ht="15" customHeight="1">
      <c r="A522" t="inlineStr">
        <is>
          <t>A 33685-2024</t>
        </is>
      </c>
      <c r="B522" s="1" t="n">
        <v>45520.51063657407</v>
      </c>
      <c r="C522" s="1" t="n">
        <v>45999</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44027-2024</t>
        </is>
      </c>
      <c r="B523" s="1" t="n">
        <v>45572</v>
      </c>
      <c r="C523" s="1" t="n">
        <v>45999</v>
      </c>
      <c r="D523" t="inlineStr">
        <is>
          <t>UPPSALA LÄN</t>
        </is>
      </c>
      <c r="E523" t="inlineStr">
        <is>
          <t>ÖSTHAMMAR</t>
        </is>
      </c>
      <c r="G523" t="n">
        <v>6</v>
      </c>
      <c r="H523" t="n">
        <v>0</v>
      </c>
      <c r="I523" t="n">
        <v>0</v>
      </c>
      <c r="J523" t="n">
        <v>0</v>
      </c>
      <c r="K523" t="n">
        <v>0</v>
      </c>
      <c r="L523" t="n">
        <v>0</v>
      </c>
      <c r="M523" t="n">
        <v>0</v>
      </c>
      <c r="N523" t="n">
        <v>0</v>
      </c>
      <c r="O523" t="n">
        <v>0</v>
      </c>
      <c r="P523" t="n">
        <v>0</v>
      </c>
      <c r="Q523" t="n">
        <v>0</v>
      </c>
      <c r="R523" s="2" t="inlineStr"/>
    </row>
    <row r="524" ht="15" customHeight="1">
      <c r="A524" t="inlineStr">
        <is>
          <t>A 37656-2025</t>
        </is>
      </c>
      <c r="B524" s="1" t="n">
        <v>45880</v>
      </c>
      <c r="C524" s="1" t="n">
        <v>45999</v>
      </c>
      <c r="D524" t="inlineStr">
        <is>
          <t>UPPSALA LÄN</t>
        </is>
      </c>
      <c r="E524" t="inlineStr">
        <is>
          <t>ÖSTHAMMAR</t>
        </is>
      </c>
      <c r="G524" t="n">
        <v>4.3</v>
      </c>
      <c r="H524" t="n">
        <v>0</v>
      </c>
      <c r="I524" t="n">
        <v>0</v>
      </c>
      <c r="J524" t="n">
        <v>0</v>
      </c>
      <c r="K524" t="n">
        <v>0</v>
      </c>
      <c r="L524" t="n">
        <v>0</v>
      </c>
      <c r="M524" t="n">
        <v>0</v>
      </c>
      <c r="N524" t="n">
        <v>0</v>
      </c>
      <c r="O524" t="n">
        <v>0</v>
      </c>
      <c r="P524" t="n">
        <v>0</v>
      </c>
      <c r="Q524" t="n">
        <v>0</v>
      </c>
      <c r="R524" s="2" t="inlineStr"/>
    </row>
    <row r="525" ht="15" customHeight="1">
      <c r="A525" t="inlineStr">
        <is>
          <t>A 37764-2025</t>
        </is>
      </c>
      <c r="B525" s="1" t="n">
        <v>45880.70917824074</v>
      </c>
      <c r="C525" s="1" t="n">
        <v>45999</v>
      </c>
      <c r="D525" t="inlineStr">
        <is>
          <t>UPPSALA LÄN</t>
        </is>
      </c>
      <c r="E525" t="inlineStr">
        <is>
          <t>ÖSTHAMMAR</t>
        </is>
      </c>
      <c r="G525" t="n">
        <v>4.6</v>
      </c>
      <c r="H525" t="n">
        <v>0</v>
      </c>
      <c r="I525" t="n">
        <v>0</v>
      </c>
      <c r="J525" t="n">
        <v>0</v>
      </c>
      <c r="K525" t="n">
        <v>0</v>
      </c>
      <c r="L525" t="n">
        <v>0</v>
      </c>
      <c r="M525" t="n">
        <v>0</v>
      </c>
      <c r="N525" t="n">
        <v>0</v>
      </c>
      <c r="O525" t="n">
        <v>0</v>
      </c>
      <c r="P525" t="n">
        <v>0</v>
      </c>
      <c r="Q525" t="n">
        <v>0</v>
      </c>
      <c r="R525" s="2" t="inlineStr"/>
    </row>
    <row r="526" ht="15" customHeight="1">
      <c r="A526" t="inlineStr">
        <is>
          <t>A 5189-2025</t>
        </is>
      </c>
      <c r="B526" s="1" t="n">
        <v>45691</v>
      </c>
      <c r="C526" s="1" t="n">
        <v>45999</v>
      </c>
      <c r="D526" t="inlineStr">
        <is>
          <t>UPPSALA LÄN</t>
        </is>
      </c>
      <c r="E526" t="inlineStr">
        <is>
          <t>ÖSTHAMMAR</t>
        </is>
      </c>
      <c r="F526" t="inlineStr">
        <is>
          <t>Bergvik skog öst AB</t>
        </is>
      </c>
      <c r="G526" t="n">
        <v>24.4</v>
      </c>
      <c r="H526" t="n">
        <v>0</v>
      </c>
      <c r="I526" t="n">
        <v>0</v>
      </c>
      <c r="J526" t="n">
        <v>0</v>
      </c>
      <c r="K526" t="n">
        <v>0</v>
      </c>
      <c r="L526" t="n">
        <v>0</v>
      </c>
      <c r="M526" t="n">
        <v>0</v>
      </c>
      <c r="N526" t="n">
        <v>0</v>
      </c>
      <c r="O526" t="n">
        <v>0</v>
      </c>
      <c r="P526" t="n">
        <v>0</v>
      </c>
      <c r="Q526" t="n">
        <v>0</v>
      </c>
      <c r="R526" s="2" t="inlineStr"/>
    </row>
    <row r="527" ht="15" customHeight="1">
      <c r="A527" t="inlineStr">
        <is>
          <t>A 7118-2023</t>
        </is>
      </c>
      <c r="B527" s="1" t="n">
        <v>44970.39591435185</v>
      </c>
      <c r="C527" s="1" t="n">
        <v>45999</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37770-2025</t>
        </is>
      </c>
      <c r="B528" s="1" t="n">
        <v>45880.7505787037</v>
      </c>
      <c r="C528" s="1" t="n">
        <v>45999</v>
      </c>
      <c r="D528" t="inlineStr">
        <is>
          <t>UPPSALA LÄN</t>
        </is>
      </c>
      <c r="E528" t="inlineStr">
        <is>
          <t>ÖSTHAMMAR</t>
        </is>
      </c>
      <c r="G528" t="n">
        <v>2.9</v>
      </c>
      <c r="H528" t="n">
        <v>0</v>
      </c>
      <c r="I528" t="n">
        <v>0</v>
      </c>
      <c r="J528" t="n">
        <v>0</v>
      </c>
      <c r="K528" t="n">
        <v>0</v>
      </c>
      <c r="L528" t="n">
        <v>0</v>
      </c>
      <c r="M528" t="n">
        <v>0</v>
      </c>
      <c r="N528" t="n">
        <v>0</v>
      </c>
      <c r="O528" t="n">
        <v>0</v>
      </c>
      <c r="P528" t="n">
        <v>0</v>
      </c>
      <c r="Q528" t="n">
        <v>0</v>
      </c>
      <c r="R528" s="2" t="inlineStr"/>
    </row>
    <row r="529" ht="15" customHeight="1">
      <c r="A529" t="inlineStr">
        <is>
          <t>A 38886-2025</t>
        </is>
      </c>
      <c r="B529" s="1" t="n">
        <v>45887.58370370371</v>
      </c>
      <c r="C529" s="1" t="n">
        <v>45999</v>
      </c>
      <c r="D529" t="inlineStr">
        <is>
          <t>UPPSALA LÄN</t>
        </is>
      </c>
      <c r="E529" t="inlineStr">
        <is>
          <t>ÖSTHAMMAR</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5344-2025</t>
        </is>
      </c>
      <c r="B530" s="1" t="n">
        <v>45692</v>
      </c>
      <c r="C530" s="1" t="n">
        <v>45999</v>
      </c>
      <c r="D530" t="inlineStr">
        <is>
          <t>UPPSALA LÄN</t>
        </is>
      </c>
      <c r="E530" t="inlineStr">
        <is>
          <t>ÖSTHAMMAR</t>
        </is>
      </c>
      <c r="F530" t="inlineStr">
        <is>
          <t>Bergvik skog öst AB</t>
        </is>
      </c>
      <c r="G530" t="n">
        <v>3.2</v>
      </c>
      <c r="H530" t="n">
        <v>0</v>
      </c>
      <c r="I530" t="n">
        <v>0</v>
      </c>
      <c r="J530" t="n">
        <v>0</v>
      </c>
      <c r="K530" t="n">
        <v>0</v>
      </c>
      <c r="L530" t="n">
        <v>0</v>
      </c>
      <c r="M530" t="n">
        <v>0</v>
      </c>
      <c r="N530" t="n">
        <v>0</v>
      </c>
      <c r="O530" t="n">
        <v>0</v>
      </c>
      <c r="P530" t="n">
        <v>0</v>
      </c>
      <c r="Q530" t="n">
        <v>0</v>
      </c>
      <c r="R530" s="2" t="inlineStr"/>
    </row>
    <row r="531" ht="15" customHeight="1">
      <c r="A531" t="inlineStr">
        <is>
          <t>A 55798-2025</t>
        </is>
      </c>
      <c r="B531" s="1" t="n">
        <v>45972.66209490741</v>
      </c>
      <c r="C531" s="1" t="n">
        <v>45999</v>
      </c>
      <c r="D531" t="inlineStr">
        <is>
          <t>UPPSALA LÄN</t>
        </is>
      </c>
      <c r="E531" t="inlineStr">
        <is>
          <t>ÖSTHAMMAR</t>
        </is>
      </c>
      <c r="F531" t="inlineStr">
        <is>
          <t>Bergvik skog öst AB</t>
        </is>
      </c>
      <c r="G531" t="n">
        <v>3.9</v>
      </c>
      <c r="H531" t="n">
        <v>0</v>
      </c>
      <c r="I531" t="n">
        <v>0</v>
      </c>
      <c r="J531" t="n">
        <v>0</v>
      </c>
      <c r="K531" t="n">
        <v>0</v>
      </c>
      <c r="L531" t="n">
        <v>0</v>
      </c>
      <c r="M531" t="n">
        <v>0</v>
      </c>
      <c r="N531" t="n">
        <v>0</v>
      </c>
      <c r="O531" t="n">
        <v>0</v>
      </c>
      <c r="P531" t="n">
        <v>0</v>
      </c>
      <c r="Q531" t="n">
        <v>0</v>
      </c>
      <c r="R531" s="2" t="inlineStr"/>
    </row>
    <row r="532" ht="15" customHeight="1">
      <c r="A532" t="inlineStr">
        <is>
          <t>A 40044-2025</t>
        </is>
      </c>
      <c r="B532" s="1" t="n">
        <v>45894.40133101852</v>
      </c>
      <c r="C532" s="1" t="n">
        <v>45999</v>
      </c>
      <c r="D532" t="inlineStr">
        <is>
          <t>UPPSALA LÄN</t>
        </is>
      </c>
      <c r="E532" t="inlineStr">
        <is>
          <t>ÖSTHAMMAR</t>
        </is>
      </c>
      <c r="F532" t="inlineStr">
        <is>
          <t>Kyrkan</t>
        </is>
      </c>
      <c r="G532" t="n">
        <v>8.9</v>
      </c>
      <c r="H532" t="n">
        <v>0</v>
      </c>
      <c r="I532" t="n">
        <v>0</v>
      </c>
      <c r="J532" t="n">
        <v>0</v>
      </c>
      <c r="K532" t="n">
        <v>0</v>
      </c>
      <c r="L532" t="n">
        <v>0</v>
      </c>
      <c r="M532" t="n">
        <v>0</v>
      </c>
      <c r="N532" t="n">
        <v>0</v>
      </c>
      <c r="O532" t="n">
        <v>0</v>
      </c>
      <c r="P532" t="n">
        <v>0</v>
      </c>
      <c r="Q532" t="n">
        <v>0</v>
      </c>
      <c r="R532" s="2" t="inlineStr"/>
    </row>
    <row r="533" ht="15" customHeight="1">
      <c r="A533" t="inlineStr">
        <is>
          <t>A 40016-2025</t>
        </is>
      </c>
      <c r="B533" s="1" t="n">
        <v>45894.34747685185</v>
      </c>
      <c r="C533" s="1" t="n">
        <v>45999</v>
      </c>
      <c r="D533" t="inlineStr">
        <is>
          <t>UPPSALA LÄN</t>
        </is>
      </c>
      <c r="E533" t="inlineStr">
        <is>
          <t>ÖSTHAMMAR</t>
        </is>
      </c>
      <c r="F533" t="inlineStr">
        <is>
          <t>Kyrkan</t>
        </is>
      </c>
      <c r="G533" t="n">
        <v>6.6</v>
      </c>
      <c r="H533" t="n">
        <v>0</v>
      </c>
      <c r="I533" t="n">
        <v>0</v>
      </c>
      <c r="J533" t="n">
        <v>0</v>
      </c>
      <c r="K533" t="n">
        <v>0</v>
      </c>
      <c r="L533" t="n">
        <v>0</v>
      </c>
      <c r="M533" t="n">
        <v>0</v>
      </c>
      <c r="N533" t="n">
        <v>0</v>
      </c>
      <c r="O533" t="n">
        <v>0</v>
      </c>
      <c r="P533" t="n">
        <v>0</v>
      </c>
      <c r="Q533" t="n">
        <v>0</v>
      </c>
      <c r="R533" s="2" t="inlineStr"/>
    </row>
    <row r="534" ht="15" customHeight="1">
      <c r="A534" t="inlineStr">
        <is>
          <t>A 47336-2025</t>
        </is>
      </c>
      <c r="B534" s="1" t="n">
        <v>45930.56592592593</v>
      </c>
      <c r="C534" s="1" t="n">
        <v>45999</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47337-2025</t>
        </is>
      </c>
      <c r="B535" s="1" t="n">
        <v>45930.56607638889</v>
      </c>
      <c r="C535" s="1" t="n">
        <v>45999</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47338-2025</t>
        </is>
      </c>
      <c r="B536" s="1" t="n">
        <v>45930.56626157407</v>
      </c>
      <c r="C536" s="1" t="n">
        <v>45999</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55298-2025</t>
        </is>
      </c>
      <c r="B537" s="1" t="n">
        <v>45969.76908564815</v>
      </c>
      <c r="C537" s="1" t="n">
        <v>45999</v>
      </c>
      <c r="D537" t="inlineStr">
        <is>
          <t>UPPSALA LÄN</t>
        </is>
      </c>
      <c r="E537" t="inlineStr">
        <is>
          <t>ÖSTHAMMAR</t>
        </is>
      </c>
      <c r="F537" t="inlineStr">
        <is>
          <t>Bergvik skog öst AB</t>
        </is>
      </c>
      <c r="G537" t="n">
        <v>3.6</v>
      </c>
      <c r="H537" t="n">
        <v>0</v>
      </c>
      <c r="I537" t="n">
        <v>0</v>
      </c>
      <c r="J537" t="n">
        <v>0</v>
      </c>
      <c r="K537" t="n">
        <v>0</v>
      </c>
      <c r="L537" t="n">
        <v>0</v>
      </c>
      <c r="M537" t="n">
        <v>0</v>
      </c>
      <c r="N537" t="n">
        <v>0</v>
      </c>
      <c r="O537" t="n">
        <v>0</v>
      </c>
      <c r="P537" t="n">
        <v>0</v>
      </c>
      <c r="Q537" t="n">
        <v>0</v>
      </c>
      <c r="R537" s="2" t="inlineStr"/>
    </row>
    <row r="538" ht="15" customHeight="1">
      <c r="A538" t="inlineStr">
        <is>
          <t>A 40416-2025</t>
        </is>
      </c>
      <c r="B538" s="1" t="n">
        <v>45895.57736111111</v>
      </c>
      <c r="C538" s="1" t="n">
        <v>45999</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46826-2025</t>
        </is>
      </c>
      <c r="B539" s="1" t="n">
        <v>45927.00606481481</v>
      </c>
      <c r="C539" s="1" t="n">
        <v>45999</v>
      </c>
      <c r="D539" t="inlineStr">
        <is>
          <t>UPPSALA LÄN</t>
        </is>
      </c>
      <c r="E539" t="inlineStr">
        <is>
          <t>ÖSTHAMMAR</t>
        </is>
      </c>
      <c r="G539" t="n">
        <v>9</v>
      </c>
      <c r="H539" t="n">
        <v>0</v>
      </c>
      <c r="I539" t="n">
        <v>0</v>
      </c>
      <c r="J539" t="n">
        <v>0</v>
      </c>
      <c r="K539" t="n">
        <v>0</v>
      </c>
      <c r="L539" t="n">
        <v>0</v>
      </c>
      <c r="M539" t="n">
        <v>0</v>
      </c>
      <c r="N539" t="n">
        <v>0</v>
      </c>
      <c r="O539" t="n">
        <v>0</v>
      </c>
      <c r="P539" t="n">
        <v>0</v>
      </c>
      <c r="Q539" t="n">
        <v>0</v>
      </c>
      <c r="R539" s="2" t="inlineStr"/>
    </row>
    <row r="540" ht="15" customHeight="1">
      <c r="A540" t="inlineStr">
        <is>
          <t>A 40377-2025</t>
        </is>
      </c>
      <c r="B540" s="1" t="n">
        <v>45895.53020833333</v>
      </c>
      <c r="C540" s="1" t="n">
        <v>45999</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40462-2025</t>
        </is>
      </c>
      <c r="B541" s="1" t="n">
        <v>45895.65179398148</v>
      </c>
      <c r="C541" s="1" t="n">
        <v>45999</v>
      </c>
      <c r="D541" t="inlineStr">
        <is>
          <t>UPPSALA LÄN</t>
        </is>
      </c>
      <c r="E541" t="inlineStr">
        <is>
          <t>ÖSTHAMMAR</t>
        </is>
      </c>
      <c r="G541" t="n">
        <v>4.5</v>
      </c>
      <c r="H541" t="n">
        <v>0</v>
      </c>
      <c r="I541" t="n">
        <v>0</v>
      </c>
      <c r="J541" t="n">
        <v>0</v>
      </c>
      <c r="K541" t="n">
        <v>0</v>
      </c>
      <c r="L541" t="n">
        <v>0</v>
      </c>
      <c r="M541" t="n">
        <v>0</v>
      </c>
      <c r="N541" t="n">
        <v>0</v>
      </c>
      <c r="O541" t="n">
        <v>0</v>
      </c>
      <c r="P541" t="n">
        <v>0</v>
      </c>
      <c r="Q541" t="n">
        <v>0</v>
      </c>
      <c r="R541" s="2" t="inlineStr"/>
    </row>
    <row r="542" ht="15" customHeight="1">
      <c r="A542" t="inlineStr">
        <is>
          <t>A 40570-2025</t>
        </is>
      </c>
      <c r="B542" s="1" t="n">
        <v>45896.47878472223</v>
      </c>
      <c r="C542" s="1" t="n">
        <v>45999</v>
      </c>
      <c r="D542" t="inlineStr">
        <is>
          <t>UPPSALA LÄN</t>
        </is>
      </c>
      <c r="E542" t="inlineStr">
        <is>
          <t>ÖSTHAMMAR</t>
        </is>
      </c>
      <c r="F542" t="inlineStr">
        <is>
          <t>Övriga Aktiebolag</t>
        </is>
      </c>
      <c r="G542" t="n">
        <v>4.8</v>
      </c>
      <c r="H542" t="n">
        <v>0</v>
      </c>
      <c r="I542" t="n">
        <v>0</v>
      </c>
      <c r="J542" t="n">
        <v>0</v>
      </c>
      <c r="K542" t="n">
        <v>0</v>
      </c>
      <c r="L542" t="n">
        <v>0</v>
      </c>
      <c r="M542" t="n">
        <v>0</v>
      </c>
      <c r="N542" t="n">
        <v>0</v>
      </c>
      <c r="O542" t="n">
        <v>0</v>
      </c>
      <c r="P542" t="n">
        <v>0</v>
      </c>
      <c r="Q542" t="n">
        <v>0</v>
      </c>
      <c r="R542" s="2" t="inlineStr"/>
    </row>
    <row r="543" ht="15" customHeight="1">
      <c r="A543" t="inlineStr">
        <is>
          <t>A 40382-2025</t>
        </is>
      </c>
      <c r="B543" s="1" t="n">
        <v>45895.53689814815</v>
      </c>
      <c r="C543" s="1" t="n">
        <v>45999</v>
      </c>
      <c r="D543" t="inlineStr">
        <is>
          <t>UPPSALA LÄN</t>
        </is>
      </c>
      <c r="E543" t="inlineStr">
        <is>
          <t>ÖSTHAMMAR</t>
        </is>
      </c>
      <c r="G543" t="n">
        <v>2.2</v>
      </c>
      <c r="H543" t="n">
        <v>0</v>
      </c>
      <c r="I543" t="n">
        <v>0</v>
      </c>
      <c r="J543" t="n">
        <v>0</v>
      </c>
      <c r="K543" t="n">
        <v>0</v>
      </c>
      <c r="L543" t="n">
        <v>0</v>
      </c>
      <c r="M543" t="n">
        <v>0</v>
      </c>
      <c r="N543" t="n">
        <v>0</v>
      </c>
      <c r="O543" t="n">
        <v>0</v>
      </c>
      <c r="P543" t="n">
        <v>0</v>
      </c>
      <c r="Q543" t="n">
        <v>0</v>
      </c>
      <c r="R543" s="2" t="inlineStr"/>
    </row>
    <row r="544" ht="15" customHeight="1">
      <c r="A544" t="inlineStr">
        <is>
          <t>A 40384-2025</t>
        </is>
      </c>
      <c r="B544" s="1" t="n">
        <v>45895.54085648148</v>
      </c>
      <c r="C544" s="1" t="n">
        <v>45999</v>
      </c>
      <c r="D544" t="inlineStr">
        <is>
          <t>UPPSALA LÄN</t>
        </is>
      </c>
      <c r="E544" t="inlineStr">
        <is>
          <t>ÖSTHAMMAR</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40460-2025</t>
        </is>
      </c>
      <c r="B545" s="1" t="n">
        <v>45895.65013888889</v>
      </c>
      <c r="C545" s="1" t="n">
        <v>45999</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47614-2025</t>
        </is>
      </c>
      <c r="B546" s="1" t="n">
        <v>45931.47211805556</v>
      </c>
      <c r="C546" s="1" t="n">
        <v>45999</v>
      </c>
      <c r="D546" t="inlineStr">
        <is>
          <t>UPPSALA LÄN</t>
        </is>
      </c>
      <c r="E546" t="inlineStr">
        <is>
          <t>ÖSTHAMMAR</t>
        </is>
      </c>
      <c r="G546" t="n">
        <v>22.8</v>
      </c>
      <c r="H546" t="n">
        <v>0</v>
      </c>
      <c r="I546" t="n">
        <v>0</v>
      </c>
      <c r="J546" t="n">
        <v>0</v>
      </c>
      <c r="K546" t="n">
        <v>0</v>
      </c>
      <c r="L546" t="n">
        <v>0</v>
      </c>
      <c r="M546" t="n">
        <v>0</v>
      </c>
      <c r="N546" t="n">
        <v>0</v>
      </c>
      <c r="O546" t="n">
        <v>0</v>
      </c>
      <c r="P546" t="n">
        <v>0</v>
      </c>
      <c r="Q546" t="n">
        <v>0</v>
      </c>
      <c r="R546" s="2" t="inlineStr"/>
    </row>
    <row r="547" ht="15" customHeight="1">
      <c r="A547" t="inlineStr">
        <is>
          <t>A 47615-2025</t>
        </is>
      </c>
      <c r="B547" s="1" t="n">
        <v>45931.47542824074</v>
      </c>
      <c r="C547" s="1" t="n">
        <v>45999</v>
      </c>
      <c r="D547" t="inlineStr">
        <is>
          <t>UPPSALA LÄN</t>
        </is>
      </c>
      <c r="E547" t="inlineStr">
        <is>
          <t>ÖSTHAMMAR</t>
        </is>
      </c>
      <c r="G547" t="n">
        <v>7</v>
      </c>
      <c r="H547" t="n">
        <v>0</v>
      </c>
      <c r="I547" t="n">
        <v>0</v>
      </c>
      <c r="J547" t="n">
        <v>0</v>
      </c>
      <c r="K547" t="n">
        <v>0</v>
      </c>
      <c r="L547" t="n">
        <v>0</v>
      </c>
      <c r="M547" t="n">
        <v>0</v>
      </c>
      <c r="N547" t="n">
        <v>0</v>
      </c>
      <c r="O547" t="n">
        <v>0</v>
      </c>
      <c r="P547" t="n">
        <v>0</v>
      </c>
      <c r="Q547" t="n">
        <v>0</v>
      </c>
      <c r="R547" s="2" t="inlineStr"/>
    </row>
    <row r="548" ht="15" customHeight="1">
      <c r="A548" t="inlineStr">
        <is>
          <t>A 53961-2025</t>
        </is>
      </c>
      <c r="B548" s="1" t="n">
        <v>45961</v>
      </c>
      <c r="C548" s="1" t="n">
        <v>45999</v>
      </c>
      <c r="D548" t="inlineStr">
        <is>
          <t>UPPSALA LÄN</t>
        </is>
      </c>
      <c r="E548" t="inlineStr">
        <is>
          <t>ÖSTHAMMAR</t>
        </is>
      </c>
      <c r="G548" t="n">
        <v>0.7</v>
      </c>
      <c r="H548" t="n">
        <v>0</v>
      </c>
      <c r="I548" t="n">
        <v>0</v>
      </c>
      <c r="J548" t="n">
        <v>0</v>
      </c>
      <c r="K548" t="n">
        <v>0</v>
      </c>
      <c r="L548" t="n">
        <v>0</v>
      </c>
      <c r="M548" t="n">
        <v>0</v>
      </c>
      <c r="N548" t="n">
        <v>0</v>
      </c>
      <c r="O548" t="n">
        <v>0</v>
      </c>
      <c r="P548" t="n">
        <v>0</v>
      </c>
      <c r="Q548" t="n">
        <v>0</v>
      </c>
      <c r="R548" s="2" t="inlineStr"/>
    </row>
    <row r="549" ht="15" customHeight="1">
      <c r="A549" t="inlineStr">
        <is>
          <t>A 24401-2025</t>
        </is>
      </c>
      <c r="B549" s="1" t="n">
        <v>45797.64908564815</v>
      </c>
      <c r="C549" s="1" t="n">
        <v>45999</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56582-2025</t>
        </is>
      </c>
      <c r="B550" s="1" t="n">
        <v>45975.54730324074</v>
      </c>
      <c r="C550" s="1" t="n">
        <v>45999</v>
      </c>
      <c r="D550" t="inlineStr">
        <is>
          <t>UPPSALA LÄN</t>
        </is>
      </c>
      <c r="E550" t="inlineStr">
        <is>
          <t>ÖSTHAMMAR</t>
        </is>
      </c>
      <c r="G550" t="n">
        <v>4.1</v>
      </c>
      <c r="H550" t="n">
        <v>0</v>
      </c>
      <c r="I550" t="n">
        <v>0</v>
      </c>
      <c r="J550" t="n">
        <v>0</v>
      </c>
      <c r="K550" t="n">
        <v>0</v>
      </c>
      <c r="L550" t="n">
        <v>0</v>
      </c>
      <c r="M550" t="n">
        <v>0</v>
      </c>
      <c r="N550" t="n">
        <v>0</v>
      </c>
      <c r="O550" t="n">
        <v>0</v>
      </c>
      <c r="P550" t="n">
        <v>0</v>
      </c>
      <c r="Q550" t="n">
        <v>0</v>
      </c>
      <c r="R550" s="2" t="inlineStr"/>
    </row>
    <row r="551" ht="15" customHeight="1">
      <c r="A551" t="inlineStr">
        <is>
          <t>A 8908-2025</t>
        </is>
      </c>
      <c r="B551" s="1" t="n">
        <v>45713.4196875</v>
      </c>
      <c r="C551" s="1" t="n">
        <v>45999</v>
      </c>
      <c r="D551" t="inlineStr">
        <is>
          <t>UPPSALA LÄN</t>
        </is>
      </c>
      <c r="E551" t="inlineStr">
        <is>
          <t>ÖSTHAMMAR</t>
        </is>
      </c>
      <c r="F551" t="inlineStr">
        <is>
          <t>Bergvik skog öst AB</t>
        </is>
      </c>
      <c r="G551" t="n">
        <v>3.3</v>
      </c>
      <c r="H551" t="n">
        <v>0</v>
      </c>
      <c r="I551" t="n">
        <v>0</v>
      </c>
      <c r="J551" t="n">
        <v>0</v>
      </c>
      <c r="K551" t="n">
        <v>0</v>
      </c>
      <c r="L551" t="n">
        <v>0</v>
      </c>
      <c r="M551" t="n">
        <v>0</v>
      </c>
      <c r="N551" t="n">
        <v>0</v>
      </c>
      <c r="O551" t="n">
        <v>0</v>
      </c>
      <c r="P551" t="n">
        <v>0</v>
      </c>
      <c r="Q551" t="n">
        <v>0</v>
      </c>
      <c r="R551" s="2" t="inlineStr"/>
    </row>
    <row r="552" ht="15" customHeight="1">
      <c r="A552" t="inlineStr">
        <is>
          <t>A 41519-2025</t>
        </is>
      </c>
      <c r="B552" s="1" t="n">
        <v>45901.54751157408</v>
      </c>
      <c r="C552" s="1" t="n">
        <v>45999</v>
      </c>
      <c r="D552" t="inlineStr">
        <is>
          <t>UPPSALA LÄN</t>
        </is>
      </c>
      <c r="E552" t="inlineStr">
        <is>
          <t>ÖSTHAMMAR</t>
        </is>
      </c>
      <c r="F552" t="inlineStr">
        <is>
          <t>Övriga Aktiebolag</t>
        </is>
      </c>
      <c r="G552" t="n">
        <v>17.1</v>
      </c>
      <c r="H552" t="n">
        <v>0</v>
      </c>
      <c r="I552" t="n">
        <v>0</v>
      </c>
      <c r="J552" t="n">
        <v>0</v>
      </c>
      <c r="K552" t="n">
        <v>0</v>
      </c>
      <c r="L552" t="n">
        <v>0</v>
      </c>
      <c r="M552" t="n">
        <v>0</v>
      </c>
      <c r="N552" t="n">
        <v>0</v>
      </c>
      <c r="O552" t="n">
        <v>0</v>
      </c>
      <c r="P552" t="n">
        <v>0</v>
      </c>
      <c r="Q552" t="n">
        <v>0</v>
      </c>
      <c r="R552" s="2" t="inlineStr"/>
    </row>
    <row r="553" ht="15" customHeight="1">
      <c r="A553" t="inlineStr">
        <is>
          <t>A 24408-2025</t>
        </is>
      </c>
      <c r="B553" s="1" t="n">
        <v>45797.65774305556</v>
      </c>
      <c r="C553" s="1" t="n">
        <v>45999</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56757-2025</t>
        </is>
      </c>
      <c r="B554" s="1" t="n">
        <v>45978.37162037037</v>
      </c>
      <c r="C554" s="1" t="n">
        <v>45999</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56823-2025</t>
        </is>
      </c>
      <c r="B555" s="1" t="n">
        <v>45978.46484953703</v>
      </c>
      <c r="C555" s="1" t="n">
        <v>45999</v>
      </c>
      <c r="D555" t="inlineStr">
        <is>
          <t>UPPSALA LÄN</t>
        </is>
      </c>
      <c r="E555" t="inlineStr">
        <is>
          <t>ÖSTHAMMAR</t>
        </is>
      </c>
      <c r="G555" t="n">
        <v>0.1</v>
      </c>
      <c r="H555" t="n">
        <v>0</v>
      </c>
      <c r="I555" t="n">
        <v>0</v>
      </c>
      <c r="J555" t="n">
        <v>0</v>
      </c>
      <c r="K555" t="n">
        <v>0</v>
      </c>
      <c r="L555" t="n">
        <v>0</v>
      </c>
      <c r="M555" t="n">
        <v>0</v>
      </c>
      <c r="N555" t="n">
        <v>0</v>
      </c>
      <c r="O555" t="n">
        <v>0</v>
      </c>
      <c r="P555" t="n">
        <v>0</v>
      </c>
      <c r="Q555" t="n">
        <v>0</v>
      </c>
      <c r="R555" s="2" t="inlineStr"/>
    </row>
    <row r="556" ht="15" customHeight="1">
      <c r="A556" t="inlineStr">
        <is>
          <t>A 24389-2025</t>
        </is>
      </c>
      <c r="B556" s="1" t="n">
        <v>45797.63553240741</v>
      </c>
      <c r="C556" s="1" t="n">
        <v>45999</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27384-2025</t>
        </is>
      </c>
      <c r="B557" s="1" t="n">
        <v>45812.6672337963</v>
      </c>
      <c r="C557" s="1" t="n">
        <v>45999</v>
      </c>
      <c r="D557" t="inlineStr">
        <is>
          <t>UPPSALA LÄN</t>
        </is>
      </c>
      <c r="E557" t="inlineStr">
        <is>
          <t>ÖSTHAMMAR</t>
        </is>
      </c>
      <c r="G557" t="n">
        <v>1.6</v>
      </c>
      <c r="H557" t="n">
        <v>0</v>
      </c>
      <c r="I557" t="n">
        <v>0</v>
      </c>
      <c r="J557" t="n">
        <v>0</v>
      </c>
      <c r="K557" t="n">
        <v>0</v>
      </c>
      <c r="L557" t="n">
        <v>0</v>
      </c>
      <c r="M557" t="n">
        <v>0</v>
      </c>
      <c r="N557" t="n">
        <v>0</v>
      </c>
      <c r="O557" t="n">
        <v>0</v>
      </c>
      <c r="P557" t="n">
        <v>0</v>
      </c>
      <c r="Q557" t="n">
        <v>0</v>
      </c>
      <c r="R557" s="2" t="inlineStr"/>
    </row>
    <row r="558" ht="15" customHeight="1">
      <c r="A558" t="inlineStr">
        <is>
          <t>A 48977-2025</t>
        </is>
      </c>
      <c r="B558" s="1" t="n">
        <v>45936</v>
      </c>
      <c r="C558" s="1" t="n">
        <v>45999</v>
      </c>
      <c r="D558" t="inlineStr">
        <is>
          <t>UPPSALA LÄN</t>
        </is>
      </c>
      <c r="E558" t="inlineStr">
        <is>
          <t>ÖSTHAMMAR</t>
        </is>
      </c>
      <c r="G558" t="n">
        <v>21.1</v>
      </c>
      <c r="H558" t="n">
        <v>0</v>
      </c>
      <c r="I558" t="n">
        <v>0</v>
      </c>
      <c r="J558" t="n">
        <v>0</v>
      </c>
      <c r="K558" t="n">
        <v>0</v>
      </c>
      <c r="L558" t="n">
        <v>0</v>
      </c>
      <c r="M558" t="n">
        <v>0</v>
      </c>
      <c r="N558" t="n">
        <v>0</v>
      </c>
      <c r="O558" t="n">
        <v>0</v>
      </c>
      <c r="P558" t="n">
        <v>0</v>
      </c>
      <c r="Q558" t="n">
        <v>0</v>
      </c>
      <c r="R558" s="2" t="inlineStr"/>
    </row>
    <row r="559" ht="15" customHeight="1">
      <c r="A559" t="inlineStr">
        <is>
          <t>A 28099-2025</t>
        </is>
      </c>
      <c r="B559" s="1" t="n">
        <v>45817.82967592592</v>
      </c>
      <c r="C559" s="1" t="n">
        <v>45999</v>
      </c>
      <c r="D559" t="inlineStr">
        <is>
          <t>UPPSALA LÄN</t>
        </is>
      </c>
      <c r="E559" t="inlineStr">
        <is>
          <t>ÖSTHAMMAR</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5076-2025</t>
        </is>
      </c>
      <c r="B560" s="1" t="n">
        <v>45691</v>
      </c>
      <c r="C560" s="1" t="n">
        <v>45999</v>
      </c>
      <c r="D560" t="inlineStr">
        <is>
          <t>UPPSALA LÄN</t>
        </is>
      </c>
      <c r="E560" t="inlineStr">
        <is>
          <t>ÖSTHAMMAR</t>
        </is>
      </c>
      <c r="G560" t="n">
        <v>5.8</v>
      </c>
      <c r="H560" t="n">
        <v>0</v>
      </c>
      <c r="I560" t="n">
        <v>0</v>
      </c>
      <c r="J560" t="n">
        <v>0</v>
      </c>
      <c r="K560" t="n">
        <v>0</v>
      </c>
      <c r="L560" t="n">
        <v>0</v>
      </c>
      <c r="M560" t="n">
        <v>0</v>
      </c>
      <c r="N560" t="n">
        <v>0</v>
      </c>
      <c r="O560" t="n">
        <v>0</v>
      </c>
      <c r="P560" t="n">
        <v>0</v>
      </c>
      <c r="Q560" t="n">
        <v>0</v>
      </c>
      <c r="R560" s="2" t="inlineStr"/>
    </row>
    <row r="561" ht="15" customHeight="1">
      <c r="A561" t="inlineStr">
        <is>
          <t>A 61817-2021</t>
        </is>
      </c>
      <c r="B561" s="1" t="n">
        <v>44501.76855324074</v>
      </c>
      <c r="C561" s="1" t="n">
        <v>45999</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73982-2021</t>
        </is>
      </c>
      <c r="B562" s="1" t="n">
        <v>44555.80339120371</v>
      </c>
      <c r="C562" s="1" t="n">
        <v>45999</v>
      </c>
      <c r="D562" t="inlineStr">
        <is>
          <t>UPPSALA LÄN</t>
        </is>
      </c>
      <c r="E562" t="inlineStr">
        <is>
          <t>ÖSTHAMMAR</t>
        </is>
      </c>
      <c r="G562" t="n">
        <v>0.9</v>
      </c>
      <c r="H562" t="n">
        <v>0</v>
      </c>
      <c r="I562" t="n">
        <v>0</v>
      </c>
      <c r="J562" t="n">
        <v>0</v>
      </c>
      <c r="K562" t="n">
        <v>0</v>
      </c>
      <c r="L562" t="n">
        <v>0</v>
      </c>
      <c r="M562" t="n">
        <v>0</v>
      </c>
      <c r="N562" t="n">
        <v>0</v>
      </c>
      <c r="O562" t="n">
        <v>0</v>
      </c>
      <c r="P562" t="n">
        <v>0</v>
      </c>
      <c r="Q562" t="n">
        <v>0</v>
      </c>
      <c r="R562" s="2" t="inlineStr"/>
    </row>
    <row r="563" ht="15" customHeight="1">
      <c r="A563" t="inlineStr">
        <is>
          <t>A 23305-2025</t>
        </is>
      </c>
      <c r="B563" s="1" t="n">
        <v>45791.60127314815</v>
      </c>
      <c r="C563" s="1" t="n">
        <v>45999</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24606-2024</t>
        </is>
      </c>
      <c r="B564" s="1" t="n">
        <v>45460</v>
      </c>
      <c r="C564" s="1" t="n">
        <v>45999</v>
      </c>
      <c r="D564" t="inlineStr">
        <is>
          <t>UPPSALA LÄN</t>
        </is>
      </c>
      <c r="E564" t="inlineStr">
        <is>
          <t>ÖSTHAMMAR</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14859-2025</t>
        </is>
      </c>
      <c r="B565" s="1" t="n">
        <v>45743.42427083333</v>
      </c>
      <c r="C565" s="1" t="n">
        <v>45999</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33927-2025</t>
        </is>
      </c>
      <c r="B566" s="1" t="n">
        <v>45842.62363425926</v>
      </c>
      <c r="C566" s="1" t="n">
        <v>45999</v>
      </c>
      <c r="D566" t="inlineStr">
        <is>
          <t>UPPSALA LÄN</t>
        </is>
      </c>
      <c r="E566" t="inlineStr">
        <is>
          <t>ÖSTHAMMAR</t>
        </is>
      </c>
      <c r="G566" t="n">
        <v>3.5</v>
      </c>
      <c r="H566" t="n">
        <v>0</v>
      </c>
      <c r="I566" t="n">
        <v>0</v>
      </c>
      <c r="J566" t="n">
        <v>0</v>
      </c>
      <c r="K566" t="n">
        <v>0</v>
      </c>
      <c r="L566" t="n">
        <v>0</v>
      </c>
      <c r="M566" t="n">
        <v>0</v>
      </c>
      <c r="N566" t="n">
        <v>0</v>
      </c>
      <c r="O566" t="n">
        <v>0</v>
      </c>
      <c r="P566" t="n">
        <v>0</v>
      </c>
      <c r="Q566" t="n">
        <v>0</v>
      </c>
      <c r="R566" s="2" t="inlineStr"/>
    </row>
    <row r="567" ht="15" customHeight="1">
      <c r="A567" t="inlineStr">
        <is>
          <t>A 43011-2025</t>
        </is>
      </c>
      <c r="B567" s="1" t="n">
        <v>45909.48989583334</v>
      </c>
      <c r="C567" s="1" t="n">
        <v>45999</v>
      </c>
      <c r="D567" t="inlineStr">
        <is>
          <t>UPPSALA LÄN</t>
        </is>
      </c>
      <c r="E567" t="inlineStr">
        <is>
          <t>ÖSTHAMMAR</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14272-2025</t>
        </is>
      </c>
      <c r="B568" s="1" t="n">
        <v>45740.64327546296</v>
      </c>
      <c r="C568" s="1" t="n">
        <v>45999</v>
      </c>
      <c r="D568" t="inlineStr">
        <is>
          <t>UPPSALA LÄN</t>
        </is>
      </c>
      <c r="E568" t="inlineStr">
        <is>
          <t>ÖSTHAMMAR</t>
        </is>
      </c>
      <c r="G568" t="n">
        <v>5.7</v>
      </c>
      <c r="H568" t="n">
        <v>0</v>
      </c>
      <c r="I568" t="n">
        <v>0</v>
      </c>
      <c r="J568" t="n">
        <v>0</v>
      </c>
      <c r="K568" t="n">
        <v>0</v>
      </c>
      <c r="L568" t="n">
        <v>0</v>
      </c>
      <c r="M568" t="n">
        <v>0</v>
      </c>
      <c r="N568" t="n">
        <v>0</v>
      </c>
      <c r="O568" t="n">
        <v>0</v>
      </c>
      <c r="P568" t="n">
        <v>0</v>
      </c>
      <c r="Q568" t="n">
        <v>0</v>
      </c>
      <c r="R568" s="2" t="inlineStr"/>
    </row>
    <row r="569" ht="15" customHeight="1">
      <c r="A569" t="inlineStr">
        <is>
          <t>A 56653-2025</t>
        </is>
      </c>
      <c r="B569" s="1" t="n">
        <v>45975.64628472222</v>
      </c>
      <c r="C569" s="1" t="n">
        <v>45999</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56658-2025</t>
        </is>
      </c>
      <c r="B570" s="1" t="n">
        <v>45975.65431712963</v>
      </c>
      <c r="C570" s="1" t="n">
        <v>45999</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42940-2025</t>
        </is>
      </c>
      <c r="B571" s="1" t="n">
        <v>45909.33440972222</v>
      </c>
      <c r="C571" s="1" t="n">
        <v>45999</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27660-2023</t>
        </is>
      </c>
      <c r="B572" s="1" t="n">
        <v>45097</v>
      </c>
      <c r="C572" s="1" t="n">
        <v>45999</v>
      </c>
      <c r="D572" t="inlineStr">
        <is>
          <t>UPPSALA LÄN</t>
        </is>
      </c>
      <c r="E572" t="inlineStr">
        <is>
          <t>ÖSTHAMMAR</t>
        </is>
      </c>
      <c r="G572" t="n">
        <v>2.8</v>
      </c>
      <c r="H572" t="n">
        <v>0</v>
      </c>
      <c r="I572" t="n">
        <v>0</v>
      </c>
      <c r="J572" t="n">
        <v>0</v>
      </c>
      <c r="K572" t="n">
        <v>0</v>
      </c>
      <c r="L572" t="n">
        <v>0</v>
      </c>
      <c r="M572" t="n">
        <v>0</v>
      </c>
      <c r="N572" t="n">
        <v>0</v>
      </c>
      <c r="O572" t="n">
        <v>0</v>
      </c>
      <c r="P572" t="n">
        <v>0</v>
      </c>
      <c r="Q572" t="n">
        <v>0</v>
      </c>
      <c r="R572" s="2" t="inlineStr"/>
    </row>
    <row r="573" ht="15" customHeight="1">
      <c r="A573" t="inlineStr">
        <is>
          <t>A 23968-2025</t>
        </is>
      </c>
      <c r="B573" s="1" t="n">
        <v>45796</v>
      </c>
      <c r="C573" s="1" t="n">
        <v>45999</v>
      </c>
      <c r="D573" t="inlineStr">
        <is>
          <t>UPPSALA LÄN</t>
        </is>
      </c>
      <c r="E573" t="inlineStr">
        <is>
          <t>ÖSTHAMMAR</t>
        </is>
      </c>
      <c r="F573" t="inlineStr">
        <is>
          <t>Bergvik skog öst AB</t>
        </is>
      </c>
      <c r="G573" t="n">
        <v>7.5</v>
      </c>
      <c r="H573" t="n">
        <v>0</v>
      </c>
      <c r="I573" t="n">
        <v>0</v>
      </c>
      <c r="J573" t="n">
        <v>0</v>
      </c>
      <c r="K573" t="n">
        <v>0</v>
      </c>
      <c r="L573" t="n">
        <v>0</v>
      </c>
      <c r="M573" t="n">
        <v>0</v>
      </c>
      <c r="N573" t="n">
        <v>0</v>
      </c>
      <c r="O573" t="n">
        <v>0</v>
      </c>
      <c r="P573" t="n">
        <v>0</v>
      </c>
      <c r="Q573" t="n">
        <v>0</v>
      </c>
      <c r="R573" s="2" t="inlineStr"/>
    </row>
    <row r="574" ht="15" customHeight="1">
      <c r="A574" t="inlineStr">
        <is>
          <t>A 24160-2024</t>
        </is>
      </c>
      <c r="B574" s="1" t="n">
        <v>45456</v>
      </c>
      <c r="C574" s="1" t="n">
        <v>45999</v>
      </c>
      <c r="D574" t="inlineStr">
        <is>
          <t>UPPSALA LÄN</t>
        </is>
      </c>
      <c r="E574" t="inlineStr">
        <is>
          <t>ÖSTHAMMAR</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1584-2025</t>
        </is>
      </c>
      <c r="B575" s="1" t="n">
        <v>45670</v>
      </c>
      <c r="C575" s="1" t="n">
        <v>45999</v>
      </c>
      <c r="D575" t="inlineStr">
        <is>
          <t>UPPSALA LÄN</t>
        </is>
      </c>
      <c r="E575" t="inlineStr">
        <is>
          <t>ÖSTHAMMAR</t>
        </is>
      </c>
      <c r="G575" t="n">
        <v>0.7</v>
      </c>
      <c r="H575" t="n">
        <v>0</v>
      </c>
      <c r="I575" t="n">
        <v>0</v>
      </c>
      <c r="J575" t="n">
        <v>0</v>
      </c>
      <c r="K575" t="n">
        <v>0</v>
      </c>
      <c r="L575" t="n">
        <v>0</v>
      </c>
      <c r="M575" t="n">
        <v>0</v>
      </c>
      <c r="N575" t="n">
        <v>0</v>
      </c>
      <c r="O575" t="n">
        <v>0</v>
      </c>
      <c r="P575" t="n">
        <v>0</v>
      </c>
      <c r="Q575" t="n">
        <v>0</v>
      </c>
      <c r="R575" s="2" t="inlineStr"/>
    </row>
    <row r="576" ht="15" customHeight="1">
      <c r="A576" t="inlineStr">
        <is>
          <t>A 24174-2025</t>
        </is>
      </c>
      <c r="B576" s="1" t="n">
        <v>45796.69207175926</v>
      </c>
      <c r="C576" s="1" t="n">
        <v>45999</v>
      </c>
      <c r="D576" t="inlineStr">
        <is>
          <t>UPPSALA LÄN</t>
        </is>
      </c>
      <c r="E576" t="inlineStr">
        <is>
          <t>ÖSTHAMMAR</t>
        </is>
      </c>
      <c r="G576" t="n">
        <v>4.9</v>
      </c>
      <c r="H576" t="n">
        <v>0</v>
      </c>
      <c r="I576" t="n">
        <v>0</v>
      </c>
      <c r="J576" t="n">
        <v>0</v>
      </c>
      <c r="K576" t="n">
        <v>0</v>
      </c>
      <c r="L576" t="n">
        <v>0</v>
      </c>
      <c r="M576" t="n">
        <v>0</v>
      </c>
      <c r="N576" t="n">
        <v>0</v>
      </c>
      <c r="O576" t="n">
        <v>0</v>
      </c>
      <c r="P576" t="n">
        <v>0</v>
      </c>
      <c r="Q576" t="n">
        <v>0</v>
      </c>
      <c r="R576" s="2" t="inlineStr"/>
    </row>
    <row r="577" ht="15" customHeight="1">
      <c r="A577" t="inlineStr">
        <is>
          <t>A 56518-2025</t>
        </is>
      </c>
      <c r="B577" s="1" t="n">
        <v>45975.4581712963</v>
      </c>
      <c r="C577" s="1" t="n">
        <v>45999</v>
      </c>
      <c r="D577" t="inlineStr">
        <is>
          <t>UPPSALA LÄN</t>
        </is>
      </c>
      <c r="E577" t="inlineStr">
        <is>
          <t>ÖSTHAMMAR</t>
        </is>
      </c>
      <c r="G577" t="n">
        <v>2.7</v>
      </c>
      <c r="H577" t="n">
        <v>0</v>
      </c>
      <c r="I577" t="n">
        <v>0</v>
      </c>
      <c r="J577" t="n">
        <v>0</v>
      </c>
      <c r="K577" t="n">
        <v>0</v>
      </c>
      <c r="L577" t="n">
        <v>0</v>
      </c>
      <c r="M577" t="n">
        <v>0</v>
      </c>
      <c r="N577" t="n">
        <v>0</v>
      </c>
      <c r="O577" t="n">
        <v>0</v>
      </c>
      <c r="P577" t="n">
        <v>0</v>
      </c>
      <c r="Q577" t="n">
        <v>0</v>
      </c>
      <c r="R577" s="2" t="inlineStr"/>
    </row>
    <row r="578" ht="15" customHeight="1">
      <c r="A578" t="inlineStr">
        <is>
          <t>A 30972-2024</t>
        </is>
      </c>
      <c r="B578" s="1" t="n">
        <v>45499.47106481482</v>
      </c>
      <c r="C578" s="1" t="n">
        <v>45999</v>
      </c>
      <c r="D578" t="inlineStr">
        <is>
          <t>UPPSALA LÄN</t>
        </is>
      </c>
      <c r="E578" t="inlineStr">
        <is>
          <t>ÖSTHAMMAR</t>
        </is>
      </c>
      <c r="F578" t="inlineStr">
        <is>
          <t>Bergvik skog öst AB</t>
        </is>
      </c>
      <c r="G578" t="n">
        <v>0.8</v>
      </c>
      <c r="H578" t="n">
        <v>0</v>
      </c>
      <c r="I578" t="n">
        <v>0</v>
      </c>
      <c r="J578" t="n">
        <v>0</v>
      </c>
      <c r="K578" t="n">
        <v>0</v>
      </c>
      <c r="L578" t="n">
        <v>0</v>
      </c>
      <c r="M578" t="n">
        <v>0</v>
      </c>
      <c r="N578" t="n">
        <v>0</v>
      </c>
      <c r="O578" t="n">
        <v>0</v>
      </c>
      <c r="P578" t="n">
        <v>0</v>
      </c>
      <c r="Q578" t="n">
        <v>0</v>
      </c>
      <c r="R578" s="2" t="inlineStr"/>
    </row>
    <row r="579" ht="15" customHeight="1">
      <c r="A579" t="inlineStr">
        <is>
          <t>A 56745-2025</t>
        </is>
      </c>
      <c r="B579" s="1" t="n">
        <v>45978.36157407407</v>
      </c>
      <c r="C579" s="1" t="n">
        <v>45999</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56748-2025</t>
        </is>
      </c>
      <c r="B580" s="1" t="n">
        <v>45978.36412037037</v>
      </c>
      <c r="C580" s="1" t="n">
        <v>45999</v>
      </c>
      <c r="D580" t="inlineStr">
        <is>
          <t>UPPSALA LÄN</t>
        </is>
      </c>
      <c r="E580" t="inlineStr">
        <is>
          <t>ÖSTHAMMAR</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43622-2025</t>
        </is>
      </c>
      <c r="B581" s="1" t="n">
        <v>45911.68295138889</v>
      </c>
      <c r="C581" s="1" t="n">
        <v>45999</v>
      </c>
      <c r="D581" t="inlineStr">
        <is>
          <t>UPPSALA LÄN</t>
        </is>
      </c>
      <c r="E581" t="inlineStr">
        <is>
          <t>ÖSTHAMMAR</t>
        </is>
      </c>
      <c r="G581" t="n">
        <v>2.3</v>
      </c>
      <c r="H581" t="n">
        <v>0</v>
      </c>
      <c r="I581" t="n">
        <v>0</v>
      </c>
      <c r="J581" t="n">
        <v>0</v>
      </c>
      <c r="K581" t="n">
        <v>0</v>
      </c>
      <c r="L581" t="n">
        <v>0</v>
      </c>
      <c r="M581" t="n">
        <v>0</v>
      </c>
      <c r="N581" t="n">
        <v>0</v>
      </c>
      <c r="O581" t="n">
        <v>0</v>
      </c>
      <c r="P581" t="n">
        <v>0</v>
      </c>
      <c r="Q581" t="n">
        <v>0</v>
      </c>
      <c r="R581" s="2" t="inlineStr"/>
    </row>
    <row r="582" ht="15" customHeight="1">
      <c r="A582" t="inlineStr">
        <is>
          <t>A 56753-2025</t>
        </is>
      </c>
      <c r="B582" s="1" t="n">
        <v>45978.36677083333</v>
      </c>
      <c r="C582" s="1" t="n">
        <v>45999</v>
      </c>
      <c r="D582" t="inlineStr">
        <is>
          <t>UPPSALA LÄN</t>
        </is>
      </c>
      <c r="E582" t="inlineStr">
        <is>
          <t>ÖSTHAMMAR</t>
        </is>
      </c>
      <c r="F582" t="inlineStr">
        <is>
          <t>Sveaskog</t>
        </is>
      </c>
      <c r="G582" t="n">
        <v>8.6</v>
      </c>
      <c r="H582" t="n">
        <v>0</v>
      </c>
      <c r="I582" t="n">
        <v>0</v>
      </c>
      <c r="J582" t="n">
        <v>0</v>
      </c>
      <c r="K582" t="n">
        <v>0</v>
      </c>
      <c r="L582" t="n">
        <v>0</v>
      </c>
      <c r="M582" t="n">
        <v>0</v>
      </c>
      <c r="N582" t="n">
        <v>0</v>
      </c>
      <c r="O582" t="n">
        <v>0</v>
      </c>
      <c r="P582" t="n">
        <v>0</v>
      </c>
      <c r="Q582" t="n">
        <v>0</v>
      </c>
      <c r="R582" s="2" t="inlineStr"/>
    </row>
    <row r="583" ht="15" customHeight="1">
      <c r="A583" t="inlineStr">
        <is>
          <t>A 43604-2025</t>
        </is>
      </c>
      <c r="B583" s="1" t="n">
        <v>45911.66671296296</v>
      </c>
      <c r="C583" s="1" t="n">
        <v>45999</v>
      </c>
      <c r="D583" t="inlineStr">
        <is>
          <t>UPPSALA LÄN</t>
        </is>
      </c>
      <c r="E583" t="inlineStr">
        <is>
          <t>ÖSTHAMMAR</t>
        </is>
      </c>
      <c r="G583" t="n">
        <v>8.5</v>
      </c>
      <c r="H583" t="n">
        <v>0</v>
      </c>
      <c r="I583" t="n">
        <v>0</v>
      </c>
      <c r="J583" t="n">
        <v>0</v>
      </c>
      <c r="K583" t="n">
        <v>0</v>
      </c>
      <c r="L583" t="n">
        <v>0</v>
      </c>
      <c r="M583" t="n">
        <v>0</v>
      </c>
      <c r="N583" t="n">
        <v>0</v>
      </c>
      <c r="O583" t="n">
        <v>0</v>
      </c>
      <c r="P583" t="n">
        <v>0</v>
      </c>
      <c r="Q583" t="n">
        <v>0</v>
      </c>
      <c r="R583" s="2" t="inlineStr"/>
    </row>
    <row r="584" ht="15" customHeight="1">
      <c r="A584" t="inlineStr">
        <is>
          <t>A 56682-2025</t>
        </is>
      </c>
      <c r="B584" s="1" t="n">
        <v>45975</v>
      </c>
      <c r="C584" s="1" t="n">
        <v>45999</v>
      </c>
      <c r="D584" t="inlineStr">
        <is>
          <t>UPPSALA LÄN</t>
        </is>
      </c>
      <c r="E584" t="inlineStr">
        <is>
          <t>ÖSTHAMMAR</t>
        </is>
      </c>
      <c r="G584" t="n">
        <v>3.9</v>
      </c>
      <c r="H584" t="n">
        <v>0</v>
      </c>
      <c r="I584" t="n">
        <v>0</v>
      </c>
      <c r="J584" t="n">
        <v>0</v>
      </c>
      <c r="K584" t="n">
        <v>0</v>
      </c>
      <c r="L584" t="n">
        <v>0</v>
      </c>
      <c r="M584" t="n">
        <v>0</v>
      </c>
      <c r="N584" t="n">
        <v>0</v>
      </c>
      <c r="O584" t="n">
        <v>0</v>
      </c>
      <c r="P584" t="n">
        <v>0</v>
      </c>
      <c r="Q584" t="n">
        <v>0</v>
      </c>
      <c r="R584" s="2" t="inlineStr"/>
    </row>
    <row r="585" ht="15" customHeight="1">
      <c r="A585" t="inlineStr">
        <is>
          <t>A 48654-2025</t>
        </is>
      </c>
      <c r="B585" s="1" t="n">
        <v>45936.55887731481</v>
      </c>
      <c r="C585" s="1" t="n">
        <v>45999</v>
      </c>
      <c r="D585" t="inlineStr">
        <is>
          <t>UPPSALA LÄN</t>
        </is>
      </c>
      <c r="E585" t="inlineStr">
        <is>
          <t>ÖSTHAMMAR</t>
        </is>
      </c>
      <c r="F585" t="inlineStr">
        <is>
          <t>Övriga Aktiebolag</t>
        </is>
      </c>
      <c r="G585" t="n">
        <v>0.7</v>
      </c>
      <c r="H585" t="n">
        <v>0</v>
      </c>
      <c r="I585" t="n">
        <v>0</v>
      </c>
      <c r="J585" t="n">
        <v>0</v>
      </c>
      <c r="K585" t="n">
        <v>0</v>
      </c>
      <c r="L585" t="n">
        <v>0</v>
      </c>
      <c r="M585" t="n">
        <v>0</v>
      </c>
      <c r="N585" t="n">
        <v>0</v>
      </c>
      <c r="O585" t="n">
        <v>0</v>
      </c>
      <c r="P585" t="n">
        <v>0</v>
      </c>
      <c r="Q585" t="n">
        <v>0</v>
      </c>
      <c r="R585" s="2" t="inlineStr"/>
    </row>
    <row r="586" ht="15" customHeight="1">
      <c r="A586" t="inlineStr">
        <is>
          <t>A 48854-2025</t>
        </is>
      </c>
      <c r="B586" s="1" t="n">
        <v>45937.43274305556</v>
      </c>
      <c r="C586" s="1" t="n">
        <v>45999</v>
      </c>
      <c r="D586" t="inlineStr">
        <is>
          <t>UPPSALA LÄN</t>
        </is>
      </c>
      <c r="E586" t="inlineStr">
        <is>
          <t>ÖSTHAMMAR</t>
        </is>
      </c>
      <c r="F586" t="inlineStr">
        <is>
          <t>Övriga Aktiebolag</t>
        </is>
      </c>
      <c r="G586" t="n">
        <v>18.9</v>
      </c>
      <c r="H586" t="n">
        <v>0</v>
      </c>
      <c r="I586" t="n">
        <v>0</v>
      </c>
      <c r="J586" t="n">
        <v>0</v>
      </c>
      <c r="K586" t="n">
        <v>0</v>
      </c>
      <c r="L586" t="n">
        <v>0</v>
      </c>
      <c r="M586" t="n">
        <v>0</v>
      </c>
      <c r="N586" t="n">
        <v>0</v>
      </c>
      <c r="O586" t="n">
        <v>0</v>
      </c>
      <c r="P586" t="n">
        <v>0</v>
      </c>
      <c r="Q586" t="n">
        <v>0</v>
      </c>
      <c r="R586" s="2" t="inlineStr"/>
    </row>
    <row r="587" ht="15" customHeight="1">
      <c r="A587" t="inlineStr">
        <is>
          <t>A 62394-2022</t>
        </is>
      </c>
      <c r="B587" s="1" t="n">
        <v>44923.82017361111</v>
      </c>
      <c r="C587" s="1" t="n">
        <v>45999</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24415-2025</t>
        </is>
      </c>
      <c r="B588" s="1" t="n">
        <v>45797.67381944445</v>
      </c>
      <c r="C588" s="1" t="n">
        <v>45999</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48857-2025</t>
        </is>
      </c>
      <c r="B589" s="1" t="n">
        <v>45937.43621527778</v>
      </c>
      <c r="C589" s="1" t="n">
        <v>45999</v>
      </c>
      <c r="D589" t="inlineStr">
        <is>
          <t>UPPSALA LÄN</t>
        </is>
      </c>
      <c r="E589" t="inlineStr">
        <is>
          <t>ÖSTHAMMAR</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57248-2025</t>
        </is>
      </c>
      <c r="B590" s="1" t="n">
        <v>45979.635625</v>
      </c>
      <c r="C590" s="1" t="n">
        <v>45999</v>
      </c>
      <c r="D590" t="inlineStr">
        <is>
          <t>UPPSALA LÄN</t>
        </is>
      </c>
      <c r="E590" t="inlineStr">
        <is>
          <t>ÖSTHAMMAR</t>
        </is>
      </c>
      <c r="F590" t="inlineStr">
        <is>
          <t>Bergvik skog öst AB</t>
        </is>
      </c>
      <c r="G590" t="n">
        <v>2.8</v>
      </c>
      <c r="H590" t="n">
        <v>0</v>
      </c>
      <c r="I590" t="n">
        <v>0</v>
      </c>
      <c r="J590" t="n">
        <v>0</v>
      </c>
      <c r="K590" t="n">
        <v>0</v>
      </c>
      <c r="L590" t="n">
        <v>0</v>
      </c>
      <c r="M590" t="n">
        <v>0</v>
      </c>
      <c r="N590" t="n">
        <v>0</v>
      </c>
      <c r="O590" t="n">
        <v>0</v>
      </c>
      <c r="P590" t="n">
        <v>0</v>
      </c>
      <c r="Q590" t="n">
        <v>0</v>
      </c>
      <c r="R590" s="2" t="inlineStr"/>
    </row>
    <row r="591" ht="15" customHeight="1">
      <c r="A591" t="inlineStr">
        <is>
          <t>A 25049-2025</t>
        </is>
      </c>
      <c r="B591" s="1" t="n">
        <v>45799.66876157407</v>
      </c>
      <c r="C591" s="1" t="n">
        <v>45999</v>
      </c>
      <c r="D591" t="inlineStr">
        <is>
          <t>UPPSALA LÄN</t>
        </is>
      </c>
      <c r="E591" t="inlineStr">
        <is>
          <t>ÖSTHAMMAR</t>
        </is>
      </c>
      <c r="F591" t="inlineStr">
        <is>
          <t>Bergvik skog öst AB</t>
        </is>
      </c>
      <c r="G591" t="n">
        <v>3.8</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45999</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24944-2025</t>
        </is>
      </c>
      <c r="B593" s="1" t="n">
        <v>45799.56347222222</v>
      </c>
      <c r="C593" s="1" t="n">
        <v>45999</v>
      </c>
      <c r="D593" t="inlineStr">
        <is>
          <t>UPPSALA LÄN</t>
        </is>
      </c>
      <c r="E593" t="inlineStr">
        <is>
          <t>ÖSTHAMMAR</t>
        </is>
      </c>
      <c r="G593" t="n">
        <v>7.3</v>
      </c>
      <c r="H593" t="n">
        <v>0</v>
      </c>
      <c r="I593" t="n">
        <v>0</v>
      </c>
      <c r="J593" t="n">
        <v>0</v>
      </c>
      <c r="K593" t="n">
        <v>0</v>
      </c>
      <c r="L593" t="n">
        <v>0</v>
      </c>
      <c r="M593" t="n">
        <v>0</v>
      </c>
      <c r="N593" t="n">
        <v>0</v>
      </c>
      <c r="O593" t="n">
        <v>0</v>
      </c>
      <c r="P593" t="n">
        <v>0</v>
      </c>
      <c r="Q593" t="n">
        <v>0</v>
      </c>
      <c r="R593" s="2" t="inlineStr"/>
    </row>
    <row r="594" ht="15" customHeight="1">
      <c r="A594" t="inlineStr">
        <is>
          <t>A 21478-2023</t>
        </is>
      </c>
      <c r="B594" s="1" t="n">
        <v>45063.47773148148</v>
      </c>
      <c r="C594" s="1" t="n">
        <v>45999</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16089-2025</t>
        </is>
      </c>
      <c r="B595" s="1" t="n">
        <v>45749.84232638889</v>
      </c>
      <c r="C595" s="1" t="n">
        <v>45999</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34185-2024</t>
        </is>
      </c>
      <c r="B596" s="1" t="n">
        <v>45524</v>
      </c>
      <c r="C596" s="1" t="n">
        <v>45999</v>
      </c>
      <c r="D596" t="inlineStr">
        <is>
          <t>UPPSALA LÄN</t>
        </is>
      </c>
      <c r="E596" t="inlineStr">
        <is>
          <t>ÖSTHAMMAR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14170-2025</t>
        </is>
      </c>
      <c r="B597" s="1" t="n">
        <v>45740.51895833333</v>
      </c>
      <c r="C597" s="1" t="n">
        <v>45999</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57257-2025</t>
        </is>
      </c>
      <c r="B598" s="1" t="n">
        <v>45979.65149305556</v>
      </c>
      <c r="C598" s="1" t="n">
        <v>45999</v>
      </c>
      <c r="D598" t="inlineStr">
        <is>
          <t>UPPSALA LÄN</t>
        </is>
      </c>
      <c r="E598" t="inlineStr">
        <is>
          <t>ÖSTHAMMAR</t>
        </is>
      </c>
      <c r="G598" t="n">
        <v>0.7</v>
      </c>
      <c r="H598" t="n">
        <v>0</v>
      </c>
      <c r="I598" t="n">
        <v>0</v>
      </c>
      <c r="J598" t="n">
        <v>0</v>
      </c>
      <c r="K598" t="n">
        <v>0</v>
      </c>
      <c r="L598" t="n">
        <v>0</v>
      </c>
      <c r="M598" t="n">
        <v>0</v>
      </c>
      <c r="N598" t="n">
        <v>0</v>
      </c>
      <c r="O598" t="n">
        <v>0</v>
      </c>
      <c r="P598" t="n">
        <v>0</v>
      </c>
      <c r="Q598" t="n">
        <v>0</v>
      </c>
      <c r="R598" s="2" t="inlineStr"/>
    </row>
    <row r="599" ht="15" customHeight="1">
      <c r="A599" t="inlineStr">
        <is>
          <t>A 44491-2025</t>
        </is>
      </c>
      <c r="B599" s="1" t="n">
        <v>45916.66152777777</v>
      </c>
      <c r="C599" s="1" t="n">
        <v>45999</v>
      </c>
      <c r="D599" t="inlineStr">
        <is>
          <t>UPPSALA LÄN</t>
        </is>
      </c>
      <c r="E599" t="inlineStr">
        <is>
          <t>ÖSTHAMMAR</t>
        </is>
      </c>
      <c r="F599" t="inlineStr">
        <is>
          <t>Bergvik skog öst AB</t>
        </is>
      </c>
      <c r="G599" t="n">
        <v>4.3</v>
      </c>
      <c r="H599" t="n">
        <v>0</v>
      </c>
      <c r="I599" t="n">
        <v>0</v>
      </c>
      <c r="J599" t="n">
        <v>0</v>
      </c>
      <c r="K599" t="n">
        <v>0</v>
      </c>
      <c r="L599" t="n">
        <v>0</v>
      </c>
      <c r="M599" t="n">
        <v>0</v>
      </c>
      <c r="N599" t="n">
        <v>0</v>
      </c>
      <c r="O599" t="n">
        <v>0</v>
      </c>
      <c r="P599" t="n">
        <v>0</v>
      </c>
      <c r="Q599" t="n">
        <v>0</v>
      </c>
      <c r="R599" s="2" t="inlineStr"/>
    </row>
    <row r="600" ht="15" customHeight="1">
      <c r="A600" t="inlineStr">
        <is>
          <t>A 12945-2025</t>
        </is>
      </c>
      <c r="B600" s="1" t="n">
        <v>45734.38159722222</v>
      </c>
      <c r="C600" s="1" t="n">
        <v>45999</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26328-2025</t>
        </is>
      </c>
      <c r="B601" s="1" t="n">
        <v>45805.67305555556</v>
      </c>
      <c r="C601" s="1" t="n">
        <v>45999</v>
      </c>
      <c r="D601" t="inlineStr">
        <is>
          <t>UPPSALA LÄN</t>
        </is>
      </c>
      <c r="E601" t="inlineStr">
        <is>
          <t>ÖSTHAMMAR</t>
        </is>
      </c>
      <c r="G601" t="n">
        <v>1.6</v>
      </c>
      <c r="H601" t="n">
        <v>0</v>
      </c>
      <c r="I601" t="n">
        <v>0</v>
      </c>
      <c r="J601" t="n">
        <v>0</v>
      </c>
      <c r="K601" t="n">
        <v>0</v>
      </c>
      <c r="L601" t="n">
        <v>0</v>
      </c>
      <c r="M601" t="n">
        <v>0</v>
      </c>
      <c r="N601" t="n">
        <v>0</v>
      </c>
      <c r="O601" t="n">
        <v>0</v>
      </c>
      <c r="P601" t="n">
        <v>0</v>
      </c>
      <c r="Q601" t="n">
        <v>0</v>
      </c>
      <c r="R601" s="2" t="inlineStr"/>
    </row>
    <row r="602" ht="15" customHeight="1">
      <c r="A602" t="inlineStr">
        <is>
          <t>A 58297-2024</t>
        </is>
      </c>
      <c r="B602" s="1" t="n">
        <v>45632.59780092593</v>
      </c>
      <c r="C602" s="1" t="n">
        <v>45999</v>
      </c>
      <c r="D602" t="inlineStr">
        <is>
          <t>UPPSALA LÄN</t>
        </is>
      </c>
      <c r="E602" t="inlineStr">
        <is>
          <t>ÖSTHAMMAR</t>
        </is>
      </c>
      <c r="G602" t="n">
        <v>5.1</v>
      </c>
      <c r="H602" t="n">
        <v>0</v>
      </c>
      <c r="I602" t="n">
        <v>0</v>
      </c>
      <c r="J602" t="n">
        <v>0</v>
      </c>
      <c r="K602" t="n">
        <v>0</v>
      </c>
      <c r="L602" t="n">
        <v>0</v>
      </c>
      <c r="M602" t="n">
        <v>0</v>
      </c>
      <c r="N602" t="n">
        <v>0</v>
      </c>
      <c r="O602" t="n">
        <v>0</v>
      </c>
      <c r="P602" t="n">
        <v>0</v>
      </c>
      <c r="Q602" t="n">
        <v>0</v>
      </c>
      <c r="R602" s="2" t="inlineStr"/>
    </row>
    <row r="603" ht="15" customHeight="1">
      <c r="A603" t="inlineStr">
        <is>
          <t>A 26055-2025</t>
        </is>
      </c>
      <c r="B603" s="1" t="n">
        <v>45804.77559027778</v>
      </c>
      <c r="C603" s="1" t="n">
        <v>45999</v>
      </c>
      <c r="D603" t="inlineStr">
        <is>
          <t>UPPSALA LÄN</t>
        </is>
      </c>
      <c r="E603" t="inlineStr">
        <is>
          <t>ÖSTHAMMAR</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26330-2025</t>
        </is>
      </c>
      <c r="B604" s="1" t="n">
        <v>45805.68263888889</v>
      </c>
      <c r="C604" s="1" t="n">
        <v>45999</v>
      </c>
      <c r="D604" t="inlineStr">
        <is>
          <t>UPPSALA LÄN</t>
        </is>
      </c>
      <c r="E604" t="inlineStr">
        <is>
          <t>ÖSTHAMMAR</t>
        </is>
      </c>
      <c r="G604" t="n">
        <v>0.5</v>
      </c>
      <c r="H604" t="n">
        <v>0</v>
      </c>
      <c r="I604" t="n">
        <v>0</v>
      </c>
      <c r="J604" t="n">
        <v>0</v>
      </c>
      <c r="K604" t="n">
        <v>0</v>
      </c>
      <c r="L604" t="n">
        <v>0</v>
      </c>
      <c r="M604" t="n">
        <v>0</v>
      </c>
      <c r="N604" t="n">
        <v>0</v>
      </c>
      <c r="O604" t="n">
        <v>0</v>
      </c>
      <c r="P604" t="n">
        <v>0</v>
      </c>
      <c r="Q604" t="n">
        <v>0</v>
      </c>
      <c r="R604" s="2" t="inlineStr"/>
    </row>
    <row r="605" ht="15" customHeight="1">
      <c r="A605" t="inlineStr">
        <is>
          <t>A 26319-2025</t>
        </is>
      </c>
      <c r="B605" s="1" t="n">
        <v>45805.65960648148</v>
      </c>
      <c r="C605" s="1" t="n">
        <v>45999</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57908-2025</t>
        </is>
      </c>
      <c r="B606" s="1" t="n">
        <v>45981.78886574074</v>
      </c>
      <c r="C606" s="1" t="n">
        <v>45999</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44917-2025</t>
        </is>
      </c>
      <c r="B607" s="1" t="n">
        <v>45918.54903935185</v>
      </c>
      <c r="C607" s="1" t="n">
        <v>45999</v>
      </c>
      <c r="D607" t="inlineStr">
        <is>
          <t>UPPSALA LÄN</t>
        </is>
      </c>
      <c r="E607" t="inlineStr">
        <is>
          <t>ÖSTHAMMAR</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49773-2025</t>
        </is>
      </c>
      <c r="B608" s="1" t="n">
        <v>45940.37303240741</v>
      </c>
      <c r="C608" s="1" t="n">
        <v>45999</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47020-2025</t>
        </is>
      </c>
      <c r="B609" s="1" t="n">
        <v>45929.5775</v>
      </c>
      <c r="C609" s="1" t="n">
        <v>45999</v>
      </c>
      <c r="D609" t="inlineStr">
        <is>
          <t>UPPSALA LÄN</t>
        </is>
      </c>
      <c r="E609" t="inlineStr">
        <is>
          <t>ÖSTHAMMAR</t>
        </is>
      </c>
      <c r="G609" t="n">
        <v>2.1</v>
      </c>
      <c r="H609" t="n">
        <v>0</v>
      </c>
      <c r="I609" t="n">
        <v>0</v>
      </c>
      <c r="J609" t="n">
        <v>0</v>
      </c>
      <c r="K609" t="n">
        <v>0</v>
      </c>
      <c r="L609" t="n">
        <v>0</v>
      </c>
      <c r="M609" t="n">
        <v>0</v>
      </c>
      <c r="N609" t="n">
        <v>0</v>
      </c>
      <c r="O609" t="n">
        <v>0</v>
      </c>
      <c r="P609" t="n">
        <v>0</v>
      </c>
      <c r="Q609" t="n">
        <v>0</v>
      </c>
      <c r="R609" s="2" t="inlineStr"/>
    </row>
    <row r="610" ht="15" customHeight="1">
      <c r="A610" t="inlineStr">
        <is>
          <t>A 57907-2025</t>
        </is>
      </c>
      <c r="B610" s="1" t="n">
        <v>45981.78840277778</v>
      </c>
      <c r="C610" s="1" t="n">
        <v>45999</v>
      </c>
      <c r="D610" t="inlineStr">
        <is>
          <t>UPPSALA LÄN</t>
        </is>
      </c>
      <c r="E610" t="inlineStr">
        <is>
          <t>ÖSTHAMMAR</t>
        </is>
      </c>
      <c r="F610" t="inlineStr">
        <is>
          <t>Bergvik skog öst AB</t>
        </is>
      </c>
      <c r="G610" t="n">
        <v>2.9</v>
      </c>
      <c r="H610" t="n">
        <v>0</v>
      </c>
      <c r="I610" t="n">
        <v>0</v>
      </c>
      <c r="J610" t="n">
        <v>0</v>
      </c>
      <c r="K610" t="n">
        <v>0</v>
      </c>
      <c r="L610" t="n">
        <v>0</v>
      </c>
      <c r="M610" t="n">
        <v>0</v>
      </c>
      <c r="N610" t="n">
        <v>0</v>
      </c>
      <c r="O610" t="n">
        <v>0</v>
      </c>
      <c r="P610" t="n">
        <v>0</v>
      </c>
      <c r="Q610" t="n">
        <v>0</v>
      </c>
      <c r="R610" s="2" t="inlineStr"/>
    </row>
    <row r="611" ht="15" customHeight="1">
      <c r="A611" t="inlineStr">
        <is>
          <t>A 49620-2025</t>
        </is>
      </c>
      <c r="B611" s="1" t="n">
        <v>45939.58928240741</v>
      </c>
      <c r="C611" s="1" t="n">
        <v>45999</v>
      </c>
      <c r="D611" t="inlineStr">
        <is>
          <t>UPPSALA LÄN</t>
        </is>
      </c>
      <c r="E611" t="inlineStr">
        <is>
          <t>ÖSTHAMMAR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26521-2025</t>
        </is>
      </c>
      <c r="B612" s="1" t="n">
        <v>45807.56275462963</v>
      </c>
      <c r="C612" s="1" t="n">
        <v>45999</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26526-2025</t>
        </is>
      </c>
      <c r="B613" s="1" t="n">
        <v>45807.56612268519</v>
      </c>
      <c r="C613" s="1" t="n">
        <v>45999</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53737-2025</t>
        </is>
      </c>
      <c r="B614" s="1" t="n">
        <v>45960.64520833334</v>
      </c>
      <c r="C614" s="1" t="n">
        <v>45999</v>
      </c>
      <c r="D614" t="inlineStr">
        <is>
          <t>UPPSALA LÄN</t>
        </is>
      </c>
      <c r="E614" t="inlineStr">
        <is>
          <t>ÖSTHAMMAR</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27395-2025</t>
        </is>
      </c>
      <c r="B615" s="1" t="n">
        <v>45812.6850462963</v>
      </c>
      <c r="C615" s="1" t="n">
        <v>45999</v>
      </c>
      <c r="D615" t="inlineStr">
        <is>
          <t>UPPSALA LÄN</t>
        </is>
      </c>
      <c r="E615" t="inlineStr">
        <is>
          <t>ÖSTHAMMAR</t>
        </is>
      </c>
      <c r="F615" t="inlineStr">
        <is>
          <t>Bergvik skog öst AB</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27347-2025</t>
        </is>
      </c>
      <c r="B616" s="1" t="n">
        <v>45812.62390046296</v>
      </c>
      <c r="C616" s="1" t="n">
        <v>45999</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27383-2025</t>
        </is>
      </c>
      <c r="B617" s="1" t="n">
        <v>45812.66628472223</v>
      </c>
      <c r="C617" s="1" t="n">
        <v>45999</v>
      </c>
      <c r="D617" t="inlineStr">
        <is>
          <t>UPPSALA LÄN</t>
        </is>
      </c>
      <c r="E617" t="inlineStr">
        <is>
          <t>ÖSTHAMMAR</t>
        </is>
      </c>
      <c r="G617" t="n">
        <v>0.7</v>
      </c>
      <c r="H617" t="n">
        <v>0</v>
      </c>
      <c r="I617" t="n">
        <v>0</v>
      </c>
      <c r="J617" t="n">
        <v>0</v>
      </c>
      <c r="K617" t="n">
        <v>0</v>
      </c>
      <c r="L617" t="n">
        <v>0</v>
      </c>
      <c r="M617" t="n">
        <v>0</v>
      </c>
      <c r="N617" t="n">
        <v>0</v>
      </c>
      <c r="O617" t="n">
        <v>0</v>
      </c>
      <c r="P617" t="n">
        <v>0</v>
      </c>
      <c r="Q617" t="n">
        <v>0</v>
      </c>
      <c r="R617" s="2" t="inlineStr"/>
    </row>
    <row r="618" ht="15" customHeight="1">
      <c r="A618" t="inlineStr">
        <is>
          <t>A 27385-2025</t>
        </is>
      </c>
      <c r="B618" s="1" t="n">
        <v>45812.66829861111</v>
      </c>
      <c r="C618" s="1" t="n">
        <v>45999</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27352-2025</t>
        </is>
      </c>
      <c r="B619" s="1" t="n">
        <v>45812.62694444445</v>
      </c>
      <c r="C619" s="1" t="n">
        <v>45999</v>
      </c>
      <c r="D619" t="inlineStr">
        <is>
          <t>UPPSALA LÄN</t>
        </is>
      </c>
      <c r="E619" t="inlineStr">
        <is>
          <t>ÖSTHAMMAR</t>
        </is>
      </c>
      <c r="G619" t="n">
        <v>2.5</v>
      </c>
      <c r="H619" t="n">
        <v>0</v>
      </c>
      <c r="I619" t="n">
        <v>0</v>
      </c>
      <c r="J619" t="n">
        <v>0</v>
      </c>
      <c r="K619" t="n">
        <v>0</v>
      </c>
      <c r="L619" t="n">
        <v>0</v>
      </c>
      <c r="M619" t="n">
        <v>0</v>
      </c>
      <c r="N619" t="n">
        <v>0</v>
      </c>
      <c r="O619" t="n">
        <v>0</v>
      </c>
      <c r="P619" t="n">
        <v>0</v>
      </c>
      <c r="Q619" t="n">
        <v>0</v>
      </c>
      <c r="R619" s="2" t="inlineStr"/>
    </row>
    <row r="620" ht="15" customHeight="1">
      <c r="A620" t="inlineStr">
        <is>
          <t>A 45105-2025</t>
        </is>
      </c>
      <c r="B620" s="1" t="n">
        <v>45919.40252314815</v>
      </c>
      <c r="C620" s="1" t="n">
        <v>45999</v>
      </c>
      <c r="D620" t="inlineStr">
        <is>
          <t>UPPSALA LÄN</t>
        </is>
      </c>
      <c r="E620" t="inlineStr">
        <is>
          <t>ÖSTHAMMAR</t>
        </is>
      </c>
      <c r="G620" t="n">
        <v>0.8</v>
      </c>
      <c r="H620" t="n">
        <v>0</v>
      </c>
      <c r="I620" t="n">
        <v>0</v>
      </c>
      <c r="J620" t="n">
        <v>0</v>
      </c>
      <c r="K620" t="n">
        <v>0</v>
      </c>
      <c r="L620" t="n">
        <v>0</v>
      </c>
      <c r="M620" t="n">
        <v>0</v>
      </c>
      <c r="N620" t="n">
        <v>0</v>
      </c>
      <c r="O620" t="n">
        <v>0</v>
      </c>
      <c r="P620" t="n">
        <v>0</v>
      </c>
      <c r="Q620" t="n">
        <v>0</v>
      </c>
      <c r="R620" s="2" t="inlineStr"/>
    </row>
    <row r="621" ht="15" customHeight="1">
      <c r="A621" t="inlineStr">
        <is>
          <t>A 53656-2025</t>
        </is>
      </c>
      <c r="B621" s="1" t="n">
        <v>45960</v>
      </c>
      <c r="C621" s="1" t="n">
        <v>45999</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27131-2025</t>
        </is>
      </c>
      <c r="B622" s="1" t="n">
        <v>45811</v>
      </c>
      <c r="C622" s="1" t="n">
        <v>45999</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53557-2025</t>
        </is>
      </c>
      <c r="B623" s="1" t="n">
        <v>45960</v>
      </c>
      <c r="C623" s="1" t="n">
        <v>45999</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27392-2025</t>
        </is>
      </c>
      <c r="B624" s="1" t="n">
        <v>45812.68268518519</v>
      </c>
      <c r="C624" s="1" t="n">
        <v>45999</v>
      </c>
      <c r="D624" t="inlineStr">
        <is>
          <t>UPPSALA LÄN</t>
        </is>
      </c>
      <c r="E624" t="inlineStr">
        <is>
          <t>ÖSTHAMMAR</t>
        </is>
      </c>
      <c r="F624" t="inlineStr">
        <is>
          <t>Bergvik skog öst AB</t>
        </is>
      </c>
      <c r="G624" t="n">
        <v>2.1</v>
      </c>
      <c r="H624" t="n">
        <v>0</v>
      </c>
      <c r="I624" t="n">
        <v>0</v>
      </c>
      <c r="J624" t="n">
        <v>0</v>
      </c>
      <c r="K624" t="n">
        <v>0</v>
      </c>
      <c r="L624" t="n">
        <v>0</v>
      </c>
      <c r="M624" t="n">
        <v>0</v>
      </c>
      <c r="N624" t="n">
        <v>0</v>
      </c>
      <c r="O624" t="n">
        <v>0</v>
      </c>
      <c r="P624" t="n">
        <v>0</v>
      </c>
      <c r="Q624" t="n">
        <v>0</v>
      </c>
      <c r="R624" s="2" t="inlineStr"/>
    </row>
    <row r="625" ht="15" customHeight="1">
      <c r="A625" t="inlineStr">
        <is>
          <t>A 27058-2025</t>
        </is>
      </c>
      <c r="B625" s="1" t="n">
        <v>45811.63436342592</v>
      </c>
      <c r="C625" s="1" t="n">
        <v>45999</v>
      </c>
      <c r="D625" t="inlineStr">
        <is>
          <t>UPPSALA LÄN</t>
        </is>
      </c>
      <c r="E625" t="inlineStr">
        <is>
          <t>ÖSTHAMMAR</t>
        </is>
      </c>
      <c r="F625" t="inlineStr">
        <is>
          <t>Bergvik skog öst AB</t>
        </is>
      </c>
      <c r="G625" t="n">
        <v>5.7</v>
      </c>
      <c r="H625" t="n">
        <v>0</v>
      </c>
      <c r="I625" t="n">
        <v>0</v>
      </c>
      <c r="J625" t="n">
        <v>0</v>
      </c>
      <c r="K625" t="n">
        <v>0</v>
      </c>
      <c r="L625" t="n">
        <v>0</v>
      </c>
      <c r="M625" t="n">
        <v>0</v>
      </c>
      <c r="N625" t="n">
        <v>0</v>
      </c>
      <c r="O625" t="n">
        <v>0</v>
      </c>
      <c r="P625" t="n">
        <v>0</v>
      </c>
      <c r="Q625" t="n">
        <v>0</v>
      </c>
      <c r="R625" s="2" t="inlineStr"/>
    </row>
    <row r="626" ht="15" customHeight="1">
      <c r="A626" t="inlineStr">
        <is>
          <t>A 53567-2025</t>
        </is>
      </c>
      <c r="B626" s="1" t="n">
        <v>45960</v>
      </c>
      <c r="C626" s="1" t="n">
        <v>45999</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27350-2025</t>
        </is>
      </c>
      <c r="B627" s="1" t="n">
        <v>45812.62571759259</v>
      </c>
      <c r="C627" s="1" t="n">
        <v>45999</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27132-2025</t>
        </is>
      </c>
      <c r="B628" s="1" t="n">
        <v>45811</v>
      </c>
      <c r="C628" s="1" t="n">
        <v>45999</v>
      </c>
      <c r="D628" t="inlineStr">
        <is>
          <t>UPPSALA LÄN</t>
        </is>
      </c>
      <c r="E628" t="inlineStr">
        <is>
          <t>ÖSTHAMMAR</t>
        </is>
      </c>
      <c r="G628" t="n">
        <v>2.3</v>
      </c>
      <c r="H628" t="n">
        <v>0</v>
      </c>
      <c r="I628" t="n">
        <v>0</v>
      </c>
      <c r="J628" t="n">
        <v>0</v>
      </c>
      <c r="K628" t="n">
        <v>0</v>
      </c>
      <c r="L628" t="n">
        <v>0</v>
      </c>
      <c r="M628" t="n">
        <v>0</v>
      </c>
      <c r="N628" t="n">
        <v>0</v>
      </c>
      <c r="O628" t="n">
        <v>0</v>
      </c>
      <c r="P628" t="n">
        <v>0</v>
      </c>
      <c r="Q628" t="n">
        <v>0</v>
      </c>
      <c r="R628" s="2" t="inlineStr"/>
    </row>
    <row r="629" ht="15" customHeight="1">
      <c r="A629" t="inlineStr">
        <is>
          <t>A 45102-2025</t>
        </is>
      </c>
      <c r="B629" s="1" t="n">
        <v>45919.39731481481</v>
      </c>
      <c r="C629" s="1" t="n">
        <v>45999</v>
      </c>
      <c r="D629" t="inlineStr">
        <is>
          <t>UPPSALA LÄN</t>
        </is>
      </c>
      <c r="E629" t="inlineStr">
        <is>
          <t>ÖSTHAMMAR</t>
        </is>
      </c>
      <c r="G629" t="n">
        <v>1.7</v>
      </c>
      <c r="H629" t="n">
        <v>0</v>
      </c>
      <c r="I629" t="n">
        <v>0</v>
      </c>
      <c r="J629" t="n">
        <v>0</v>
      </c>
      <c r="K629" t="n">
        <v>0</v>
      </c>
      <c r="L629" t="n">
        <v>0</v>
      </c>
      <c r="M629" t="n">
        <v>0</v>
      </c>
      <c r="N629" t="n">
        <v>0</v>
      </c>
      <c r="O629" t="n">
        <v>0</v>
      </c>
      <c r="P629" t="n">
        <v>0</v>
      </c>
      <c r="Q629" t="n">
        <v>0</v>
      </c>
      <c r="R629" s="2" t="inlineStr"/>
    </row>
    <row r="630" ht="15" customHeight="1">
      <c r="A630" t="inlineStr">
        <is>
          <t>A 8330-2025</t>
        </is>
      </c>
      <c r="B630" s="1" t="n">
        <v>45708</v>
      </c>
      <c r="C630" s="1" t="n">
        <v>45999</v>
      </c>
      <c r="D630" t="inlineStr">
        <is>
          <t>UPPSALA LÄN</t>
        </is>
      </c>
      <c r="E630" t="inlineStr">
        <is>
          <t>ÖSTHAMMAR</t>
        </is>
      </c>
      <c r="F630" t="inlineStr">
        <is>
          <t>Övriga Aktiebolag</t>
        </is>
      </c>
      <c r="G630" t="n">
        <v>2.4</v>
      </c>
      <c r="H630" t="n">
        <v>0</v>
      </c>
      <c r="I630" t="n">
        <v>0</v>
      </c>
      <c r="J630" t="n">
        <v>0</v>
      </c>
      <c r="K630" t="n">
        <v>0</v>
      </c>
      <c r="L630" t="n">
        <v>0</v>
      </c>
      <c r="M630" t="n">
        <v>0</v>
      </c>
      <c r="N630" t="n">
        <v>0</v>
      </c>
      <c r="O630" t="n">
        <v>0</v>
      </c>
      <c r="P630" t="n">
        <v>0</v>
      </c>
      <c r="Q630" t="n">
        <v>0</v>
      </c>
      <c r="R630" s="2" t="inlineStr"/>
    </row>
    <row r="631" ht="15" customHeight="1">
      <c r="A631" t="inlineStr">
        <is>
          <t>A 27563-2025</t>
        </is>
      </c>
      <c r="B631" s="1" t="n">
        <v>45813.48471064815</v>
      </c>
      <c r="C631" s="1" t="n">
        <v>45999</v>
      </c>
      <c r="D631" t="inlineStr">
        <is>
          <t>UPPSALA LÄN</t>
        </is>
      </c>
      <c r="E631" t="inlineStr">
        <is>
          <t>ÖSTHAMMAR</t>
        </is>
      </c>
      <c r="F631" t="inlineStr">
        <is>
          <t>Bergvik skog öst AB</t>
        </is>
      </c>
      <c r="G631" t="n">
        <v>4</v>
      </c>
      <c r="H631" t="n">
        <v>0</v>
      </c>
      <c r="I631" t="n">
        <v>0</v>
      </c>
      <c r="J631" t="n">
        <v>0</v>
      </c>
      <c r="K631" t="n">
        <v>0</v>
      </c>
      <c r="L631" t="n">
        <v>0</v>
      </c>
      <c r="M631" t="n">
        <v>0</v>
      </c>
      <c r="N631" t="n">
        <v>0</v>
      </c>
      <c r="O631" t="n">
        <v>0</v>
      </c>
      <c r="P631" t="n">
        <v>0</v>
      </c>
      <c r="Q631" t="n">
        <v>0</v>
      </c>
      <c r="R631" s="2" t="inlineStr"/>
    </row>
    <row r="632" ht="15" customHeight="1">
      <c r="A632" t="inlineStr">
        <is>
          <t>A 58399-2025</t>
        </is>
      </c>
      <c r="B632" s="1" t="n">
        <v>45985.56244212963</v>
      </c>
      <c r="C632" s="1" t="n">
        <v>45999</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27920-2025</t>
        </is>
      </c>
      <c r="B633" s="1" t="n">
        <v>45817.48454861111</v>
      </c>
      <c r="C633" s="1" t="n">
        <v>45999</v>
      </c>
      <c r="D633" t="inlineStr">
        <is>
          <t>UPPSALA LÄN</t>
        </is>
      </c>
      <c r="E633" t="inlineStr">
        <is>
          <t>ÖSTHAMMAR</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45720-2025</t>
        </is>
      </c>
      <c r="B634" s="1" t="n">
        <v>45923.44583333333</v>
      </c>
      <c r="C634" s="1" t="n">
        <v>45999</v>
      </c>
      <c r="D634" t="inlineStr">
        <is>
          <t>UPPSALA LÄN</t>
        </is>
      </c>
      <c r="E634" t="inlineStr">
        <is>
          <t>ÖSTHAMMAR</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45721-2025</t>
        </is>
      </c>
      <c r="B635" s="1" t="n">
        <v>45923.44844907407</v>
      </c>
      <c r="C635" s="1" t="n">
        <v>45999</v>
      </c>
      <c r="D635" t="inlineStr">
        <is>
          <t>UPPSALA LÄN</t>
        </is>
      </c>
      <c r="E635" t="inlineStr">
        <is>
          <t>ÖSTHAMMAR</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54647-2025</t>
        </is>
      </c>
      <c r="B636" s="1" t="n">
        <v>45966.37258101852</v>
      </c>
      <c r="C636" s="1" t="n">
        <v>45999</v>
      </c>
      <c r="D636" t="inlineStr">
        <is>
          <t>UPPSALA LÄN</t>
        </is>
      </c>
      <c r="E636" t="inlineStr">
        <is>
          <t>ÖSTHAMMAR</t>
        </is>
      </c>
      <c r="G636" t="n">
        <v>4.3</v>
      </c>
      <c r="H636" t="n">
        <v>0</v>
      </c>
      <c r="I636" t="n">
        <v>0</v>
      </c>
      <c r="J636" t="n">
        <v>0</v>
      </c>
      <c r="K636" t="n">
        <v>0</v>
      </c>
      <c r="L636" t="n">
        <v>0</v>
      </c>
      <c r="M636" t="n">
        <v>0</v>
      </c>
      <c r="N636" t="n">
        <v>0</v>
      </c>
      <c r="O636" t="n">
        <v>0</v>
      </c>
      <c r="P636" t="n">
        <v>0</v>
      </c>
      <c r="Q636" t="n">
        <v>0</v>
      </c>
      <c r="R636" s="2" t="inlineStr"/>
    </row>
    <row r="637" ht="15" customHeight="1">
      <c r="A637" t="inlineStr">
        <is>
          <t>A 54649-2025</t>
        </is>
      </c>
      <c r="B637" s="1" t="n">
        <v>45966.37548611111</v>
      </c>
      <c r="C637" s="1" t="n">
        <v>45999</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45993-2025</t>
        </is>
      </c>
      <c r="B638" s="1" t="n">
        <v>45924.39706018518</v>
      </c>
      <c r="C638" s="1" t="n">
        <v>45999</v>
      </c>
      <c r="D638" t="inlineStr">
        <is>
          <t>UPPSALA LÄN</t>
        </is>
      </c>
      <c r="E638" t="inlineStr">
        <is>
          <t>ÖSTHAMMAR</t>
        </is>
      </c>
      <c r="G638" t="n">
        <v>0.5</v>
      </c>
      <c r="H638" t="n">
        <v>0</v>
      </c>
      <c r="I638" t="n">
        <v>0</v>
      </c>
      <c r="J638" t="n">
        <v>0</v>
      </c>
      <c r="K638" t="n">
        <v>0</v>
      </c>
      <c r="L638" t="n">
        <v>0</v>
      </c>
      <c r="M638" t="n">
        <v>0</v>
      </c>
      <c r="N638" t="n">
        <v>0</v>
      </c>
      <c r="O638" t="n">
        <v>0</v>
      </c>
      <c r="P638" t="n">
        <v>0</v>
      </c>
      <c r="Q638" t="n">
        <v>0</v>
      </c>
      <c r="R638" s="2" t="inlineStr"/>
    </row>
    <row r="639" ht="15" customHeight="1">
      <c r="A639" t="inlineStr">
        <is>
          <t>A 46088-2025</t>
        </is>
      </c>
      <c r="B639" s="1" t="n">
        <v>45924.52010416667</v>
      </c>
      <c r="C639" s="1" t="n">
        <v>45999</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54592-2025</t>
        </is>
      </c>
      <c r="B640" s="1" t="n">
        <v>45965.74545138889</v>
      </c>
      <c r="C640" s="1" t="n">
        <v>45999</v>
      </c>
      <c r="D640" t="inlineStr">
        <is>
          <t>UPPSALA LÄN</t>
        </is>
      </c>
      <c r="E640" t="inlineStr">
        <is>
          <t>ÖSTHAMMAR</t>
        </is>
      </c>
      <c r="F640" t="inlineStr">
        <is>
          <t>Bergvik skog öst AB</t>
        </is>
      </c>
      <c r="G640" t="n">
        <v>5</v>
      </c>
      <c r="H640" t="n">
        <v>0</v>
      </c>
      <c r="I640" t="n">
        <v>0</v>
      </c>
      <c r="J640" t="n">
        <v>0</v>
      </c>
      <c r="K640" t="n">
        <v>0</v>
      </c>
      <c r="L640" t="n">
        <v>0</v>
      </c>
      <c r="M640" t="n">
        <v>0</v>
      </c>
      <c r="N640" t="n">
        <v>0</v>
      </c>
      <c r="O640" t="n">
        <v>0</v>
      </c>
      <c r="P640" t="n">
        <v>0</v>
      </c>
      <c r="Q640" t="n">
        <v>0</v>
      </c>
      <c r="R640" s="2" t="inlineStr"/>
    </row>
    <row r="641" ht="15" customHeight="1">
      <c r="A641" t="inlineStr">
        <is>
          <t>A 27812-2025</t>
        </is>
      </c>
      <c r="B641" s="1" t="n">
        <v>45817.32150462963</v>
      </c>
      <c r="C641" s="1" t="n">
        <v>45999</v>
      </c>
      <c r="D641" t="inlineStr">
        <is>
          <t>UPPSALA LÄN</t>
        </is>
      </c>
      <c r="E641" t="inlineStr">
        <is>
          <t>ÖSTHAMMAR</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46089-2025</t>
        </is>
      </c>
      <c r="B642" s="1" t="n">
        <v>45924.52100694444</v>
      </c>
      <c r="C642" s="1" t="n">
        <v>45999</v>
      </c>
      <c r="D642" t="inlineStr">
        <is>
          <t>UPPSALA LÄN</t>
        </is>
      </c>
      <c r="E642" t="inlineStr">
        <is>
          <t>ÖSTHAMMAR</t>
        </is>
      </c>
      <c r="F642" t="inlineStr">
        <is>
          <t>Bergvik skog öst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27919-2025</t>
        </is>
      </c>
      <c r="B643" s="1" t="n">
        <v>45817.48384259259</v>
      </c>
      <c r="C643" s="1" t="n">
        <v>45999</v>
      </c>
      <c r="D643" t="inlineStr">
        <is>
          <t>UPPSALA LÄN</t>
        </is>
      </c>
      <c r="E643" t="inlineStr">
        <is>
          <t>ÖSTHAMMAR</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27853-2025</t>
        </is>
      </c>
      <c r="B644" s="1" t="n">
        <v>45817.40178240741</v>
      </c>
      <c r="C644" s="1" t="n">
        <v>45999</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27509-2025</t>
        </is>
      </c>
      <c r="B645" s="1" t="n">
        <v>45813.4278125</v>
      </c>
      <c r="C645" s="1" t="n">
        <v>45999</v>
      </c>
      <c r="D645" t="inlineStr">
        <is>
          <t>UPPSALA LÄN</t>
        </is>
      </c>
      <c r="E645" t="inlineStr">
        <is>
          <t>ÖSTHAMMAR</t>
        </is>
      </c>
      <c r="F645" t="inlineStr">
        <is>
          <t>Bergvik skog öst AB</t>
        </is>
      </c>
      <c r="G645" t="n">
        <v>3.3</v>
      </c>
      <c r="H645" t="n">
        <v>0</v>
      </c>
      <c r="I645" t="n">
        <v>0</v>
      </c>
      <c r="J645" t="n">
        <v>0</v>
      </c>
      <c r="K645" t="n">
        <v>0</v>
      </c>
      <c r="L645" t="n">
        <v>0</v>
      </c>
      <c r="M645" t="n">
        <v>0</v>
      </c>
      <c r="N645" t="n">
        <v>0</v>
      </c>
      <c r="O645" t="n">
        <v>0</v>
      </c>
      <c r="P645" t="n">
        <v>0</v>
      </c>
      <c r="Q645" t="n">
        <v>0</v>
      </c>
      <c r="R645" s="2" t="inlineStr"/>
    </row>
    <row r="646" ht="15" customHeight="1">
      <c r="A646" t="inlineStr">
        <is>
          <t>A 28745-2025</t>
        </is>
      </c>
      <c r="B646" s="1" t="n">
        <v>45820.39076388889</v>
      </c>
      <c r="C646" s="1" t="n">
        <v>45999</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28748-2025</t>
        </is>
      </c>
      <c r="B647" s="1" t="n">
        <v>45820.39540509259</v>
      </c>
      <c r="C647" s="1" t="n">
        <v>45999</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28442-2025</t>
        </is>
      </c>
      <c r="B648" s="1" t="n">
        <v>45819</v>
      </c>
      <c r="C648" s="1" t="n">
        <v>45999</v>
      </c>
      <c r="D648" t="inlineStr">
        <is>
          <t>UPPSALA LÄN</t>
        </is>
      </c>
      <c r="E648" t="inlineStr">
        <is>
          <t>ÖSTHAMMAR</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23728-2025</t>
        </is>
      </c>
      <c r="B649" s="1" t="n">
        <v>45793.41719907407</v>
      </c>
      <c r="C649" s="1" t="n">
        <v>45999</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45715-2025</t>
        </is>
      </c>
      <c r="B650" s="1" t="n">
        <v>45923.44094907407</v>
      </c>
      <c r="C650" s="1" t="n">
        <v>45999</v>
      </c>
      <c r="D650" t="inlineStr">
        <is>
          <t>UPPSALA LÄN</t>
        </is>
      </c>
      <c r="E650" t="inlineStr">
        <is>
          <t>ÖSTHAMMAR</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28739-2025</t>
        </is>
      </c>
      <c r="B651" s="1" t="n">
        <v>45820</v>
      </c>
      <c r="C651" s="1" t="n">
        <v>45999</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27486-2025</t>
        </is>
      </c>
      <c r="B652" s="1" t="n">
        <v>45813.38521990741</v>
      </c>
      <c r="C652" s="1" t="n">
        <v>45999</v>
      </c>
      <c r="D652" t="inlineStr">
        <is>
          <t>UPPSALA LÄN</t>
        </is>
      </c>
      <c r="E652" t="inlineStr">
        <is>
          <t>ÖSTHAMMAR</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51379-2025</t>
        </is>
      </c>
      <c r="B653" s="1" t="n">
        <v>45950.45677083333</v>
      </c>
      <c r="C653" s="1" t="n">
        <v>45999</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57154-2025</t>
        </is>
      </c>
      <c r="B654" s="1" t="n">
        <v>45979.51086805556</v>
      </c>
      <c r="C654" s="1" t="n">
        <v>45999</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29029-2025</t>
        </is>
      </c>
      <c r="B655" s="1" t="n">
        <v>45821.43973379629</v>
      </c>
      <c r="C655" s="1" t="n">
        <v>45999</v>
      </c>
      <c r="D655" t="inlineStr">
        <is>
          <t>UPPSALA LÄN</t>
        </is>
      </c>
      <c r="E655" t="inlineStr">
        <is>
          <t>ÖSTHAMMAR</t>
        </is>
      </c>
      <c r="F655" t="inlineStr">
        <is>
          <t>Bergvik skog öst AB</t>
        </is>
      </c>
      <c r="G655" t="n">
        <v>4.2</v>
      </c>
      <c r="H655" t="n">
        <v>0</v>
      </c>
      <c r="I655" t="n">
        <v>0</v>
      </c>
      <c r="J655" t="n">
        <v>0</v>
      </c>
      <c r="K655" t="n">
        <v>0</v>
      </c>
      <c r="L655" t="n">
        <v>0</v>
      </c>
      <c r="M655" t="n">
        <v>0</v>
      </c>
      <c r="N655" t="n">
        <v>0</v>
      </c>
      <c r="O655" t="n">
        <v>0</v>
      </c>
      <c r="P655" t="n">
        <v>0</v>
      </c>
      <c r="Q655" t="n">
        <v>0</v>
      </c>
      <c r="R655" s="2" t="inlineStr"/>
    </row>
    <row r="656" ht="15" customHeight="1">
      <c r="A656" t="inlineStr">
        <is>
          <t>A 29028-2025</t>
        </is>
      </c>
      <c r="B656" s="1" t="n">
        <v>45821.4384375</v>
      </c>
      <c r="C656" s="1" t="n">
        <v>45999</v>
      </c>
      <c r="D656" t="inlineStr">
        <is>
          <t>UPPSALA LÄN</t>
        </is>
      </c>
      <c r="E656" t="inlineStr">
        <is>
          <t>ÖSTHAMMAR</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59708-2025</t>
        </is>
      </c>
      <c r="B657" s="1" t="n">
        <v>45992.50802083333</v>
      </c>
      <c r="C657" s="1" t="n">
        <v>45999</v>
      </c>
      <c r="D657" t="inlineStr">
        <is>
          <t>UPPSALA LÄN</t>
        </is>
      </c>
      <c r="E657" t="inlineStr">
        <is>
          <t>ÖSTHAMMAR</t>
        </is>
      </c>
      <c r="F657" t="inlineStr">
        <is>
          <t>Bergvik skog öst AB</t>
        </is>
      </c>
      <c r="G657" t="n">
        <v>3.2</v>
      </c>
      <c r="H657" t="n">
        <v>0</v>
      </c>
      <c r="I657" t="n">
        <v>0</v>
      </c>
      <c r="J657" t="n">
        <v>0</v>
      </c>
      <c r="K657" t="n">
        <v>0</v>
      </c>
      <c r="L657" t="n">
        <v>0</v>
      </c>
      <c r="M657" t="n">
        <v>0</v>
      </c>
      <c r="N657" t="n">
        <v>0</v>
      </c>
      <c r="O657" t="n">
        <v>0</v>
      </c>
      <c r="P657" t="n">
        <v>0</v>
      </c>
      <c r="Q657" t="n">
        <v>0</v>
      </c>
      <c r="R657" s="2" t="inlineStr"/>
    </row>
    <row r="658" ht="15" customHeight="1">
      <c r="A658" t="inlineStr">
        <is>
          <t>A 29031-2025</t>
        </is>
      </c>
      <c r="B658" s="1" t="n">
        <v>45821.44159722222</v>
      </c>
      <c r="C658" s="1" t="n">
        <v>45999</v>
      </c>
      <c r="D658" t="inlineStr">
        <is>
          <t>UPPSALA LÄN</t>
        </is>
      </c>
      <c r="E658" t="inlineStr">
        <is>
          <t>ÖSTHAMMAR</t>
        </is>
      </c>
      <c r="F658" t="inlineStr">
        <is>
          <t>Bergvik skog öst AB</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27490-2025</t>
        </is>
      </c>
      <c r="B659" s="1" t="n">
        <v>45813.39273148148</v>
      </c>
      <c r="C659" s="1" t="n">
        <v>45999</v>
      </c>
      <c r="D659" t="inlineStr">
        <is>
          <t>UPPSALA LÄN</t>
        </is>
      </c>
      <c r="E659" t="inlineStr">
        <is>
          <t>ÖSTHAMMAR</t>
        </is>
      </c>
      <c r="F659" t="inlineStr">
        <is>
          <t>Bergvik skog öst AB</t>
        </is>
      </c>
      <c r="G659" t="n">
        <v>6.1</v>
      </c>
      <c r="H659" t="n">
        <v>0</v>
      </c>
      <c r="I659" t="n">
        <v>0</v>
      </c>
      <c r="J659" t="n">
        <v>0</v>
      </c>
      <c r="K659" t="n">
        <v>0</v>
      </c>
      <c r="L659" t="n">
        <v>0</v>
      </c>
      <c r="M659" t="n">
        <v>0</v>
      </c>
      <c r="N659" t="n">
        <v>0</v>
      </c>
      <c r="O659" t="n">
        <v>0</v>
      </c>
      <c r="P659" t="n">
        <v>0</v>
      </c>
      <c r="Q659" t="n">
        <v>0</v>
      </c>
      <c r="R659" s="2" t="inlineStr"/>
    </row>
    <row r="660" ht="15" customHeight="1">
      <c r="A660" t="inlineStr">
        <is>
          <t>A 27494-2025</t>
        </is>
      </c>
      <c r="B660" s="1" t="n">
        <v>45813.39756944445</v>
      </c>
      <c r="C660" s="1" t="n">
        <v>45999</v>
      </c>
      <c r="D660" t="inlineStr">
        <is>
          <t>UPPSALA LÄN</t>
        </is>
      </c>
      <c r="E660" t="inlineStr">
        <is>
          <t>ÖSTHAMMAR</t>
        </is>
      </c>
      <c r="F660" t="inlineStr">
        <is>
          <t>Bergvik skog öst AB</t>
        </is>
      </c>
      <c r="G660" t="n">
        <v>23.4</v>
      </c>
      <c r="H660" t="n">
        <v>0</v>
      </c>
      <c r="I660" t="n">
        <v>0</v>
      </c>
      <c r="J660" t="n">
        <v>0</v>
      </c>
      <c r="K660" t="n">
        <v>0</v>
      </c>
      <c r="L660" t="n">
        <v>0</v>
      </c>
      <c r="M660" t="n">
        <v>0</v>
      </c>
      <c r="N660" t="n">
        <v>0</v>
      </c>
      <c r="O660" t="n">
        <v>0</v>
      </c>
      <c r="P660" t="n">
        <v>0</v>
      </c>
      <c r="Q660" t="n">
        <v>0</v>
      </c>
      <c r="R660" s="2" t="inlineStr"/>
    </row>
    <row r="661" ht="15" customHeight="1">
      <c r="A661" t="inlineStr">
        <is>
          <t>A 29384-2025</t>
        </is>
      </c>
      <c r="B661" s="1" t="n">
        <v>45824</v>
      </c>
      <c r="C661" s="1" t="n">
        <v>45999</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51266-2025</t>
        </is>
      </c>
      <c r="B662" s="1" t="n">
        <v>45949.71568287037</v>
      </c>
      <c r="C662" s="1" t="n">
        <v>45999</v>
      </c>
      <c r="D662" t="inlineStr">
        <is>
          <t>UPPSALA LÄN</t>
        </is>
      </c>
      <c r="E662" t="inlineStr">
        <is>
          <t>ÖSTHAMMAR</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29024-2025</t>
        </is>
      </c>
      <c r="B663" s="1" t="n">
        <v>45821.43233796296</v>
      </c>
      <c r="C663" s="1" t="n">
        <v>45999</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29775-2025</t>
        </is>
      </c>
      <c r="B664" s="1" t="n">
        <v>45825.63803240741</v>
      </c>
      <c r="C664" s="1" t="n">
        <v>45999</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59743-2025</t>
        </is>
      </c>
      <c r="B665" s="1" t="n">
        <v>45992.57668981481</v>
      </c>
      <c r="C665" s="1" t="n">
        <v>45999</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51156-2025</t>
        </is>
      </c>
      <c r="B666" s="1" t="n">
        <v>45947.57833333333</v>
      </c>
      <c r="C666" s="1" t="n">
        <v>45999</v>
      </c>
      <c r="D666" t="inlineStr">
        <is>
          <t>UPPSALA LÄN</t>
        </is>
      </c>
      <c r="E666" t="inlineStr">
        <is>
          <t>ÖSTHAMMAR</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53735-2025</t>
        </is>
      </c>
      <c r="B667" s="1" t="n">
        <v>45960.64431712963</v>
      </c>
      <c r="C667" s="1" t="n">
        <v>45999</v>
      </c>
      <c r="D667" t="inlineStr">
        <is>
          <t>UPPSALA LÄN</t>
        </is>
      </c>
      <c r="E667" t="inlineStr">
        <is>
          <t>ÖSTHAMMAR</t>
        </is>
      </c>
      <c r="F667" t="inlineStr">
        <is>
          <t>Bergvik skog öst AB</t>
        </is>
      </c>
      <c r="G667" t="n">
        <v>0.9</v>
      </c>
      <c r="H667" t="n">
        <v>0</v>
      </c>
      <c r="I667" t="n">
        <v>0</v>
      </c>
      <c r="J667" t="n">
        <v>0</v>
      </c>
      <c r="K667" t="n">
        <v>0</v>
      </c>
      <c r="L667" t="n">
        <v>0</v>
      </c>
      <c r="M667" t="n">
        <v>0</v>
      </c>
      <c r="N667" t="n">
        <v>0</v>
      </c>
      <c r="O667" t="n">
        <v>0</v>
      </c>
      <c r="P667" t="n">
        <v>0</v>
      </c>
      <c r="Q667" t="n">
        <v>0</v>
      </c>
      <c r="R667" s="2" t="inlineStr"/>
    </row>
    <row r="668" ht="15" customHeight="1">
      <c r="A668" t="inlineStr">
        <is>
          <t>A 51255-2025</t>
        </is>
      </c>
      <c r="B668" s="1" t="n">
        <v>45949.00917824074</v>
      </c>
      <c r="C668" s="1" t="n">
        <v>45999</v>
      </c>
      <c r="D668" t="inlineStr">
        <is>
          <t>UPPSALA LÄN</t>
        </is>
      </c>
      <c r="E668" t="inlineStr">
        <is>
          <t>ÖSTHAMMAR</t>
        </is>
      </c>
      <c r="G668" t="n">
        <v>1.4</v>
      </c>
      <c r="H668" t="n">
        <v>0</v>
      </c>
      <c r="I668" t="n">
        <v>0</v>
      </c>
      <c r="J668" t="n">
        <v>0</v>
      </c>
      <c r="K668" t="n">
        <v>0</v>
      </c>
      <c r="L668" t="n">
        <v>0</v>
      </c>
      <c r="M668" t="n">
        <v>0</v>
      </c>
      <c r="N668" t="n">
        <v>0</v>
      </c>
      <c r="O668" t="n">
        <v>0</v>
      </c>
      <c r="P668" t="n">
        <v>0</v>
      </c>
      <c r="Q668" t="n">
        <v>0</v>
      </c>
      <c r="R668" s="2" t="inlineStr"/>
    </row>
    <row r="669" ht="15" customHeight="1">
      <c r="A669" t="inlineStr">
        <is>
          <t>A 55163-2025</t>
        </is>
      </c>
      <c r="B669" s="1" t="n">
        <v>45968.48032407407</v>
      </c>
      <c r="C669" s="1" t="n">
        <v>45999</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59706-2025</t>
        </is>
      </c>
      <c r="B670" s="1" t="n">
        <v>45992.50333333333</v>
      </c>
      <c r="C670" s="1" t="n">
        <v>45999</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51265-2025</t>
        </is>
      </c>
      <c r="B671" s="1" t="n">
        <v>45949.70971064815</v>
      </c>
      <c r="C671" s="1" t="n">
        <v>45999</v>
      </c>
      <c r="D671" t="inlineStr">
        <is>
          <t>UPPSALA LÄN</t>
        </is>
      </c>
      <c r="E671" t="inlineStr">
        <is>
          <t>ÖSTHAMMAR</t>
        </is>
      </c>
      <c r="F671" t="inlineStr">
        <is>
          <t>Bergvik skog öst AB</t>
        </is>
      </c>
      <c r="G671" t="n">
        <v>0.3</v>
      </c>
      <c r="H671" t="n">
        <v>0</v>
      </c>
      <c r="I671" t="n">
        <v>0</v>
      </c>
      <c r="J671" t="n">
        <v>0</v>
      </c>
      <c r="K671" t="n">
        <v>0</v>
      </c>
      <c r="L671" t="n">
        <v>0</v>
      </c>
      <c r="M671" t="n">
        <v>0</v>
      </c>
      <c r="N671" t="n">
        <v>0</v>
      </c>
      <c r="O671" t="n">
        <v>0</v>
      </c>
      <c r="P671" t="n">
        <v>0</v>
      </c>
      <c r="Q671" t="n">
        <v>0</v>
      </c>
      <c r="R671" s="2" t="inlineStr"/>
    </row>
    <row r="672" ht="15" customHeight="1">
      <c r="A672" t="inlineStr">
        <is>
          <t>A 51254-2025</t>
        </is>
      </c>
      <c r="B672" s="1" t="n">
        <v>45948.99313657408</v>
      </c>
      <c r="C672" s="1" t="n">
        <v>45999</v>
      </c>
      <c r="D672" t="inlineStr">
        <is>
          <t>UPPSALA LÄN</t>
        </is>
      </c>
      <c r="E672" t="inlineStr">
        <is>
          <t>ÖSTHAMMAR</t>
        </is>
      </c>
      <c r="G672" t="n">
        <v>8.9</v>
      </c>
      <c r="H672" t="n">
        <v>0</v>
      </c>
      <c r="I672" t="n">
        <v>0</v>
      </c>
      <c r="J672" t="n">
        <v>0</v>
      </c>
      <c r="K672" t="n">
        <v>0</v>
      </c>
      <c r="L672" t="n">
        <v>0</v>
      </c>
      <c r="M672" t="n">
        <v>0</v>
      </c>
      <c r="N672" t="n">
        <v>0</v>
      </c>
      <c r="O672" t="n">
        <v>0</v>
      </c>
      <c r="P672" t="n">
        <v>0</v>
      </c>
      <c r="Q672" t="n">
        <v>0</v>
      </c>
      <c r="R672" s="2" t="inlineStr"/>
    </row>
    <row r="673" ht="15" customHeight="1">
      <c r="A673" t="inlineStr">
        <is>
          <t>A 59745-2025</t>
        </is>
      </c>
      <c r="B673" s="1" t="n">
        <v>45992.57708333333</v>
      </c>
      <c r="C673" s="1" t="n">
        <v>45999</v>
      </c>
      <c r="D673" t="inlineStr">
        <is>
          <t>UPPSALA LÄN</t>
        </is>
      </c>
      <c r="E673" t="inlineStr">
        <is>
          <t>ÖSTHAMMAR</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30244-2025</t>
        </is>
      </c>
      <c r="B674" s="1" t="n">
        <v>45827.40902777778</v>
      </c>
      <c r="C674" s="1" t="n">
        <v>45999</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51708-2025</t>
        </is>
      </c>
      <c r="B675" s="1" t="n">
        <v>45951.56679398148</v>
      </c>
      <c r="C675" s="1" t="n">
        <v>45999</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30504-2025</t>
        </is>
      </c>
      <c r="B676" s="1" t="n">
        <v>45830.8558912037</v>
      </c>
      <c r="C676" s="1" t="n">
        <v>45999</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30503-2025</t>
        </is>
      </c>
      <c r="B677" s="1" t="n">
        <v>45830.8500462963</v>
      </c>
      <c r="C677" s="1" t="n">
        <v>45999</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56754-2025</t>
        </is>
      </c>
      <c r="B678" s="1" t="n">
        <v>45978.36700231482</v>
      </c>
      <c r="C678" s="1" t="n">
        <v>45999</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30610-2025</t>
        </is>
      </c>
      <c r="B679" s="1" t="n">
        <v>45831.45965277778</v>
      </c>
      <c r="C679" s="1" t="n">
        <v>45999</v>
      </c>
      <c r="D679" t="inlineStr">
        <is>
          <t>UPPSALA LÄN</t>
        </is>
      </c>
      <c r="E679" t="inlineStr">
        <is>
          <t>ÖSTHAMMAR</t>
        </is>
      </c>
      <c r="G679" t="n">
        <v>0.2</v>
      </c>
      <c r="H679" t="n">
        <v>0</v>
      </c>
      <c r="I679" t="n">
        <v>0</v>
      </c>
      <c r="J679" t="n">
        <v>0</v>
      </c>
      <c r="K679" t="n">
        <v>0</v>
      </c>
      <c r="L679" t="n">
        <v>0</v>
      </c>
      <c r="M679" t="n">
        <v>0</v>
      </c>
      <c r="N679" t="n">
        <v>0</v>
      </c>
      <c r="O679" t="n">
        <v>0</v>
      </c>
      <c r="P679" t="n">
        <v>0</v>
      </c>
      <c r="Q679" t="n">
        <v>0</v>
      </c>
      <c r="R679" s="2" t="inlineStr"/>
    </row>
    <row r="680" ht="15" customHeight="1">
      <c r="A680" t="inlineStr">
        <is>
          <t>A 31579-2025</t>
        </is>
      </c>
      <c r="B680" s="1" t="n">
        <v>45833.68211805556</v>
      </c>
      <c r="C680" s="1" t="n">
        <v>45999</v>
      </c>
      <c r="D680" t="inlineStr">
        <is>
          <t>UPPSALA LÄN</t>
        </is>
      </c>
      <c r="E680" t="inlineStr">
        <is>
          <t>ÖSTHAMMAR</t>
        </is>
      </c>
      <c r="G680" t="n">
        <v>1.5</v>
      </c>
      <c r="H680" t="n">
        <v>0</v>
      </c>
      <c r="I680" t="n">
        <v>0</v>
      </c>
      <c r="J680" t="n">
        <v>0</v>
      </c>
      <c r="K680" t="n">
        <v>0</v>
      </c>
      <c r="L680" t="n">
        <v>0</v>
      </c>
      <c r="M680" t="n">
        <v>0</v>
      </c>
      <c r="N680" t="n">
        <v>0</v>
      </c>
      <c r="O680" t="n">
        <v>0</v>
      </c>
      <c r="P680" t="n">
        <v>0</v>
      </c>
      <c r="Q680" t="n">
        <v>0</v>
      </c>
      <c r="R680" s="2" t="inlineStr"/>
    </row>
    <row r="681" ht="15" customHeight="1">
      <c r="A681" t="inlineStr">
        <is>
          <t>A 31360-2025</t>
        </is>
      </c>
      <c r="B681" s="1" t="n">
        <v>45833.43527777777</v>
      </c>
      <c r="C681" s="1" t="n">
        <v>45999</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31249-2025</t>
        </is>
      </c>
      <c r="B682" s="1" t="n">
        <v>45832.89476851852</v>
      </c>
      <c r="C682" s="1" t="n">
        <v>45999</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31896-2025</t>
        </is>
      </c>
      <c r="B683" s="1" t="n">
        <v>45834.67556712963</v>
      </c>
      <c r="C683" s="1" t="n">
        <v>45999</v>
      </c>
      <c r="D683" t="inlineStr">
        <is>
          <t>UPPSALA LÄN</t>
        </is>
      </c>
      <c r="E683" t="inlineStr">
        <is>
          <t>ÖSTHAMMAR</t>
        </is>
      </c>
      <c r="G683" t="n">
        <v>4.1</v>
      </c>
      <c r="H683" t="n">
        <v>0</v>
      </c>
      <c r="I683" t="n">
        <v>0</v>
      </c>
      <c r="J683" t="n">
        <v>0</v>
      </c>
      <c r="K683" t="n">
        <v>0</v>
      </c>
      <c r="L683" t="n">
        <v>0</v>
      </c>
      <c r="M683" t="n">
        <v>0</v>
      </c>
      <c r="N683" t="n">
        <v>0</v>
      </c>
      <c r="O683" t="n">
        <v>0</v>
      </c>
      <c r="P683" t="n">
        <v>0</v>
      </c>
      <c r="Q683" t="n">
        <v>0</v>
      </c>
      <c r="R683" s="2" t="inlineStr"/>
    </row>
    <row r="684" ht="15" customHeight="1">
      <c r="A684" t="inlineStr">
        <is>
          <t>A 56942-2025</t>
        </is>
      </c>
      <c r="B684" s="1" t="n">
        <v>45978.62611111111</v>
      </c>
      <c r="C684" s="1" t="n">
        <v>45999</v>
      </c>
      <c r="D684" t="inlineStr">
        <is>
          <t>UPPSALA LÄN</t>
        </is>
      </c>
      <c r="E684" t="inlineStr">
        <is>
          <t>ÖSTHAMMAR</t>
        </is>
      </c>
      <c r="G684" t="n">
        <v>3.2</v>
      </c>
      <c r="H684" t="n">
        <v>0</v>
      </c>
      <c r="I684" t="n">
        <v>0</v>
      </c>
      <c r="J684" t="n">
        <v>0</v>
      </c>
      <c r="K684" t="n">
        <v>0</v>
      </c>
      <c r="L684" t="n">
        <v>0</v>
      </c>
      <c r="M684" t="n">
        <v>0</v>
      </c>
      <c r="N684" t="n">
        <v>0</v>
      </c>
      <c r="O684" t="n">
        <v>0</v>
      </c>
      <c r="P684" t="n">
        <v>0</v>
      </c>
      <c r="Q684" t="n">
        <v>0</v>
      </c>
      <c r="R684" s="2" t="inlineStr"/>
    </row>
    <row r="685" ht="15" customHeight="1">
      <c r="A685" t="inlineStr">
        <is>
          <t>A 42213-2025</t>
        </is>
      </c>
      <c r="B685" s="1" t="n">
        <v>45904.50652777778</v>
      </c>
      <c r="C685" s="1" t="n">
        <v>45999</v>
      </c>
      <c r="D685" t="inlineStr">
        <is>
          <t>UPPSALA LÄN</t>
        </is>
      </c>
      <c r="E685" t="inlineStr">
        <is>
          <t>ÖSTHAMMAR</t>
        </is>
      </c>
      <c r="G685" t="n">
        <v>0.8</v>
      </c>
      <c r="H685" t="n">
        <v>0</v>
      </c>
      <c r="I685" t="n">
        <v>0</v>
      </c>
      <c r="J685" t="n">
        <v>0</v>
      </c>
      <c r="K685" t="n">
        <v>0</v>
      </c>
      <c r="L685" t="n">
        <v>0</v>
      </c>
      <c r="M685" t="n">
        <v>0</v>
      </c>
      <c r="N685" t="n">
        <v>0</v>
      </c>
      <c r="O685" t="n">
        <v>0</v>
      </c>
      <c r="P685" t="n">
        <v>0</v>
      </c>
      <c r="Q685" t="n">
        <v>0</v>
      </c>
      <c r="R685" s="2" t="inlineStr"/>
    </row>
    <row r="686" ht="15" customHeight="1">
      <c r="A686" t="inlineStr">
        <is>
          <t>A 54242-2025</t>
        </is>
      </c>
      <c r="B686" s="1" t="n">
        <v>45964.63251157408</v>
      </c>
      <c r="C686" s="1" t="n">
        <v>45999</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52332-2025</t>
        </is>
      </c>
      <c r="B687" s="1" t="n">
        <v>45953.67853009259</v>
      </c>
      <c r="C687" s="1" t="n">
        <v>45999</v>
      </c>
      <c r="D687" t="inlineStr">
        <is>
          <t>UPPSALA LÄN</t>
        </is>
      </c>
      <c r="E687" t="inlineStr">
        <is>
          <t>ÖSTHAMMAR</t>
        </is>
      </c>
      <c r="F687" t="inlineStr">
        <is>
          <t>Bergvik skog öst AB</t>
        </is>
      </c>
      <c r="G687" t="n">
        <v>3.8</v>
      </c>
      <c r="H687" t="n">
        <v>0</v>
      </c>
      <c r="I687" t="n">
        <v>0</v>
      </c>
      <c r="J687" t="n">
        <v>0</v>
      </c>
      <c r="K687" t="n">
        <v>0</v>
      </c>
      <c r="L687" t="n">
        <v>0</v>
      </c>
      <c r="M687" t="n">
        <v>0</v>
      </c>
      <c r="N687" t="n">
        <v>0</v>
      </c>
      <c r="O687" t="n">
        <v>0</v>
      </c>
      <c r="P687" t="n">
        <v>0</v>
      </c>
      <c r="Q687" t="n">
        <v>0</v>
      </c>
      <c r="R687" s="2" t="inlineStr"/>
    </row>
    <row r="688" ht="15" customHeight="1">
      <c r="A688" t="inlineStr">
        <is>
          <t>A 31977-2025</t>
        </is>
      </c>
      <c r="B688" s="1" t="n">
        <v>45835.3554050926</v>
      </c>
      <c r="C688" s="1" t="n">
        <v>45999</v>
      </c>
      <c r="D688" t="inlineStr">
        <is>
          <t>UPPSALA LÄN</t>
        </is>
      </c>
      <c r="E688" t="inlineStr">
        <is>
          <t>ÖSTHAMMAR</t>
        </is>
      </c>
      <c r="F688" t="inlineStr">
        <is>
          <t>Övriga Aktiebolag</t>
        </is>
      </c>
      <c r="G688" t="n">
        <v>35.3</v>
      </c>
      <c r="H688" t="n">
        <v>0</v>
      </c>
      <c r="I688" t="n">
        <v>0</v>
      </c>
      <c r="J688" t="n">
        <v>0</v>
      </c>
      <c r="K688" t="n">
        <v>0</v>
      </c>
      <c r="L688" t="n">
        <v>0</v>
      </c>
      <c r="M688" t="n">
        <v>0</v>
      </c>
      <c r="N688" t="n">
        <v>0</v>
      </c>
      <c r="O688" t="n">
        <v>0</v>
      </c>
      <c r="P688" t="n">
        <v>0</v>
      </c>
      <c r="Q688" t="n">
        <v>0</v>
      </c>
      <c r="R688" s="2" t="inlineStr"/>
    </row>
    <row r="689" ht="15" customHeight="1">
      <c r="A689" t="inlineStr">
        <is>
          <t>A 31956-2025</t>
        </is>
      </c>
      <c r="B689" s="1" t="n">
        <v>45835.34184027778</v>
      </c>
      <c r="C689" s="1" t="n">
        <v>45999</v>
      </c>
      <c r="D689" t="inlineStr">
        <is>
          <t>UPPSALA LÄN</t>
        </is>
      </c>
      <c r="E689" t="inlineStr">
        <is>
          <t>ÖSTHAMMAR</t>
        </is>
      </c>
      <c r="F689" t="inlineStr">
        <is>
          <t>Övriga Aktiebolag</t>
        </is>
      </c>
      <c r="G689" t="n">
        <v>4.2</v>
      </c>
      <c r="H689" t="n">
        <v>0</v>
      </c>
      <c r="I689" t="n">
        <v>0</v>
      </c>
      <c r="J689" t="n">
        <v>0</v>
      </c>
      <c r="K689" t="n">
        <v>0</v>
      </c>
      <c r="L689" t="n">
        <v>0</v>
      </c>
      <c r="M689" t="n">
        <v>0</v>
      </c>
      <c r="N689" t="n">
        <v>0</v>
      </c>
      <c r="O689" t="n">
        <v>0</v>
      </c>
      <c r="P689" t="n">
        <v>0</v>
      </c>
      <c r="Q689" t="n">
        <v>0</v>
      </c>
      <c r="R689" s="2" t="inlineStr"/>
    </row>
    <row r="690" ht="15" customHeight="1">
      <c r="A690" t="inlineStr">
        <is>
          <t>A 60603-2025</t>
        </is>
      </c>
      <c r="B690" s="1" t="n">
        <v>45996.3543287037</v>
      </c>
      <c r="C690" s="1" t="n">
        <v>45999</v>
      </c>
      <c r="D690" t="inlineStr">
        <is>
          <t>UPPSALA LÄN</t>
        </is>
      </c>
      <c r="E690" t="inlineStr">
        <is>
          <t>ÖSTHAMMAR</t>
        </is>
      </c>
      <c r="G690" t="n">
        <v>4.7</v>
      </c>
      <c r="H690" t="n">
        <v>0</v>
      </c>
      <c r="I690" t="n">
        <v>0</v>
      </c>
      <c r="J690" t="n">
        <v>0</v>
      </c>
      <c r="K690" t="n">
        <v>0</v>
      </c>
      <c r="L690" t="n">
        <v>0</v>
      </c>
      <c r="M690" t="n">
        <v>0</v>
      </c>
      <c r="N690" t="n">
        <v>0</v>
      </c>
      <c r="O690" t="n">
        <v>0</v>
      </c>
      <c r="P690" t="n">
        <v>0</v>
      </c>
      <c r="Q690" t="n">
        <v>0</v>
      </c>
      <c r="R690" s="2" t="inlineStr"/>
    </row>
    <row r="691" ht="15" customHeight="1">
      <c r="A691" t="inlineStr">
        <is>
          <t>A 60738-2025</t>
        </is>
      </c>
      <c r="B691" s="1" t="n">
        <v>45996.83506944445</v>
      </c>
      <c r="C691" s="1" t="n">
        <v>45999</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33048-2025</t>
        </is>
      </c>
      <c r="B692" s="1" t="n">
        <v>45840.41451388889</v>
      </c>
      <c r="C692" s="1" t="n">
        <v>45999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27476-2025</t>
        </is>
      </c>
      <c r="B693" s="1" t="n">
        <v>45813.37517361111</v>
      </c>
      <c r="C693" s="1" t="n">
        <v>45999</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33271-2025</t>
        </is>
      </c>
      <c r="B694" s="1" t="n">
        <v>45840.68381944444</v>
      </c>
      <c r="C694" s="1" t="n">
        <v>45999</v>
      </c>
      <c r="D694" t="inlineStr">
        <is>
          <t>UPPSALA LÄN</t>
        </is>
      </c>
      <c r="E694" t="inlineStr">
        <is>
          <t>ÖSTHAMMAR</t>
        </is>
      </c>
      <c r="G694" t="n">
        <v>1.3</v>
      </c>
      <c r="H694" t="n">
        <v>0</v>
      </c>
      <c r="I694" t="n">
        <v>0</v>
      </c>
      <c r="J694" t="n">
        <v>0</v>
      </c>
      <c r="K694" t="n">
        <v>0</v>
      </c>
      <c r="L694" t="n">
        <v>0</v>
      </c>
      <c r="M694" t="n">
        <v>0</v>
      </c>
      <c r="N694" t="n">
        <v>0</v>
      </c>
      <c r="O694" t="n">
        <v>0</v>
      </c>
      <c r="P694" t="n">
        <v>0</v>
      </c>
      <c r="Q694" t="n">
        <v>0</v>
      </c>
      <c r="R694" s="2" t="inlineStr"/>
    </row>
    <row r="695" ht="15" customHeight="1">
      <c r="A695" t="inlineStr">
        <is>
          <t>A 32718-2025</t>
        </is>
      </c>
      <c r="B695" s="1" t="n">
        <v>45839.37740740741</v>
      </c>
      <c r="C695" s="1" t="n">
        <v>45999</v>
      </c>
      <c r="D695" t="inlineStr">
        <is>
          <t>UPPSALA LÄN</t>
        </is>
      </c>
      <c r="E695" t="inlineStr">
        <is>
          <t>ÖSTHAMMAR</t>
        </is>
      </c>
      <c r="G695" t="n">
        <v>10.4</v>
      </c>
      <c r="H695" t="n">
        <v>0</v>
      </c>
      <c r="I695" t="n">
        <v>0</v>
      </c>
      <c r="J695" t="n">
        <v>0</v>
      </c>
      <c r="K695" t="n">
        <v>0</v>
      </c>
      <c r="L695" t="n">
        <v>0</v>
      </c>
      <c r="M695" t="n">
        <v>0</v>
      </c>
      <c r="N695" t="n">
        <v>0</v>
      </c>
      <c r="O695" t="n">
        <v>0</v>
      </c>
      <c r="P695" t="n">
        <v>0</v>
      </c>
      <c r="Q695" t="n">
        <v>0</v>
      </c>
      <c r="R695" s="2" t="inlineStr"/>
    </row>
    <row r="696" ht="15" customHeight="1">
      <c r="A696" t="inlineStr">
        <is>
          <t>A 6153-2022</t>
        </is>
      </c>
      <c r="B696" s="1" t="n">
        <v>44599</v>
      </c>
      <c r="C696" s="1" t="n">
        <v>45999</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33529-2025</t>
        </is>
      </c>
      <c r="B697" s="1" t="n">
        <v>45841.55199074074</v>
      </c>
      <c r="C697" s="1" t="n">
        <v>45999</v>
      </c>
      <c r="D697" t="inlineStr">
        <is>
          <t>UPPSALA LÄN</t>
        </is>
      </c>
      <c r="E697" t="inlineStr">
        <is>
          <t>ÖSTHAMMAR</t>
        </is>
      </c>
      <c r="F697" t="inlineStr">
        <is>
          <t>Bergvik skog öst AB</t>
        </is>
      </c>
      <c r="G697" t="n">
        <v>11.8</v>
      </c>
      <c r="H697" t="n">
        <v>0</v>
      </c>
      <c r="I697" t="n">
        <v>0</v>
      </c>
      <c r="J697" t="n">
        <v>0</v>
      </c>
      <c r="K697" t="n">
        <v>0</v>
      </c>
      <c r="L697" t="n">
        <v>0</v>
      </c>
      <c r="M697" t="n">
        <v>0</v>
      </c>
      <c r="N697" t="n">
        <v>0</v>
      </c>
      <c r="O697" t="n">
        <v>0</v>
      </c>
      <c r="P697" t="n">
        <v>0</v>
      </c>
      <c r="Q697" t="n">
        <v>0</v>
      </c>
      <c r="R697" s="2" t="inlineStr"/>
    </row>
    <row r="698" ht="15" customHeight="1">
      <c r="A698" t="inlineStr">
        <is>
          <t>A 1800-2023</t>
        </is>
      </c>
      <c r="B698" s="1" t="n">
        <v>44938</v>
      </c>
      <c r="C698" s="1" t="n">
        <v>45999</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47341-2023</t>
        </is>
      </c>
      <c r="B699" s="1" t="n">
        <v>45202.55721064815</v>
      </c>
      <c r="C699" s="1" t="n">
        <v>45999</v>
      </c>
      <c r="D699" t="inlineStr">
        <is>
          <t>UPPSALA LÄN</t>
        </is>
      </c>
      <c r="E699" t="inlineStr">
        <is>
          <t>ÖSTHAMMAR</t>
        </is>
      </c>
      <c r="G699" t="n">
        <v>4.9</v>
      </c>
      <c r="H699" t="n">
        <v>0</v>
      </c>
      <c r="I699" t="n">
        <v>0</v>
      </c>
      <c r="J699" t="n">
        <v>0</v>
      </c>
      <c r="K699" t="n">
        <v>0</v>
      </c>
      <c r="L699" t="n">
        <v>0</v>
      </c>
      <c r="M699" t="n">
        <v>0</v>
      </c>
      <c r="N699" t="n">
        <v>0</v>
      </c>
      <c r="O699" t="n">
        <v>0</v>
      </c>
      <c r="P699" t="n">
        <v>0</v>
      </c>
      <c r="Q699" t="n">
        <v>0</v>
      </c>
      <c r="R699" s="2" t="inlineStr"/>
    </row>
    <row r="700" ht="15" customHeight="1">
      <c r="A700" t="inlineStr">
        <is>
          <t>A 61216-2022</t>
        </is>
      </c>
      <c r="B700" s="1" t="n">
        <v>44915.55423611111</v>
      </c>
      <c r="C700" s="1" t="n">
        <v>45999</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33973-2025</t>
        </is>
      </c>
      <c r="B701" s="1" t="n">
        <v>45842.98429398148</v>
      </c>
      <c r="C701" s="1" t="n">
        <v>45999</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70008-2021</t>
        </is>
      </c>
      <c r="B702" s="1" t="n">
        <v>44533.44887731481</v>
      </c>
      <c r="C702" s="1" t="n">
        <v>45999</v>
      </c>
      <c r="D702" t="inlineStr">
        <is>
          <t>UPPSALA LÄN</t>
        </is>
      </c>
      <c r="E702" t="inlineStr">
        <is>
          <t>ÖSTHAMMAR</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33972-2025</t>
        </is>
      </c>
      <c r="B703" s="1" t="n">
        <v>45842.97236111111</v>
      </c>
      <c r="C703" s="1" t="n">
        <v>45999</v>
      </c>
      <c r="D703" t="inlineStr">
        <is>
          <t>UPPSALA LÄN</t>
        </is>
      </c>
      <c r="E703" t="inlineStr">
        <is>
          <t>ÖSTHAMMAR</t>
        </is>
      </c>
      <c r="G703" t="n">
        <v>0.8</v>
      </c>
      <c r="H703" t="n">
        <v>0</v>
      </c>
      <c r="I703" t="n">
        <v>0</v>
      </c>
      <c r="J703" t="n">
        <v>0</v>
      </c>
      <c r="K703" t="n">
        <v>0</v>
      </c>
      <c r="L703" t="n">
        <v>0</v>
      </c>
      <c r="M703" t="n">
        <v>0</v>
      </c>
      <c r="N703" t="n">
        <v>0</v>
      </c>
      <c r="O703" t="n">
        <v>0</v>
      </c>
      <c r="P703" t="n">
        <v>0</v>
      </c>
      <c r="Q703" t="n">
        <v>0</v>
      </c>
      <c r="R703" s="2" t="inlineStr"/>
    </row>
    <row r="704" ht="15" customHeight="1">
      <c r="A704" t="inlineStr">
        <is>
          <t>A 26395-2025</t>
        </is>
      </c>
      <c r="B704" s="1" t="n">
        <v>45807</v>
      </c>
      <c r="C704" s="1" t="n">
        <v>45999</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2733-2023</t>
        </is>
      </c>
      <c r="B705" s="1" t="n">
        <v>44943</v>
      </c>
      <c r="C705" s="1" t="n">
        <v>45999</v>
      </c>
      <c r="D705" t="inlineStr">
        <is>
          <t>UPPSALA LÄN</t>
        </is>
      </c>
      <c r="E705" t="inlineStr">
        <is>
          <t>ÖSTHAMMAR</t>
        </is>
      </c>
      <c r="G705" t="n">
        <v>2.6</v>
      </c>
      <c r="H705" t="n">
        <v>0</v>
      </c>
      <c r="I705" t="n">
        <v>0</v>
      </c>
      <c r="J705" t="n">
        <v>0</v>
      </c>
      <c r="K705" t="n">
        <v>0</v>
      </c>
      <c r="L705" t="n">
        <v>0</v>
      </c>
      <c r="M705" t="n">
        <v>0</v>
      </c>
      <c r="N705" t="n">
        <v>0</v>
      </c>
      <c r="O705" t="n">
        <v>0</v>
      </c>
      <c r="P705" t="n">
        <v>0</v>
      </c>
      <c r="Q705" t="n">
        <v>0</v>
      </c>
      <c r="R705" s="2" t="inlineStr"/>
    </row>
    <row r="706" ht="15" customHeight="1">
      <c r="A706" t="inlineStr">
        <is>
          <t>A 10117-2025</t>
        </is>
      </c>
      <c r="B706" s="1" t="n">
        <v>45719.59866898148</v>
      </c>
      <c r="C706" s="1" t="n">
        <v>45999</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12812-2024</t>
        </is>
      </c>
      <c r="B707" s="1" t="n">
        <v>45384.65465277778</v>
      </c>
      <c r="C707" s="1" t="n">
        <v>45999</v>
      </c>
      <c r="D707" t="inlineStr">
        <is>
          <t>UPPSALA LÄN</t>
        </is>
      </c>
      <c r="E707" t="inlineStr">
        <is>
          <t>ÖSTHAMMAR</t>
        </is>
      </c>
      <c r="G707" t="n">
        <v>0.4</v>
      </c>
      <c r="H707" t="n">
        <v>0</v>
      </c>
      <c r="I707" t="n">
        <v>0</v>
      </c>
      <c r="J707" t="n">
        <v>0</v>
      </c>
      <c r="K707" t="n">
        <v>0</v>
      </c>
      <c r="L707" t="n">
        <v>0</v>
      </c>
      <c r="M707" t="n">
        <v>0</v>
      </c>
      <c r="N707" t="n">
        <v>0</v>
      </c>
      <c r="O707" t="n">
        <v>0</v>
      </c>
      <c r="P707" t="n">
        <v>0</v>
      </c>
      <c r="Q707" t="n">
        <v>0</v>
      </c>
      <c r="R707" s="2" t="inlineStr"/>
    </row>
    <row r="708" ht="15" customHeight="1">
      <c r="A708" t="inlineStr">
        <is>
          <t>A 25859-2024</t>
        </is>
      </c>
      <c r="B708" s="1" t="n">
        <v>45467</v>
      </c>
      <c r="C708" s="1" t="n">
        <v>45999</v>
      </c>
      <c r="D708" t="inlineStr">
        <is>
          <t>UPPSALA LÄN</t>
        </is>
      </c>
      <c r="E708" t="inlineStr">
        <is>
          <t>ÖSTHAMMAR</t>
        </is>
      </c>
      <c r="G708" t="n">
        <v>7.9</v>
      </c>
      <c r="H708" t="n">
        <v>0</v>
      </c>
      <c r="I708" t="n">
        <v>0</v>
      </c>
      <c r="J708" t="n">
        <v>0</v>
      </c>
      <c r="K708" t="n">
        <v>0</v>
      </c>
      <c r="L708" t="n">
        <v>0</v>
      </c>
      <c r="M708" t="n">
        <v>0</v>
      </c>
      <c r="N708" t="n">
        <v>0</v>
      </c>
      <c r="O708" t="n">
        <v>0</v>
      </c>
      <c r="P708" t="n">
        <v>0</v>
      </c>
      <c r="Q708" t="n">
        <v>0</v>
      </c>
      <c r="R708" s="2" t="inlineStr"/>
    </row>
    <row r="709" ht="15" customHeight="1">
      <c r="A709" t="inlineStr">
        <is>
          <t>A 19640-2025</t>
        </is>
      </c>
      <c r="B709" s="1" t="n">
        <v>45770.65739583333</v>
      </c>
      <c r="C709" s="1" t="n">
        <v>45999</v>
      </c>
      <c r="D709" t="inlineStr">
        <is>
          <t>UPPSALA LÄN</t>
        </is>
      </c>
      <c r="E709" t="inlineStr">
        <is>
          <t>ÖSTHAMMAR</t>
        </is>
      </c>
      <c r="F709" t="inlineStr">
        <is>
          <t>Övriga Aktiebolag</t>
        </is>
      </c>
      <c r="G709" t="n">
        <v>1.7</v>
      </c>
      <c r="H709" t="n">
        <v>0</v>
      </c>
      <c r="I709" t="n">
        <v>0</v>
      </c>
      <c r="J709" t="n">
        <v>0</v>
      </c>
      <c r="K709" t="n">
        <v>0</v>
      </c>
      <c r="L709" t="n">
        <v>0</v>
      </c>
      <c r="M709" t="n">
        <v>0</v>
      </c>
      <c r="N709" t="n">
        <v>0</v>
      </c>
      <c r="O709" t="n">
        <v>0</v>
      </c>
      <c r="P709" t="n">
        <v>0</v>
      </c>
      <c r="Q709" t="n">
        <v>0</v>
      </c>
      <c r="R709" s="2" t="inlineStr"/>
    </row>
    <row r="710" ht="15" customHeight="1">
      <c r="A710" t="inlineStr">
        <is>
          <t>A 31574-2022</t>
        </is>
      </c>
      <c r="B710" s="1" t="n">
        <v>44775</v>
      </c>
      <c r="C710" s="1" t="n">
        <v>45999</v>
      </c>
      <c r="D710" t="inlineStr">
        <is>
          <t>UPPSALA LÄN</t>
        </is>
      </c>
      <c r="E710" t="inlineStr">
        <is>
          <t>ÖSTHAMMAR</t>
        </is>
      </c>
      <c r="G710" t="n">
        <v>29.7</v>
      </c>
      <c r="H710" t="n">
        <v>0</v>
      </c>
      <c r="I710" t="n">
        <v>0</v>
      </c>
      <c r="J710" t="n">
        <v>0</v>
      </c>
      <c r="K710" t="n">
        <v>0</v>
      </c>
      <c r="L710" t="n">
        <v>0</v>
      </c>
      <c r="M710" t="n">
        <v>0</v>
      </c>
      <c r="N710" t="n">
        <v>0</v>
      </c>
      <c r="O710" t="n">
        <v>0</v>
      </c>
      <c r="P710" t="n">
        <v>0</v>
      </c>
      <c r="Q710" t="n">
        <v>0</v>
      </c>
      <c r="R710" s="2" t="inlineStr"/>
    </row>
    <row r="711" ht="15" customHeight="1">
      <c r="A711" t="inlineStr">
        <is>
          <t>A 24181-2022</t>
        </is>
      </c>
      <c r="B711" s="1" t="n">
        <v>44725</v>
      </c>
      <c r="C711" s="1" t="n">
        <v>45999</v>
      </c>
      <c r="D711" t="inlineStr">
        <is>
          <t>UPPSALA LÄN</t>
        </is>
      </c>
      <c r="E711" t="inlineStr">
        <is>
          <t>ÖSTHAMMAR</t>
        </is>
      </c>
      <c r="G711" t="n">
        <v>1.4</v>
      </c>
      <c r="H711" t="n">
        <v>0</v>
      </c>
      <c r="I711" t="n">
        <v>0</v>
      </c>
      <c r="J711" t="n">
        <v>0</v>
      </c>
      <c r="K711" t="n">
        <v>0</v>
      </c>
      <c r="L711" t="n">
        <v>0</v>
      </c>
      <c r="M711" t="n">
        <v>0</v>
      </c>
      <c r="N711" t="n">
        <v>0</v>
      </c>
      <c r="O711" t="n">
        <v>0</v>
      </c>
      <c r="P711" t="n">
        <v>0</v>
      </c>
      <c r="Q711" t="n">
        <v>0</v>
      </c>
      <c r="R711" s="2" t="inlineStr"/>
    </row>
    <row r="712" ht="15" customHeight="1">
      <c r="A712" t="inlineStr">
        <is>
          <t>A 4096-2025</t>
        </is>
      </c>
      <c r="B712" s="1" t="n">
        <v>45684</v>
      </c>
      <c r="C712" s="1" t="n">
        <v>45999</v>
      </c>
      <c r="D712" t="inlineStr">
        <is>
          <t>UPPSALA LÄN</t>
        </is>
      </c>
      <c r="E712" t="inlineStr">
        <is>
          <t>ÖSTHAMMAR</t>
        </is>
      </c>
      <c r="G712" t="n">
        <v>2</v>
      </c>
      <c r="H712" t="n">
        <v>0</v>
      </c>
      <c r="I712" t="n">
        <v>0</v>
      </c>
      <c r="J712" t="n">
        <v>0</v>
      </c>
      <c r="K712" t="n">
        <v>0</v>
      </c>
      <c r="L712" t="n">
        <v>0</v>
      </c>
      <c r="M712" t="n">
        <v>0</v>
      </c>
      <c r="N712" t="n">
        <v>0</v>
      </c>
      <c r="O712" t="n">
        <v>0</v>
      </c>
      <c r="P712" t="n">
        <v>0</v>
      </c>
      <c r="Q712" t="n">
        <v>0</v>
      </c>
      <c r="R712" s="2" t="inlineStr"/>
    </row>
    <row r="713" ht="15" customHeight="1">
      <c r="A713" t="inlineStr">
        <is>
          <t>A 22884-2024</t>
        </is>
      </c>
      <c r="B713" s="1" t="n">
        <v>45448</v>
      </c>
      <c r="C713" s="1" t="n">
        <v>45999</v>
      </c>
      <c r="D713" t="inlineStr">
        <is>
          <t>UPPSALA LÄN</t>
        </is>
      </c>
      <c r="E713" t="inlineStr">
        <is>
          <t>ÖSTHAMMAR</t>
        </is>
      </c>
      <c r="G713" t="n">
        <v>3.3</v>
      </c>
      <c r="H713" t="n">
        <v>0</v>
      </c>
      <c r="I713" t="n">
        <v>0</v>
      </c>
      <c r="J713" t="n">
        <v>0</v>
      </c>
      <c r="K713" t="n">
        <v>0</v>
      </c>
      <c r="L713" t="n">
        <v>0</v>
      </c>
      <c r="M713" t="n">
        <v>0</v>
      </c>
      <c r="N713" t="n">
        <v>0</v>
      </c>
      <c r="O713" t="n">
        <v>0</v>
      </c>
      <c r="P713" t="n">
        <v>0</v>
      </c>
      <c r="Q713" t="n">
        <v>0</v>
      </c>
      <c r="R713" s="2" t="inlineStr"/>
    </row>
    <row r="714" ht="15" customHeight="1">
      <c r="A714" t="inlineStr">
        <is>
          <t>A 8874-2025</t>
        </is>
      </c>
      <c r="B714" s="1" t="n">
        <v>45713</v>
      </c>
      <c r="C714" s="1" t="n">
        <v>45999</v>
      </c>
      <c r="D714" t="inlineStr">
        <is>
          <t>UPPSALA LÄN</t>
        </is>
      </c>
      <c r="E714" t="inlineStr">
        <is>
          <t>ÖSTHAMMAR</t>
        </is>
      </c>
      <c r="G714" t="n">
        <v>6.3</v>
      </c>
      <c r="H714" t="n">
        <v>0</v>
      </c>
      <c r="I714" t="n">
        <v>0</v>
      </c>
      <c r="J714" t="n">
        <v>0</v>
      </c>
      <c r="K714" t="n">
        <v>0</v>
      </c>
      <c r="L714" t="n">
        <v>0</v>
      </c>
      <c r="M714" t="n">
        <v>0</v>
      </c>
      <c r="N714" t="n">
        <v>0</v>
      </c>
      <c r="O714" t="n">
        <v>0</v>
      </c>
      <c r="P714" t="n">
        <v>0</v>
      </c>
      <c r="Q714" t="n">
        <v>0</v>
      </c>
      <c r="R714" s="2" t="inlineStr"/>
    </row>
    <row r="715" ht="15" customHeight="1">
      <c r="A715" t="inlineStr">
        <is>
          <t>A 25418-2022</t>
        </is>
      </c>
      <c r="B715" s="1" t="n">
        <v>44732.464375</v>
      </c>
      <c r="C715" s="1" t="n">
        <v>45999</v>
      </c>
      <c r="D715" t="inlineStr">
        <is>
          <t>UPPSALA LÄN</t>
        </is>
      </c>
      <c r="E715" t="inlineStr">
        <is>
          <t>ÖSTHAMMAR</t>
        </is>
      </c>
      <c r="G715" t="n">
        <v>2.8</v>
      </c>
      <c r="H715" t="n">
        <v>0</v>
      </c>
      <c r="I715" t="n">
        <v>0</v>
      </c>
      <c r="J715" t="n">
        <v>0</v>
      </c>
      <c r="K715" t="n">
        <v>0</v>
      </c>
      <c r="L715" t="n">
        <v>0</v>
      </c>
      <c r="M715" t="n">
        <v>0</v>
      </c>
      <c r="N715" t="n">
        <v>0</v>
      </c>
      <c r="O715" t="n">
        <v>0</v>
      </c>
      <c r="P715" t="n">
        <v>0</v>
      </c>
      <c r="Q715" t="n">
        <v>0</v>
      </c>
      <c r="R715" s="2" t="inlineStr"/>
    </row>
    <row r="716" ht="15" customHeight="1">
      <c r="A716" t="inlineStr">
        <is>
          <t>A 62391-2022</t>
        </is>
      </c>
      <c r="B716" s="1" t="n">
        <v>44923.7849537037</v>
      </c>
      <c r="C716" s="1" t="n">
        <v>45999</v>
      </c>
      <c r="D716" t="inlineStr">
        <is>
          <t>UPPSALA LÄN</t>
        </is>
      </c>
      <c r="E716" t="inlineStr">
        <is>
          <t>ÖSTHAMMAR</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31485-2023</t>
        </is>
      </c>
      <c r="B717" s="1" t="n">
        <v>45114</v>
      </c>
      <c r="C717" s="1" t="n">
        <v>45999</v>
      </c>
      <c r="D717" t="inlineStr">
        <is>
          <t>UPPSALA LÄN</t>
        </is>
      </c>
      <c r="E717" t="inlineStr">
        <is>
          <t>ÖSTHAMMAR</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56759-2024</t>
        </is>
      </c>
      <c r="B718" s="1" t="n">
        <v>45628.39877314815</v>
      </c>
      <c r="C718" s="1" t="n">
        <v>45999</v>
      </c>
      <c r="D718" t="inlineStr">
        <is>
          <t>UPPSALA LÄN</t>
        </is>
      </c>
      <c r="E718" t="inlineStr">
        <is>
          <t>ÖSTHAMMAR</t>
        </is>
      </c>
      <c r="G718" t="n">
        <v>4.7</v>
      </c>
      <c r="H718" t="n">
        <v>0</v>
      </c>
      <c r="I718" t="n">
        <v>0</v>
      </c>
      <c r="J718" t="n">
        <v>0</v>
      </c>
      <c r="K718" t="n">
        <v>0</v>
      </c>
      <c r="L718" t="n">
        <v>0</v>
      </c>
      <c r="M718" t="n">
        <v>0</v>
      </c>
      <c r="N718" t="n">
        <v>0</v>
      </c>
      <c r="O718" t="n">
        <v>0</v>
      </c>
      <c r="P718" t="n">
        <v>0</v>
      </c>
      <c r="Q718" t="n">
        <v>0</v>
      </c>
      <c r="R718" s="2" t="inlineStr"/>
    </row>
    <row r="719" ht="15" customHeight="1">
      <c r="A719" t="inlineStr">
        <is>
          <t>A 32744-2022</t>
        </is>
      </c>
      <c r="B719" s="1" t="n">
        <v>44783.70378472222</v>
      </c>
      <c r="C719" s="1" t="n">
        <v>45999</v>
      </c>
      <c r="D719" t="inlineStr">
        <is>
          <t>UPPSALA LÄN</t>
        </is>
      </c>
      <c r="E719" t="inlineStr">
        <is>
          <t>ÖSTHAMMAR</t>
        </is>
      </c>
      <c r="F719" t="inlineStr">
        <is>
          <t>Bergvik skog öst AB</t>
        </is>
      </c>
      <c r="G719" t="n">
        <v>3</v>
      </c>
      <c r="H719" t="n">
        <v>0</v>
      </c>
      <c r="I719" t="n">
        <v>0</v>
      </c>
      <c r="J719" t="n">
        <v>0</v>
      </c>
      <c r="K719" t="n">
        <v>0</v>
      </c>
      <c r="L719" t="n">
        <v>0</v>
      </c>
      <c r="M719" t="n">
        <v>0</v>
      </c>
      <c r="N719" t="n">
        <v>0</v>
      </c>
      <c r="O719" t="n">
        <v>0</v>
      </c>
      <c r="P719" t="n">
        <v>0</v>
      </c>
      <c r="Q719" t="n">
        <v>0</v>
      </c>
      <c r="R719" s="2" t="inlineStr"/>
    </row>
    <row r="720" ht="15" customHeight="1">
      <c r="A720" t="inlineStr">
        <is>
          <t>A 4559-2022</t>
        </is>
      </c>
      <c r="B720" s="1" t="n">
        <v>44591.51854166666</v>
      </c>
      <c r="C720" s="1" t="n">
        <v>45999</v>
      </c>
      <c r="D720" t="inlineStr">
        <is>
          <t>UPPSALA LÄN</t>
        </is>
      </c>
      <c r="E720" t="inlineStr">
        <is>
          <t>ÖSTHAMMAR</t>
        </is>
      </c>
      <c r="F720" t="inlineStr">
        <is>
          <t>Bergvik skog öst AB</t>
        </is>
      </c>
      <c r="G720" t="n">
        <v>1.1</v>
      </c>
      <c r="H720" t="n">
        <v>0</v>
      </c>
      <c r="I720" t="n">
        <v>0</v>
      </c>
      <c r="J720" t="n">
        <v>0</v>
      </c>
      <c r="K720" t="n">
        <v>0</v>
      </c>
      <c r="L720" t="n">
        <v>0</v>
      </c>
      <c r="M720" t="n">
        <v>0</v>
      </c>
      <c r="N720" t="n">
        <v>0</v>
      </c>
      <c r="O720" t="n">
        <v>0</v>
      </c>
      <c r="P720" t="n">
        <v>0</v>
      </c>
      <c r="Q720" t="n">
        <v>0</v>
      </c>
      <c r="R720" s="2" t="inlineStr"/>
    </row>
    <row r="721" ht="15" customHeight="1">
      <c r="A721" t="inlineStr">
        <is>
          <t>A 11643-2022</t>
        </is>
      </c>
      <c r="B721" s="1" t="n">
        <v>44631.92662037037</v>
      </c>
      <c r="C721" s="1" t="n">
        <v>45999</v>
      </c>
      <c r="D721" t="inlineStr">
        <is>
          <t>UPPSALA LÄN</t>
        </is>
      </c>
      <c r="E721" t="inlineStr">
        <is>
          <t>ÖSTHAMMAR</t>
        </is>
      </c>
      <c r="F721" t="inlineStr">
        <is>
          <t>Bergvik skog öst AB</t>
        </is>
      </c>
      <c r="G721" t="n">
        <v>1.1</v>
      </c>
      <c r="H721" t="n">
        <v>0</v>
      </c>
      <c r="I721" t="n">
        <v>0</v>
      </c>
      <c r="J721" t="n">
        <v>0</v>
      </c>
      <c r="K721" t="n">
        <v>0</v>
      </c>
      <c r="L721" t="n">
        <v>0</v>
      </c>
      <c r="M721" t="n">
        <v>0</v>
      </c>
      <c r="N721" t="n">
        <v>0</v>
      </c>
      <c r="O721" t="n">
        <v>0</v>
      </c>
      <c r="P721" t="n">
        <v>0</v>
      </c>
      <c r="Q721" t="n">
        <v>0</v>
      </c>
      <c r="R721" s="2" t="inlineStr"/>
    </row>
    <row r="722" ht="15" customHeight="1">
      <c r="A722" t="inlineStr">
        <is>
          <t>A 11036-2023</t>
        </is>
      </c>
      <c r="B722" s="1" t="n">
        <v>44991.9321412037</v>
      </c>
      <c r="C722" s="1" t="n">
        <v>45999</v>
      </c>
      <c r="D722" t="inlineStr">
        <is>
          <t>UPPSALA LÄN</t>
        </is>
      </c>
      <c r="E722" t="inlineStr">
        <is>
          <t>ÖSTHAMMAR</t>
        </is>
      </c>
      <c r="F722" t="inlineStr">
        <is>
          <t>Bergvik skog öst AB</t>
        </is>
      </c>
      <c r="G722" t="n">
        <v>3</v>
      </c>
      <c r="H722" t="n">
        <v>0</v>
      </c>
      <c r="I722" t="n">
        <v>0</v>
      </c>
      <c r="J722" t="n">
        <v>0</v>
      </c>
      <c r="K722" t="n">
        <v>0</v>
      </c>
      <c r="L722" t="n">
        <v>0</v>
      </c>
      <c r="M722" t="n">
        <v>0</v>
      </c>
      <c r="N722" t="n">
        <v>0</v>
      </c>
      <c r="O722" t="n">
        <v>0</v>
      </c>
      <c r="P722" t="n">
        <v>0</v>
      </c>
      <c r="Q722" t="n">
        <v>0</v>
      </c>
      <c r="R722" s="2" t="inlineStr"/>
    </row>
    <row r="723" ht="15" customHeight="1">
      <c r="A723" t="inlineStr">
        <is>
          <t>A 23363-2023</t>
        </is>
      </c>
      <c r="B723" s="1" t="n">
        <v>45076</v>
      </c>
      <c r="C723" s="1" t="n">
        <v>45999</v>
      </c>
      <c r="D723" t="inlineStr">
        <is>
          <t>UPPSALA LÄN</t>
        </is>
      </c>
      <c r="E723" t="inlineStr">
        <is>
          <t>ÖSTHAMMAR</t>
        </is>
      </c>
      <c r="G723" t="n">
        <v>3</v>
      </c>
      <c r="H723" t="n">
        <v>0</v>
      </c>
      <c r="I723" t="n">
        <v>0</v>
      </c>
      <c r="J723" t="n">
        <v>0</v>
      </c>
      <c r="K723" t="n">
        <v>0</v>
      </c>
      <c r="L723" t="n">
        <v>0</v>
      </c>
      <c r="M723" t="n">
        <v>0</v>
      </c>
      <c r="N723" t="n">
        <v>0</v>
      </c>
      <c r="O723" t="n">
        <v>0</v>
      </c>
      <c r="P723" t="n">
        <v>0</v>
      </c>
      <c r="Q723" t="n">
        <v>0</v>
      </c>
      <c r="R723" s="2" t="inlineStr"/>
    </row>
    <row r="724" ht="15" customHeight="1">
      <c r="A724" t="inlineStr">
        <is>
          <t>A 3418-2025</t>
        </is>
      </c>
      <c r="B724" s="1" t="n">
        <v>45680</v>
      </c>
      <c r="C724" s="1" t="n">
        <v>45999</v>
      </c>
      <c r="D724" t="inlineStr">
        <is>
          <t>UPPSALA LÄN</t>
        </is>
      </c>
      <c r="E724" t="inlineStr">
        <is>
          <t>ÖSTHAMMAR</t>
        </is>
      </c>
      <c r="F724" t="inlineStr">
        <is>
          <t>Bergvik skog väst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3420-2025</t>
        </is>
      </c>
      <c r="B725" s="1" t="n">
        <v>45680</v>
      </c>
      <c r="C725" s="1" t="n">
        <v>45999</v>
      </c>
      <c r="D725" t="inlineStr">
        <is>
          <t>UPPSALA LÄN</t>
        </is>
      </c>
      <c r="E725" t="inlineStr">
        <is>
          <t>ÖSTHAMMAR</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14505-2023</t>
        </is>
      </c>
      <c r="B726" s="1" t="n">
        <v>45012.7975</v>
      </c>
      <c r="C726" s="1" t="n">
        <v>45999</v>
      </c>
      <c r="D726" t="inlineStr">
        <is>
          <t>UPPSALA LÄN</t>
        </is>
      </c>
      <c r="E726" t="inlineStr">
        <is>
          <t>ÖSTHAMMAR</t>
        </is>
      </c>
      <c r="F726" t="inlineStr">
        <is>
          <t>Bergvik skog öst AB</t>
        </is>
      </c>
      <c r="G726" t="n">
        <v>1.1</v>
      </c>
      <c r="H726" t="n">
        <v>0</v>
      </c>
      <c r="I726" t="n">
        <v>0</v>
      </c>
      <c r="J726" t="n">
        <v>0</v>
      </c>
      <c r="K726" t="n">
        <v>0</v>
      </c>
      <c r="L726" t="n">
        <v>0</v>
      </c>
      <c r="M726" t="n">
        <v>0</v>
      </c>
      <c r="N726" t="n">
        <v>0</v>
      </c>
      <c r="O726" t="n">
        <v>0</v>
      </c>
      <c r="P726" t="n">
        <v>0</v>
      </c>
      <c r="Q726" t="n">
        <v>0</v>
      </c>
      <c r="R726" s="2" t="inlineStr"/>
    </row>
    <row r="727" ht="15" customHeight="1">
      <c r="A727" t="inlineStr">
        <is>
          <t>A 60577-2021</t>
        </is>
      </c>
      <c r="B727" s="1" t="n">
        <v>44496.57019675926</v>
      </c>
      <c r="C727" s="1" t="n">
        <v>45999</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62695-2023</t>
        </is>
      </c>
      <c r="B728" s="1" t="n">
        <v>45271</v>
      </c>
      <c r="C728" s="1" t="n">
        <v>45999</v>
      </c>
      <c r="D728" t="inlineStr">
        <is>
          <t>UPPSALA LÄN</t>
        </is>
      </c>
      <c r="E728" t="inlineStr">
        <is>
          <t>ÖSTHAMMAR</t>
        </is>
      </c>
      <c r="G728" t="n">
        <v>5.3</v>
      </c>
      <c r="H728" t="n">
        <v>0</v>
      </c>
      <c r="I728" t="n">
        <v>0</v>
      </c>
      <c r="J728" t="n">
        <v>0</v>
      </c>
      <c r="K728" t="n">
        <v>0</v>
      </c>
      <c r="L728" t="n">
        <v>0</v>
      </c>
      <c r="M728" t="n">
        <v>0</v>
      </c>
      <c r="N728" t="n">
        <v>0</v>
      </c>
      <c r="O728" t="n">
        <v>0</v>
      </c>
      <c r="P728" t="n">
        <v>0</v>
      </c>
      <c r="Q728" t="n">
        <v>0</v>
      </c>
      <c r="R728" s="2" t="inlineStr"/>
    </row>
    <row r="729" ht="15" customHeight="1">
      <c r="A729" t="inlineStr">
        <is>
          <t>A 54437-2024</t>
        </is>
      </c>
      <c r="B729" s="1" t="n">
        <v>45617</v>
      </c>
      <c r="C729" s="1" t="n">
        <v>45999</v>
      </c>
      <c r="D729" t="inlineStr">
        <is>
          <t>UPPSALA LÄN</t>
        </is>
      </c>
      <c r="E729" t="inlineStr">
        <is>
          <t>ÖSTHAMMAR</t>
        </is>
      </c>
      <c r="G729" t="n">
        <v>2.1</v>
      </c>
      <c r="H729" t="n">
        <v>0</v>
      </c>
      <c r="I729" t="n">
        <v>0</v>
      </c>
      <c r="J729" t="n">
        <v>0</v>
      </c>
      <c r="K729" t="n">
        <v>0</v>
      </c>
      <c r="L729" t="n">
        <v>0</v>
      </c>
      <c r="M729" t="n">
        <v>0</v>
      </c>
      <c r="N729" t="n">
        <v>0</v>
      </c>
      <c r="O729" t="n">
        <v>0</v>
      </c>
      <c r="P729" t="n">
        <v>0</v>
      </c>
      <c r="Q729" t="n">
        <v>0</v>
      </c>
      <c r="R729" s="2" t="inlineStr"/>
    </row>
    <row r="730" ht="15" customHeight="1">
      <c r="A730" t="inlineStr">
        <is>
          <t>A 23742-2024</t>
        </is>
      </c>
      <c r="B730" s="1" t="n">
        <v>45455</v>
      </c>
      <c r="C730" s="1" t="n">
        <v>45999</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29282-2021</t>
        </is>
      </c>
      <c r="B731" s="1" t="n">
        <v>44361</v>
      </c>
      <c r="C731" s="1" t="n">
        <v>45999</v>
      </c>
      <c r="D731" t="inlineStr">
        <is>
          <t>UPPSALA LÄN</t>
        </is>
      </c>
      <c r="E731" t="inlineStr">
        <is>
          <t>ÖSTHAMMAR</t>
        </is>
      </c>
      <c r="G731" t="n">
        <v>2.4</v>
      </c>
      <c r="H731" t="n">
        <v>0</v>
      </c>
      <c r="I731" t="n">
        <v>0</v>
      </c>
      <c r="J731" t="n">
        <v>0</v>
      </c>
      <c r="K731" t="n">
        <v>0</v>
      </c>
      <c r="L731" t="n">
        <v>0</v>
      </c>
      <c r="M731" t="n">
        <v>0</v>
      </c>
      <c r="N731" t="n">
        <v>0</v>
      </c>
      <c r="O731" t="n">
        <v>0</v>
      </c>
      <c r="P731" t="n">
        <v>0</v>
      </c>
      <c r="Q731" t="n">
        <v>0</v>
      </c>
      <c r="R731" s="2" t="inlineStr"/>
    </row>
    <row r="732" ht="15" customHeight="1">
      <c r="A732" t="inlineStr">
        <is>
          <t>A 6039-2025</t>
        </is>
      </c>
      <c r="B732" s="1" t="n">
        <v>45695</v>
      </c>
      <c r="C732" s="1" t="n">
        <v>45999</v>
      </c>
      <c r="D732" t="inlineStr">
        <is>
          <t>UPPSALA LÄN</t>
        </is>
      </c>
      <c r="E732" t="inlineStr">
        <is>
          <t>ÖSTHAMMAR</t>
        </is>
      </c>
      <c r="G732" t="n">
        <v>2.3</v>
      </c>
      <c r="H732" t="n">
        <v>0</v>
      </c>
      <c r="I732" t="n">
        <v>0</v>
      </c>
      <c r="J732" t="n">
        <v>0</v>
      </c>
      <c r="K732" t="n">
        <v>0</v>
      </c>
      <c r="L732" t="n">
        <v>0</v>
      </c>
      <c r="M732" t="n">
        <v>0</v>
      </c>
      <c r="N732" t="n">
        <v>0</v>
      </c>
      <c r="O732" t="n">
        <v>0</v>
      </c>
      <c r="P732" t="n">
        <v>0</v>
      </c>
      <c r="Q732" t="n">
        <v>0</v>
      </c>
      <c r="R732" s="2" t="inlineStr"/>
    </row>
    <row r="733" ht="15" customHeight="1">
      <c r="A733" t="inlineStr">
        <is>
          <t>A 8769-2025</t>
        </is>
      </c>
      <c r="B733" s="1" t="n">
        <v>45712.59412037037</v>
      </c>
      <c r="C733" s="1" t="n">
        <v>45999</v>
      </c>
      <c r="D733" t="inlineStr">
        <is>
          <t>UPPSALA LÄN</t>
        </is>
      </c>
      <c r="E733" t="inlineStr">
        <is>
          <t>ÖSTHAMMAR</t>
        </is>
      </c>
      <c r="G733" t="n">
        <v>1.9</v>
      </c>
      <c r="H733" t="n">
        <v>0</v>
      </c>
      <c r="I733" t="n">
        <v>0</v>
      </c>
      <c r="J733" t="n">
        <v>0</v>
      </c>
      <c r="K733" t="n">
        <v>0</v>
      </c>
      <c r="L733" t="n">
        <v>0</v>
      </c>
      <c r="M733" t="n">
        <v>0</v>
      </c>
      <c r="N733" t="n">
        <v>0</v>
      </c>
      <c r="O733" t="n">
        <v>0</v>
      </c>
      <c r="P733" t="n">
        <v>0</v>
      </c>
      <c r="Q733" t="n">
        <v>0</v>
      </c>
      <c r="R733" s="2" t="inlineStr"/>
    </row>
    <row r="734" ht="15" customHeight="1">
      <c r="A734" t="inlineStr">
        <is>
          <t>A 20326-2021</t>
        </is>
      </c>
      <c r="B734" s="1" t="n">
        <v>44308</v>
      </c>
      <c r="C734" s="1" t="n">
        <v>45999</v>
      </c>
      <c r="D734" t="inlineStr">
        <is>
          <t>UPPSALA LÄN</t>
        </is>
      </c>
      <c r="E734" t="inlineStr">
        <is>
          <t>ÖSTHAMMAR</t>
        </is>
      </c>
      <c r="G734" t="n">
        <v>7</v>
      </c>
      <c r="H734" t="n">
        <v>0</v>
      </c>
      <c r="I734" t="n">
        <v>0</v>
      </c>
      <c r="J734" t="n">
        <v>0</v>
      </c>
      <c r="K734" t="n">
        <v>0</v>
      </c>
      <c r="L734" t="n">
        <v>0</v>
      </c>
      <c r="M734" t="n">
        <v>0</v>
      </c>
      <c r="N734" t="n">
        <v>0</v>
      </c>
      <c r="O734" t="n">
        <v>0</v>
      </c>
      <c r="P734" t="n">
        <v>0</v>
      </c>
      <c r="Q734" t="n">
        <v>0</v>
      </c>
      <c r="R734" s="2" t="inlineStr"/>
    </row>
    <row r="735" ht="15" customHeight="1">
      <c r="A735" t="inlineStr">
        <is>
          <t>A 55086-2024</t>
        </is>
      </c>
      <c r="B735" s="1" t="n">
        <v>45621.43098379629</v>
      </c>
      <c r="C735" s="1" t="n">
        <v>45999</v>
      </c>
      <c r="D735" t="inlineStr">
        <is>
          <t>UPPSALA LÄN</t>
        </is>
      </c>
      <c r="E735" t="inlineStr">
        <is>
          <t>ÖSTHAMMAR</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55090-2024</t>
        </is>
      </c>
      <c r="B736" s="1" t="n">
        <v>45621.4350462963</v>
      </c>
      <c r="C736" s="1" t="n">
        <v>45999</v>
      </c>
      <c r="D736" t="inlineStr">
        <is>
          <t>UPPSALA LÄN</t>
        </is>
      </c>
      <c r="E736" t="inlineStr">
        <is>
          <t>ÖSTHAMMAR</t>
        </is>
      </c>
      <c r="F736" t="inlineStr">
        <is>
          <t>Sveaskog</t>
        </is>
      </c>
      <c r="G736" t="n">
        <v>4.4</v>
      </c>
      <c r="H736" t="n">
        <v>0</v>
      </c>
      <c r="I736" t="n">
        <v>0</v>
      </c>
      <c r="J736" t="n">
        <v>0</v>
      </c>
      <c r="K736" t="n">
        <v>0</v>
      </c>
      <c r="L736" t="n">
        <v>0</v>
      </c>
      <c r="M736" t="n">
        <v>0</v>
      </c>
      <c r="N736" t="n">
        <v>0</v>
      </c>
      <c r="O736" t="n">
        <v>0</v>
      </c>
      <c r="P736" t="n">
        <v>0</v>
      </c>
      <c r="Q736" t="n">
        <v>0</v>
      </c>
      <c r="R736" s="2" t="inlineStr"/>
    </row>
    <row r="737" ht="15" customHeight="1">
      <c r="A737" t="inlineStr">
        <is>
          <t>A 55093-2024</t>
        </is>
      </c>
      <c r="B737" s="1" t="n">
        <v>45621.43712962963</v>
      </c>
      <c r="C737" s="1" t="n">
        <v>45999</v>
      </c>
      <c r="D737" t="inlineStr">
        <is>
          <t>UPPSALA LÄN</t>
        </is>
      </c>
      <c r="E737" t="inlineStr">
        <is>
          <t>ÖSTHAMMAR</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28432-2023</t>
        </is>
      </c>
      <c r="B738" s="1" t="n">
        <v>45102.59896990741</v>
      </c>
      <c r="C738" s="1" t="n">
        <v>45999</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43915-2023</t>
        </is>
      </c>
      <c r="B739" s="1" t="n">
        <v>45187.71274305556</v>
      </c>
      <c r="C739" s="1" t="n">
        <v>45999</v>
      </c>
      <c r="D739" t="inlineStr">
        <is>
          <t>UPPSALA LÄN</t>
        </is>
      </c>
      <c r="E739" t="inlineStr">
        <is>
          <t>ÖSTHAMMAR</t>
        </is>
      </c>
      <c r="F739" t="inlineStr">
        <is>
          <t>Bergvik skog öst AB</t>
        </is>
      </c>
      <c r="G739" t="n">
        <v>1.3</v>
      </c>
      <c r="H739" t="n">
        <v>0</v>
      </c>
      <c r="I739" t="n">
        <v>0</v>
      </c>
      <c r="J739" t="n">
        <v>0</v>
      </c>
      <c r="K739" t="n">
        <v>0</v>
      </c>
      <c r="L739" t="n">
        <v>0</v>
      </c>
      <c r="M739" t="n">
        <v>0</v>
      </c>
      <c r="N739" t="n">
        <v>0</v>
      </c>
      <c r="O739" t="n">
        <v>0</v>
      </c>
      <c r="P739" t="n">
        <v>0</v>
      </c>
      <c r="Q739" t="n">
        <v>0</v>
      </c>
      <c r="R739" s="2" t="inlineStr"/>
    </row>
    <row r="740" ht="15" customHeight="1">
      <c r="A740" t="inlineStr">
        <is>
          <t>A 13352-2023</t>
        </is>
      </c>
      <c r="B740" s="1" t="n">
        <v>45005</v>
      </c>
      <c r="C740" s="1" t="n">
        <v>45999</v>
      </c>
      <c r="D740" t="inlineStr">
        <is>
          <t>UPPSALA LÄN</t>
        </is>
      </c>
      <c r="E740" t="inlineStr">
        <is>
          <t>ÖSTHAMMAR</t>
        </is>
      </c>
      <c r="G740" t="n">
        <v>1.8</v>
      </c>
      <c r="H740" t="n">
        <v>0</v>
      </c>
      <c r="I740" t="n">
        <v>0</v>
      </c>
      <c r="J740" t="n">
        <v>0</v>
      </c>
      <c r="K740" t="n">
        <v>0</v>
      </c>
      <c r="L740" t="n">
        <v>0</v>
      </c>
      <c r="M740" t="n">
        <v>0</v>
      </c>
      <c r="N740" t="n">
        <v>0</v>
      </c>
      <c r="O740" t="n">
        <v>0</v>
      </c>
      <c r="P740" t="n">
        <v>0</v>
      </c>
      <c r="Q740" t="n">
        <v>0</v>
      </c>
      <c r="R740" s="2" t="inlineStr"/>
    </row>
    <row r="741" ht="15" customHeight="1">
      <c r="A741" t="inlineStr">
        <is>
          <t>A 36343-2022</t>
        </is>
      </c>
      <c r="B741" s="1" t="n">
        <v>44803.78524305556</v>
      </c>
      <c r="C741" s="1" t="n">
        <v>45999</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357-2025</t>
        </is>
      </c>
      <c r="B742" s="1" t="n">
        <v>45659</v>
      </c>
      <c r="C742" s="1" t="n">
        <v>45999</v>
      </c>
      <c r="D742" t="inlineStr">
        <is>
          <t>UPPSALA LÄN</t>
        </is>
      </c>
      <c r="E742" t="inlineStr">
        <is>
          <t>ÖSTHAMMAR</t>
        </is>
      </c>
      <c r="G742" t="n">
        <v>15.8</v>
      </c>
      <c r="H742" t="n">
        <v>0</v>
      </c>
      <c r="I742" t="n">
        <v>0</v>
      </c>
      <c r="J742" t="n">
        <v>0</v>
      </c>
      <c r="K742" t="n">
        <v>0</v>
      </c>
      <c r="L742" t="n">
        <v>0</v>
      </c>
      <c r="M742" t="n">
        <v>0</v>
      </c>
      <c r="N742" t="n">
        <v>0</v>
      </c>
      <c r="O742" t="n">
        <v>0</v>
      </c>
      <c r="P742" t="n">
        <v>0</v>
      </c>
      <c r="Q742" t="n">
        <v>0</v>
      </c>
      <c r="R742" s="2" t="inlineStr"/>
    </row>
    <row r="743" ht="15" customHeight="1">
      <c r="A743" t="inlineStr">
        <is>
          <t>A 68828-2020</t>
        </is>
      </c>
      <c r="B743" s="1" t="n">
        <v>44186</v>
      </c>
      <c r="C743" s="1" t="n">
        <v>45999</v>
      </c>
      <c r="D743" t="inlineStr">
        <is>
          <t>UPPSALA LÄN</t>
        </is>
      </c>
      <c r="E743" t="inlineStr">
        <is>
          <t>ÖSTHAMMAR</t>
        </is>
      </c>
      <c r="G743" t="n">
        <v>1.5</v>
      </c>
      <c r="H743" t="n">
        <v>0</v>
      </c>
      <c r="I743" t="n">
        <v>0</v>
      </c>
      <c r="J743" t="n">
        <v>0</v>
      </c>
      <c r="K743" t="n">
        <v>0</v>
      </c>
      <c r="L743" t="n">
        <v>0</v>
      </c>
      <c r="M743" t="n">
        <v>0</v>
      </c>
      <c r="N743" t="n">
        <v>0</v>
      </c>
      <c r="O743" t="n">
        <v>0</v>
      </c>
      <c r="P743" t="n">
        <v>0</v>
      </c>
      <c r="Q743" t="n">
        <v>0</v>
      </c>
      <c r="R743" s="2" t="inlineStr"/>
    </row>
    <row r="744" ht="15" customHeight="1">
      <c r="A744" t="inlineStr">
        <is>
          <t>A 18731-2022</t>
        </is>
      </c>
      <c r="B744" s="1" t="n">
        <v>44687.78673611111</v>
      </c>
      <c r="C744" s="1" t="n">
        <v>45999</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23495-2023</t>
        </is>
      </c>
      <c r="B745" s="1" t="n">
        <v>45076.71652777777</v>
      </c>
      <c r="C745" s="1" t="n">
        <v>45999</v>
      </c>
      <c r="D745" t="inlineStr">
        <is>
          <t>UPPSALA LÄN</t>
        </is>
      </c>
      <c r="E745" t="inlineStr">
        <is>
          <t>ÖSTHAMMAR</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1063-2025</t>
        </is>
      </c>
      <c r="B746" s="1" t="n">
        <v>45666</v>
      </c>
      <c r="C746" s="1" t="n">
        <v>45999</v>
      </c>
      <c r="D746" t="inlineStr">
        <is>
          <t>UPPSALA LÄN</t>
        </is>
      </c>
      <c r="E746" t="inlineStr">
        <is>
          <t>ÖSTHAMMAR</t>
        </is>
      </c>
      <c r="G746" t="n">
        <v>1.5</v>
      </c>
      <c r="H746" t="n">
        <v>0</v>
      </c>
      <c r="I746" t="n">
        <v>0</v>
      </c>
      <c r="J746" t="n">
        <v>0</v>
      </c>
      <c r="K746" t="n">
        <v>0</v>
      </c>
      <c r="L746" t="n">
        <v>0</v>
      </c>
      <c r="M746" t="n">
        <v>0</v>
      </c>
      <c r="N746" t="n">
        <v>0</v>
      </c>
      <c r="O746" t="n">
        <v>0</v>
      </c>
      <c r="P746" t="n">
        <v>0</v>
      </c>
      <c r="Q746" t="n">
        <v>0</v>
      </c>
      <c r="R746" s="2" t="inlineStr"/>
    </row>
    <row r="747" ht="15" customHeight="1">
      <c r="A747" t="inlineStr">
        <is>
          <t>A 10495-2025</t>
        </is>
      </c>
      <c r="B747" s="1" t="n">
        <v>45721</v>
      </c>
      <c r="C747" s="1" t="n">
        <v>45999</v>
      </c>
      <c r="D747" t="inlineStr">
        <is>
          <t>UPPSALA LÄN</t>
        </is>
      </c>
      <c r="E747" t="inlineStr">
        <is>
          <t>ÖSTHAMMAR</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4356-2025</t>
        </is>
      </c>
      <c r="B748" s="1" t="n">
        <v>45686</v>
      </c>
      <c r="C748" s="1" t="n">
        <v>45999</v>
      </c>
      <c r="D748" t="inlineStr">
        <is>
          <t>UPPSALA LÄN</t>
        </is>
      </c>
      <c r="E748" t="inlineStr">
        <is>
          <t>ÖSTHAMMAR</t>
        </is>
      </c>
      <c r="F748" t="inlineStr">
        <is>
          <t>Övriga Aktiebolag</t>
        </is>
      </c>
      <c r="G748" t="n">
        <v>24.6</v>
      </c>
      <c r="H748" t="n">
        <v>0</v>
      </c>
      <c r="I748" t="n">
        <v>0</v>
      </c>
      <c r="J748" t="n">
        <v>0</v>
      </c>
      <c r="K748" t="n">
        <v>0</v>
      </c>
      <c r="L748" t="n">
        <v>0</v>
      </c>
      <c r="M748" t="n">
        <v>0</v>
      </c>
      <c r="N748" t="n">
        <v>0</v>
      </c>
      <c r="O748" t="n">
        <v>0</v>
      </c>
      <c r="P748" t="n">
        <v>0</v>
      </c>
      <c r="Q748" t="n">
        <v>0</v>
      </c>
      <c r="R748" s="2" t="inlineStr"/>
    </row>
    <row r="749" ht="15" customHeight="1">
      <c r="A749" t="inlineStr">
        <is>
          <t>A 17085-2025</t>
        </is>
      </c>
      <c r="B749" s="1" t="n">
        <v>45755.64612268518</v>
      </c>
      <c r="C749" s="1" t="n">
        <v>45999</v>
      </c>
      <c r="D749" t="inlineStr">
        <is>
          <t>UPPSALA LÄN</t>
        </is>
      </c>
      <c r="E749" t="inlineStr">
        <is>
          <t>ÖSTHAMMAR</t>
        </is>
      </c>
      <c r="F749" t="inlineStr">
        <is>
          <t>Bergvik skog öst AB</t>
        </is>
      </c>
      <c r="G749" t="n">
        <v>0.6</v>
      </c>
      <c r="H749" t="n">
        <v>0</v>
      </c>
      <c r="I749" t="n">
        <v>0</v>
      </c>
      <c r="J749" t="n">
        <v>0</v>
      </c>
      <c r="K749" t="n">
        <v>0</v>
      </c>
      <c r="L749" t="n">
        <v>0</v>
      </c>
      <c r="M749" t="n">
        <v>0</v>
      </c>
      <c r="N749" t="n">
        <v>0</v>
      </c>
      <c r="O749" t="n">
        <v>0</v>
      </c>
      <c r="P749" t="n">
        <v>0</v>
      </c>
      <c r="Q749" t="n">
        <v>0</v>
      </c>
      <c r="R749" s="2" t="inlineStr"/>
    </row>
    <row r="750" ht="15" customHeight="1">
      <c r="A750" t="inlineStr">
        <is>
          <t>A 32244-2021</t>
        </is>
      </c>
      <c r="B750" s="1" t="n">
        <v>44371.45335648148</v>
      </c>
      <c r="C750" s="1" t="n">
        <v>45999</v>
      </c>
      <c r="D750" t="inlineStr">
        <is>
          <t>UPPSALA LÄN</t>
        </is>
      </c>
      <c r="E750" t="inlineStr">
        <is>
          <t>ÖSTHAMMAR</t>
        </is>
      </c>
      <c r="F750" t="inlineStr">
        <is>
          <t>Bergvik skog öst AB</t>
        </is>
      </c>
      <c r="G750" t="n">
        <v>2.6</v>
      </c>
      <c r="H750" t="n">
        <v>0</v>
      </c>
      <c r="I750" t="n">
        <v>0</v>
      </c>
      <c r="J750" t="n">
        <v>0</v>
      </c>
      <c r="K750" t="n">
        <v>0</v>
      </c>
      <c r="L750" t="n">
        <v>0</v>
      </c>
      <c r="M750" t="n">
        <v>0</v>
      </c>
      <c r="N750" t="n">
        <v>0</v>
      </c>
      <c r="O750" t="n">
        <v>0</v>
      </c>
      <c r="P750" t="n">
        <v>0</v>
      </c>
      <c r="Q750" t="n">
        <v>0</v>
      </c>
      <c r="R750" s="2" t="inlineStr"/>
    </row>
    <row r="751" ht="15" customHeight="1">
      <c r="A751" t="inlineStr">
        <is>
          <t>A 33056-2021</t>
        </is>
      </c>
      <c r="B751" s="1" t="n">
        <v>44376.52438657408</v>
      </c>
      <c r="C751" s="1" t="n">
        <v>45999</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4292-2025</t>
        </is>
      </c>
      <c r="B752" s="1" t="n">
        <v>45685.66459490741</v>
      </c>
      <c r="C752" s="1" t="n">
        <v>45999</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8592-2022</t>
        </is>
      </c>
      <c r="B753" s="1" t="n">
        <v>44613</v>
      </c>
      <c r="C753" s="1" t="n">
        <v>45999</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3119-2025</t>
        </is>
      </c>
      <c r="B754" s="1" t="n">
        <v>45678</v>
      </c>
      <c r="C754" s="1" t="n">
        <v>45999</v>
      </c>
      <c r="D754" t="inlineStr">
        <is>
          <t>UPPSALA LÄN</t>
        </is>
      </c>
      <c r="E754" t="inlineStr">
        <is>
          <t>ÖSTHAMMAR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17646-2025</t>
        </is>
      </c>
      <c r="B755" s="1" t="n">
        <v>45758.32872685185</v>
      </c>
      <c r="C755" s="1" t="n">
        <v>45999</v>
      </c>
      <c r="D755" t="inlineStr">
        <is>
          <t>UPPSALA LÄN</t>
        </is>
      </c>
      <c r="E755" t="inlineStr">
        <is>
          <t>ÖSTHAMMAR</t>
        </is>
      </c>
      <c r="F755" t="inlineStr">
        <is>
          <t>Bergvik skog väst AB</t>
        </is>
      </c>
      <c r="G755" t="n">
        <v>3.4</v>
      </c>
      <c r="H755" t="n">
        <v>0</v>
      </c>
      <c r="I755" t="n">
        <v>0</v>
      </c>
      <c r="J755" t="n">
        <v>0</v>
      </c>
      <c r="K755" t="n">
        <v>0</v>
      </c>
      <c r="L755" t="n">
        <v>0</v>
      </c>
      <c r="M755" t="n">
        <v>0</v>
      </c>
      <c r="N755" t="n">
        <v>0</v>
      </c>
      <c r="O755" t="n">
        <v>0</v>
      </c>
      <c r="P755" t="n">
        <v>0</v>
      </c>
      <c r="Q755" t="n">
        <v>0</v>
      </c>
      <c r="R755" s="2" t="inlineStr"/>
    </row>
    <row r="756" ht="15" customHeight="1">
      <c r="A756" t="inlineStr">
        <is>
          <t>A 17648-2025</t>
        </is>
      </c>
      <c r="B756" s="1" t="n">
        <v>45758.33064814815</v>
      </c>
      <c r="C756" s="1" t="n">
        <v>45999</v>
      </c>
      <c r="D756" t="inlineStr">
        <is>
          <t>UPPSALA LÄN</t>
        </is>
      </c>
      <c r="E756" t="inlineStr">
        <is>
          <t>ÖSTHAMMAR</t>
        </is>
      </c>
      <c r="F756" t="inlineStr">
        <is>
          <t>Bergvik skog väst AB</t>
        </is>
      </c>
      <c r="G756" t="n">
        <v>1.3</v>
      </c>
      <c r="H756" t="n">
        <v>0</v>
      </c>
      <c r="I756" t="n">
        <v>0</v>
      </c>
      <c r="J756" t="n">
        <v>0</v>
      </c>
      <c r="K756" t="n">
        <v>0</v>
      </c>
      <c r="L756" t="n">
        <v>0</v>
      </c>
      <c r="M756" t="n">
        <v>0</v>
      </c>
      <c r="N756" t="n">
        <v>0</v>
      </c>
      <c r="O756" t="n">
        <v>0</v>
      </c>
      <c r="P756" t="n">
        <v>0</v>
      </c>
      <c r="Q756" t="n">
        <v>0</v>
      </c>
      <c r="R756" s="2" t="inlineStr"/>
    </row>
    <row r="757" ht="15" customHeight="1">
      <c r="A757" t="inlineStr">
        <is>
          <t>A 60047-2021</t>
        </is>
      </c>
      <c r="B757" s="1" t="n">
        <v>44495</v>
      </c>
      <c r="C757" s="1" t="n">
        <v>45999</v>
      </c>
      <c r="D757" t="inlineStr">
        <is>
          <t>UPPSALA LÄN</t>
        </is>
      </c>
      <c r="E757" t="inlineStr">
        <is>
          <t>ÖSTHAMMAR</t>
        </is>
      </c>
      <c r="F757" t="inlineStr">
        <is>
          <t>Övriga Aktiebolag</t>
        </is>
      </c>
      <c r="G757" t="n">
        <v>1.8</v>
      </c>
      <c r="H757" t="n">
        <v>0</v>
      </c>
      <c r="I757" t="n">
        <v>0</v>
      </c>
      <c r="J757" t="n">
        <v>0</v>
      </c>
      <c r="K757" t="n">
        <v>0</v>
      </c>
      <c r="L757" t="n">
        <v>0</v>
      </c>
      <c r="M757" t="n">
        <v>0</v>
      </c>
      <c r="N757" t="n">
        <v>0</v>
      </c>
      <c r="O757" t="n">
        <v>0</v>
      </c>
      <c r="P757" t="n">
        <v>0</v>
      </c>
      <c r="Q757" t="n">
        <v>0</v>
      </c>
      <c r="R757" s="2" t="inlineStr"/>
    </row>
    <row r="758">
      <c r="A758" t="inlineStr">
        <is>
          <t>A 18401-2025</t>
        </is>
      </c>
      <c r="B758" s="1" t="n">
        <v>45762.5966087963</v>
      </c>
      <c r="C758" s="1" t="n">
        <v>45999</v>
      </c>
      <c r="D758" t="inlineStr">
        <is>
          <t>UPPSALA LÄN</t>
        </is>
      </c>
      <c r="E758" t="inlineStr">
        <is>
          <t>ÖSTHAMMAR</t>
        </is>
      </c>
      <c r="G758" t="n">
        <v>1.7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2025-12-08T10:31:16Z</dcterms:created>
  <dcterms:modified xmlns:dcterms="http://purl.org/dc/terms/" xmlns:xsi="http://www.w3.org/2001/XMLSchema-instance" xsi:type="dcterms:W3CDTF">2025-12-08T10:31:16Z</dcterms:modified>
</cp:coreProperties>
</file>