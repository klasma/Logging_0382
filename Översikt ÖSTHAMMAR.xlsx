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46091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46091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46091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46091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46091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46091</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46091</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46091</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46091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46091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agg.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46091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46091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46091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46091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46091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46091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v>
      </c>
      <c r="C23" s="1" t="n">
        <v>46091</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9569-2026</t>
        </is>
      </c>
      <c r="B24" s="1" t="n">
        <v>46071.65847222223</v>
      </c>
      <c r="C24" s="1" t="n">
        <v>46091</v>
      </c>
      <c r="D24" t="inlineStr">
        <is>
          <t>UPPSALA LÄN</t>
        </is>
      </c>
      <c r="E24" t="inlineStr">
        <is>
          <t>ÖSTHAMMAR</t>
        </is>
      </c>
      <c r="G24" t="n">
        <v>1.4</v>
      </c>
      <c r="H24" t="n">
        <v>0</v>
      </c>
      <c r="I24" t="n">
        <v>4</v>
      </c>
      <c r="J24" t="n">
        <v>1</v>
      </c>
      <c r="K24" t="n">
        <v>2</v>
      </c>
      <c r="L24" t="n">
        <v>0</v>
      </c>
      <c r="M24" t="n">
        <v>0</v>
      </c>
      <c r="N24" t="n">
        <v>0</v>
      </c>
      <c r="O24" t="n">
        <v>3</v>
      </c>
      <c r="P24" t="n">
        <v>2</v>
      </c>
      <c r="Q24" t="n">
        <v>7</v>
      </c>
      <c r="R24" s="2" t="inlineStr">
        <is>
          <t>Gyllenfingersvamp
Koppartaggsvamp
Äggspindling
Anisspindling
Olivspindling
Skarp dropptaggsvamp
Trådticka</t>
        </is>
      </c>
      <c r="S24">
        <f>HYPERLINK("https://klasma.github.io/Logging_0382/artfynd/A 9569-2026 artfynd.xlsx", "A 9569-2026")</f>
        <v/>
      </c>
      <c r="T24">
        <f>HYPERLINK("https://klasma.github.io/Logging_0382/kartor/A 9569-2026 karta.png", "A 9569-2026")</f>
        <v/>
      </c>
      <c r="V24">
        <f>HYPERLINK("https://klasma.github.io/Logging_0382/klagomål/A 9569-2026 FSC-klagomål.docx", "A 9569-2026")</f>
        <v/>
      </c>
      <c r="W24">
        <f>HYPERLINK("https://klasma.github.io/Logging_0382/klagomålsmail/A 9569-2026 FSC-klagomål mail.docx", "A 9569-2026")</f>
        <v/>
      </c>
      <c r="X24">
        <f>HYPERLINK("https://klasma.github.io/Logging_0382/tillsyn/A 9569-2026 tillsynsbegäran.docx", "A 9569-2026")</f>
        <v/>
      </c>
      <c r="Y24">
        <f>HYPERLINK("https://klasma.github.io/Logging_0382/tillsynsmail/A 9569-2026 tillsynsbegäran mail.docx", "A 9569-2026")</f>
        <v/>
      </c>
    </row>
    <row r="25" ht="15" customHeight="1">
      <c r="A25" t="inlineStr">
        <is>
          <t>A 16242-2025</t>
        </is>
      </c>
      <c r="B25" s="1" t="n">
        <v>45746</v>
      </c>
      <c r="C25" s="1" t="n">
        <v>46091</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221-2025</t>
        </is>
      </c>
      <c r="B26" s="1" t="n">
        <v>45660</v>
      </c>
      <c r="C26" s="1" t="n">
        <v>46091</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35911-2021</t>
        </is>
      </c>
      <c r="B27" s="1" t="n">
        <v>44387</v>
      </c>
      <c r="C27" s="1" t="n">
        <v>46091</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46091</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46091</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39834-2025</t>
        </is>
      </c>
      <c r="B30" s="1" t="n">
        <v>45891.56333333333</v>
      </c>
      <c r="C30" s="1" t="n">
        <v>46091</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23496-2023</t>
        </is>
      </c>
      <c r="B31" s="1" t="n">
        <v>45076</v>
      </c>
      <c r="C31" s="1" t="n">
        <v>46091</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46091</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46091</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46091</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46091</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51154-2025</t>
        </is>
      </c>
      <c r="B36" s="1" t="n">
        <v>45947.57583333334</v>
      </c>
      <c r="C36" s="1" t="n">
        <v>46091</v>
      </c>
      <c r="D36" t="inlineStr">
        <is>
          <t>UPPSALA LÄN</t>
        </is>
      </c>
      <c r="E36" t="inlineStr">
        <is>
          <t>ÖSTHAMMAR</t>
        </is>
      </c>
      <c r="F36" t="inlineStr">
        <is>
          <t>Allmännings- och besparingsskogar</t>
        </is>
      </c>
      <c r="G36" t="n">
        <v>4.5</v>
      </c>
      <c r="H36" t="n">
        <v>5</v>
      </c>
      <c r="I36" t="n">
        <v>2</v>
      </c>
      <c r="J36" t="n">
        <v>2</v>
      </c>
      <c r="K36" t="n">
        <v>0</v>
      </c>
      <c r="L36" t="n">
        <v>0</v>
      </c>
      <c r="M36" t="n">
        <v>0</v>
      </c>
      <c r="N36" t="n">
        <v>0</v>
      </c>
      <c r="O36" t="n">
        <v>2</v>
      </c>
      <c r="P36" t="n">
        <v>0</v>
      </c>
      <c r="Q36" t="n">
        <v>5</v>
      </c>
      <c r="R36" s="2" t="inlineStr">
        <is>
          <t>Rödvingetrast
Talltita
Nästrot
Tvåblad
Blåsippa</t>
        </is>
      </c>
      <c r="S36">
        <f>HYPERLINK("https://klasma.github.io/Logging_0382/artfynd/A 51154-2025 artfynd.xlsx", "A 51154-2025")</f>
        <v/>
      </c>
      <c r="T36">
        <f>HYPERLINK("https://klasma.github.io/Logging_0382/kartor/A 51154-2025 karta.png", "A 51154-2025")</f>
        <v/>
      </c>
      <c r="V36">
        <f>HYPERLINK("https://klasma.github.io/Logging_0382/klagomål/A 51154-2025 FSC-klagomål.docx", "A 51154-2025")</f>
        <v/>
      </c>
      <c r="W36">
        <f>HYPERLINK("https://klasma.github.io/Logging_0382/klagomålsmail/A 51154-2025 FSC-klagomål mail.docx", "A 51154-2025")</f>
        <v/>
      </c>
      <c r="X36">
        <f>HYPERLINK("https://klasma.github.io/Logging_0382/tillsyn/A 51154-2025 tillsynsbegäran.docx", "A 51154-2025")</f>
        <v/>
      </c>
      <c r="Y36">
        <f>HYPERLINK("https://klasma.github.io/Logging_0382/tillsynsmail/A 51154-2025 tillsynsbegäran mail.docx", "A 51154-2025")</f>
        <v/>
      </c>
      <c r="Z36">
        <f>HYPERLINK("https://klasma.github.io/Logging_0382/fåglar/A 51154-2025 prioriterade fågelarter.docx", "A 51154-2025")</f>
        <v/>
      </c>
    </row>
    <row r="37" ht="15" customHeight="1">
      <c r="A37" t="inlineStr">
        <is>
          <t>A 26056-2025</t>
        </is>
      </c>
      <c r="B37" s="1" t="n">
        <v>45804.79280092593</v>
      </c>
      <c r="C37" s="1" t="n">
        <v>46091</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15556-2022</t>
        </is>
      </c>
      <c r="B38" s="1" t="n">
        <v>44662</v>
      </c>
      <c r="C38" s="1" t="n">
        <v>46091</v>
      </c>
      <c r="D38" t="inlineStr">
        <is>
          <t>UPPSALA LÄN</t>
        </is>
      </c>
      <c r="E38" t="inlineStr">
        <is>
          <t>ÖSTHAMMAR</t>
        </is>
      </c>
      <c r="G38" t="n">
        <v>9.9</v>
      </c>
      <c r="H38" t="n">
        <v>1</v>
      </c>
      <c r="I38" t="n">
        <v>4</v>
      </c>
      <c r="J38" t="n">
        <v>1</v>
      </c>
      <c r="K38" t="n">
        <v>0</v>
      </c>
      <c r="L38" t="n">
        <v>0</v>
      </c>
      <c r="M38" t="n">
        <v>0</v>
      </c>
      <c r="N38" t="n">
        <v>0</v>
      </c>
      <c r="O38" t="n">
        <v>1</v>
      </c>
      <c r="P38" t="n">
        <v>0</v>
      </c>
      <c r="Q38" t="n">
        <v>5</v>
      </c>
      <c r="R38" s="2" t="inlineStr">
        <is>
          <t>Tallticka
Hasselticka
Skogsknipprot
Svart trolldruva
Tibast</t>
        </is>
      </c>
      <c r="S38">
        <f>HYPERLINK("https://klasma.github.io/Logging_0382/artfynd/A 15556-2022 artfynd.xlsx", "A 15556-2022")</f>
        <v/>
      </c>
      <c r="T38">
        <f>HYPERLINK("https://klasma.github.io/Logging_0382/kartor/A 15556-2022 karta.png", "A 15556-2022")</f>
        <v/>
      </c>
      <c r="V38">
        <f>HYPERLINK("https://klasma.github.io/Logging_0382/klagomål/A 15556-2022 FSC-klagomål.docx", "A 15556-2022")</f>
        <v/>
      </c>
      <c r="W38">
        <f>HYPERLINK("https://klasma.github.io/Logging_0382/klagomålsmail/A 15556-2022 FSC-klagomål mail.docx", "A 15556-2022")</f>
        <v/>
      </c>
      <c r="X38">
        <f>HYPERLINK("https://klasma.github.io/Logging_0382/tillsyn/A 15556-2022 tillsynsbegäran.docx", "A 15556-2022")</f>
        <v/>
      </c>
      <c r="Y38">
        <f>HYPERLINK("https://klasma.github.io/Logging_0382/tillsynsmail/A 15556-2022 tillsynsbegäran mail.docx", "A 15556-2022")</f>
        <v/>
      </c>
    </row>
    <row r="39" ht="15" customHeight="1">
      <c r="A39" t="inlineStr">
        <is>
          <t>A 23498-2023</t>
        </is>
      </c>
      <c r="B39" s="1" t="n">
        <v>45076</v>
      </c>
      <c r="C39" s="1" t="n">
        <v>46091</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43992-2022</t>
        </is>
      </c>
      <c r="B40" s="1" t="n">
        <v>44837</v>
      </c>
      <c r="C40" s="1" t="n">
        <v>46091</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46091</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74364-2021</t>
        </is>
      </c>
      <c r="B42" s="1" t="n">
        <v>44559</v>
      </c>
      <c r="C42" s="1" t="n">
        <v>46091</v>
      </c>
      <c r="D42" t="inlineStr">
        <is>
          <t>UPPSALA LÄN</t>
        </is>
      </c>
      <c r="E42" t="inlineStr">
        <is>
          <t>ÖSTHAMMAR</t>
        </is>
      </c>
      <c r="G42" t="n">
        <v>3.5</v>
      </c>
      <c r="H42" t="n">
        <v>3</v>
      </c>
      <c r="I42" t="n">
        <v>3</v>
      </c>
      <c r="J42" t="n">
        <v>0</v>
      </c>
      <c r="K42" t="n">
        <v>0</v>
      </c>
      <c r="L42" t="n">
        <v>0</v>
      </c>
      <c r="M42" t="n">
        <v>0</v>
      </c>
      <c r="N42" t="n">
        <v>0</v>
      </c>
      <c r="O42" t="n">
        <v>0</v>
      </c>
      <c r="P42" t="n">
        <v>0</v>
      </c>
      <c r="Q42" t="n">
        <v>5</v>
      </c>
      <c r="R42" s="2" t="inlineStr">
        <is>
          <t>Bronshjon
Skogsknipprot
Sårläka
Blåsippa
Lopplummer (aggregat)</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1101-2026</t>
        </is>
      </c>
      <c r="B43" s="1" t="n">
        <v>46030.66722222222</v>
      </c>
      <c r="C43" s="1" t="n">
        <v>46091</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55492-2023</t>
        </is>
      </c>
      <c r="B44" s="1" t="n">
        <v>45238</v>
      </c>
      <c r="C44" s="1" t="n">
        <v>46091</v>
      </c>
      <c r="D44" t="inlineStr">
        <is>
          <t>UPPSALA LÄN</t>
        </is>
      </c>
      <c r="E44" t="inlineStr">
        <is>
          <t>ÖSTHAMMAR</t>
        </is>
      </c>
      <c r="G44" t="n">
        <v>3.1</v>
      </c>
      <c r="H44" t="n">
        <v>4</v>
      </c>
      <c r="I44" t="n">
        <v>2</v>
      </c>
      <c r="J44" t="n">
        <v>0</v>
      </c>
      <c r="K44" t="n">
        <v>2</v>
      </c>
      <c r="L44" t="n">
        <v>0</v>
      </c>
      <c r="M44" t="n">
        <v>0</v>
      </c>
      <c r="N44" t="n">
        <v>0</v>
      </c>
      <c r="O44" t="n">
        <v>2</v>
      </c>
      <c r="P44" t="n">
        <v>2</v>
      </c>
      <c r="Q44" t="n">
        <v>5</v>
      </c>
      <c r="R44" s="2" t="inlineStr">
        <is>
          <t>Knärot
Violgubbe
Skogsknipprot
Tvåblad
Fläcknycklar</t>
        </is>
      </c>
      <c r="S44">
        <f>HYPERLINK("https://klasma.github.io/Logging_0382/artfynd/A 55492-2023 artfynd.xlsx", "A 55492-2023")</f>
        <v/>
      </c>
      <c r="T44">
        <f>HYPERLINK("https://klasma.github.io/Logging_0382/kartor/A 55492-2023 karta.png", "A 55492-2023")</f>
        <v/>
      </c>
      <c r="U44">
        <f>HYPERLINK("https://klasma.github.io/Logging_0382/knärot/A 55492-2023 karta knärot.png", "A 55492-2023")</f>
        <v/>
      </c>
      <c r="V44">
        <f>HYPERLINK("https://klasma.github.io/Logging_0382/klagomål/A 55492-2023 FSC-klagomål.docx", "A 55492-2023")</f>
        <v/>
      </c>
      <c r="W44">
        <f>HYPERLINK("https://klasma.github.io/Logging_0382/klagomålsmail/A 55492-2023 FSC-klagomål mail.docx", "A 55492-2023")</f>
        <v/>
      </c>
      <c r="X44">
        <f>HYPERLINK("https://klasma.github.io/Logging_0382/tillsyn/A 55492-2023 tillsynsbegäran.docx", "A 55492-2023")</f>
        <v/>
      </c>
      <c r="Y44">
        <f>HYPERLINK("https://klasma.github.io/Logging_0382/tillsynsmail/A 55492-2023 tillsynsbegäran mail.docx", "A 55492-2023")</f>
        <v/>
      </c>
    </row>
    <row r="45" ht="15" customHeight="1">
      <c r="A45" t="inlineStr">
        <is>
          <t>A 52808-2022</t>
        </is>
      </c>
      <c r="B45" s="1" t="n">
        <v>44875</v>
      </c>
      <c r="C45" s="1" t="n">
        <v>46091</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46091</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46091</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46091</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54492-2024</t>
        </is>
      </c>
      <c r="B49" s="1" t="n">
        <v>45617</v>
      </c>
      <c r="C49" s="1" t="n">
        <v>46091</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60889-2025</t>
        </is>
      </c>
      <c r="B50" s="1" t="n">
        <v>45999.56931712963</v>
      </c>
      <c r="C50" s="1" t="n">
        <v>46091</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26279-2024</t>
        </is>
      </c>
      <c r="B51" s="1" t="n">
        <v>45468</v>
      </c>
      <c r="C51" s="1" t="n">
        <v>46091</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25044-2025</t>
        </is>
      </c>
      <c r="B52" s="1" t="n">
        <v>45799.66607638889</v>
      </c>
      <c r="C52" s="1" t="n">
        <v>46091</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46091</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46204-2023</t>
        </is>
      </c>
      <c r="B54" s="1" t="n">
        <v>45190</v>
      </c>
      <c r="C54" s="1" t="n">
        <v>46091</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9715-2024</t>
        </is>
      </c>
      <c r="B55" s="1" t="n">
        <v>45362.53928240741</v>
      </c>
      <c r="C55" s="1" t="n">
        <v>46091</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6567-2026</t>
        </is>
      </c>
      <c r="B56" s="1" t="n">
        <v>46056.44011574074</v>
      </c>
      <c r="C56" s="1" t="n">
        <v>46091</v>
      </c>
      <c r="D56" t="inlineStr">
        <is>
          <t>UPPSALA LÄN</t>
        </is>
      </c>
      <c r="E56" t="inlineStr">
        <is>
          <t>ÖSTHAMMAR</t>
        </is>
      </c>
      <c r="G56" t="n">
        <v>1.6</v>
      </c>
      <c r="H56" t="n">
        <v>0</v>
      </c>
      <c r="I56" t="n">
        <v>2</v>
      </c>
      <c r="J56" t="n">
        <v>0</v>
      </c>
      <c r="K56" t="n">
        <v>1</v>
      </c>
      <c r="L56" t="n">
        <v>0</v>
      </c>
      <c r="M56" t="n">
        <v>0</v>
      </c>
      <c r="N56" t="n">
        <v>0</v>
      </c>
      <c r="O56" t="n">
        <v>1</v>
      </c>
      <c r="P56" t="n">
        <v>1</v>
      </c>
      <c r="Q56" t="n">
        <v>3</v>
      </c>
      <c r="R56" s="2" t="inlineStr">
        <is>
          <t>Kopparspindling
Olivspindling
Rödgul trumpetsvamp</t>
        </is>
      </c>
      <c r="S56">
        <f>HYPERLINK("https://klasma.github.io/Logging_0382/artfynd/A 6567-2026 artfynd.xlsx", "A 6567-2026")</f>
        <v/>
      </c>
      <c r="T56">
        <f>HYPERLINK("https://klasma.github.io/Logging_0382/kartor/A 6567-2026 karta.png", "A 6567-2026")</f>
        <v/>
      </c>
      <c r="V56">
        <f>HYPERLINK("https://klasma.github.io/Logging_0382/klagomål/A 6567-2026 FSC-klagomål.docx", "A 6567-2026")</f>
        <v/>
      </c>
      <c r="W56">
        <f>HYPERLINK("https://klasma.github.io/Logging_0382/klagomålsmail/A 6567-2026 FSC-klagomål mail.docx", "A 6567-2026")</f>
        <v/>
      </c>
      <c r="X56">
        <f>HYPERLINK("https://klasma.github.io/Logging_0382/tillsyn/A 6567-2026 tillsynsbegäran.docx", "A 6567-2026")</f>
        <v/>
      </c>
      <c r="Y56">
        <f>HYPERLINK("https://klasma.github.io/Logging_0382/tillsynsmail/A 6567-2026 tillsynsbegäran mail.docx", "A 6567-2026")</f>
        <v/>
      </c>
    </row>
    <row r="57" ht="15" customHeight="1">
      <c r="A57" t="inlineStr">
        <is>
          <t>A 55051-2021</t>
        </is>
      </c>
      <c r="B57" s="1" t="n">
        <v>44474</v>
      </c>
      <c r="C57" s="1" t="n">
        <v>46091</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33035-2021</t>
        </is>
      </c>
      <c r="B58" s="1" t="n">
        <v>44376</v>
      </c>
      <c r="C58" s="1" t="n">
        <v>46091</v>
      </c>
      <c r="D58" t="inlineStr">
        <is>
          <t>UPPSALA LÄN</t>
        </is>
      </c>
      <c r="E58" t="inlineStr">
        <is>
          <t>ÖSTHAMMAR</t>
        </is>
      </c>
      <c r="G58" t="n">
        <v>4.3</v>
      </c>
      <c r="H58" t="n">
        <v>0</v>
      </c>
      <c r="I58" t="n">
        <v>0</v>
      </c>
      <c r="J58" t="n">
        <v>1</v>
      </c>
      <c r="K58" t="n">
        <v>2</v>
      </c>
      <c r="L58" t="n">
        <v>0</v>
      </c>
      <c r="M58" t="n">
        <v>0</v>
      </c>
      <c r="N58" t="n">
        <v>0</v>
      </c>
      <c r="O58" t="n">
        <v>3</v>
      </c>
      <c r="P58" t="n">
        <v>2</v>
      </c>
      <c r="Q58" t="n">
        <v>3</v>
      </c>
      <c r="R58" s="2" t="inlineStr">
        <is>
          <t>Granrotspindling
Gyllenfingersvamp
Dofttaggsvamp</t>
        </is>
      </c>
      <c r="S58">
        <f>HYPERLINK("https://klasma.github.io/Logging_0382/artfynd/A 33035-2021 artfynd.xlsx", "A 33035-2021")</f>
        <v/>
      </c>
      <c r="T58">
        <f>HYPERLINK("https://klasma.github.io/Logging_0382/kartor/A 33035-2021 karta.png", "A 33035-2021")</f>
        <v/>
      </c>
      <c r="V58">
        <f>HYPERLINK("https://klasma.github.io/Logging_0382/klagomål/A 33035-2021 FSC-klagomål.docx", "A 33035-2021")</f>
        <v/>
      </c>
      <c r="W58">
        <f>HYPERLINK("https://klasma.github.io/Logging_0382/klagomålsmail/A 33035-2021 FSC-klagomål mail.docx", "A 33035-2021")</f>
        <v/>
      </c>
      <c r="X58">
        <f>HYPERLINK("https://klasma.github.io/Logging_0382/tillsyn/A 33035-2021 tillsynsbegäran.docx", "A 33035-2021")</f>
        <v/>
      </c>
      <c r="Y58">
        <f>HYPERLINK("https://klasma.github.io/Logging_0382/tillsynsmail/A 33035-2021 tillsynsbegäran mail.docx", "A 33035-2021")</f>
        <v/>
      </c>
    </row>
    <row r="59" ht="15" customHeight="1">
      <c r="A59" t="inlineStr">
        <is>
          <t>A 26557-2022</t>
        </is>
      </c>
      <c r="B59" s="1" t="n">
        <v>44739</v>
      </c>
      <c r="C59" s="1" t="n">
        <v>46091</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9683-2023</t>
        </is>
      </c>
      <c r="B60" s="1" t="n">
        <v>44984.43856481482</v>
      </c>
      <c r="C60" s="1" t="n">
        <v>46091</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60078-2021</t>
        </is>
      </c>
      <c r="B61" s="1" t="n">
        <v>44495</v>
      </c>
      <c r="C61" s="1" t="n">
        <v>46091</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46091</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46091</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46091</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46091</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41303-2025</t>
        </is>
      </c>
      <c r="B66" s="1" t="n">
        <v>45898.69215277778</v>
      </c>
      <c r="C66" s="1" t="n">
        <v>46091</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2916-2025</t>
        </is>
      </c>
      <c r="B67" s="1" t="n">
        <v>45677</v>
      </c>
      <c r="C67" s="1" t="n">
        <v>46091</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33269-2025</t>
        </is>
      </c>
      <c r="B68" s="1" t="n">
        <v>45840.68208333333</v>
      </c>
      <c r="C68" s="1" t="n">
        <v>46091</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56669-2025</t>
        </is>
      </c>
      <c r="B69" s="1" t="n">
        <v>45975.69306712963</v>
      </c>
      <c r="C69" s="1" t="n">
        <v>46091</v>
      </c>
      <c r="D69" t="inlineStr">
        <is>
          <t>UPPSALA LÄN</t>
        </is>
      </c>
      <c r="E69" t="inlineStr">
        <is>
          <t>ÖSTHAMMAR</t>
        </is>
      </c>
      <c r="G69" t="n">
        <v>2.1</v>
      </c>
      <c r="H69" t="n">
        <v>0</v>
      </c>
      <c r="I69" t="n">
        <v>2</v>
      </c>
      <c r="J69" t="n">
        <v>0</v>
      </c>
      <c r="K69" t="n">
        <v>0</v>
      </c>
      <c r="L69" t="n">
        <v>0</v>
      </c>
      <c r="M69" t="n">
        <v>0</v>
      </c>
      <c r="N69" t="n">
        <v>0</v>
      </c>
      <c r="O69" t="n">
        <v>0</v>
      </c>
      <c r="P69" t="n">
        <v>0</v>
      </c>
      <c r="Q69" t="n">
        <v>2</v>
      </c>
      <c r="R69" s="2" t="inlineStr">
        <is>
          <t>Anisspindling
Svavelriska</t>
        </is>
      </c>
      <c r="S69">
        <f>HYPERLINK("https://klasma.github.io/Logging_0382/artfynd/A 56669-2025 artfynd.xlsx", "A 56669-2025")</f>
        <v/>
      </c>
      <c r="T69">
        <f>HYPERLINK("https://klasma.github.io/Logging_0382/kartor/A 56669-2025 karta.png", "A 56669-2025")</f>
        <v/>
      </c>
      <c r="V69">
        <f>HYPERLINK("https://klasma.github.io/Logging_0382/klagomål/A 56669-2025 FSC-klagomål.docx", "A 56669-2025")</f>
        <v/>
      </c>
      <c r="W69">
        <f>HYPERLINK("https://klasma.github.io/Logging_0382/klagomålsmail/A 56669-2025 FSC-klagomål mail.docx", "A 56669-2025")</f>
        <v/>
      </c>
      <c r="X69">
        <f>HYPERLINK("https://klasma.github.io/Logging_0382/tillsyn/A 56669-2025 tillsynsbegäran.docx", "A 56669-2025")</f>
        <v/>
      </c>
      <c r="Y69">
        <f>HYPERLINK("https://klasma.github.io/Logging_0382/tillsynsmail/A 56669-2025 tillsynsbegäran mail.docx", "A 56669-2025")</f>
        <v/>
      </c>
    </row>
    <row r="70" ht="15" customHeight="1">
      <c r="A70" t="inlineStr">
        <is>
          <t>A 37768-2025</t>
        </is>
      </c>
      <c r="B70" s="1" t="n">
        <v>45880</v>
      </c>
      <c r="C70" s="1" t="n">
        <v>46091</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9646-2024</t>
        </is>
      </c>
      <c r="B71" s="1" t="n">
        <v>45362.37055555556</v>
      </c>
      <c r="C71" s="1" t="n">
        <v>46091</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60898-2025</t>
        </is>
      </c>
      <c r="B72" s="1" t="n">
        <v>45999.58256944444</v>
      </c>
      <c r="C72" s="1" t="n">
        <v>46091</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61400-2025</t>
        </is>
      </c>
      <c r="B73" s="1" t="n">
        <v>46001.47858796296</v>
      </c>
      <c r="C73" s="1" t="n">
        <v>46091</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73981-2021</t>
        </is>
      </c>
      <c r="B74" s="1" t="n">
        <v>44555</v>
      </c>
      <c r="C74" s="1" t="n">
        <v>46091</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13287-2022</t>
        </is>
      </c>
      <c r="B75" s="1" t="n">
        <v>44644</v>
      </c>
      <c r="C75" s="1" t="n">
        <v>46091</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44729.44149305556</v>
      </c>
      <c r="C76" s="1" t="n">
        <v>46091</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46091</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46091</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46091</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46091</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46091</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46091</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46091</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46091</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46091</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14203-2024</t>
        </is>
      </c>
      <c r="B86" s="1" t="n">
        <v>45393</v>
      </c>
      <c r="C86" s="1" t="n">
        <v>46091</v>
      </c>
      <c r="D86" t="inlineStr">
        <is>
          <t>UPPSALA LÄN</t>
        </is>
      </c>
      <c r="E86" t="inlineStr">
        <is>
          <t>ÖSTHAMMAR</t>
        </is>
      </c>
      <c r="G86" t="n">
        <v>1.4</v>
      </c>
      <c r="H86" t="n">
        <v>0</v>
      </c>
      <c r="I86" t="n">
        <v>0</v>
      </c>
      <c r="J86" t="n">
        <v>1</v>
      </c>
      <c r="K86" t="n">
        <v>0</v>
      </c>
      <c r="L86" t="n">
        <v>0</v>
      </c>
      <c r="M86" t="n">
        <v>0</v>
      </c>
      <c r="N86" t="n">
        <v>0</v>
      </c>
      <c r="O86" t="n">
        <v>1</v>
      </c>
      <c r="P86" t="n">
        <v>0</v>
      </c>
      <c r="Q86" t="n">
        <v>1</v>
      </c>
      <c r="R86" s="2" t="inlineStr">
        <is>
          <t>Scharlakansvaxing</t>
        </is>
      </c>
      <c r="S86">
        <f>HYPERLINK("https://klasma.github.io/Logging_0382/artfynd/A 14203-2024 artfynd.xlsx", "A 14203-2024")</f>
        <v/>
      </c>
      <c r="T86">
        <f>HYPERLINK("https://klasma.github.io/Logging_0382/kartor/A 14203-2024 karta.png", "A 14203-2024")</f>
        <v/>
      </c>
      <c r="V86">
        <f>HYPERLINK("https://klasma.github.io/Logging_0382/klagomål/A 14203-2024 FSC-klagomål.docx", "A 14203-2024")</f>
        <v/>
      </c>
      <c r="W86">
        <f>HYPERLINK("https://klasma.github.io/Logging_0382/klagomålsmail/A 14203-2024 FSC-klagomål mail.docx", "A 14203-2024")</f>
        <v/>
      </c>
      <c r="X86">
        <f>HYPERLINK("https://klasma.github.io/Logging_0382/tillsyn/A 14203-2024 tillsynsbegäran.docx", "A 14203-2024")</f>
        <v/>
      </c>
      <c r="Y86">
        <f>HYPERLINK("https://klasma.github.io/Logging_0382/tillsynsmail/A 14203-2024 tillsynsbegäran mail.docx", "A 14203-2024")</f>
        <v/>
      </c>
    </row>
    <row r="87" ht="15" customHeight="1">
      <c r="A87" t="inlineStr">
        <is>
          <t>A 11017-2023</t>
        </is>
      </c>
      <c r="B87" s="1" t="n">
        <v>44991</v>
      </c>
      <c r="C87" s="1" t="n">
        <v>46091</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63615-2021</t>
        </is>
      </c>
      <c r="B88" s="1" t="n">
        <v>44509</v>
      </c>
      <c r="C88" s="1" t="n">
        <v>46091</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41220-2025</t>
        </is>
      </c>
      <c r="B89" s="1" t="n">
        <v>45898.58630787037</v>
      </c>
      <c r="C89" s="1" t="n">
        <v>46091</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52818-2022</t>
        </is>
      </c>
      <c r="B90" s="1" t="n">
        <v>44875</v>
      </c>
      <c r="C90" s="1" t="n">
        <v>46091</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70495-2021</t>
        </is>
      </c>
      <c r="B91" s="1" t="n">
        <v>44536</v>
      </c>
      <c r="C91" s="1" t="n">
        <v>46091</v>
      </c>
      <c r="D91" t="inlineStr">
        <is>
          <t>UPPSALA LÄN</t>
        </is>
      </c>
      <c r="E91" t="inlineStr">
        <is>
          <t>ÖSTHAMMAR</t>
        </is>
      </c>
      <c r="G91" t="n">
        <v>1</v>
      </c>
      <c r="H91" t="n">
        <v>1</v>
      </c>
      <c r="I91" t="n">
        <v>0</v>
      </c>
      <c r="J91" t="n">
        <v>1</v>
      </c>
      <c r="K91" t="n">
        <v>0</v>
      </c>
      <c r="L91" t="n">
        <v>0</v>
      </c>
      <c r="M91" t="n">
        <v>0</v>
      </c>
      <c r="N91" t="n">
        <v>0</v>
      </c>
      <c r="O91" t="n">
        <v>1</v>
      </c>
      <c r="P91" t="n">
        <v>0</v>
      </c>
      <c r="Q91" t="n">
        <v>1</v>
      </c>
      <c r="R91" s="2" t="inlineStr">
        <is>
          <t>Slaguggla</t>
        </is>
      </c>
      <c r="S91">
        <f>HYPERLINK("https://klasma.github.io/Logging_0382/artfynd/A 70495-2021 artfynd.xlsx", "A 70495-2021")</f>
        <v/>
      </c>
      <c r="T91">
        <f>HYPERLINK("https://klasma.github.io/Logging_0382/kartor/A 70495-2021 karta.png", "A 70495-2021")</f>
        <v/>
      </c>
      <c r="V91">
        <f>HYPERLINK("https://klasma.github.io/Logging_0382/klagomål/A 70495-2021 FSC-klagomål.docx", "A 70495-2021")</f>
        <v/>
      </c>
      <c r="W91">
        <f>HYPERLINK("https://klasma.github.io/Logging_0382/klagomålsmail/A 70495-2021 FSC-klagomål mail.docx", "A 70495-2021")</f>
        <v/>
      </c>
      <c r="X91">
        <f>HYPERLINK("https://klasma.github.io/Logging_0382/tillsyn/A 70495-2021 tillsynsbegäran.docx", "A 70495-2021")</f>
        <v/>
      </c>
      <c r="Y91">
        <f>HYPERLINK("https://klasma.github.io/Logging_0382/tillsynsmail/A 70495-2021 tillsynsbegäran mail.docx", "A 70495-2021")</f>
        <v/>
      </c>
      <c r="Z91">
        <f>HYPERLINK("https://klasma.github.io/Logging_0382/fåglar/A 70495-2021 prioriterade fågelarter.docx", "A 70495-2021")</f>
        <v/>
      </c>
    </row>
    <row r="92" ht="15" customHeight="1">
      <c r="A92" t="inlineStr">
        <is>
          <t>A 52879-2025</t>
        </is>
      </c>
      <c r="B92" s="1" t="n">
        <v>45957.544375</v>
      </c>
      <c r="C92" s="1" t="n">
        <v>46091</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10034-2023</t>
        </is>
      </c>
      <c r="B93" s="1" t="n">
        <v>44985</v>
      </c>
      <c r="C93" s="1" t="n">
        <v>46091</v>
      </c>
      <c r="D93" t="inlineStr">
        <is>
          <t>UPPSALA LÄN</t>
        </is>
      </c>
      <c r="E93" t="inlineStr">
        <is>
          <t>ÖSTHAMMAR</t>
        </is>
      </c>
      <c r="G93" t="n">
        <v>2.1</v>
      </c>
      <c r="H93" t="n">
        <v>1</v>
      </c>
      <c r="I93" t="n">
        <v>0</v>
      </c>
      <c r="J93" t="n">
        <v>0</v>
      </c>
      <c r="K93" t="n">
        <v>0</v>
      </c>
      <c r="L93" t="n">
        <v>0</v>
      </c>
      <c r="M93" t="n">
        <v>0</v>
      </c>
      <c r="N93" t="n">
        <v>0</v>
      </c>
      <c r="O93" t="n">
        <v>0</v>
      </c>
      <c r="P93" t="n">
        <v>0</v>
      </c>
      <c r="Q93" t="n">
        <v>1</v>
      </c>
      <c r="R93" s="2" t="inlineStr">
        <is>
          <t>Blåsippa</t>
        </is>
      </c>
      <c r="S93">
        <f>HYPERLINK("https://klasma.github.io/Logging_0382/artfynd/A 10034-2023 artfynd.xlsx", "A 10034-2023")</f>
        <v/>
      </c>
      <c r="T93">
        <f>HYPERLINK("https://klasma.github.io/Logging_0382/kartor/A 10034-2023 karta.png", "A 10034-2023")</f>
        <v/>
      </c>
      <c r="V93">
        <f>HYPERLINK("https://klasma.github.io/Logging_0382/klagomål/A 10034-2023 FSC-klagomål.docx", "A 10034-2023")</f>
        <v/>
      </c>
      <c r="W93">
        <f>HYPERLINK("https://klasma.github.io/Logging_0382/klagomålsmail/A 10034-2023 FSC-klagomål mail.docx", "A 10034-2023")</f>
        <v/>
      </c>
      <c r="X93">
        <f>HYPERLINK("https://klasma.github.io/Logging_0382/tillsyn/A 10034-2023 tillsynsbegäran.docx", "A 10034-2023")</f>
        <v/>
      </c>
      <c r="Y93">
        <f>HYPERLINK("https://klasma.github.io/Logging_0382/tillsynsmail/A 10034-2023 tillsynsbegäran mail.docx", "A 10034-2023")</f>
        <v/>
      </c>
    </row>
    <row r="94" ht="15" customHeight="1">
      <c r="A94" t="inlineStr">
        <is>
          <t>A 46629-2024</t>
        </is>
      </c>
      <c r="B94" s="1" t="n">
        <v>45583.33221064815</v>
      </c>
      <c r="C94" s="1" t="n">
        <v>46091</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30605-2025</t>
        </is>
      </c>
      <c r="B95" s="1" t="n">
        <v>45831.45510416666</v>
      </c>
      <c r="C95" s="1" t="n">
        <v>46091</v>
      </c>
      <c r="D95" t="inlineStr">
        <is>
          <t>UPPSALA LÄN</t>
        </is>
      </c>
      <c r="E95" t="inlineStr">
        <is>
          <t>ÖSTHAMMAR</t>
        </is>
      </c>
      <c r="G95" t="n">
        <v>1.7</v>
      </c>
      <c r="H95" t="n">
        <v>0</v>
      </c>
      <c r="I95" t="n">
        <v>0</v>
      </c>
      <c r="J95" t="n">
        <v>0</v>
      </c>
      <c r="K95" t="n">
        <v>1</v>
      </c>
      <c r="L95" t="n">
        <v>0</v>
      </c>
      <c r="M95" t="n">
        <v>0</v>
      </c>
      <c r="N95" t="n">
        <v>0</v>
      </c>
      <c r="O95" t="n">
        <v>1</v>
      </c>
      <c r="P95" t="n">
        <v>1</v>
      </c>
      <c r="Q95" t="n">
        <v>1</v>
      </c>
      <c r="R95" s="2" t="inlineStr">
        <is>
          <t>Plattsäv</t>
        </is>
      </c>
      <c r="S95">
        <f>HYPERLINK("https://klasma.github.io/Logging_0382/artfynd/A 30605-2025 artfynd.xlsx", "A 30605-2025")</f>
        <v/>
      </c>
      <c r="T95">
        <f>HYPERLINK("https://klasma.github.io/Logging_0382/kartor/A 30605-2025 karta.png", "A 30605-2025")</f>
        <v/>
      </c>
      <c r="V95">
        <f>HYPERLINK("https://klasma.github.io/Logging_0382/klagomål/A 30605-2025 FSC-klagomål.docx", "A 30605-2025")</f>
        <v/>
      </c>
      <c r="W95">
        <f>HYPERLINK("https://klasma.github.io/Logging_0382/klagomålsmail/A 30605-2025 FSC-klagomål mail.docx", "A 30605-2025")</f>
        <v/>
      </c>
      <c r="X95">
        <f>HYPERLINK("https://klasma.github.io/Logging_0382/tillsyn/A 30605-2025 tillsynsbegäran.docx", "A 30605-2025")</f>
        <v/>
      </c>
      <c r="Y95">
        <f>HYPERLINK("https://klasma.github.io/Logging_0382/tillsynsmail/A 30605-2025 tillsynsbegäran mail.docx", "A 30605-2025")</f>
        <v/>
      </c>
    </row>
    <row r="96" ht="15" customHeight="1">
      <c r="A96" t="inlineStr">
        <is>
          <t>A 25179-2023</t>
        </is>
      </c>
      <c r="B96" s="1" t="n">
        <v>45078</v>
      </c>
      <c r="C96" s="1" t="n">
        <v>46091</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22209-2022</t>
        </is>
      </c>
      <c r="B97" s="1" t="n">
        <v>44712</v>
      </c>
      <c r="C97" s="1" t="n">
        <v>46091</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22287-2023</t>
        </is>
      </c>
      <c r="B98" s="1" t="n">
        <v>45070</v>
      </c>
      <c r="C98" s="1" t="n">
        <v>46091</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46091</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46091</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49839-2021</t>
        </is>
      </c>
      <c r="B101" s="1" t="n">
        <v>44455</v>
      </c>
      <c r="C101" s="1" t="n">
        <v>46091</v>
      </c>
      <c r="D101" t="inlineStr">
        <is>
          <t>UPPSALA LÄN</t>
        </is>
      </c>
      <c r="E101" t="inlineStr">
        <is>
          <t>ÖSTHAMMAR</t>
        </is>
      </c>
      <c r="G101" t="n">
        <v>3.6</v>
      </c>
      <c r="H101" t="n">
        <v>0</v>
      </c>
      <c r="I101" t="n">
        <v>0</v>
      </c>
      <c r="J101" t="n">
        <v>0</v>
      </c>
      <c r="K101" t="n">
        <v>1</v>
      </c>
      <c r="L101" t="n">
        <v>0</v>
      </c>
      <c r="M101" t="n">
        <v>0</v>
      </c>
      <c r="N101" t="n">
        <v>0</v>
      </c>
      <c r="O101" t="n">
        <v>1</v>
      </c>
      <c r="P101" t="n">
        <v>1</v>
      </c>
      <c r="Q101" t="n">
        <v>1</v>
      </c>
      <c r="R101" s="2" t="inlineStr">
        <is>
          <t>Violgubbe</t>
        </is>
      </c>
      <c r="S101">
        <f>HYPERLINK("https://klasma.github.io/Logging_0382/artfynd/A 49839-2021 artfynd.xlsx", "A 49839-2021")</f>
        <v/>
      </c>
      <c r="T101">
        <f>HYPERLINK("https://klasma.github.io/Logging_0382/kartor/A 49839-2021 karta.png", "A 49839-2021")</f>
        <v/>
      </c>
      <c r="V101">
        <f>HYPERLINK("https://klasma.github.io/Logging_0382/klagomål/A 49839-2021 FSC-klagomål.docx", "A 49839-2021")</f>
        <v/>
      </c>
      <c r="W101">
        <f>HYPERLINK("https://klasma.github.io/Logging_0382/klagomålsmail/A 49839-2021 FSC-klagomål mail.docx", "A 49839-2021")</f>
        <v/>
      </c>
      <c r="X101">
        <f>HYPERLINK("https://klasma.github.io/Logging_0382/tillsyn/A 49839-2021 tillsynsbegäran.docx", "A 49839-2021")</f>
        <v/>
      </c>
      <c r="Y101">
        <f>HYPERLINK("https://klasma.github.io/Logging_0382/tillsynsmail/A 49839-2021 tillsynsbegäran mail.docx", "A 49839-2021")</f>
        <v/>
      </c>
    </row>
    <row r="102" ht="15" customHeight="1">
      <c r="A102" t="inlineStr">
        <is>
          <t>A 22375-2024</t>
        </is>
      </c>
      <c r="B102" s="1" t="n">
        <v>45446</v>
      </c>
      <c r="C102" s="1" t="n">
        <v>46091</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61410-2025</t>
        </is>
      </c>
      <c r="B103" s="1" t="n">
        <v>46001.51974537037</v>
      </c>
      <c r="C103" s="1" t="n">
        <v>46091</v>
      </c>
      <c r="D103" t="inlineStr">
        <is>
          <t>UPPSALA LÄN</t>
        </is>
      </c>
      <c r="E103" t="inlineStr">
        <is>
          <t>ÖSTHAMMAR</t>
        </is>
      </c>
      <c r="G103" t="n">
        <v>3.5</v>
      </c>
      <c r="H103" t="n">
        <v>0</v>
      </c>
      <c r="I103" t="n">
        <v>1</v>
      </c>
      <c r="J103" t="n">
        <v>0</v>
      </c>
      <c r="K103" t="n">
        <v>0</v>
      </c>
      <c r="L103" t="n">
        <v>0</v>
      </c>
      <c r="M103" t="n">
        <v>0</v>
      </c>
      <c r="N103" t="n">
        <v>0</v>
      </c>
      <c r="O103" t="n">
        <v>0</v>
      </c>
      <c r="P103" t="n">
        <v>0</v>
      </c>
      <c r="Q103" t="n">
        <v>1</v>
      </c>
      <c r="R103" s="2" t="inlineStr">
        <is>
          <t>Trådticka</t>
        </is>
      </c>
      <c r="S103">
        <f>HYPERLINK("https://klasma.github.io/Logging_0382/artfynd/A 61410-2025 artfynd.xlsx", "A 61410-2025")</f>
        <v/>
      </c>
      <c r="T103">
        <f>HYPERLINK("https://klasma.github.io/Logging_0382/kartor/A 61410-2025 karta.png", "A 61410-2025")</f>
        <v/>
      </c>
      <c r="V103">
        <f>HYPERLINK("https://klasma.github.io/Logging_0382/klagomål/A 61410-2025 FSC-klagomål.docx", "A 61410-2025")</f>
        <v/>
      </c>
      <c r="W103">
        <f>HYPERLINK("https://klasma.github.io/Logging_0382/klagomålsmail/A 61410-2025 FSC-klagomål mail.docx", "A 61410-2025")</f>
        <v/>
      </c>
      <c r="X103">
        <f>HYPERLINK("https://klasma.github.io/Logging_0382/tillsyn/A 61410-2025 tillsynsbegäran.docx", "A 61410-2025")</f>
        <v/>
      </c>
      <c r="Y103">
        <f>HYPERLINK("https://klasma.github.io/Logging_0382/tillsynsmail/A 61410-2025 tillsynsbegäran mail.docx", "A 61410-2025")</f>
        <v/>
      </c>
    </row>
    <row r="104" ht="15" customHeight="1">
      <c r="A104" t="inlineStr">
        <is>
          <t>A 61574-2025</t>
        </is>
      </c>
      <c r="B104" s="1" t="n">
        <v>46002</v>
      </c>
      <c r="C104" s="1" t="n">
        <v>46091</v>
      </c>
      <c r="D104" t="inlineStr">
        <is>
          <t>UPPSALA LÄN</t>
        </is>
      </c>
      <c r="E104" t="inlineStr">
        <is>
          <t>ÖSTHAMMAR</t>
        </is>
      </c>
      <c r="F104" t="inlineStr">
        <is>
          <t>Övriga Aktiebolag</t>
        </is>
      </c>
      <c r="G104" t="n">
        <v>16.6</v>
      </c>
      <c r="H104" t="n">
        <v>1</v>
      </c>
      <c r="I104" t="n">
        <v>0</v>
      </c>
      <c r="J104" t="n">
        <v>0</v>
      </c>
      <c r="K104" t="n">
        <v>1</v>
      </c>
      <c r="L104" t="n">
        <v>0</v>
      </c>
      <c r="M104" t="n">
        <v>0</v>
      </c>
      <c r="N104" t="n">
        <v>0</v>
      </c>
      <c r="O104" t="n">
        <v>1</v>
      </c>
      <c r="P104" t="n">
        <v>1</v>
      </c>
      <c r="Q104" t="n">
        <v>1</v>
      </c>
      <c r="R104" s="2" t="inlineStr">
        <is>
          <t>Hällebräcka</t>
        </is>
      </c>
      <c r="S104">
        <f>HYPERLINK("https://klasma.github.io/Logging_0382/artfynd/A 61574-2025 artfynd.xlsx", "A 61574-2025")</f>
        <v/>
      </c>
      <c r="T104">
        <f>HYPERLINK("https://klasma.github.io/Logging_0382/kartor/A 61574-2025 karta.png", "A 61574-2025")</f>
        <v/>
      </c>
      <c r="V104">
        <f>HYPERLINK("https://klasma.github.io/Logging_0382/klagomål/A 61574-2025 FSC-klagomål.docx", "A 61574-2025")</f>
        <v/>
      </c>
      <c r="W104">
        <f>HYPERLINK("https://klasma.github.io/Logging_0382/klagomålsmail/A 61574-2025 FSC-klagomål mail.docx", "A 61574-2025")</f>
        <v/>
      </c>
      <c r="X104">
        <f>HYPERLINK("https://klasma.github.io/Logging_0382/tillsyn/A 61574-2025 tillsynsbegäran.docx", "A 61574-2025")</f>
        <v/>
      </c>
      <c r="Y104">
        <f>HYPERLINK("https://klasma.github.io/Logging_0382/tillsynsmail/A 61574-2025 tillsynsbegäran mail.docx", "A 61574-2025")</f>
        <v/>
      </c>
    </row>
    <row r="105" ht="15" customHeight="1">
      <c r="A105" t="inlineStr">
        <is>
          <t>A 6507-2026</t>
        </is>
      </c>
      <c r="B105" s="1" t="n">
        <v>46056.38474537037</v>
      </c>
      <c r="C105" s="1" t="n">
        <v>46091</v>
      </c>
      <c r="D105" t="inlineStr">
        <is>
          <t>UPPSALA LÄN</t>
        </is>
      </c>
      <c r="E105" t="inlineStr">
        <is>
          <t>ÖSTHAMMAR</t>
        </is>
      </c>
      <c r="F105" t="inlineStr">
        <is>
          <t>Bergvik skog öst AB</t>
        </is>
      </c>
      <c r="G105" t="n">
        <v>1.5</v>
      </c>
      <c r="H105" t="n">
        <v>0</v>
      </c>
      <c r="I105" t="n">
        <v>1</v>
      </c>
      <c r="J105" t="n">
        <v>0</v>
      </c>
      <c r="K105" t="n">
        <v>0</v>
      </c>
      <c r="L105" t="n">
        <v>0</v>
      </c>
      <c r="M105" t="n">
        <v>0</v>
      </c>
      <c r="N105" t="n">
        <v>0</v>
      </c>
      <c r="O105" t="n">
        <v>0</v>
      </c>
      <c r="P105" t="n">
        <v>0</v>
      </c>
      <c r="Q105" t="n">
        <v>1</v>
      </c>
      <c r="R105" s="2" t="inlineStr">
        <is>
          <t>Tibast</t>
        </is>
      </c>
      <c r="S105">
        <f>HYPERLINK("https://klasma.github.io/Logging_0382/artfynd/A 6507-2026 artfynd.xlsx", "A 6507-2026")</f>
        <v/>
      </c>
      <c r="T105">
        <f>HYPERLINK("https://klasma.github.io/Logging_0382/kartor/A 6507-2026 karta.png", "A 6507-2026")</f>
        <v/>
      </c>
      <c r="V105">
        <f>HYPERLINK("https://klasma.github.io/Logging_0382/klagomål/A 6507-2026 FSC-klagomål.docx", "A 6507-2026")</f>
        <v/>
      </c>
      <c r="W105">
        <f>HYPERLINK("https://klasma.github.io/Logging_0382/klagomålsmail/A 6507-2026 FSC-klagomål mail.docx", "A 6507-2026")</f>
        <v/>
      </c>
      <c r="X105">
        <f>HYPERLINK("https://klasma.github.io/Logging_0382/tillsyn/A 6507-2026 tillsynsbegäran.docx", "A 6507-2026")</f>
        <v/>
      </c>
      <c r="Y105">
        <f>HYPERLINK("https://klasma.github.io/Logging_0382/tillsynsmail/A 6507-2026 tillsynsbegäran mail.docx", "A 6507-2026")</f>
        <v/>
      </c>
    </row>
    <row r="106" ht="15" customHeight="1">
      <c r="A106" t="inlineStr">
        <is>
          <t>A 37296-2023</t>
        </is>
      </c>
      <c r="B106" s="1" t="n">
        <v>45156</v>
      </c>
      <c r="C106" s="1" t="n">
        <v>46091</v>
      </c>
      <c r="D106" t="inlineStr">
        <is>
          <t>UPPSALA LÄN</t>
        </is>
      </c>
      <c r="E106" t="inlineStr">
        <is>
          <t>ÖSTHAMMAR</t>
        </is>
      </c>
      <c r="G106" t="n">
        <v>4.7</v>
      </c>
      <c r="H106" t="n">
        <v>1</v>
      </c>
      <c r="I106" t="n">
        <v>0</v>
      </c>
      <c r="J106" t="n">
        <v>0</v>
      </c>
      <c r="K106" t="n">
        <v>1</v>
      </c>
      <c r="L106" t="n">
        <v>0</v>
      </c>
      <c r="M106" t="n">
        <v>0</v>
      </c>
      <c r="N106" t="n">
        <v>0</v>
      </c>
      <c r="O106" t="n">
        <v>1</v>
      </c>
      <c r="P106" t="n">
        <v>1</v>
      </c>
      <c r="Q106" t="n">
        <v>1</v>
      </c>
      <c r="R106" s="2" t="inlineStr">
        <is>
          <t>Backsippa</t>
        </is>
      </c>
      <c r="S106">
        <f>HYPERLINK("https://klasma.github.io/Logging_0382/artfynd/A 37296-2023 artfynd.xlsx", "A 37296-2023")</f>
        <v/>
      </c>
      <c r="T106">
        <f>HYPERLINK("https://klasma.github.io/Logging_0382/kartor/A 37296-2023 karta.png", "A 37296-2023")</f>
        <v/>
      </c>
      <c r="V106">
        <f>HYPERLINK("https://klasma.github.io/Logging_0382/klagomål/A 37296-2023 FSC-klagomål.docx", "A 37296-2023")</f>
        <v/>
      </c>
      <c r="W106">
        <f>HYPERLINK("https://klasma.github.io/Logging_0382/klagomålsmail/A 37296-2023 FSC-klagomål mail.docx", "A 37296-2023")</f>
        <v/>
      </c>
      <c r="X106">
        <f>HYPERLINK("https://klasma.github.io/Logging_0382/tillsyn/A 37296-2023 tillsynsbegäran.docx", "A 37296-2023")</f>
        <v/>
      </c>
      <c r="Y106">
        <f>HYPERLINK("https://klasma.github.io/Logging_0382/tillsynsmail/A 37296-2023 tillsynsbegäran mail.docx", "A 37296-2023")</f>
        <v/>
      </c>
    </row>
    <row r="107" ht="15" customHeight="1">
      <c r="A107" t="inlineStr">
        <is>
          <t>A 65989-2021</t>
        </is>
      </c>
      <c r="B107" s="1" t="n">
        <v>44517</v>
      </c>
      <c r="C107" s="1" t="n">
        <v>46091</v>
      </c>
      <c r="D107" t="inlineStr">
        <is>
          <t>UPPSALA LÄN</t>
        </is>
      </c>
      <c r="E107" t="inlineStr">
        <is>
          <t>ÖSTHAMMAR</t>
        </is>
      </c>
      <c r="G107" t="n">
        <v>6.9</v>
      </c>
      <c r="H107" t="n">
        <v>1</v>
      </c>
      <c r="I107" t="n">
        <v>1</v>
      </c>
      <c r="J107" t="n">
        <v>0</v>
      </c>
      <c r="K107" t="n">
        <v>0</v>
      </c>
      <c r="L107" t="n">
        <v>0</v>
      </c>
      <c r="M107" t="n">
        <v>0</v>
      </c>
      <c r="N107" t="n">
        <v>0</v>
      </c>
      <c r="O107" t="n">
        <v>0</v>
      </c>
      <c r="P107" t="n">
        <v>0</v>
      </c>
      <c r="Q107" t="n">
        <v>1</v>
      </c>
      <c r="R107" s="2" t="inlineStr">
        <is>
          <t>Skogsknipprot</t>
        </is>
      </c>
      <c r="S107">
        <f>HYPERLINK("https://klasma.github.io/Logging_0382/artfynd/A 65989-2021 artfynd.xlsx", "A 65989-2021")</f>
        <v/>
      </c>
      <c r="T107">
        <f>HYPERLINK("https://klasma.github.io/Logging_0382/kartor/A 65989-2021 karta.png", "A 65989-2021")</f>
        <v/>
      </c>
      <c r="V107">
        <f>HYPERLINK("https://klasma.github.io/Logging_0382/klagomål/A 65989-2021 FSC-klagomål.docx", "A 65989-2021")</f>
        <v/>
      </c>
      <c r="W107">
        <f>HYPERLINK("https://klasma.github.io/Logging_0382/klagomålsmail/A 65989-2021 FSC-klagomål mail.docx", "A 65989-2021")</f>
        <v/>
      </c>
      <c r="X107">
        <f>HYPERLINK("https://klasma.github.io/Logging_0382/tillsyn/A 65989-2021 tillsynsbegäran.docx", "A 65989-2021")</f>
        <v/>
      </c>
      <c r="Y107">
        <f>HYPERLINK("https://klasma.github.io/Logging_0382/tillsynsmail/A 65989-2021 tillsynsbegäran mail.docx", "A 65989-2021")</f>
        <v/>
      </c>
    </row>
    <row r="108" ht="15" customHeight="1">
      <c r="A108" t="inlineStr">
        <is>
          <t>A 7446-2022</t>
        </is>
      </c>
      <c r="B108" s="1" t="n">
        <v>44606</v>
      </c>
      <c r="C108" s="1" t="n">
        <v>46091</v>
      </c>
      <c r="D108" t="inlineStr">
        <is>
          <t>UPPSALA LÄN</t>
        </is>
      </c>
      <c r="E108" t="inlineStr">
        <is>
          <t>ÖSTHAMMAR</t>
        </is>
      </c>
      <c r="G108" t="n">
        <v>5</v>
      </c>
      <c r="H108" t="n">
        <v>1</v>
      </c>
      <c r="I108" t="n">
        <v>0</v>
      </c>
      <c r="J108" t="n">
        <v>0</v>
      </c>
      <c r="K108" t="n">
        <v>0</v>
      </c>
      <c r="L108" t="n">
        <v>0</v>
      </c>
      <c r="M108" t="n">
        <v>0</v>
      </c>
      <c r="N108" t="n">
        <v>0</v>
      </c>
      <c r="O108" t="n">
        <v>0</v>
      </c>
      <c r="P108" t="n">
        <v>0</v>
      </c>
      <c r="Q108" t="n">
        <v>1</v>
      </c>
      <c r="R108" s="2" t="inlineStr">
        <is>
          <t>Mattlummer</t>
        </is>
      </c>
      <c r="S108">
        <f>HYPERLINK("https://klasma.github.io/Logging_0382/artfynd/A 7446-2022 artfynd.xlsx", "A 7446-2022")</f>
        <v/>
      </c>
      <c r="T108">
        <f>HYPERLINK("https://klasma.github.io/Logging_0382/kartor/A 7446-2022 karta.png", "A 7446-2022")</f>
        <v/>
      </c>
      <c r="V108">
        <f>HYPERLINK("https://klasma.github.io/Logging_0382/klagomål/A 7446-2022 FSC-klagomål.docx", "A 7446-2022")</f>
        <v/>
      </c>
      <c r="W108">
        <f>HYPERLINK("https://klasma.github.io/Logging_0382/klagomålsmail/A 7446-2022 FSC-klagomål mail.docx", "A 7446-2022")</f>
        <v/>
      </c>
      <c r="X108">
        <f>HYPERLINK("https://klasma.github.io/Logging_0382/tillsyn/A 7446-2022 tillsynsbegäran.docx", "A 7446-2022")</f>
        <v/>
      </c>
      <c r="Y108">
        <f>HYPERLINK("https://klasma.github.io/Logging_0382/tillsynsmail/A 7446-2022 tillsynsbegäran mail.docx", "A 7446-2022")</f>
        <v/>
      </c>
    </row>
    <row r="109" ht="15" customHeight="1">
      <c r="A109" t="inlineStr">
        <is>
          <t>A 1227-2022</t>
        </is>
      </c>
      <c r="B109" s="1" t="n">
        <v>44572.57641203704</v>
      </c>
      <c r="C109" s="1" t="n">
        <v>46091</v>
      </c>
      <c r="D109" t="inlineStr">
        <is>
          <t>UPPSALA LÄN</t>
        </is>
      </c>
      <c r="E109" t="inlineStr">
        <is>
          <t>ÖSTHAMMAR</t>
        </is>
      </c>
      <c r="G109" t="n">
        <v>1.7</v>
      </c>
      <c r="H109" t="n">
        <v>0</v>
      </c>
      <c r="I109" t="n">
        <v>1</v>
      </c>
      <c r="J109" t="n">
        <v>0</v>
      </c>
      <c r="K109" t="n">
        <v>0</v>
      </c>
      <c r="L109" t="n">
        <v>0</v>
      </c>
      <c r="M109" t="n">
        <v>0</v>
      </c>
      <c r="N109" t="n">
        <v>0</v>
      </c>
      <c r="O109" t="n">
        <v>0</v>
      </c>
      <c r="P109" t="n">
        <v>0</v>
      </c>
      <c r="Q109" t="n">
        <v>1</v>
      </c>
      <c r="R109" s="2" t="inlineStr">
        <is>
          <t>Guldkremla</t>
        </is>
      </c>
      <c r="S109">
        <f>HYPERLINK("https://klasma.github.io/Logging_0382/artfynd/A 1227-2022 artfynd.xlsx", "A 1227-2022")</f>
        <v/>
      </c>
      <c r="T109">
        <f>HYPERLINK("https://klasma.github.io/Logging_0382/kartor/A 1227-2022 karta.png", "A 1227-2022")</f>
        <v/>
      </c>
      <c r="V109">
        <f>HYPERLINK("https://klasma.github.io/Logging_0382/klagomål/A 1227-2022 FSC-klagomål.docx", "A 1227-2022")</f>
        <v/>
      </c>
      <c r="W109">
        <f>HYPERLINK("https://klasma.github.io/Logging_0382/klagomålsmail/A 1227-2022 FSC-klagomål mail.docx", "A 1227-2022")</f>
        <v/>
      </c>
      <c r="X109">
        <f>HYPERLINK("https://klasma.github.io/Logging_0382/tillsyn/A 1227-2022 tillsynsbegäran.docx", "A 1227-2022")</f>
        <v/>
      </c>
      <c r="Y109">
        <f>HYPERLINK("https://klasma.github.io/Logging_0382/tillsynsmail/A 1227-2022 tillsynsbegäran mail.docx", "A 1227-2022")</f>
        <v/>
      </c>
    </row>
    <row r="110" ht="15" customHeight="1">
      <c r="A110" t="inlineStr">
        <is>
          <t>A 29679-2023</t>
        </is>
      </c>
      <c r="B110" s="1" t="n">
        <v>45107</v>
      </c>
      <c r="C110" s="1" t="n">
        <v>46091</v>
      </c>
      <c r="D110" t="inlineStr">
        <is>
          <t>UPPSALA LÄN</t>
        </is>
      </c>
      <c r="E110" t="inlineStr">
        <is>
          <t>ÖSTHAMMAR</t>
        </is>
      </c>
      <c r="F110" t="inlineStr">
        <is>
          <t>Övriga Aktiebolag</t>
        </is>
      </c>
      <c r="G110" t="n">
        <v>7.3</v>
      </c>
      <c r="H110" t="n">
        <v>0</v>
      </c>
      <c r="I110" t="n">
        <v>0</v>
      </c>
      <c r="J110" t="n">
        <v>1</v>
      </c>
      <c r="K110" t="n">
        <v>0</v>
      </c>
      <c r="L110" t="n">
        <v>0</v>
      </c>
      <c r="M110" t="n">
        <v>0</v>
      </c>
      <c r="N110" t="n">
        <v>0</v>
      </c>
      <c r="O110" t="n">
        <v>1</v>
      </c>
      <c r="P110" t="n">
        <v>0</v>
      </c>
      <c r="Q110" t="n">
        <v>1</v>
      </c>
      <c r="R110" s="2" t="inlineStr">
        <is>
          <t>Vintertagging</t>
        </is>
      </c>
      <c r="S110">
        <f>HYPERLINK("https://klasma.github.io/Logging_0382/artfynd/A 29679-2023 artfynd.xlsx", "A 29679-2023")</f>
        <v/>
      </c>
      <c r="T110">
        <f>HYPERLINK("https://klasma.github.io/Logging_0382/kartor/A 29679-2023 karta.png", "A 29679-2023")</f>
        <v/>
      </c>
      <c r="V110">
        <f>HYPERLINK("https://klasma.github.io/Logging_0382/klagomål/A 29679-2023 FSC-klagomål.docx", "A 29679-2023")</f>
        <v/>
      </c>
      <c r="W110">
        <f>HYPERLINK("https://klasma.github.io/Logging_0382/klagomålsmail/A 29679-2023 FSC-klagomål mail.docx", "A 29679-2023")</f>
        <v/>
      </c>
      <c r="X110">
        <f>HYPERLINK("https://klasma.github.io/Logging_0382/tillsyn/A 29679-2023 tillsynsbegäran.docx", "A 29679-2023")</f>
        <v/>
      </c>
      <c r="Y110">
        <f>HYPERLINK("https://klasma.github.io/Logging_0382/tillsynsmail/A 29679-2023 tillsynsbegäran mail.docx", "A 29679-2023")</f>
        <v/>
      </c>
    </row>
    <row r="111" ht="15" customHeight="1">
      <c r="A111" t="inlineStr">
        <is>
          <t>A 24797-2022</t>
        </is>
      </c>
      <c r="B111" s="1" t="n">
        <v>44728</v>
      </c>
      <c r="C111" s="1" t="n">
        <v>46091</v>
      </c>
      <c r="D111" t="inlineStr">
        <is>
          <t>UPPSALA LÄN</t>
        </is>
      </c>
      <c r="E111" t="inlineStr">
        <is>
          <t>ÖSTHAMMAR</t>
        </is>
      </c>
      <c r="F111" t="inlineStr">
        <is>
          <t>Sveaskog</t>
        </is>
      </c>
      <c r="G111" t="n">
        <v>1.7</v>
      </c>
      <c r="H111" t="n">
        <v>1</v>
      </c>
      <c r="I111" t="n">
        <v>0</v>
      </c>
      <c r="J111" t="n">
        <v>1</v>
      </c>
      <c r="K111" t="n">
        <v>0</v>
      </c>
      <c r="L111" t="n">
        <v>0</v>
      </c>
      <c r="M111" t="n">
        <v>0</v>
      </c>
      <c r="N111" t="n">
        <v>0</v>
      </c>
      <c r="O111" t="n">
        <v>1</v>
      </c>
      <c r="P111" t="n">
        <v>0</v>
      </c>
      <c r="Q111" t="n">
        <v>1</v>
      </c>
      <c r="R111" s="2" t="inlineStr">
        <is>
          <t>Gulsparv</t>
        </is>
      </c>
      <c r="S111">
        <f>HYPERLINK("https://klasma.github.io/Logging_0382/artfynd/A 24797-2022 artfynd.xlsx", "A 24797-2022")</f>
        <v/>
      </c>
      <c r="T111">
        <f>HYPERLINK("https://klasma.github.io/Logging_0382/kartor/A 24797-2022 karta.png", "A 24797-2022")</f>
        <v/>
      </c>
      <c r="V111">
        <f>HYPERLINK("https://klasma.github.io/Logging_0382/klagomål/A 24797-2022 FSC-klagomål.docx", "A 24797-2022")</f>
        <v/>
      </c>
      <c r="W111">
        <f>HYPERLINK("https://klasma.github.io/Logging_0382/klagomålsmail/A 24797-2022 FSC-klagomål mail.docx", "A 24797-2022")</f>
        <v/>
      </c>
      <c r="X111">
        <f>HYPERLINK("https://klasma.github.io/Logging_0382/tillsyn/A 24797-2022 tillsynsbegäran.docx", "A 24797-2022")</f>
        <v/>
      </c>
      <c r="Y111">
        <f>HYPERLINK("https://klasma.github.io/Logging_0382/tillsynsmail/A 24797-2022 tillsynsbegäran mail.docx", "A 24797-2022")</f>
        <v/>
      </c>
      <c r="Z111">
        <f>HYPERLINK("https://klasma.github.io/Logging_0382/fåglar/A 24797-2022 prioriterade fågelarter.docx", "A 24797-2022")</f>
        <v/>
      </c>
    </row>
    <row r="112" ht="15" customHeight="1">
      <c r="A112" t="inlineStr">
        <is>
          <t>A 34090-2023</t>
        </is>
      </c>
      <c r="B112" s="1" t="n">
        <v>45135</v>
      </c>
      <c r="C112" s="1" t="n">
        <v>46091</v>
      </c>
      <c r="D112" t="inlineStr">
        <is>
          <t>UPPSALA LÄN</t>
        </is>
      </c>
      <c r="E112" t="inlineStr">
        <is>
          <t>ÖSTHAMMAR</t>
        </is>
      </c>
      <c r="F112" t="inlineStr">
        <is>
          <t>Bergvik skog öst AB</t>
        </is>
      </c>
      <c r="G112" t="n">
        <v>5.7</v>
      </c>
      <c r="H112" t="n">
        <v>1</v>
      </c>
      <c r="I112" t="n">
        <v>0</v>
      </c>
      <c r="J112" t="n">
        <v>1</v>
      </c>
      <c r="K112" t="n">
        <v>0</v>
      </c>
      <c r="L112" t="n">
        <v>0</v>
      </c>
      <c r="M112" t="n">
        <v>0</v>
      </c>
      <c r="N112" t="n">
        <v>0</v>
      </c>
      <c r="O112" t="n">
        <v>1</v>
      </c>
      <c r="P112" t="n">
        <v>0</v>
      </c>
      <c r="Q112" t="n">
        <v>1</v>
      </c>
      <c r="R112" s="2" t="inlineStr">
        <is>
          <t>Spillkråka</t>
        </is>
      </c>
      <c r="S112">
        <f>HYPERLINK("https://klasma.github.io/Logging_0382/artfynd/A 34090-2023 artfynd.xlsx", "A 34090-2023")</f>
        <v/>
      </c>
      <c r="T112">
        <f>HYPERLINK("https://klasma.github.io/Logging_0382/kartor/A 34090-2023 karta.png", "A 34090-2023")</f>
        <v/>
      </c>
      <c r="V112">
        <f>HYPERLINK("https://klasma.github.io/Logging_0382/klagomål/A 34090-2023 FSC-klagomål.docx", "A 34090-2023")</f>
        <v/>
      </c>
      <c r="W112">
        <f>HYPERLINK("https://klasma.github.io/Logging_0382/klagomålsmail/A 34090-2023 FSC-klagomål mail.docx", "A 34090-2023")</f>
        <v/>
      </c>
      <c r="X112">
        <f>HYPERLINK("https://klasma.github.io/Logging_0382/tillsyn/A 34090-2023 tillsynsbegäran.docx", "A 34090-2023")</f>
        <v/>
      </c>
      <c r="Y112">
        <f>HYPERLINK("https://klasma.github.io/Logging_0382/tillsynsmail/A 34090-2023 tillsynsbegäran mail.docx", "A 34090-2023")</f>
        <v/>
      </c>
      <c r="Z112">
        <f>HYPERLINK("https://klasma.github.io/Logging_0382/fåglar/A 34090-2023 prioriterade fågelarter.docx", "A 34090-2023")</f>
        <v/>
      </c>
    </row>
    <row r="113" ht="15" customHeight="1">
      <c r="A113" t="inlineStr">
        <is>
          <t>A 4714-2026</t>
        </is>
      </c>
      <c r="B113" s="1" t="n">
        <v>46048.46175925926</v>
      </c>
      <c r="C113" s="1" t="n">
        <v>46091</v>
      </c>
      <c r="D113" t="inlineStr">
        <is>
          <t>UPPSALA LÄN</t>
        </is>
      </c>
      <c r="E113" t="inlineStr">
        <is>
          <t>ÖSTHAMMAR</t>
        </is>
      </c>
      <c r="G113" t="n">
        <v>6.3</v>
      </c>
      <c r="H113" t="n">
        <v>1</v>
      </c>
      <c r="I113" t="n">
        <v>0</v>
      </c>
      <c r="J113" t="n">
        <v>1</v>
      </c>
      <c r="K113" t="n">
        <v>0</v>
      </c>
      <c r="L113" t="n">
        <v>0</v>
      </c>
      <c r="M113" t="n">
        <v>0</v>
      </c>
      <c r="N113" t="n">
        <v>0</v>
      </c>
      <c r="O113" t="n">
        <v>1</v>
      </c>
      <c r="P113" t="n">
        <v>0</v>
      </c>
      <c r="Q113" t="n">
        <v>1</v>
      </c>
      <c r="R113" s="2" t="inlineStr">
        <is>
          <t>Nordfladdermus</t>
        </is>
      </c>
      <c r="S113">
        <f>HYPERLINK("https://klasma.github.io/Logging_0382/artfynd/A 4714-2026 artfynd.xlsx", "A 4714-2026")</f>
        <v/>
      </c>
      <c r="T113">
        <f>HYPERLINK("https://klasma.github.io/Logging_0382/kartor/A 4714-2026 karta.png", "A 4714-2026")</f>
        <v/>
      </c>
      <c r="V113">
        <f>HYPERLINK("https://klasma.github.io/Logging_0382/klagomål/A 4714-2026 FSC-klagomål.docx", "A 4714-2026")</f>
        <v/>
      </c>
      <c r="W113">
        <f>HYPERLINK("https://klasma.github.io/Logging_0382/klagomålsmail/A 4714-2026 FSC-klagomål mail.docx", "A 4714-2026")</f>
        <v/>
      </c>
      <c r="X113">
        <f>HYPERLINK("https://klasma.github.io/Logging_0382/tillsyn/A 4714-2026 tillsynsbegäran.docx", "A 4714-2026")</f>
        <v/>
      </c>
      <c r="Y113">
        <f>HYPERLINK("https://klasma.github.io/Logging_0382/tillsynsmail/A 4714-2026 tillsynsbegäran mail.docx", "A 4714-2026")</f>
        <v/>
      </c>
    </row>
    <row r="114" ht="15" customHeight="1">
      <c r="A114" t="inlineStr">
        <is>
          <t>A 14706-2023</t>
        </is>
      </c>
      <c r="B114" s="1" t="n">
        <v>45013</v>
      </c>
      <c r="C114" s="1" t="n">
        <v>46091</v>
      </c>
      <c r="D114" t="inlineStr">
        <is>
          <t>UPPSALA LÄN</t>
        </is>
      </c>
      <c r="E114" t="inlineStr">
        <is>
          <t>ÖSTHAMMAR</t>
        </is>
      </c>
      <c r="G114" t="n">
        <v>0.9</v>
      </c>
      <c r="H114" t="n">
        <v>0</v>
      </c>
      <c r="I114" t="n">
        <v>1</v>
      </c>
      <c r="J114" t="n">
        <v>0</v>
      </c>
      <c r="K114" t="n">
        <v>0</v>
      </c>
      <c r="L114" t="n">
        <v>0</v>
      </c>
      <c r="M114" t="n">
        <v>0</v>
      </c>
      <c r="N114" t="n">
        <v>0</v>
      </c>
      <c r="O114" t="n">
        <v>0</v>
      </c>
      <c r="P114" t="n">
        <v>0</v>
      </c>
      <c r="Q114" t="n">
        <v>1</v>
      </c>
      <c r="R114" s="2" t="inlineStr">
        <is>
          <t>Olivspindling</t>
        </is>
      </c>
      <c r="S114">
        <f>HYPERLINK("https://klasma.github.io/Logging_0382/artfynd/A 14706-2023 artfynd.xlsx", "A 14706-2023")</f>
        <v/>
      </c>
      <c r="T114">
        <f>HYPERLINK("https://klasma.github.io/Logging_0382/kartor/A 14706-2023 karta.png", "A 14706-2023")</f>
        <v/>
      </c>
      <c r="V114">
        <f>HYPERLINK("https://klasma.github.io/Logging_0382/klagomål/A 14706-2023 FSC-klagomål.docx", "A 14706-2023")</f>
        <v/>
      </c>
      <c r="W114">
        <f>HYPERLINK("https://klasma.github.io/Logging_0382/klagomålsmail/A 14706-2023 FSC-klagomål mail.docx", "A 14706-2023")</f>
        <v/>
      </c>
      <c r="X114">
        <f>HYPERLINK("https://klasma.github.io/Logging_0382/tillsyn/A 14706-2023 tillsynsbegäran.docx", "A 14706-2023")</f>
        <v/>
      </c>
      <c r="Y114">
        <f>HYPERLINK("https://klasma.github.io/Logging_0382/tillsynsmail/A 14706-2023 tillsynsbegäran mail.docx", "A 14706-2023")</f>
        <v/>
      </c>
    </row>
    <row r="115" ht="15" customHeight="1">
      <c r="A115" t="inlineStr">
        <is>
          <t>A 12753-2024</t>
        </is>
      </c>
      <c r="B115" s="1" t="n">
        <v>45384</v>
      </c>
      <c r="C115" s="1" t="n">
        <v>46091</v>
      </c>
      <c r="D115" t="inlineStr">
        <is>
          <t>UPPSALA LÄN</t>
        </is>
      </c>
      <c r="E115" t="inlineStr">
        <is>
          <t>ÖSTHAMMAR</t>
        </is>
      </c>
      <c r="G115" t="n">
        <v>1.7</v>
      </c>
      <c r="H115" t="n">
        <v>0</v>
      </c>
      <c r="I115" t="n">
        <v>0</v>
      </c>
      <c r="J115" t="n">
        <v>1</v>
      </c>
      <c r="K115" t="n">
        <v>0</v>
      </c>
      <c r="L115" t="n">
        <v>0</v>
      </c>
      <c r="M115" t="n">
        <v>0</v>
      </c>
      <c r="N115" t="n">
        <v>0</v>
      </c>
      <c r="O115" t="n">
        <v>1</v>
      </c>
      <c r="P115" t="n">
        <v>0</v>
      </c>
      <c r="Q115" t="n">
        <v>1</v>
      </c>
      <c r="R115" s="2" t="inlineStr">
        <is>
          <t>Flattoppad klubbsvamp</t>
        </is>
      </c>
      <c r="S115">
        <f>HYPERLINK("https://klasma.github.io/Logging_0382/artfynd/A 12753-2024 artfynd.xlsx", "A 12753-2024")</f>
        <v/>
      </c>
      <c r="T115">
        <f>HYPERLINK("https://klasma.github.io/Logging_0382/kartor/A 12753-2024 karta.png", "A 12753-2024")</f>
        <v/>
      </c>
      <c r="V115">
        <f>HYPERLINK("https://klasma.github.io/Logging_0382/klagomål/A 12753-2024 FSC-klagomål.docx", "A 12753-2024")</f>
        <v/>
      </c>
      <c r="W115">
        <f>HYPERLINK("https://klasma.github.io/Logging_0382/klagomålsmail/A 12753-2024 FSC-klagomål mail.docx", "A 12753-2024")</f>
        <v/>
      </c>
      <c r="X115">
        <f>HYPERLINK("https://klasma.github.io/Logging_0382/tillsyn/A 12753-2024 tillsynsbegäran.docx", "A 12753-2024")</f>
        <v/>
      </c>
      <c r="Y115">
        <f>HYPERLINK("https://klasma.github.io/Logging_0382/tillsynsmail/A 12753-2024 tillsynsbegäran mail.docx", "A 12753-2024")</f>
        <v/>
      </c>
    </row>
    <row r="116" ht="15" customHeight="1">
      <c r="A116" t="inlineStr">
        <is>
          <t>A 73983-2021</t>
        </is>
      </c>
      <c r="B116" s="1" t="n">
        <v>44555.80506944445</v>
      </c>
      <c r="C116" s="1" t="n">
        <v>46091</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46091</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46091</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46091</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46091</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46091</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46091</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46091</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46091</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46091</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46091</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46091</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46091</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46091</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46091</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46091</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46091</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46091</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46091</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46091</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46091</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51412-2021</t>
        </is>
      </c>
      <c r="B137" s="1" t="n">
        <v>44461</v>
      </c>
      <c r="C137" s="1" t="n">
        <v>46091</v>
      </c>
      <c r="D137" t="inlineStr">
        <is>
          <t>UPPSALA LÄN</t>
        </is>
      </c>
      <c r="E137" t="inlineStr">
        <is>
          <t>ÖSTHAMMAR</t>
        </is>
      </c>
      <c r="G137" t="n">
        <v>1.7</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46091</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46091</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46091</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46091</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46091</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46091</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46091</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46091</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46091</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46091</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46091</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46091</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46091</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46091</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46091</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24149-2022</t>
        </is>
      </c>
      <c r="B153" s="1" t="n">
        <v>44725</v>
      </c>
      <c r="C153" s="1" t="n">
        <v>46091</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46091</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46091</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46091</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46091</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46091</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46091</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46091</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46091</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46091</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46091</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46091</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46091</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46091</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46091</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46091</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46091</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46091</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46091</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46091</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46091</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46091</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46091</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46091</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46091</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46091</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46091</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46091</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46091</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46091</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46091</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46091</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46091</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46091</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46091</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46091</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46091</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46091</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46091</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46091</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46091</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46091</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46091</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46091</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46091</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46091</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46091</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46091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46091</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46091</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38702-2022</t>
        </is>
      </c>
      <c r="B203" s="1" t="n">
        <v>44814.5991087963</v>
      </c>
      <c r="C203" s="1" t="n">
        <v>46091</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49097-2022</t>
        </is>
      </c>
      <c r="B204" s="1" t="n">
        <v>44860</v>
      </c>
      <c r="C204" s="1" t="n">
        <v>46091</v>
      </c>
      <c r="D204" t="inlineStr">
        <is>
          <t>UPPSALA LÄN</t>
        </is>
      </c>
      <c r="E204" t="inlineStr">
        <is>
          <t>ÖSTHAMMAR</t>
        </is>
      </c>
      <c r="G204" t="n">
        <v>6.9</v>
      </c>
      <c r="H204" t="n">
        <v>0</v>
      </c>
      <c r="I204" t="n">
        <v>0</v>
      </c>
      <c r="J204" t="n">
        <v>0</v>
      </c>
      <c r="K204" t="n">
        <v>0</v>
      </c>
      <c r="L204" t="n">
        <v>0</v>
      </c>
      <c r="M204" t="n">
        <v>0</v>
      </c>
      <c r="N204" t="n">
        <v>0</v>
      </c>
      <c r="O204" t="n">
        <v>0</v>
      </c>
      <c r="P204" t="n">
        <v>0</v>
      </c>
      <c r="Q204" t="n">
        <v>0</v>
      </c>
      <c r="R204" s="2" t="inlineStr"/>
    </row>
    <row r="205" ht="15" customHeight="1">
      <c r="A205" t="inlineStr">
        <is>
          <t>A 20326-2021</t>
        </is>
      </c>
      <c r="B205" s="1" t="n">
        <v>44308</v>
      </c>
      <c r="C205" s="1" t="n">
        <v>46091</v>
      </c>
      <c r="D205" t="inlineStr">
        <is>
          <t>UPPSALA LÄN</t>
        </is>
      </c>
      <c r="E205" t="inlineStr">
        <is>
          <t>ÖSTHAMMAR</t>
        </is>
      </c>
      <c r="G205" t="n">
        <v>0.7</v>
      </c>
      <c r="H205" t="n">
        <v>0</v>
      </c>
      <c r="I205" t="n">
        <v>0</v>
      </c>
      <c r="J205" t="n">
        <v>0</v>
      </c>
      <c r="K205" t="n">
        <v>0</v>
      </c>
      <c r="L205" t="n">
        <v>0</v>
      </c>
      <c r="M205" t="n">
        <v>0</v>
      </c>
      <c r="N205" t="n">
        <v>0</v>
      </c>
      <c r="O205" t="n">
        <v>0</v>
      </c>
      <c r="P205" t="n">
        <v>0</v>
      </c>
      <c r="Q205" t="n">
        <v>0</v>
      </c>
      <c r="R205" s="2" t="inlineStr"/>
    </row>
    <row r="206" ht="15" customHeight="1">
      <c r="A206" t="inlineStr">
        <is>
          <t>A 28421-2023</t>
        </is>
      </c>
      <c r="B206" s="1" t="n">
        <v>45102</v>
      </c>
      <c r="C206" s="1" t="n">
        <v>46091</v>
      </c>
      <c r="D206" t="inlineStr">
        <is>
          <t>UPPSALA LÄN</t>
        </is>
      </c>
      <c r="E206" t="inlineStr">
        <is>
          <t>ÖSTHAMMAR</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19040-2023</t>
        </is>
      </c>
      <c r="B207" s="1" t="n">
        <v>45047</v>
      </c>
      <c r="C207" s="1" t="n">
        <v>46091</v>
      </c>
      <c r="D207" t="inlineStr">
        <is>
          <t>UPPSALA LÄN</t>
        </is>
      </c>
      <c r="E207" t="inlineStr">
        <is>
          <t>ÖSTHAMMAR</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17867-2024</t>
        </is>
      </c>
      <c r="B208" s="1" t="n">
        <v>45419.44106481481</v>
      </c>
      <c r="C208" s="1" t="n">
        <v>46091</v>
      </c>
      <c r="D208" t="inlineStr">
        <is>
          <t>UPPSALA LÄN</t>
        </is>
      </c>
      <c r="E208" t="inlineStr">
        <is>
          <t>ÖSTHAMMAR</t>
        </is>
      </c>
      <c r="G208" t="n">
        <v>7.2</v>
      </c>
      <c r="H208" t="n">
        <v>0</v>
      </c>
      <c r="I208" t="n">
        <v>0</v>
      </c>
      <c r="J208" t="n">
        <v>0</v>
      </c>
      <c r="K208" t="n">
        <v>0</v>
      </c>
      <c r="L208" t="n">
        <v>0</v>
      </c>
      <c r="M208" t="n">
        <v>0</v>
      </c>
      <c r="N208" t="n">
        <v>0</v>
      </c>
      <c r="O208" t="n">
        <v>0</v>
      </c>
      <c r="P208" t="n">
        <v>0</v>
      </c>
      <c r="Q208" t="n">
        <v>0</v>
      </c>
      <c r="R208" s="2" t="inlineStr"/>
    </row>
    <row r="209" ht="15" customHeight="1">
      <c r="A209" t="inlineStr">
        <is>
          <t>A 21132-2025</t>
        </is>
      </c>
      <c r="B209" s="1" t="n">
        <v>45778.4108912037</v>
      </c>
      <c r="C209" s="1" t="n">
        <v>46091</v>
      </c>
      <c r="D209" t="inlineStr">
        <is>
          <t>UPPSALA LÄN</t>
        </is>
      </c>
      <c r="E209" t="inlineStr">
        <is>
          <t>ÖSTHAMMAR</t>
        </is>
      </c>
      <c r="G209" t="n">
        <v>10.1</v>
      </c>
      <c r="H209" t="n">
        <v>0</v>
      </c>
      <c r="I209" t="n">
        <v>0</v>
      </c>
      <c r="J209" t="n">
        <v>0</v>
      </c>
      <c r="K209" t="n">
        <v>0</v>
      </c>
      <c r="L209" t="n">
        <v>0</v>
      </c>
      <c r="M209" t="n">
        <v>0</v>
      </c>
      <c r="N209" t="n">
        <v>0</v>
      </c>
      <c r="O209" t="n">
        <v>0</v>
      </c>
      <c r="P209" t="n">
        <v>0</v>
      </c>
      <c r="Q209" t="n">
        <v>0</v>
      </c>
      <c r="R209" s="2" t="inlineStr"/>
    </row>
    <row r="210" ht="15" customHeight="1">
      <c r="A210" t="inlineStr">
        <is>
          <t>A 21133-2025</t>
        </is>
      </c>
      <c r="B210" s="1" t="n">
        <v>45778.415625</v>
      </c>
      <c r="C210" s="1" t="n">
        <v>46091</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18838-2023</t>
        </is>
      </c>
      <c r="B211" s="1" t="n">
        <v>45044</v>
      </c>
      <c r="C211" s="1" t="n">
        <v>46091</v>
      </c>
      <c r="D211" t="inlineStr">
        <is>
          <t>UPPSALA LÄN</t>
        </is>
      </c>
      <c r="E211" t="inlineStr">
        <is>
          <t>ÖSTHAMMAR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12756-2024</t>
        </is>
      </c>
      <c r="B212" s="1" t="n">
        <v>45384</v>
      </c>
      <c r="C212" s="1" t="n">
        <v>46091</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42262-2024</t>
        </is>
      </c>
      <c r="B213" s="1" t="n">
        <v>45562</v>
      </c>
      <c r="C213" s="1" t="n">
        <v>46091</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51255-2025</t>
        </is>
      </c>
      <c r="B214" s="1" t="n">
        <v>45949.00917824074</v>
      </c>
      <c r="C214" s="1" t="n">
        <v>46091</v>
      </c>
      <c r="D214" t="inlineStr">
        <is>
          <t>UPPSALA LÄN</t>
        </is>
      </c>
      <c r="E214" t="inlineStr">
        <is>
          <t>ÖSTHAMMAR</t>
        </is>
      </c>
      <c r="G214" t="n">
        <v>1.4</v>
      </c>
      <c r="H214" t="n">
        <v>0</v>
      </c>
      <c r="I214" t="n">
        <v>0</v>
      </c>
      <c r="J214" t="n">
        <v>0</v>
      </c>
      <c r="K214" t="n">
        <v>0</v>
      </c>
      <c r="L214" t="n">
        <v>0</v>
      </c>
      <c r="M214" t="n">
        <v>0</v>
      </c>
      <c r="N214" t="n">
        <v>0</v>
      </c>
      <c r="O214" t="n">
        <v>0</v>
      </c>
      <c r="P214" t="n">
        <v>0</v>
      </c>
      <c r="Q214" t="n">
        <v>0</v>
      </c>
      <c r="R214" s="2" t="inlineStr"/>
    </row>
    <row r="215" ht="15" customHeight="1">
      <c r="A215" t="inlineStr">
        <is>
          <t>A 51265-2025</t>
        </is>
      </c>
      <c r="B215" s="1" t="n">
        <v>45949.70971064815</v>
      </c>
      <c r="C215" s="1" t="n">
        <v>46091</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51254-2025</t>
        </is>
      </c>
      <c r="B216" s="1" t="n">
        <v>45948.99313657408</v>
      </c>
      <c r="C216" s="1" t="n">
        <v>46091</v>
      </c>
      <c r="D216" t="inlineStr">
        <is>
          <t>UPPSALA LÄN</t>
        </is>
      </c>
      <c r="E216" t="inlineStr">
        <is>
          <t>ÖSTHAMMAR</t>
        </is>
      </c>
      <c r="G216" t="n">
        <v>8.9</v>
      </c>
      <c r="H216" t="n">
        <v>0</v>
      </c>
      <c r="I216" t="n">
        <v>0</v>
      </c>
      <c r="J216" t="n">
        <v>0</v>
      </c>
      <c r="K216" t="n">
        <v>0</v>
      </c>
      <c r="L216" t="n">
        <v>0</v>
      </c>
      <c r="M216" t="n">
        <v>0</v>
      </c>
      <c r="N216" t="n">
        <v>0</v>
      </c>
      <c r="O216" t="n">
        <v>0</v>
      </c>
      <c r="P216" t="n">
        <v>0</v>
      </c>
      <c r="Q216" t="n">
        <v>0</v>
      </c>
      <c r="R216" s="2" t="inlineStr"/>
    </row>
    <row r="217" ht="15" customHeight="1">
      <c r="A217" t="inlineStr">
        <is>
          <t>A 44796-2024</t>
        </is>
      </c>
      <c r="B217" s="1" t="n">
        <v>45574</v>
      </c>
      <c r="C217" s="1" t="n">
        <v>46091</v>
      </c>
      <c r="D217" t="inlineStr">
        <is>
          <t>UPPSALA LÄN</t>
        </is>
      </c>
      <c r="E217" t="inlineStr">
        <is>
          <t>ÖSTHAMMAR</t>
        </is>
      </c>
      <c r="G217" t="n">
        <v>4.7</v>
      </c>
      <c r="H217" t="n">
        <v>0</v>
      </c>
      <c r="I217" t="n">
        <v>0</v>
      </c>
      <c r="J217" t="n">
        <v>0</v>
      </c>
      <c r="K217" t="n">
        <v>0</v>
      </c>
      <c r="L217" t="n">
        <v>0</v>
      </c>
      <c r="M217" t="n">
        <v>0</v>
      </c>
      <c r="N217" t="n">
        <v>0</v>
      </c>
      <c r="O217" t="n">
        <v>0</v>
      </c>
      <c r="P217" t="n">
        <v>0</v>
      </c>
      <c r="Q217" t="n">
        <v>0</v>
      </c>
      <c r="R217" s="2" t="inlineStr"/>
    </row>
    <row r="218" ht="15" customHeight="1">
      <c r="A218" t="inlineStr">
        <is>
          <t>A 57-2023</t>
        </is>
      </c>
      <c r="B218" s="1" t="n">
        <v>44928.40917824074</v>
      </c>
      <c r="C218" s="1" t="n">
        <v>46091</v>
      </c>
      <c r="D218" t="inlineStr">
        <is>
          <t>UPPSALA LÄN</t>
        </is>
      </c>
      <c r="E218" t="inlineStr">
        <is>
          <t>ÖSTHAMMAR</t>
        </is>
      </c>
      <c r="G218" t="n">
        <v>1.1</v>
      </c>
      <c r="H218" t="n">
        <v>0</v>
      </c>
      <c r="I218" t="n">
        <v>0</v>
      </c>
      <c r="J218" t="n">
        <v>0</v>
      </c>
      <c r="K218" t="n">
        <v>0</v>
      </c>
      <c r="L218" t="n">
        <v>0</v>
      </c>
      <c r="M218" t="n">
        <v>0</v>
      </c>
      <c r="N218" t="n">
        <v>0</v>
      </c>
      <c r="O218" t="n">
        <v>0</v>
      </c>
      <c r="P218" t="n">
        <v>0</v>
      </c>
      <c r="Q218" t="n">
        <v>0</v>
      </c>
      <c r="R218" s="2" t="inlineStr"/>
    </row>
    <row r="219" ht="15" customHeight="1">
      <c r="A219" t="inlineStr">
        <is>
          <t>A 59-2023</t>
        </is>
      </c>
      <c r="B219" s="1" t="n">
        <v>44928.41822916667</v>
      </c>
      <c r="C219" s="1" t="n">
        <v>46091</v>
      </c>
      <c r="D219" t="inlineStr">
        <is>
          <t>UPPSALA LÄN</t>
        </is>
      </c>
      <c r="E219" t="inlineStr">
        <is>
          <t>ÖSTHAMMAR</t>
        </is>
      </c>
      <c r="G219" t="n">
        <v>1.5</v>
      </c>
      <c r="H219" t="n">
        <v>0</v>
      </c>
      <c r="I219" t="n">
        <v>0</v>
      </c>
      <c r="J219" t="n">
        <v>0</v>
      </c>
      <c r="K219" t="n">
        <v>0</v>
      </c>
      <c r="L219" t="n">
        <v>0</v>
      </c>
      <c r="M219" t="n">
        <v>0</v>
      </c>
      <c r="N219" t="n">
        <v>0</v>
      </c>
      <c r="O219" t="n">
        <v>0</v>
      </c>
      <c r="P219" t="n">
        <v>0</v>
      </c>
      <c r="Q219" t="n">
        <v>0</v>
      </c>
      <c r="R219" s="2" t="inlineStr"/>
    </row>
    <row r="220" ht="15" customHeight="1">
      <c r="A220" t="inlineStr">
        <is>
          <t>A 51708-2025</t>
        </is>
      </c>
      <c r="B220" s="1" t="n">
        <v>45951.56679398148</v>
      </c>
      <c r="C220" s="1" t="n">
        <v>46091</v>
      </c>
      <c r="D220" t="inlineStr">
        <is>
          <t>UPPSALA LÄN</t>
        </is>
      </c>
      <c r="E220" t="inlineStr">
        <is>
          <t>ÖSTHAMMAR</t>
        </is>
      </c>
      <c r="F220" t="inlineStr">
        <is>
          <t>Bergvik skog öst AB</t>
        </is>
      </c>
      <c r="G220" t="n">
        <v>1.3</v>
      </c>
      <c r="H220" t="n">
        <v>0</v>
      </c>
      <c r="I220" t="n">
        <v>0</v>
      </c>
      <c r="J220" t="n">
        <v>0</v>
      </c>
      <c r="K220" t="n">
        <v>0</v>
      </c>
      <c r="L220" t="n">
        <v>0</v>
      </c>
      <c r="M220" t="n">
        <v>0</v>
      </c>
      <c r="N220" t="n">
        <v>0</v>
      </c>
      <c r="O220" t="n">
        <v>0</v>
      </c>
      <c r="P220" t="n">
        <v>0</v>
      </c>
      <c r="Q220" t="n">
        <v>0</v>
      </c>
      <c r="R220" s="2" t="inlineStr"/>
    </row>
    <row r="221" ht="15" customHeight="1">
      <c r="A221" t="inlineStr">
        <is>
          <t>A 22488-2025</t>
        </is>
      </c>
      <c r="B221" s="1" t="n">
        <v>45786.64865740741</v>
      </c>
      <c r="C221" s="1" t="n">
        <v>46091</v>
      </c>
      <c r="D221" t="inlineStr">
        <is>
          <t>UPPSALA LÄN</t>
        </is>
      </c>
      <c r="E221" t="inlineStr">
        <is>
          <t>ÖSTHAMMAR</t>
        </is>
      </c>
      <c r="F221" t="inlineStr">
        <is>
          <t>Bergvik skog öst AB</t>
        </is>
      </c>
      <c r="G221" t="n">
        <v>14.9</v>
      </c>
      <c r="H221" t="n">
        <v>0</v>
      </c>
      <c r="I221" t="n">
        <v>0</v>
      </c>
      <c r="J221" t="n">
        <v>0</v>
      </c>
      <c r="K221" t="n">
        <v>0</v>
      </c>
      <c r="L221" t="n">
        <v>0</v>
      </c>
      <c r="M221" t="n">
        <v>0</v>
      </c>
      <c r="N221" t="n">
        <v>0</v>
      </c>
      <c r="O221" t="n">
        <v>0</v>
      </c>
      <c r="P221" t="n">
        <v>0</v>
      </c>
      <c r="Q221" t="n">
        <v>0</v>
      </c>
      <c r="R221" s="2" t="inlineStr"/>
    </row>
    <row r="222" ht="15" customHeight="1">
      <c r="A222" t="inlineStr">
        <is>
          <t>A 19947-2024</t>
        </is>
      </c>
      <c r="B222" s="1" t="n">
        <v>45433</v>
      </c>
      <c r="C222" s="1" t="n">
        <v>46091</v>
      </c>
      <c r="D222" t="inlineStr">
        <is>
          <t>UPPSALA LÄN</t>
        </is>
      </c>
      <c r="E222" t="inlineStr">
        <is>
          <t>ÖSTHAMMAR</t>
        </is>
      </c>
      <c r="G222" t="n">
        <v>0.3</v>
      </c>
      <c r="H222" t="n">
        <v>0</v>
      </c>
      <c r="I222" t="n">
        <v>0</v>
      </c>
      <c r="J222" t="n">
        <v>0</v>
      </c>
      <c r="K222" t="n">
        <v>0</v>
      </c>
      <c r="L222" t="n">
        <v>0</v>
      </c>
      <c r="M222" t="n">
        <v>0</v>
      </c>
      <c r="N222" t="n">
        <v>0</v>
      </c>
      <c r="O222" t="n">
        <v>0</v>
      </c>
      <c r="P222" t="n">
        <v>0</v>
      </c>
      <c r="Q222" t="n">
        <v>0</v>
      </c>
      <c r="R222" s="2" t="inlineStr"/>
    </row>
    <row r="223" ht="15" customHeight="1">
      <c r="A223" t="inlineStr">
        <is>
          <t>A 11385-2024</t>
        </is>
      </c>
      <c r="B223" s="1" t="n">
        <v>45372</v>
      </c>
      <c r="C223" s="1" t="n">
        <v>46091</v>
      </c>
      <c r="D223" t="inlineStr">
        <is>
          <t>UPPSALA LÄN</t>
        </is>
      </c>
      <c r="E223" t="inlineStr">
        <is>
          <t>ÖSTHAMMAR</t>
        </is>
      </c>
      <c r="G223" t="n">
        <v>1.1</v>
      </c>
      <c r="H223" t="n">
        <v>0</v>
      </c>
      <c r="I223" t="n">
        <v>0</v>
      </c>
      <c r="J223" t="n">
        <v>0</v>
      </c>
      <c r="K223" t="n">
        <v>0</v>
      </c>
      <c r="L223" t="n">
        <v>0</v>
      </c>
      <c r="M223" t="n">
        <v>0</v>
      </c>
      <c r="N223" t="n">
        <v>0</v>
      </c>
      <c r="O223" t="n">
        <v>0</v>
      </c>
      <c r="P223" t="n">
        <v>0</v>
      </c>
      <c r="Q223" t="n">
        <v>0</v>
      </c>
      <c r="R223" s="2" t="inlineStr"/>
    </row>
    <row r="224" ht="15" customHeight="1">
      <c r="A224" t="inlineStr">
        <is>
          <t>A 36954-2024</t>
        </is>
      </c>
      <c r="B224" s="1" t="n">
        <v>45538.71109953704</v>
      </c>
      <c r="C224" s="1" t="n">
        <v>46091</v>
      </c>
      <c r="D224" t="inlineStr">
        <is>
          <t>UPPSALA LÄN</t>
        </is>
      </c>
      <c r="E224" t="inlineStr">
        <is>
          <t>ÖSTHAMMAR</t>
        </is>
      </c>
      <c r="F224" t="inlineStr">
        <is>
          <t>Bergvik skog öst AB</t>
        </is>
      </c>
      <c r="G224" t="n">
        <v>5.1</v>
      </c>
      <c r="H224" t="n">
        <v>0</v>
      </c>
      <c r="I224" t="n">
        <v>0</v>
      </c>
      <c r="J224" t="n">
        <v>0</v>
      </c>
      <c r="K224" t="n">
        <v>0</v>
      </c>
      <c r="L224" t="n">
        <v>0</v>
      </c>
      <c r="M224" t="n">
        <v>0</v>
      </c>
      <c r="N224" t="n">
        <v>0</v>
      </c>
      <c r="O224" t="n">
        <v>0</v>
      </c>
      <c r="P224" t="n">
        <v>0</v>
      </c>
      <c r="Q224" t="n">
        <v>0</v>
      </c>
      <c r="R224" s="2" t="inlineStr"/>
    </row>
    <row r="225" ht="15" customHeight="1">
      <c r="A225" t="inlineStr">
        <is>
          <t>A 14433-2024</t>
        </is>
      </c>
      <c r="B225" s="1" t="n">
        <v>45394.46115740741</v>
      </c>
      <c r="C225" s="1" t="n">
        <v>46091</v>
      </c>
      <c r="D225" t="inlineStr">
        <is>
          <t>UPPSALA LÄN</t>
        </is>
      </c>
      <c r="E225" t="inlineStr">
        <is>
          <t>ÖSTHAMMAR</t>
        </is>
      </c>
      <c r="G225" t="n">
        <v>1.2</v>
      </c>
      <c r="H225" t="n">
        <v>0</v>
      </c>
      <c r="I225" t="n">
        <v>0</v>
      </c>
      <c r="J225" t="n">
        <v>0</v>
      </c>
      <c r="K225" t="n">
        <v>0</v>
      </c>
      <c r="L225" t="n">
        <v>0</v>
      </c>
      <c r="M225" t="n">
        <v>0</v>
      </c>
      <c r="N225" t="n">
        <v>0</v>
      </c>
      <c r="O225" t="n">
        <v>0</v>
      </c>
      <c r="P225" t="n">
        <v>0</v>
      </c>
      <c r="Q225" t="n">
        <v>0</v>
      </c>
      <c r="R225" s="2" t="inlineStr"/>
    </row>
    <row r="226" ht="15" customHeight="1">
      <c r="A226" t="inlineStr">
        <is>
          <t>A 22483-2025</t>
        </is>
      </c>
      <c r="B226" s="1" t="n">
        <v>45786.64141203704</v>
      </c>
      <c r="C226" s="1" t="n">
        <v>46091</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59291-2023</t>
        </is>
      </c>
      <c r="B227" s="1" t="n">
        <v>45253.57559027777</v>
      </c>
      <c r="C227" s="1" t="n">
        <v>46091</v>
      </c>
      <c r="D227" t="inlineStr">
        <is>
          <t>UPPSALA LÄN</t>
        </is>
      </c>
      <c r="E227" t="inlineStr">
        <is>
          <t>ÖSTHAMMAR</t>
        </is>
      </c>
      <c r="G227" t="n">
        <v>1.7</v>
      </c>
      <c r="H227" t="n">
        <v>0</v>
      </c>
      <c r="I227" t="n">
        <v>0</v>
      </c>
      <c r="J227" t="n">
        <v>0</v>
      </c>
      <c r="K227" t="n">
        <v>0</v>
      </c>
      <c r="L227" t="n">
        <v>0</v>
      </c>
      <c r="M227" t="n">
        <v>0</v>
      </c>
      <c r="N227" t="n">
        <v>0</v>
      </c>
      <c r="O227" t="n">
        <v>0</v>
      </c>
      <c r="P227" t="n">
        <v>0</v>
      </c>
      <c r="Q227" t="n">
        <v>0</v>
      </c>
      <c r="R227" s="2" t="inlineStr"/>
    </row>
    <row r="228" ht="15" customHeight="1">
      <c r="A228" t="inlineStr">
        <is>
          <t>A 43685-2024</t>
        </is>
      </c>
      <c r="B228" s="1" t="n">
        <v>45569</v>
      </c>
      <c r="C228" s="1" t="n">
        <v>46091</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38575-2024</t>
        </is>
      </c>
      <c r="B229" s="1" t="n">
        <v>45546.64221064815</v>
      </c>
      <c r="C229" s="1" t="n">
        <v>46091</v>
      </c>
      <c r="D229" t="inlineStr">
        <is>
          <t>UPPSALA LÄN</t>
        </is>
      </c>
      <c r="E229" t="inlineStr">
        <is>
          <t>ÖSTHAMMAR</t>
        </is>
      </c>
      <c r="F229" t="inlineStr">
        <is>
          <t>Bergvik skog öst AB</t>
        </is>
      </c>
      <c r="G229" t="n">
        <v>5.1</v>
      </c>
      <c r="H229" t="n">
        <v>0</v>
      </c>
      <c r="I229" t="n">
        <v>0</v>
      </c>
      <c r="J229" t="n">
        <v>0</v>
      </c>
      <c r="K229" t="n">
        <v>0</v>
      </c>
      <c r="L229" t="n">
        <v>0</v>
      </c>
      <c r="M229" t="n">
        <v>0</v>
      </c>
      <c r="N229" t="n">
        <v>0</v>
      </c>
      <c r="O229" t="n">
        <v>0</v>
      </c>
      <c r="P229" t="n">
        <v>0</v>
      </c>
      <c r="Q229" t="n">
        <v>0</v>
      </c>
      <c r="R229" s="2" t="inlineStr"/>
    </row>
    <row r="230" ht="15" customHeight="1">
      <c r="A230" t="inlineStr">
        <is>
          <t>A 43993-2024</t>
        </is>
      </c>
      <c r="B230" s="1" t="n">
        <v>45572.52690972222</v>
      </c>
      <c r="C230" s="1" t="n">
        <v>46091</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22492-2025</t>
        </is>
      </c>
      <c r="B231" s="1" t="n">
        <v>45786.65072916666</v>
      </c>
      <c r="C231" s="1" t="n">
        <v>46091</v>
      </c>
      <c r="D231" t="inlineStr">
        <is>
          <t>UPPSALA LÄN</t>
        </is>
      </c>
      <c r="E231" t="inlineStr">
        <is>
          <t>ÖSTHAMMAR</t>
        </is>
      </c>
      <c r="F231" t="inlineStr">
        <is>
          <t>Bergvik skog öst AB</t>
        </is>
      </c>
      <c r="G231" t="n">
        <v>16.6</v>
      </c>
      <c r="H231" t="n">
        <v>0</v>
      </c>
      <c r="I231" t="n">
        <v>0</v>
      </c>
      <c r="J231" t="n">
        <v>0</v>
      </c>
      <c r="K231" t="n">
        <v>0</v>
      </c>
      <c r="L231" t="n">
        <v>0</v>
      </c>
      <c r="M231" t="n">
        <v>0</v>
      </c>
      <c r="N231" t="n">
        <v>0</v>
      </c>
      <c r="O231" t="n">
        <v>0</v>
      </c>
      <c r="P231" t="n">
        <v>0</v>
      </c>
      <c r="Q231" t="n">
        <v>0</v>
      </c>
      <c r="R231" s="2" t="inlineStr"/>
    </row>
    <row r="232" ht="15" customHeight="1">
      <c r="A232" t="inlineStr">
        <is>
          <t>A 25252-2024</t>
        </is>
      </c>
      <c r="B232" s="1" t="n">
        <v>45462</v>
      </c>
      <c r="C232" s="1" t="n">
        <v>46091</v>
      </c>
      <c r="D232" t="inlineStr">
        <is>
          <t>UPPSALA LÄN</t>
        </is>
      </c>
      <c r="E232" t="inlineStr">
        <is>
          <t>ÖSTHAMMAR</t>
        </is>
      </c>
      <c r="G232" t="n">
        <v>4.3</v>
      </c>
      <c r="H232" t="n">
        <v>0</v>
      </c>
      <c r="I232" t="n">
        <v>0</v>
      </c>
      <c r="J232" t="n">
        <v>0</v>
      </c>
      <c r="K232" t="n">
        <v>0</v>
      </c>
      <c r="L232" t="n">
        <v>0</v>
      </c>
      <c r="M232" t="n">
        <v>0</v>
      </c>
      <c r="N232" t="n">
        <v>0</v>
      </c>
      <c r="O232" t="n">
        <v>0</v>
      </c>
      <c r="P232" t="n">
        <v>0</v>
      </c>
      <c r="Q232" t="n">
        <v>0</v>
      </c>
      <c r="R232" s="2" t="inlineStr"/>
    </row>
    <row r="233" ht="15" customHeight="1">
      <c r="A233" t="inlineStr">
        <is>
          <t>A 56382-2022</t>
        </is>
      </c>
      <c r="B233" s="1" t="n">
        <v>44890.75795138889</v>
      </c>
      <c r="C233" s="1" t="n">
        <v>46091</v>
      </c>
      <c r="D233" t="inlineStr">
        <is>
          <t>UPPSALA LÄN</t>
        </is>
      </c>
      <c r="E233" t="inlineStr">
        <is>
          <t>ÖSTHAMMAR</t>
        </is>
      </c>
      <c r="F233" t="inlineStr">
        <is>
          <t>Allmännings- och besparingsskogar</t>
        </is>
      </c>
      <c r="G233" t="n">
        <v>1.1</v>
      </c>
      <c r="H233" t="n">
        <v>0</v>
      </c>
      <c r="I233" t="n">
        <v>0</v>
      </c>
      <c r="J233" t="n">
        <v>0</v>
      </c>
      <c r="K233" t="n">
        <v>0</v>
      </c>
      <c r="L233" t="n">
        <v>0</v>
      </c>
      <c r="M233" t="n">
        <v>0</v>
      </c>
      <c r="N233" t="n">
        <v>0</v>
      </c>
      <c r="O233" t="n">
        <v>0</v>
      </c>
      <c r="P233" t="n">
        <v>0</v>
      </c>
      <c r="Q233" t="n">
        <v>0</v>
      </c>
      <c r="R233" s="2" t="inlineStr"/>
    </row>
    <row r="234" ht="15" customHeight="1">
      <c r="A234" t="inlineStr">
        <is>
          <t>A 5931-2022</t>
        </is>
      </c>
      <c r="B234" s="1" t="n">
        <v>44598.82700231481</v>
      </c>
      <c r="C234" s="1" t="n">
        <v>46091</v>
      </c>
      <c r="D234" t="inlineStr">
        <is>
          <t>UPPSALA LÄN</t>
        </is>
      </c>
      <c r="E234" t="inlineStr">
        <is>
          <t>ÖSTHAMMAR</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43655-2024</t>
        </is>
      </c>
      <c r="B235" s="1" t="n">
        <v>45569</v>
      </c>
      <c r="C235" s="1" t="n">
        <v>46091</v>
      </c>
      <c r="D235" t="inlineStr">
        <is>
          <t>UPPSALA LÄN</t>
        </is>
      </c>
      <c r="E235" t="inlineStr">
        <is>
          <t>ÖSTHAMMAR</t>
        </is>
      </c>
      <c r="G235" t="n">
        <v>2.1</v>
      </c>
      <c r="H235" t="n">
        <v>0</v>
      </c>
      <c r="I235" t="n">
        <v>0</v>
      </c>
      <c r="J235" t="n">
        <v>0</v>
      </c>
      <c r="K235" t="n">
        <v>0</v>
      </c>
      <c r="L235" t="n">
        <v>0</v>
      </c>
      <c r="M235" t="n">
        <v>0</v>
      </c>
      <c r="N235" t="n">
        <v>0</v>
      </c>
      <c r="O235" t="n">
        <v>0</v>
      </c>
      <c r="P235" t="n">
        <v>0</v>
      </c>
      <c r="Q235" t="n">
        <v>0</v>
      </c>
      <c r="R235" s="2" t="inlineStr"/>
    </row>
    <row r="236" ht="15" customHeight="1">
      <c r="A236" t="inlineStr">
        <is>
          <t>A 43683-2024</t>
        </is>
      </c>
      <c r="B236" s="1" t="n">
        <v>45569.57518518518</v>
      </c>
      <c r="C236" s="1" t="n">
        <v>46091</v>
      </c>
      <c r="D236" t="inlineStr">
        <is>
          <t>UPPSALA LÄN</t>
        </is>
      </c>
      <c r="E236" t="inlineStr">
        <is>
          <t>ÖSTHAMMAR</t>
        </is>
      </c>
      <c r="G236" t="n">
        <v>4.7</v>
      </c>
      <c r="H236" t="n">
        <v>0</v>
      </c>
      <c r="I236" t="n">
        <v>0</v>
      </c>
      <c r="J236" t="n">
        <v>0</v>
      </c>
      <c r="K236" t="n">
        <v>0</v>
      </c>
      <c r="L236" t="n">
        <v>0</v>
      </c>
      <c r="M236" t="n">
        <v>0</v>
      </c>
      <c r="N236" t="n">
        <v>0</v>
      </c>
      <c r="O236" t="n">
        <v>0</v>
      </c>
      <c r="P236" t="n">
        <v>0</v>
      </c>
      <c r="Q236" t="n">
        <v>0</v>
      </c>
      <c r="R236" s="2" t="inlineStr"/>
    </row>
    <row r="237" ht="15" customHeight="1">
      <c r="A237" t="inlineStr">
        <is>
          <t>A 5877-2023</t>
        </is>
      </c>
      <c r="B237" s="1" t="n">
        <v>44963.62001157407</v>
      </c>
      <c r="C237" s="1" t="n">
        <v>46091</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25938-2024</t>
        </is>
      </c>
      <c r="B238" s="1" t="n">
        <v>45467.63127314814</v>
      </c>
      <c r="C238" s="1" t="n">
        <v>46091</v>
      </c>
      <c r="D238" t="inlineStr">
        <is>
          <t>UPPSALA LÄN</t>
        </is>
      </c>
      <c r="E238" t="inlineStr">
        <is>
          <t>ÖSTHAMMAR</t>
        </is>
      </c>
      <c r="F238" t="inlineStr">
        <is>
          <t>Bergvik skog öst AB</t>
        </is>
      </c>
      <c r="G238" t="n">
        <v>2.2</v>
      </c>
      <c r="H238" t="n">
        <v>0</v>
      </c>
      <c r="I238" t="n">
        <v>0</v>
      </c>
      <c r="J238" t="n">
        <v>0</v>
      </c>
      <c r="K238" t="n">
        <v>0</v>
      </c>
      <c r="L238" t="n">
        <v>0</v>
      </c>
      <c r="M238" t="n">
        <v>0</v>
      </c>
      <c r="N238" t="n">
        <v>0</v>
      </c>
      <c r="O238" t="n">
        <v>0</v>
      </c>
      <c r="P238" t="n">
        <v>0</v>
      </c>
      <c r="Q238" t="n">
        <v>0</v>
      </c>
      <c r="R238" s="2" t="inlineStr"/>
    </row>
    <row r="239" ht="15" customHeight="1">
      <c r="A239" t="inlineStr">
        <is>
          <t>A 33552-2024</t>
        </is>
      </c>
      <c r="B239" s="1" t="n">
        <v>45519</v>
      </c>
      <c r="C239" s="1" t="n">
        <v>46091</v>
      </c>
      <c r="D239" t="inlineStr">
        <is>
          <t>UPPSALA LÄN</t>
        </is>
      </c>
      <c r="E239" t="inlineStr">
        <is>
          <t>ÖSTHAMMAR</t>
        </is>
      </c>
      <c r="F239" t="inlineStr">
        <is>
          <t>Bergvik skog öst AB</t>
        </is>
      </c>
      <c r="G239" t="n">
        <v>0.4</v>
      </c>
      <c r="H239" t="n">
        <v>0</v>
      </c>
      <c r="I239" t="n">
        <v>0</v>
      </c>
      <c r="J239" t="n">
        <v>0</v>
      </c>
      <c r="K239" t="n">
        <v>0</v>
      </c>
      <c r="L239" t="n">
        <v>0</v>
      </c>
      <c r="M239" t="n">
        <v>0</v>
      </c>
      <c r="N239" t="n">
        <v>0</v>
      </c>
      <c r="O239" t="n">
        <v>0</v>
      </c>
      <c r="P239" t="n">
        <v>0</v>
      </c>
      <c r="Q239" t="n">
        <v>0</v>
      </c>
      <c r="R239" s="2" t="inlineStr"/>
    </row>
    <row r="240" ht="15" customHeight="1">
      <c r="A240" t="inlineStr">
        <is>
          <t>A 33553-2024</t>
        </is>
      </c>
      <c r="B240" s="1" t="n">
        <v>45519</v>
      </c>
      <c r="C240" s="1" t="n">
        <v>46091</v>
      </c>
      <c r="D240" t="inlineStr">
        <is>
          <t>UPPSALA LÄN</t>
        </is>
      </c>
      <c r="E240" t="inlineStr">
        <is>
          <t>ÖSTHAMMAR</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42213-2025</t>
        </is>
      </c>
      <c r="B241" s="1" t="n">
        <v>45904.50652777778</v>
      </c>
      <c r="C241" s="1" t="n">
        <v>46091</v>
      </c>
      <c r="D241" t="inlineStr">
        <is>
          <t>UPPSALA LÄN</t>
        </is>
      </c>
      <c r="E241" t="inlineStr">
        <is>
          <t>ÖSTHAMMAR</t>
        </is>
      </c>
      <c r="G241" t="n">
        <v>0.8</v>
      </c>
      <c r="H241" t="n">
        <v>0</v>
      </c>
      <c r="I241" t="n">
        <v>0</v>
      </c>
      <c r="J241" t="n">
        <v>0</v>
      </c>
      <c r="K241" t="n">
        <v>0</v>
      </c>
      <c r="L241" t="n">
        <v>0</v>
      </c>
      <c r="M241" t="n">
        <v>0</v>
      </c>
      <c r="N241" t="n">
        <v>0</v>
      </c>
      <c r="O241" t="n">
        <v>0</v>
      </c>
      <c r="P241" t="n">
        <v>0</v>
      </c>
      <c r="Q241" t="n">
        <v>0</v>
      </c>
      <c r="R241" s="2" t="inlineStr"/>
    </row>
    <row r="242" ht="15" customHeight="1">
      <c r="A242" t="inlineStr">
        <is>
          <t>A 52332-2025</t>
        </is>
      </c>
      <c r="B242" s="1" t="n">
        <v>45953.67853009259</v>
      </c>
      <c r="C242" s="1" t="n">
        <v>46091</v>
      </c>
      <c r="D242" t="inlineStr">
        <is>
          <t>UPPSALA LÄN</t>
        </is>
      </c>
      <c r="E242" t="inlineStr">
        <is>
          <t>ÖSTHAMMAR</t>
        </is>
      </c>
      <c r="F242" t="inlineStr">
        <is>
          <t>Bergvik skog öst AB</t>
        </is>
      </c>
      <c r="G242" t="n">
        <v>3.8</v>
      </c>
      <c r="H242" t="n">
        <v>0</v>
      </c>
      <c r="I242" t="n">
        <v>0</v>
      </c>
      <c r="J242" t="n">
        <v>0</v>
      </c>
      <c r="K242" t="n">
        <v>0</v>
      </c>
      <c r="L242" t="n">
        <v>0</v>
      </c>
      <c r="M242" t="n">
        <v>0</v>
      </c>
      <c r="N242" t="n">
        <v>0</v>
      </c>
      <c r="O242" t="n">
        <v>0</v>
      </c>
      <c r="P242" t="n">
        <v>0</v>
      </c>
      <c r="Q242" t="n">
        <v>0</v>
      </c>
      <c r="R242" s="2" t="inlineStr"/>
    </row>
    <row r="243" ht="15" customHeight="1">
      <c r="A243" t="inlineStr">
        <is>
          <t>A 32483-2024</t>
        </is>
      </c>
      <c r="B243" s="1" t="n">
        <v>45513.36644675926</v>
      </c>
      <c r="C243" s="1" t="n">
        <v>46091</v>
      </c>
      <c r="D243" t="inlineStr">
        <is>
          <t>UPPSALA LÄN</t>
        </is>
      </c>
      <c r="E243" t="inlineStr">
        <is>
          <t>ÖSTHAMMAR</t>
        </is>
      </c>
      <c r="F243" t="inlineStr">
        <is>
          <t>Kyrkan</t>
        </is>
      </c>
      <c r="G243" t="n">
        <v>4.7</v>
      </c>
      <c r="H243" t="n">
        <v>0</v>
      </c>
      <c r="I243" t="n">
        <v>0</v>
      </c>
      <c r="J243" t="n">
        <v>0</v>
      </c>
      <c r="K243" t="n">
        <v>0</v>
      </c>
      <c r="L243" t="n">
        <v>0</v>
      </c>
      <c r="M243" t="n">
        <v>0</v>
      </c>
      <c r="N243" t="n">
        <v>0</v>
      </c>
      <c r="O243" t="n">
        <v>0</v>
      </c>
      <c r="P243" t="n">
        <v>0</v>
      </c>
      <c r="Q243" t="n">
        <v>0</v>
      </c>
      <c r="R243" s="2" t="inlineStr"/>
    </row>
    <row r="244" ht="15" customHeight="1">
      <c r="A244" t="inlineStr">
        <is>
          <t>A 14595-2023</t>
        </is>
      </c>
      <c r="B244" s="1" t="n">
        <v>45013.57858796296</v>
      </c>
      <c r="C244" s="1" t="n">
        <v>46091</v>
      </c>
      <c r="D244" t="inlineStr">
        <is>
          <t>UPPSALA LÄN</t>
        </is>
      </c>
      <c r="E244" t="inlineStr">
        <is>
          <t>ÖSTHAMMAR</t>
        </is>
      </c>
      <c r="G244" t="n">
        <v>5</v>
      </c>
      <c r="H244" t="n">
        <v>0</v>
      </c>
      <c r="I244" t="n">
        <v>0</v>
      </c>
      <c r="J244" t="n">
        <v>0</v>
      </c>
      <c r="K244" t="n">
        <v>0</v>
      </c>
      <c r="L244" t="n">
        <v>0</v>
      </c>
      <c r="M244" t="n">
        <v>0</v>
      </c>
      <c r="N244" t="n">
        <v>0</v>
      </c>
      <c r="O244" t="n">
        <v>0</v>
      </c>
      <c r="P244" t="n">
        <v>0</v>
      </c>
      <c r="Q244" t="n">
        <v>0</v>
      </c>
      <c r="R244" s="2" t="inlineStr"/>
    </row>
    <row r="245" ht="15" customHeight="1">
      <c r="A245" t="inlineStr">
        <is>
          <t>A 5429-2023</t>
        </is>
      </c>
      <c r="B245" s="1" t="n">
        <v>44959.83037037037</v>
      </c>
      <c r="C245" s="1" t="n">
        <v>46091</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33685-2024</t>
        </is>
      </c>
      <c r="B246" s="1" t="n">
        <v>45520.51063657407</v>
      </c>
      <c r="C246" s="1" t="n">
        <v>46091</v>
      </c>
      <c r="D246" t="inlineStr">
        <is>
          <t>UPPSALA LÄN</t>
        </is>
      </c>
      <c r="E246" t="inlineStr">
        <is>
          <t>ÖSTHAMMAR</t>
        </is>
      </c>
      <c r="F246" t="inlineStr">
        <is>
          <t>Bergvik skog öst AB</t>
        </is>
      </c>
      <c r="G246" t="n">
        <v>3.8</v>
      </c>
      <c r="H246" t="n">
        <v>0</v>
      </c>
      <c r="I246" t="n">
        <v>0</v>
      </c>
      <c r="J246" t="n">
        <v>0</v>
      </c>
      <c r="K246" t="n">
        <v>0</v>
      </c>
      <c r="L246" t="n">
        <v>0</v>
      </c>
      <c r="M246" t="n">
        <v>0</v>
      </c>
      <c r="N246" t="n">
        <v>0</v>
      </c>
      <c r="O246" t="n">
        <v>0</v>
      </c>
      <c r="P246" t="n">
        <v>0</v>
      </c>
      <c r="Q246" t="n">
        <v>0</v>
      </c>
      <c r="R246" s="2" t="inlineStr"/>
    </row>
    <row r="247" ht="15" customHeight="1">
      <c r="A247" t="inlineStr">
        <is>
          <t>A 44027-2024</t>
        </is>
      </c>
      <c r="B247" s="1" t="n">
        <v>45572</v>
      </c>
      <c r="C247" s="1" t="n">
        <v>46091</v>
      </c>
      <c r="D247" t="inlineStr">
        <is>
          <t>UPPSALA LÄN</t>
        </is>
      </c>
      <c r="E247" t="inlineStr">
        <is>
          <t>ÖSTHAMMAR</t>
        </is>
      </c>
      <c r="G247" t="n">
        <v>6</v>
      </c>
      <c r="H247" t="n">
        <v>0</v>
      </c>
      <c r="I247" t="n">
        <v>0</v>
      </c>
      <c r="J247" t="n">
        <v>0</v>
      </c>
      <c r="K247" t="n">
        <v>0</v>
      </c>
      <c r="L247" t="n">
        <v>0</v>
      </c>
      <c r="M247" t="n">
        <v>0</v>
      </c>
      <c r="N247" t="n">
        <v>0</v>
      </c>
      <c r="O247" t="n">
        <v>0</v>
      </c>
      <c r="P247" t="n">
        <v>0</v>
      </c>
      <c r="Q247" t="n">
        <v>0</v>
      </c>
      <c r="R247" s="2" t="inlineStr"/>
    </row>
    <row r="248" ht="15" customHeight="1">
      <c r="A248" t="inlineStr">
        <is>
          <t>A 59731-2023</t>
        </is>
      </c>
      <c r="B248" s="1" t="n">
        <v>45257</v>
      </c>
      <c r="C248" s="1" t="n">
        <v>46091</v>
      </c>
      <c r="D248" t="inlineStr">
        <is>
          <t>UPPSALA LÄN</t>
        </is>
      </c>
      <c r="E248" t="inlineStr">
        <is>
          <t>ÖSTHAMMAR</t>
        </is>
      </c>
      <c r="G248" t="n">
        <v>0.7</v>
      </c>
      <c r="H248" t="n">
        <v>0</v>
      </c>
      <c r="I248" t="n">
        <v>0</v>
      </c>
      <c r="J248" t="n">
        <v>0</v>
      </c>
      <c r="K248" t="n">
        <v>0</v>
      </c>
      <c r="L248" t="n">
        <v>0</v>
      </c>
      <c r="M248" t="n">
        <v>0</v>
      </c>
      <c r="N248" t="n">
        <v>0</v>
      </c>
      <c r="O248" t="n">
        <v>0</v>
      </c>
      <c r="P248" t="n">
        <v>0</v>
      </c>
      <c r="Q248" t="n">
        <v>0</v>
      </c>
      <c r="R248" s="2" t="inlineStr"/>
    </row>
    <row r="249" ht="15" customHeight="1">
      <c r="A249" t="inlineStr">
        <is>
          <t>A 34607-2023</t>
        </is>
      </c>
      <c r="B249" s="1" t="n">
        <v>45138</v>
      </c>
      <c r="C249" s="1" t="n">
        <v>46091</v>
      </c>
      <c r="D249" t="inlineStr">
        <is>
          <t>UPPSALA LÄN</t>
        </is>
      </c>
      <c r="E249" t="inlineStr">
        <is>
          <t>ÖSTHAMMAR</t>
        </is>
      </c>
      <c r="G249" t="n">
        <v>4.7</v>
      </c>
      <c r="H249" t="n">
        <v>0</v>
      </c>
      <c r="I249" t="n">
        <v>0</v>
      </c>
      <c r="J249" t="n">
        <v>0</v>
      </c>
      <c r="K249" t="n">
        <v>0</v>
      </c>
      <c r="L249" t="n">
        <v>0</v>
      </c>
      <c r="M249" t="n">
        <v>0</v>
      </c>
      <c r="N249" t="n">
        <v>0</v>
      </c>
      <c r="O249" t="n">
        <v>0</v>
      </c>
      <c r="P249" t="n">
        <v>0</v>
      </c>
      <c r="Q249" t="n">
        <v>0</v>
      </c>
      <c r="R249" s="2" t="inlineStr"/>
    </row>
    <row r="250" ht="15" customHeight="1">
      <c r="A250" t="inlineStr">
        <is>
          <t>A 54666-2022</t>
        </is>
      </c>
      <c r="B250" s="1" t="n">
        <v>44883</v>
      </c>
      <c r="C250" s="1" t="n">
        <v>46091</v>
      </c>
      <c r="D250" t="inlineStr">
        <is>
          <t>UPPSALA LÄN</t>
        </is>
      </c>
      <c r="E250" t="inlineStr">
        <is>
          <t>ÖSTHAMMAR</t>
        </is>
      </c>
      <c r="G250" t="n">
        <v>14.3</v>
      </c>
      <c r="H250" t="n">
        <v>0</v>
      </c>
      <c r="I250" t="n">
        <v>0</v>
      </c>
      <c r="J250" t="n">
        <v>0</v>
      </c>
      <c r="K250" t="n">
        <v>0</v>
      </c>
      <c r="L250" t="n">
        <v>0</v>
      </c>
      <c r="M250" t="n">
        <v>0</v>
      </c>
      <c r="N250" t="n">
        <v>0</v>
      </c>
      <c r="O250" t="n">
        <v>0</v>
      </c>
      <c r="P250" t="n">
        <v>0</v>
      </c>
      <c r="Q250" t="n">
        <v>0</v>
      </c>
      <c r="R250" s="2" t="inlineStr"/>
    </row>
    <row r="251" ht="15" customHeight="1">
      <c r="A251" t="inlineStr">
        <is>
          <t>A 52659-2021</t>
        </is>
      </c>
      <c r="B251" s="1" t="n">
        <v>44466</v>
      </c>
      <c r="C251" s="1" t="n">
        <v>46091</v>
      </c>
      <c r="D251" t="inlineStr">
        <is>
          <t>UPPSALA LÄN</t>
        </is>
      </c>
      <c r="E251" t="inlineStr">
        <is>
          <t>ÖSTHAMMAR</t>
        </is>
      </c>
      <c r="G251" t="n">
        <v>13</v>
      </c>
      <c r="H251" t="n">
        <v>0</v>
      </c>
      <c r="I251" t="n">
        <v>0</v>
      </c>
      <c r="J251" t="n">
        <v>0</v>
      </c>
      <c r="K251" t="n">
        <v>0</v>
      </c>
      <c r="L251" t="n">
        <v>0</v>
      </c>
      <c r="M251" t="n">
        <v>0</v>
      </c>
      <c r="N251" t="n">
        <v>0</v>
      </c>
      <c r="O251" t="n">
        <v>0</v>
      </c>
      <c r="P251" t="n">
        <v>0</v>
      </c>
      <c r="Q251" t="n">
        <v>0</v>
      </c>
      <c r="R251" s="2" t="inlineStr"/>
    </row>
    <row r="252" ht="15" customHeight="1">
      <c r="A252" t="inlineStr">
        <is>
          <t>A 38886-2025</t>
        </is>
      </c>
      <c r="B252" s="1" t="n">
        <v>45887.58370370371</v>
      </c>
      <c r="C252" s="1" t="n">
        <v>46091</v>
      </c>
      <c r="D252" t="inlineStr">
        <is>
          <t>UPPSALA LÄN</t>
        </is>
      </c>
      <c r="E252" t="inlineStr">
        <is>
          <t>ÖSTHAMMAR</t>
        </is>
      </c>
      <c r="F252" t="inlineStr">
        <is>
          <t>Bergvik skog öst AB</t>
        </is>
      </c>
      <c r="G252" t="n">
        <v>4.7</v>
      </c>
      <c r="H252" t="n">
        <v>0</v>
      </c>
      <c r="I252" t="n">
        <v>0</v>
      </c>
      <c r="J252" t="n">
        <v>0</v>
      </c>
      <c r="K252" t="n">
        <v>0</v>
      </c>
      <c r="L252" t="n">
        <v>0</v>
      </c>
      <c r="M252" t="n">
        <v>0</v>
      </c>
      <c r="N252" t="n">
        <v>0</v>
      </c>
      <c r="O252" t="n">
        <v>0</v>
      </c>
      <c r="P252" t="n">
        <v>0</v>
      </c>
      <c r="Q252" t="n">
        <v>0</v>
      </c>
      <c r="R252" s="2" t="inlineStr"/>
    </row>
    <row r="253" ht="15" customHeight="1">
      <c r="A253" t="inlineStr">
        <is>
          <t>A 5344-2025</t>
        </is>
      </c>
      <c r="B253" s="1" t="n">
        <v>45692</v>
      </c>
      <c r="C253" s="1" t="n">
        <v>46091</v>
      </c>
      <c r="D253" t="inlineStr">
        <is>
          <t>UPPSALA LÄN</t>
        </is>
      </c>
      <c r="E253" t="inlineStr">
        <is>
          <t>ÖSTHAMMAR</t>
        </is>
      </c>
      <c r="F253" t="inlineStr">
        <is>
          <t>Bergvik skog öst AB</t>
        </is>
      </c>
      <c r="G253" t="n">
        <v>3.2</v>
      </c>
      <c r="H253" t="n">
        <v>0</v>
      </c>
      <c r="I253" t="n">
        <v>0</v>
      </c>
      <c r="J253" t="n">
        <v>0</v>
      </c>
      <c r="K253" t="n">
        <v>0</v>
      </c>
      <c r="L253" t="n">
        <v>0</v>
      </c>
      <c r="M253" t="n">
        <v>0</v>
      </c>
      <c r="N253" t="n">
        <v>0</v>
      </c>
      <c r="O253" t="n">
        <v>0</v>
      </c>
      <c r="P253" t="n">
        <v>0</v>
      </c>
      <c r="Q253" t="n">
        <v>0</v>
      </c>
      <c r="R253" s="2" t="inlineStr"/>
    </row>
    <row r="254" ht="15" customHeight="1">
      <c r="A254" t="inlineStr">
        <is>
          <t>A 56969-2022</t>
        </is>
      </c>
      <c r="B254" s="1" t="n">
        <v>44894.68043981482</v>
      </c>
      <c r="C254" s="1" t="n">
        <v>46091</v>
      </c>
      <c r="D254" t="inlineStr">
        <is>
          <t>UPPSALA LÄN</t>
        </is>
      </c>
      <c r="E254" t="inlineStr">
        <is>
          <t>ÖSTHAMMAR</t>
        </is>
      </c>
      <c r="G254" t="n">
        <v>5.5</v>
      </c>
      <c r="H254" t="n">
        <v>0</v>
      </c>
      <c r="I254" t="n">
        <v>0</v>
      </c>
      <c r="J254" t="n">
        <v>0</v>
      </c>
      <c r="K254" t="n">
        <v>0</v>
      </c>
      <c r="L254" t="n">
        <v>0</v>
      </c>
      <c r="M254" t="n">
        <v>0</v>
      </c>
      <c r="N254" t="n">
        <v>0</v>
      </c>
      <c r="O254" t="n">
        <v>0</v>
      </c>
      <c r="P254" t="n">
        <v>0</v>
      </c>
      <c r="Q254" t="n">
        <v>0</v>
      </c>
      <c r="R254" s="2" t="inlineStr"/>
    </row>
    <row r="255" ht="15" customHeight="1">
      <c r="A255" t="inlineStr">
        <is>
          <t>A 7876-2023</t>
        </is>
      </c>
      <c r="B255" s="1" t="n">
        <v>44973.57263888889</v>
      </c>
      <c r="C255" s="1" t="n">
        <v>46091</v>
      </c>
      <c r="D255" t="inlineStr">
        <is>
          <t>UPPSALA LÄN</t>
        </is>
      </c>
      <c r="E255" t="inlineStr">
        <is>
          <t>ÖSTHAMMAR</t>
        </is>
      </c>
      <c r="G255" t="n">
        <v>0.9</v>
      </c>
      <c r="H255" t="n">
        <v>0</v>
      </c>
      <c r="I255" t="n">
        <v>0</v>
      </c>
      <c r="J255" t="n">
        <v>0</v>
      </c>
      <c r="K255" t="n">
        <v>0</v>
      </c>
      <c r="L255" t="n">
        <v>0</v>
      </c>
      <c r="M255" t="n">
        <v>0</v>
      </c>
      <c r="N255" t="n">
        <v>0</v>
      </c>
      <c r="O255" t="n">
        <v>0</v>
      </c>
      <c r="P255" t="n">
        <v>0</v>
      </c>
      <c r="Q255" t="n">
        <v>0</v>
      </c>
      <c r="R255" s="2" t="inlineStr"/>
    </row>
    <row r="256" ht="15" customHeight="1">
      <c r="A256" t="inlineStr">
        <is>
          <t>A 36904-2023</t>
        </is>
      </c>
      <c r="B256" s="1" t="n">
        <v>45154</v>
      </c>
      <c r="C256" s="1" t="n">
        <v>46091</v>
      </c>
      <c r="D256" t="inlineStr">
        <is>
          <t>UPPSALA LÄN</t>
        </is>
      </c>
      <c r="E256" t="inlineStr">
        <is>
          <t>ÖSTHAMMAR</t>
        </is>
      </c>
      <c r="F256" t="inlineStr">
        <is>
          <t>Övriga Aktiebolag</t>
        </is>
      </c>
      <c r="G256" t="n">
        <v>1.5</v>
      </c>
      <c r="H256" t="n">
        <v>0</v>
      </c>
      <c r="I256" t="n">
        <v>0</v>
      </c>
      <c r="J256" t="n">
        <v>0</v>
      </c>
      <c r="K256" t="n">
        <v>0</v>
      </c>
      <c r="L256" t="n">
        <v>0</v>
      </c>
      <c r="M256" t="n">
        <v>0</v>
      </c>
      <c r="N256" t="n">
        <v>0</v>
      </c>
      <c r="O256" t="n">
        <v>0</v>
      </c>
      <c r="P256" t="n">
        <v>0</v>
      </c>
      <c r="Q256" t="n">
        <v>0</v>
      </c>
      <c r="R256" s="2" t="inlineStr"/>
    </row>
    <row r="257" ht="15" customHeight="1">
      <c r="A257" t="inlineStr">
        <is>
          <t>A 35539-2023</t>
        </is>
      </c>
      <c r="B257" s="1" t="n">
        <v>45147.37006944444</v>
      </c>
      <c r="C257" s="1" t="n">
        <v>46091</v>
      </c>
      <c r="D257" t="inlineStr">
        <is>
          <t>UPPSALA LÄN</t>
        </is>
      </c>
      <c r="E257" t="inlineStr">
        <is>
          <t>ÖSTHAMMAR</t>
        </is>
      </c>
      <c r="G257" t="n">
        <v>1.4</v>
      </c>
      <c r="H257" t="n">
        <v>0</v>
      </c>
      <c r="I257" t="n">
        <v>0</v>
      </c>
      <c r="J257" t="n">
        <v>0</v>
      </c>
      <c r="K257" t="n">
        <v>0</v>
      </c>
      <c r="L257" t="n">
        <v>0</v>
      </c>
      <c r="M257" t="n">
        <v>0</v>
      </c>
      <c r="N257" t="n">
        <v>0</v>
      </c>
      <c r="O257" t="n">
        <v>0</v>
      </c>
      <c r="P257" t="n">
        <v>0</v>
      </c>
      <c r="Q257" t="n">
        <v>0</v>
      </c>
      <c r="R257" s="2" t="inlineStr"/>
    </row>
    <row r="258" ht="15" customHeight="1">
      <c r="A258" t="inlineStr">
        <is>
          <t>A 23305-2025</t>
        </is>
      </c>
      <c r="B258" s="1" t="n">
        <v>45791.60127314815</v>
      </c>
      <c r="C258" s="1" t="n">
        <v>46091</v>
      </c>
      <c r="D258" t="inlineStr">
        <is>
          <t>UPPSALA LÄN</t>
        </is>
      </c>
      <c r="E258" t="inlineStr">
        <is>
          <t>ÖSTHAMMAR</t>
        </is>
      </c>
      <c r="G258" t="n">
        <v>1.9</v>
      </c>
      <c r="H258" t="n">
        <v>0</v>
      </c>
      <c r="I258" t="n">
        <v>0</v>
      </c>
      <c r="J258" t="n">
        <v>0</v>
      </c>
      <c r="K258" t="n">
        <v>0</v>
      </c>
      <c r="L258" t="n">
        <v>0</v>
      </c>
      <c r="M258" t="n">
        <v>0</v>
      </c>
      <c r="N258" t="n">
        <v>0</v>
      </c>
      <c r="O258" t="n">
        <v>0</v>
      </c>
      <c r="P258" t="n">
        <v>0</v>
      </c>
      <c r="Q258" t="n">
        <v>0</v>
      </c>
      <c r="R258" s="2" t="inlineStr"/>
    </row>
    <row r="259" ht="15" customHeight="1">
      <c r="A259" t="inlineStr">
        <is>
          <t>A 38233-2024</t>
        </is>
      </c>
      <c r="B259" s="1" t="n">
        <v>45545</v>
      </c>
      <c r="C259" s="1" t="n">
        <v>46091</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56260-2022</t>
        </is>
      </c>
      <c r="B260" s="1" t="n">
        <v>44890</v>
      </c>
      <c r="C260" s="1" t="n">
        <v>46091</v>
      </c>
      <c r="D260" t="inlineStr">
        <is>
          <t>UPPSALA LÄN</t>
        </is>
      </c>
      <c r="E260" t="inlineStr">
        <is>
          <t>ÖSTHAMMAR</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40044-2025</t>
        </is>
      </c>
      <c r="B261" s="1" t="n">
        <v>45894.40133101852</v>
      </c>
      <c r="C261" s="1" t="n">
        <v>46091</v>
      </c>
      <c r="D261" t="inlineStr">
        <is>
          <t>UPPSALA LÄN</t>
        </is>
      </c>
      <c r="E261" t="inlineStr">
        <is>
          <t>ÖSTHAMMAR</t>
        </is>
      </c>
      <c r="F261" t="inlineStr">
        <is>
          <t>Kyrkan</t>
        </is>
      </c>
      <c r="G261" t="n">
        <v>8.9</v>
      </c>
      <c r="H261" t="n">
        <v>0</v>
      </c>
      <c r="I261" t="n">
        <v>0</v>
      </c>
      <c r="J261" t="n">
        <v>0</v>
      </c>
      <c r="K261" t="n">
        <v>0</v>
      </c>
      <c r="L261" t="n">
        <v>0</v>
      </c>
      <c r="M261" t="n">
        <v>0</v>
      </c>
      <c r="N261" t="n">
        <v>0</v>
      </c>
      <c r="O261" t="n">
        <v>0</v>
      </c>
      <c r="P261" t="n">
        <v>0</v>
      </c>
      <c r="Q261" t="n">
        <v>0</v>
      </c>
      <c r="R261" s="2" t="inlineStr"/>
    </row>
    <row r="262" ht="15" customHeight="1">
      <c r="A262" t="inlineStr">
        <is>
          <t>A 40016-2025</t>
        </is>
      </c>
      <c r="B262" s="1" t="n">
        <v>45894.34747685185</v>
      </c>
      <c r="C262" s="1" t="n">
        <v>46091</v>
      </c>
      <c r="D262" t="inlineStr">
        <is>
          <t>UPPSALA LÄN</t>
        </is>
      </c>
      <c r="E262" t="inlineStr">
        <is>
          <t>ÖSTHAMMAR</t>
        </is>
      </c>
      <c r="F262" t="inlineStr">
        <is>
          <t>Kyrkan</t>
        </is>
      </c>
      <c r="G262" t="n">
        <v>6.6</v>
      </c>
      <c r="H262" t="n">
        <v>0</v>
      </c>
      <c r="I262" t="n">
        <v>0</v>
      </c>
      <c r="J262" t="n">
        <v>0</v>
      </c>
      <c r="K262" t="n">
        <v>0</v>
      </c>
      <c r="L262" t="n">
        <v>0</v>
      </c>
      <c r="M262" t="n">
        <v>0</v>
      </c>
      <c r="N262" t="n">
        <v>0</v>
      </c>
      <c r="O262" t="n">
        <v>0</v>
      </c>
      <c r="P262" t="n">
        <v>0</v>
      </c>
      <c r="Q262" t="n">
        <v>0</v>
      </c>
      <c r="R262" s="2" t="inlineStr"/>
    </row>
    <row r="263" ht="15" customHeight="1">
      <c r="A263" t="inlineStr">
        <is>
          <t>A 24606-2024</t>
        </is>
      </c>
      <c r="B263" s="1" t="n">
        <v>45460</v>
      </c>
      <c r="C263" s="1" t="n">
        <v>46091</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29231-2024</t>
        </is>
      </c>
      <c r="B264" s="1" t="n">
        <v>45482</v>
      </c>
      <c r="C264" s="1" t="n">
        <v>46091</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40416-2025</t>
        </is>
      </c>
      <c r="B265" s="1" t="n">
        <v>45895.57736111111</v>
      </c>
      <c r="C265" s="1" t="n">
        <v>46091</v>
      </c>
      <c r="D265" t="inlineStr">
        <is>
          <t>UPPSALA LÄN</t>
        </is>
      </c>
      <c r="E265" t="inlineStr">
        <is>
          <t>ÖSTHAMMAR</t>
        </is>
      </c>
      <c r="G265" t="n">
        <v>0.4</v>
      </c>
      <c r="H265" t="n">
        <v>0</v>
      </c>
      <c r="I265" t="n">
        <v>0</v>
      </c>
      <c r="J265" t="n">
        <v>0</v>
      </c>
      <c r="K265" t="n">
        <v>0</v>
      </c>
      <c r="L265" t="n">
        <v>0</v>
      </c>
      <c r="M265" t="n">
        <v>0</v>
      </c>
      <c r="N265" t="n">
        <v>0</v>
      </c>
      <c r="O265" t="n">
        <v>0</v>
      </c>
      <c r="P265" t="n">
        <v>0</v>
      </c>
      <c r="Q265" t="n">
        <v>0</v>
      </c>
      <c r="R265" s="2" t="inlineStr"/>
    </row>
    <row r="266" ht="15" customHeight="1">
      <c r="A266" t="inlineStr">
        <is>
          <t>A 40377-2025</t>
        </is>
      </c>
      <c r="B266" s="1" t="n">
        <v>45895.53020833333</v>
      </c>
      <c r="C266" s="1" t="n">
        <v>46091</v>
      </c>
      <c r="D266" t="inlineStr">
        <is>
          <t>UPPSALA LÄN</t>
        </is>
      </c>
      <c r="E266" t="inlineStr">
        <is>
          <t>ÖSTHAMMAR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30931-2021</t>
        </is>
      </c>
      <c r="B267" s="1" t="n">
        <v>44365</v>
      </c>
      <c r="C267" s="1" t="n">
        <v>46091</v>
      </c>
      <c r="D267" t="inlineStr">
        <is>
          <t>UPPSALA LÄN</t>
        </is>
      </c>
      <c r="E267" t="inlineStr">
        <is>
          <t>ÖSTHAMMAR</t>
        </is>
      </c>
      <c r="F267" t="inlineStr">
        <is>
          <t>Bergvik skog öst AB</t>
        </is>
      </c>
      <c r="G267" t="n">
        <v>2.3</v>
      </c>
      <c r="H267" t="n">
        <v>0</v>
      </c>
      <c r="I267" t="n">
        <v>0</v>
      </c>
      <c r="J267" t="n">
        <v>0</v>
      </c>
      <c r="K267" t="n">
        <v>0</v>
      </c>
      <c r="L267" t="n">
        <v>0</v>
      </c>
      <c r="M267" t="n">
        <v>0</v>
      </c>
      <c r="N267" t="n">
        <v>0</v>
      </c>
      <c r="O267" t="n">
        <v>0</v>
      </c>
      <c r="P267" t="n">
        <v>0</v>
      </c>
      <c r="Q267" t="n">
        <v>0</v>
      </c>
      <c r="R267" s="2" t="inlineStr"/>
    </row>
    <row r="268" ht="15" customHeight="1">
      <c r="A268" t="inlineStr">
        <is>
          <t>A 40462-2025</t>
        </is>
      </c>
      <c r="B268" s="1" t="n">
        <v>45895.65179398148</v>
      </c>
      <c r="C268" s="1" t="n">
        <v>46091</v>
      </c>
      <c r="D268" t="inlineStr">
        <is>
          <t>UPPSALA LÄN</t>
        </is>
      </c>
      <c r="E268" t="inlineStr">
        <is>
          <t>ÖSTHAMMAR</t>
        </is>
      </c>
      <c r="G268" t="n">
        <v>4.5</v>
      </c>
      <c r="H268" t="n">
        <v>0</v>
      </c>
      <c r="I268" t="n">
        <v>0</v>
      </c>
      <c r="J268" t="n">
        <v>0</v>
      </c>
      <c r="K268" t="n">
        <v>0</v>
      </c>
      <c r="L268" t="n">
        <v>0</v>
      </c>
      <c r="M268" t="n">
        <v>0</v>
      </c>
      <c r="N268" t="n">
        <v>0</v>
      </c>
      <c r="O268" t="n">
        <v>0</v>
      </c>
      <c r="P268" t="n">
        <v>0</v>
      </c>
      <c r="Q268" t="n">
        <v>0</v>
      </c>
      <c r="R268" s="2" t="inlineStr"/>
    </row>
    <row r="269" ht="15" customHeight="1">
      <c r="A269" t="inlineStr">
        <is>
          <t>A 40570-2025</t>
        </is>
      </c>
      <c r="B269" s="1" t="n">
        <v>45896.47878472223</v>
      </c>
      <c r="C269" s="1" t="n">
        <v>46091</v>
      </c>
      <c r="D269" t="inlineStr">
        <is>
          <t>UPPSALA LÄN</t>
        </is>
      </c>
      <c r="E269" t="inlineStr">
        <is>
          <t>ÖSTHAMMAR</t>
        </is>
      </c>
      <c r="F269" t="inlineStr">
        <is>
          <t>Övriga Aktiebolag</t>
        </is>
      </c>
      <c r="G269" t="n">
        <v>4.8</v>
      </c>
      <c r="H269" t="n">
        <v>0</v>
      </c>
      <c r="I269" t="n">
        <v>0</v>
      </c>
      <c r="J269" t="n">
        <v>0</v>
      </c>
      <c r="K269" t="n">
        <v>0</v>
      </c>
      <c r="L269" t="n">
        <v>0</v>
      </c>
      <c r="M269" t="n">
        <v>0</v>
      </c>
      <c r="N269" t="n">
        <v>0</v>
      </c>
      <c r="O269" t="n">
        <v>0</v>
      </c>
      <c r="P269" t="n">
        <v>0</v>
      </c>
      <c r="Q269" t="n">
        <v>0</v>
      </c>
      <c r="R269" s="2" t="inlineStr"/>
    </row>
    <row r="270" ht="15" customHeight="1">
      <c r="A270" t="inlineStr">
        <is>
          <t>A 40382-2025</t>
        </is>
      </c>
      <c r="B270" s="1" t="n">
        <v>45895.53689814815</v>
      </c>
      <c r="C270" s="1" t="n">
        <v>46091</v>
      </c>
      <c r="D270" t="inlineStr">
        <is>
          <t>UPPSALA LÄN</t>
        </is>
      </c>
      <c r="E270" t="inlineStr">
        <is>
          <t>ÖSTHAMMAR</t>
        </is>
      </c>
      <c r="G270" t="n">
        <v>2.2</v>
      </c>
      <c r="H270" t="n">
        <v>0</v>
      </c>
      <c r="I270" t="n">
        <v>0</v>
      </c>
      <c r="J270" t="n">
        <v>0</v>
      </c>
      <c r="K270" t="n">
        <v>0</v>
      </c>
      <c r="L270" t="n">
        <v>0</v>
      </c>
      <c r="M270" t="n">
        <v>0</v>
      </c>
      <c r="N270" t="n">
        <v>0</v>
      </c>
      <c r="O270" t="n">
        <v>0</v>
      </c>
      <c r="P270" t="n">
        <v>0</v>
      </c>
      <c r="Q270" t="n">
        <v>0</v>
      </c>
      <c r="R270" s="2" t="inlineStr"/>
    </row>
    <row r="271" ht="15" customHeight="1">
      <c r="A271" t="inlineStr">
        <is>
          <t>A 40384-2025</t>
        </is>
      </c>
      <c r="B271" s="1" t="n">
        <v>45895.54085648148</v>
      </c>
      <c r="C271" s="1" t="n">
        <v>46091</v>
      </c>
      <c r="D271" t="inlineStr">
        <is>
          <t>UPPSALA LÄN</t>
        </is>
      </c>
      <c r="E271" t="inlineStr">
        <is>
          <t>ÖSTHAMMAR</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23968-2025</t>
        </is>
      </c>
      <c r="B272" s="1" t="n">
        <v>45796</v>
      </c>
      <c r="C272" s="1" t="n">
        <v>46091</v>
      </c>
      <c r="D272" t="inlineStr">
        <is>
          <t>UPPSALA LÄN</t>
        </is>
      </c>
      <c r="E272" t="inlineStr">
        <is>
          <t>ÖSTHAMMAR</t>
        </is>
      </c>
      <c r="F272" t="inlineStr">
        <is>
          <t>Bergvik skog öst AB</t>
        </is>
      </c>
      <c r="G272" t="n">
        <v>7.5</v>
      </c>
      <c r="H272" t="n">
        <v>0</v>
      </c>
      <c r="I272" t="n">
        <v>0</v>
      </c>
      <c r="J272" t="n">
        <v>0</v>
      </c>
      <c r="K272" t="n">
        <v>0</v>
      </c>
      <c r="L272" t="n">
        <v>0</v>
      </c>
      <c r="M272" t="n">
        <v>0</v>
      </c>
      <c r="N272" t="n">
        <v>0</v>
      </c>
      <c r="O272" t="n">
        <v>0</v>
      </c>
      <c r="P272" t="n">
        <v>0</v>
      </c>
      <c r="Q272" t="n">
        <v>0</v>
      </c>
      <c r="R272" s="2" t="inlineStr"/>
    </row>
    <row r="273" ht="15" customHeight="1">
      <c r="A273" t="inlineStr">
        <is>
          <t>A 40460-2025</t>
        </is>
      </c>
      <c r="B273" s="1" t="n">
        <v>45895.65013888889</v>
      </c>
      <c r="C273" s="1" t="n">
        <v>46091</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24160-2024</t>
        </is>
      </c>
      <c r="B274" s="1" t="n">
        <v>45456</v>
      </c>
      <c r="C274" s="1" t="n">
        <v>46091</v>
      </c>
      <c r="D274" t="inlineStr">
        <is>
          <t>UPPSALA LÄN</t>
        </is>
      </c>
      <c r="E274" t="inlineStr">
        <is>
          <t>ÖSTHAMMAR</t>
        </is>
      </c>
      <c r="F274" t="inlineStr">
        <is>
          <t>Bergvik skog öst AB</t>
        </is>
      </c>
      <c r="G274" t="n">
        <v>0.7</v>
      </c>
      <c r="H274" t="n">
        <v>0</v>
      </c>
      <c r="I274" t="n">
        <v>0</v>
      </c>
      <c r="J274" t="n">
        <v>0</v>
      </c>
      <c r="K274" t="n">
        <v>0</v>
      </c>
      <c r="L274" t="n">
        <v>0</v>
      </c>
      <c r="M274" t="n">
        <v>0</v>
      </c>
      <c r="N274" t="n">
        <v>0</v>
      </c>
      <c r="O274" t="n">
        <v>0</v>
      </c>
      <c r="P274" t="n">
        <v>0</v>
      </c>
      <c r="Q274" t="n">
        <v>0</v>
      </c>
      <c r="R274" s="2" t="inlineStr"/>
    </row>
    <row r="275" ht="15" customHeight="1">
      <c r="A275" t="inlineStr">
        <is>
          <t>A 1584-2025</t>
        </is>
      </c>
      <c r="B275" s="1" t="n">
        <v>45670</v>
      </c>
      <c r="C275" s="1" t="n">
        <v>46091</v>
      </c>
      <c r="D275" t="inlineStr">
        <is>
          <t>UPPSALA LÄN</t>
        </is>
      </c>
      <c r="E275" t="inlineStr">
        <is>
          <t>ÖSTHAMMAR</t>
        </is>
      </c>
      <c r="G275" t="n">
        <v>0.7</v>
      </c>
      <c r="H275" t="n">
        <v>0</v>
      </c>
      <c r="I275" t="n">
        <v>0</v>
      </c>
      <c r="J275" t="n">
        <v>0</v>
      </c>
      <c r="K275" t="n">
        <v>0</v>
      </c>
      <c r="L275" t="n">
        <v>0</v>
      </c>
      <c r="M275" t="n">
        <v>0</v>
      </c>
      <c r="N275" t="n">
        <v>0</v>
      </c>
      <c r="O275" t="n">
        <v>0</v>
      </c>
      <c r="P275" t="n">
        <v>0</v>
      </c>
      <c r="Q275" t="n">
        <v>0</v>
      </c>
      <c r="R275" s="2" t="inlineStr"/>
    </row>
    <row r="276" ht="15" customHeight="1">
      <c r="A276" t="inlineStr">
        <is>
          <t>A 24174-2025</t>
        </is>
      </c>
      <c r="B276" s="1" t="n">
        <v>45796.69207175926</v>
      </c>
      <c r="C276" s="1" t="n">
        <v>46091</v>
      </c>
      <c r="D276" t="inlineStr">
        <is>
          <t>UPPSALA LÄN</t>
        </is>
      </c>
      <c r="E276" t="inlineStr">
        <is>
          <t>ÖSTHAMMAR</t>
        </is>
      </c>
      <c r="G276" t="n">
        <v>4.9</v>
      </c>
      <c r="H276" t="n">
        <v>0</v>
      </c>
      <c r="I276" t="n">
        <v>0</v>
      </c>
      <c r="J276" t="n">
        <v>0</v>
      </c>
      <c r="K276" t="n">
        <v>0</v>
      </c>
      <c r="L276" t="n">
        <v>0</v>
      </c>
      <c r="M276" t="n">
        <v>0</v>
      </c>
      <c r="N276" t="n">
        <v>0</v>
      </c>
      <c r="O276" t="n">
        <v>0</v>
      </c>
      <c r="P276" t="n">
        <v>0</v>
      </c>
      <c r="Q276" t="n">
        <v>0</v>
      </c>
      <c r="R276" s="2" t="inlineStr"/>
    </row>
    <row r="277" ht="15" customHeight="1">
      <c r="A277" t="inlineStr">
        <is>
          <t>A 30972-2024</t>
        </is>
      </c>
      <c r="B277" s="1" t="n">
        <v>45499.47106481482</v>
      </c>
      <c r="C277" s="1" t="n">
        <v>46091</v>
      </c>
      <c r="D277" t="inlineStr">
        <is>
          <t>UPPSALA LÄN</t>
        </is>
      </c>
      <c r="E277" t="inlineStr">
        <is>
          <t>ÖSTHAMMAR</t>
        </is>
      </c>
      <c r="F277" t="inlineStr">
        <is>
          <t>Bergvik skog öst AB</t>
        </is>
      </c>
      <c r="G277" t="n">
        <v>0.8</v>
      </c>
      <c r="H277" t="n">
        <v>0</v>
      </c>
      <c r="I277" t="n">
        <v>0</v>
      </c>
      <c r="J277" t="n">
        <v>0</v>
      </c>
      <c r="K277" t="n">
        <v>0</v>
      </c>
      <c r="L277" t="n">
        <v>0</v>
      </c>
      <c r="M277" t="n">
        <v>0</v>
      </c>
      <c r="N277" t="n">
        <v>0</v>
      </c>
      <c r="O277" t="n">
        <v>0</v>
      </c>
      <c r="P277" t="n">
        <v>0</v>
      </c>
      <c r="Q277" t="n">
        <v>0</v>
      </c>
      <c r="R277" s="2" t="inlineStr"/>
    </row>
    <row r="278" ht="15" customHeight="1">
      <c r="A278" t="inlineStr">
        <is>
          <t>A 64811-2021</t>
        </is>
      </c>
      <c r="B278" s="1" t="n">
        <v>44512</v>
      </c>
      <c r="C278" s="1" t="n">
        <v>46091</v>
      </c>
      <c r="D278" t="inlineStr">
        <is>
          <t>UPPSALA LÄN</t>
        </is>
      </c>
      <c r="E278" t="inlineStr">
        <is>
          <t>ÖSTHAMMAR</t>
        </is>
      </c>
      <c r="G278" t="n">
        <v>4.2</v>
      </c>
      <c r="H278" t="n">
        <v>0</v>
      </c>
      <c r="I278" t="n">
        <v>0</v>
      </c>
      <c r="J278" t="n">
        <v>0</v>
      </c>
      <c r="K278" t="n">
        <v>0</v>
      </c>
      <c r="L278" t="n">
        <v>0</v>
      </c>
      <c r="M278" t="n">
        <v>0</v>
      </c>
      <c r="N278" t="n">
        <v>0</v>
      </c>
      <c r="O278" t="n">
        <v>0</v>
      </c>
      <c r="P278" t="n">
        <v>0</v>
      </c>
      <c r="Q278" t="n">
        <v>0</v>
      </c>
      <c r="R278" s="2" t="inlineStr"/>
    </row>
    <row r="279" ht="15" customHeight="1">
      <c r="A279" t="inlineStr">
        <is>
          <t>A 8830-2023</t>
        </is>
      </c>
      <c r="B279" s="1" t="n">
        <v>44978</v>
      </c>
      <c r="C279" s="1" t="n">
        <v>46091</v>
      </c>
      <c r="D279" t="inlineStr">
        <is>
          <t>UPPSALA LÄN</t>
        </is>
      </c>
      <c r="E279" t="inlineStr">
        <is>
          <t>ÖSTHAMMAR</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6106-2024</t>
        </is>
      </c>
      <c r="B280" s="1" t="n">
        <v>45337.36831018519</v>
      </c>
      <c r="C280" s="1" t="n">
        <v>46091</v>
      </c>
      <c r="D280" t="inlineStr">
        <is>
          <t>UPPSALA LÄN</t>
        </is>
      </c>
      <c r="E280" t="inlineStr">
        <is>
          <t>ÖSTHAMMAR</t>
        </is>
      </c>
      <c r="G280" t="n">
        <v>0.6</v>
      </c>
      <c r="H280" t="n">
        <v>0</v>
      </c>
      <c r="I280" t="n">
        <v>0</v>
      </c>
      <c r="J280" t="n">
        <v>0</v>
      </c>
      <c r="K280" t="n">
        <v>0</v>
      </c>
      <c r="L280" t="n">
        <v>0</v>
      </c>
      <c r="M280" t="n">
        <v>0</v>
      </c>
      <c r="N280" t="n">
        <v>0</v>
      </c>
      <c r="O280" t="n">
        <v>0</v>
      </c>
      <c r="P280" t="n">
        <v>0</v>
      </c>
      <c r="Q280" t="n">
        <v>0</v>
      </c>
      <c r="R280" s="2" t="inlineStr"/>
    </row>
    <row r="281" ht="15" customHeight="1">
      <c r="A281" t="inlineStr">
        <is>
          <t>A 33550-2024</t>
        </is>
      </c>
      <c r="B281" s="1" t="n">
        <v>45519.81043981481</v>
      </c>
      <c r="C281" s="1" t="n">
        <v>46091</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62295-2022</t>
        </is>
      </c>
      <c r="B282" s="1" t="n">
        <v>44916</v>
      </c>
      <c r="C282" s="1" t="n">
        <v>46091</v>
      </c>
      <c r="D282" t="inlineStr">
        <is>
          <t>UPPSALA LÄN</t>
        </is>
      </c>
      <c r="E282" t="inlineStr">
        <is>
          <t>ÖSTHAMMAR</t>
        </is>
      </c>
      <c r="G282" t="n">
        <v>3.3</v>
      </c>
      <c r="H282" t="n">
        <v>0</v>
      </c>
      <c r="I282" t="n">
        <v>0</v>
      </c>
      <c r="J282" t="n">
        <v>0</v>
      </c>
      <c r="K282" t="n">
        <v>0</v>
      </c>
      <c r="L282" t="n">
        <v>0</v>
      </c>
      <c r="M282" t="n">
        <v>0</v>
      </c>
      <c r="N282" t="n">
        <v>0</v>
      </c>
      <c r="O282" t="n">
        <v>0</v>
      </c>
      <c r="P282" t="n">
        <v>0</v>
      </c>
      <c r="Q282" t="n">
        <v>0</v>
      </c>
      <c r="R282" s="2" t="inlineStr"/>
    </row>
    <row r="283" ht="15" customHeight="1">
      <c r="A283" t="inlineStr">
        <is>
          <t>A 22709-2021</t>
        </is>
      </c>
      <c r="B283" s="1" t="n">
        <v>44327.61518518518</v>
      </c>
      <c r="C283" s="1" t="n">
        <v>46091</v>
      </c>
      <c r="D283" t="inlineStr">
        <is>
          <t>UPPSALA LÄN</t>
        </is>
      </c>
      <c r="E283" t="inlineStr">
        <is>
          <t>ÖSTHAMMAR</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32815-2024</t>
        </is>
      </c>
      <c r="B284" s="1" t="n">
        <v>45516.57682870371</v>
      </c>
      <c r="C284" s="1" t="n">
        <v>46091</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32884-2024</t>
        </is>
      </c>
      <c r="B285" s="1" t="n">
        <v>45516.72097222223</v>
      </c>
      <c r="C285" s="1" t="n">
        <v>46091</v>
      </c>
      <c r="D285" t="inlineStr">
        <is>
          <t>UPPSALA LÄN</t>
        </is>
      </c>
      <c r="E285" t="inlineStr">
        <is>
          <t>ÖSTHAMMAR</t>
        </is>
      </c>
      <c r="G285" t="n">
        <v>0.6</v>
      </c>
      <c r="H285" t="n">
        <v>0</v>
      </c>
      <c r="I285" t="n">
        <v>0</v>
      </c>
      <c r="J285" t="n">
        <v>0</v>
      </c>
      <c r="K285" t="n">
        <v>0</v>
      </c>
      <c r="L285" t="n">
        <v>0</v>
      </c>
      <c r="M285" t="n">
        <v>0</v>
      </c>
      <c r="N285" t="n">
        <v>0</v>
      </c>
      <c r="O285" t="n">
        <v>0</v>
      </c>
      <c r="P285" t="n">
        <v>0</v>
      </c>
      <c r="Q285" t="n">
        <v>0</v>
      </c>
      <c r="R285" s="2" t="inlineStr"/>
    </row>
    <row r="286" ht="15" customHeight="1">
      <c r="A286" t="inlineStr">
        <is>
          <t>A 24415-2025</t>
        </is>
      </c>
      <c r="B286" s="1" t="n">
        <v>45797.67381944445</v>
      </c>
      <c r="C286" s="1" t="n">
        <v>46091</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24401-2025</t>
        </is>
      </c>
      <c r="B287" s="1" t="n">
        <v>45797.64908564815</v>
      </c>
      <c r="C287" s="1" t="n">
        <v>46091</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61261-2022</t>
        </is>
      </c>
      <c r="B288" s="1" t="n">
        <v>44915.59645833333</v>
      </c>
      <c r="C288" s="1" t="n">
        <v>46091</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4984-2024</t>
        </is>
      </c>
      <c r="B289" s="1" t="n">
        <v>45329</v>
      </c>
      <c r="C289" s="1" t="n">
        <v>46091</v>
      </c>
      <c r="D289" t="inlineStr">
        <is>
          <t>UPPSALA LÄN</t>
        </is>
      </c>
      <c r="E289" t="inlineStr">
        <is>
          <t>ÖSTHAMMAR</t>
        </is>
      </c>
      <c r="G289" t="n">
        <v>2.2</v>
      </c>
      <c r="H289" t="n">
        <v>0</v>
      </c>
      <c r="I289" t="n">
        <v>0</v>
      </c>
      <c r="J289" t="n">
        <v>0</v>
      </c>
      <c r="K289" t="n">
        <v>0</v>
      </c>
      <c r="L289" t="n">
        <v>0</v>
      </c>
      <c r="M289" t="n">
        <v>0</v>
      </c>
      <c r="N289" t="n">
        <v>0</v>
      </c>
      <c r="O289" t="n">
        <v>0</v>
      </c>
      <c r="P289" t="n">
        <v>0</v>
      </c>
      <c r="Q289" t="n">
        <v>0</v>
      </c>
      <c r="R289" s="2" t="inlineStr"/>
    </row>
    <row r="290" ht="15" customHeight="1">
      <c r="A290" t="inlineStr">
        <is>
          <t>A 8908-2025</t>
        </is>
      </c>
      <c r="B290" s="1" t="n">
        <v>45713.4196875</v>
      </c>
      <c r="C290" s="1" t="n">
        <v>46091</v>
      </c>
      <c r="D290" t="inlineStr">
        <is>
          <t>UPPSALA LÄN</t>
        </is>
      </c>
      <c r="E290" t="inlineStr">
        <is>
          <t>ÖSTHAMMAR</t>
        </is>
      </c>
      <c r="F290" t="inlineStr">
        <is>
          <t>Bergvik skog öst AB</t>
        </is>
      </c>
      <c r="G290" t="n">
        <v>3.3</v>
      </c>
      <c r="H290" t="n">
        <v>0</v>
      </c>
      <c r="I290" t="n">
        <v>0</v>
      </c>
      <c r="J290" t="n">
        <v>0</v>
      </c>
      <c r="K290" t="n">
        <v>0</v>
      </c>
      <c r="L290" t="n">
        <v>0</v>
      </c>
      <c r="M290" t="n">
        <v>0</v>
      </c>
      <c r="N290" t="n">
        <v>0</v>
      </c>
      <c r="O290" t="n">
        <v>0</v>
      </c>
      <c r="P290" t="n">
        <v>0</v>
      </c>
      <c r="Q290" t="n">
        <v>0</v>
      </c>
      <c r="R290" s="2" t="inlineStr"/>
    </row>
    <row r="291" ht="15" customHeight="1">
      <c r="A291" t="inlineStr">
        <is>
          <t>A 41519-2025</t>
        </is>
      </c>
      <c r="B291" s="1" t="n">
        <v>45901.54751157408</v>
      </c>
      <c r="C291" s="1" t="n">
        <v>46091</v>
      </c>
      <c r="D291" t="inlineStr">
        <is>
          <t>UPPSALA LÄN</t>
        </is>
      </c>
      <c r="E291" t="inlineStr">
        <is>
          <t>ÖSTHAMMAR</t>
        </is>
      </c>
      <c r="F291" t="inlineStr">
        <is>
          <t>Övriga Aktiebolag</t>
        </is>
      </c>
      <c r="G291" t="n">
        <v>17.1</v>
      </c>
      <c r="H291" t="n">
        <v>0</v>
      </c>
      <c r="I291" t="n">
        <v>0</v>
      </c>
      <c r="J291" t="n">
        <v>0</v>
      </c>
      <c r="K291" t="n">
        <v>0</v>
      </c>
      <c r="L291" t="n">
        <v>0</v>
      </c>
      <c r="M291" t="n">
        <v>0</v>
      </c>
      <c r="N291" t="n">
        <v>0</v>
      </c>
      <c r="O291" t="n">
        <v>0</v>
      </c>
      <c r="P291" t="n">
        <v>0</v>
      </c>
      <c r="Q291" t="n">
        <v>0</v>
      </c>
      <c r="R291" s="2" t="inlineStr"/>
    </row>
    <row r="292" ht="15" customHeight="1">
      <c r="A292" t="inlineStr">
        <is>
          <t>A 74429-2021</t>
        </is>
      </c>
      <c r="B292" s="1" t="n">
        <v>44560.43136574074</v>
      </c>
      <c r="C292" s="1" t="n">
        <v>46091</v>
      </c>
      <c r="D292" t="inlineStr">
        <is>
          <t>UPPSALA LÄN</t>
        </is>
      </c>
      <c r="E292" t="inlineStr">
        <is>
          <t>ÖSTHAMMAR</t>
        </is>
      </c>
      <c r="F292" t="inlineStr">
        <is>
          <t>Bergvik skog öst AB</t>
        </is>
      </c>
      <c r="G292" t="n">
        <v>0.8</v>
      </c>
      <c r="H292" t="n">
        <v>0</v>
      </c>
      <c r="I292" t="n">
        <v>0</v>
      </c>
      <c r="J292" t="n">
        <v>0</v>
      </c>
      <c r="K292" t="n">
        <v>0</v>
      </c>
      <c r="L292" t="n">
        <v>0</v>
      </c>
      <c r="M292" t="n">
        <v>0</v>
      </c>
      <c r="N292" t="n">
        <v>0</v>
      </c>
      <c r="O292" t="n">
        <v>0</v>
      </c>
      <c r="P292" t="n">
        <v>0</v>
      </c>
      <c r="Q292" t="n">
        <v>0</v>
      </c>
      <c r="R292" s="2" t="inlineStr"/>
    </row>
    <row r="293" ht="15" customHeight="1">
      <c r="A293" t="inlineStr">
        <is>
          <t>A 7543-2023</t>
        </is>
      </c>
      <c r="B293" s="1" t="n">
        <v>44972</v>
      </c>
      <c r="C293" s="1" t="n">
        <v>46091</v>
      </c>
      <c r="D293" t="inlineStr">
        <is>
          <t>UPPSALA LÄN</t>
        </is>
      </c>
      <c r="E293" t="inlineStr">
        <is>
          <t>ÖSTHAMMAR</t>
        </is>
      </c>
      <c r="F293" t="inlineStr">
        <is>
          <t>Bergvik skog öst AB</t>
        </is>
      </c>
      <c r="G293" t="n">
        <v>13.3</v>
      </c>
      <c r="H293" t="n">
        <v>0</v>
      </c>
      <c r="I293" t="n">
        <v>0</v>
      </c>
      <c r="J293" t="n">
        <v>0</v>
      </c>
      <c r="K293" t="n">
        <v>0</v>
      </c>
      <c r="L293" t="n">
        <v>0</v>
      </c>
      <c r="M293" t="n">
        <v>0</v>
      </c>
      <c r="N293" t="n">
        <v>0</v>
      </c>
      <c r="O293" t="n">
        <v>0</v>
      </c>
      <c r="P293" t="n">
        <v>0</v>
      </c>
      <c r="Q293" t="n">
        <v>0</v>
      </c>
      <c r="R293" s="2" t="inlineStr"/>
    </row>
    <row r="294" ht="15" customHeight="1">
      <c r="A294" t="inlineStr">
        <is>
          <t>A 24408-2025</t>
        </is>
      </c>
      <c r="B294" s="1" t="n">
        <v>45797.65774305556</v>
      </c>
      <c r="C294" s="1" t="n">
        <v>46091</v>
      </c>
      <c r="D294" t="inlineStr">
        <is>
          <t>UPPSALA LÄN</t>
        </is>
      </c>
      <c r="E294" t="inlineStr">
        <is>
          <t>ÖSTHAMMAR</t>
        </is>
      </c>
      <c r="G294" t="n">
        <v>1.6</v>
      </c>
      <c r="H294" t="n">
        <v>0</v>
      </c>
      <c r="I294" t="n">
        <v>0</v>
      </c>
      <c r="J294" t="n">
        <v>0</v>
      </c>
      <c r="K294" t="n">
        <v>0</v>
      </c>
      <c r="L294" t="n">
        <v>0</v>
      </c>
      <c r="M294" t="n">
        <v>0</v>
      </c>
      <c r="N294" t="n">
        <v>0</v>
      </c>
      <c r="O294" t="n">
        <v>0</v>
      </c>
      <c r="P294" t="n">
        <v>0</v>
      </c>
      <c r="Q294" t="n">
        <v>0</v>
      </c>
      <c r="R294" s="2" t="inlineStr"/>
    </row>
    <row r="295" ht="15" customHeight="1">
      <c r="A295" t="inlineStr">
        <is>
          <t>A 25049-2025</t>
        </is>
      </c>
      <c r="B295" s="1" t="n">
        <v>45799.66876157407</v>
      </c>
      <c r="C295" s="1" t="n">
        <v>46091</v>
      </c>
      <c r="D295" t="inlineStr">
        <is>
          <t>UPPSALA LÄN</t>
        </is>
      </c>
      <c r="E295" t="inlineStr">
        <is>
          <t>ÖSTHAMMAR</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20634-2024</t>
        </is>
      </c>
      <c r="B296" s="1" t="n">
        <v>45436</v>
      </c>
      <c r="C296" s="1" t="n">
        <v>46091</v>
      </c>
      <c r="D296" t="inlineStr">
        <is>
          <t>UPPSALA LÄN</t>
        </is>
      </c>
      <c r="E296" t="inlineStr">
        <is>
          <t>ÖSTHAMMAR</t>
        </is>
      </c>
      <c r="G296" t="n">
        <v>6.5</v>
      </c>
      <c r="H296" t="n">
        <v>0</v>
      </c>
      <c r="I296" t="n">
        <v>0</v>
      </c>
      <c r="J296" t="n">
        <v>0</v>
      </c>
      <c r="K296" t="n">
        <v>0</v>
      </c>
      <c r="L296" t="n">
        <v>0</v>
      </c>
      <c r="M296" t="n">
        <v>0</v>
      </c>
      <c r="N296" t="n">
        <v>0</v>
      </c>
      <c r="O296" t="n">
        <v>0</v>
      </c>
      <c r="P296" t="n">
        <v>0</v>
      </c>
      <c r="Q296" t="n">
        <v>0</v>
      </c>
      <c r="R296" s="2" t="inlineStr"/>
    </row>
    <row r="297" ht="15" customHeight="1">
      <c r="A297" t="inlineStr">
        <is>
          <t>A 24944-2025</t>
        </is>
      </c>
      <c r="B297" s="1" t="n">
        <v>45799.56347222222</v>
      </c>
      <c r="C297" s="1" t="n">
        <v>46091</v>
      </c>
      <c r="D297" t="inlineStr">
        <is>
          <t>UPPSALA LÄN</t>
        </is>
      </c>
      <c r="E297" t="inlineStr">
        <is>
          <t>ÖSTHAMMAR</t>
        </is>
      </c>
      <c r="G297" t="n">
        <v>7.3</v>
      </c>
      <c r="H297" t="n">
        <v>0</v>
      </c>
      <c r="I297" t="n">
        <v>0</v>
      </c>
      <c r="J297" t="n">
        <v>0</v>
      </c>
      <c r="K297" t="n">
        <v>0</v>
      </c>
      <c r="L297" t="n">
        <v>0</v>
      </c>
      <c r="M297" t="n">
        <v>0</v>
      </c>
      <c r="N297" t="n">
        <v>0</v>
      </c>
      <c r="O297" t="n">
        <v>0</v>
      </c>
      <c r="P297" t="n">
        <v>0</v>
      </c>
      <c r="Q297" t="n">
        <v>0</v>
      </c>
      <c r="R297" s="2" t="inlineStr"/>
    </row>
    <row r="298" ht="15" customHeight="1">
      <c r="A298" t="inlineStr">
        <is>
          <t>A 52650-2022</t>
        </is>
      </c>
      <c r="B298" s="1" t="n">
        <v>44874</v>
      </c>
      <c r="C298" s="1" t="n">
        <v>46091</v>
      </c>
      <c r="D298" t="inlineStr">
        <is>
          <t>UPPSALA LÄN</t>
        </is>
      </c>
      <c r="E298" t="inlineStr">
        <is>
          <t>ÖSTHAMMAR</t>
        </is>
      </c>
      <c r="F298" t="inlineStr">
        <is>
          <t>Bergvik skog öst AB</t>
        </is>
      </c>
      <c r="G298" t="n">
        <v>0.4</v>
      </c>
      <c r="H298" t="n">
        <v>0</v>
      </c>
      <c r="I298" t="n">
        <v>0</v>
      </c>
      <c r="J298" t="n">
        <v>0</v>
      </c>
      <c r="K298" t="n">
        <v>0</v>
      </c>
      <c r="L298" t="n">
        <v>0</v>
      </c>
      <c r="M298" t="n">
        <v>0</v>
      </c>
      <c r="N298" t="n">
        <v>0</v>
      </c>
      <c r="O298" t="n">
        <v>0</v>
      </c>
      <c r="P298" t="n">
        <v>0</v>
      </c>
      <c r="Q298" t="n">
        <v>0</v>
      </c>
      <c r="R298" s="2" t="inlineStr"/>
    </row>
    <row r="299" ht="15" customHeight="1">
      <c r="A299" t="inlineStr">
        <is>
          <t>A 52661-2022</t>
        </is>
      </c>
      <c r="B299" s="1" t="n">
        <v>44874</v>
      </c>
      <c r="C299" s="1" t="n">
        <v>46091</v>
      </c>
      <c r="D299" t="inlineStr">
        <is>
          <t>UPPSALA LÄN</t>
        </is>
      </c>
      <c r="E299" t="inlineStr">
        <is>
          <t>ÖSTHAMMAR</t>
        </is>
      </c>
      <c r="F299" t="inlineStr">
        <is>
          <t>Bergvik skog öst AB</t>
        </is>
      </c>
      <c r="G299" t="n">
        <v>0.2</v>
      </c>
      <c r="H299" t="n">
        <v>0</v>
      </c>
      <c r="I299" t="n">
        <v>0</v>
      </c>
      <c r="J299" t="n">
        <v>0</v>
      </c>
      <c r="K299" t="n">
        <v>0</v>
      </c>
      <c r="L299" t="n">
        <v>0</v>
      </c>
      <c r="M299" t="n">
        <v>0</v>
      </c>
      <c r="N299" t="n">
        <v>0</v>
      </c>
      <c r="O299" t="n">
        <v>0</v>
      </c>
      <c r="P299" t="n">
        <v>0</v>
      </c>
      <c r="Q299" t="n">
        <v>0</v>
      </c>
      <c r="R299" s="2" t="inlineStr"/>
    </row>
    <row r="300" ht="15" customHeight="1">
      <c r="A300" t="inlineStr">
        <is>
          <t>A 24389-2025</t>
        </is>
      </c>
      <c r="B300" s="1" t="n">
        <v>45797.63553240741</v>
      </c>
      <c r="C300" s="1" t="n">
        <v>46091</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27384-2025</t>
        </is>
      </c>
      <c r="B301" s="1" t="n">
        <v>45812.6672337963</v>
      </c>
      <c r="C301" s="1" t="n">
        <v>46091</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3732-2022</t>
        </is>
      </c>
      <c r="B302" s="1" t="n">
        <v>44586.64851851852</v>
      </c>
      <c r="C302" s="1" t="n">
        <v>46091</v>
      </c>
      <c r="D302" t="inlineStr">
        <is>
          <t>UPPSALA LÄN</t>
        </is>
      </c>
      <c r="E302" t="inlineStr">
        <is>
          <t>ÖSTHAMMAR</t>
        </is>
      </c>
      <c r="F302" t="inlineStr">
        <is>
          <t>Bergvik skog öst AB</t>
        </is>
      </c>
      <c r="G302" t="n">
        <v>3.6</v>
      </c>
      <c r="H302" t="n">
        <v>0</v>
      </c>
      <c r="I302" t="n">
        <v>0</v>
      </c>
      <c r="J302" t="n">
        <v>0</v>
      </c>
      <c r="K302" t="n">
        <v>0</v>
      </c>
      <c r="L302" t="n">
        <v>0</v>
      </c>
      <c r="M302" t="n">
        <v>0</v>
      </c>
      <c r="N302" t="n">
        <v>0</v>
      </c>
      <c r="O302" t="n">
        <v>0</v>
      </c>
      <c r="P302" t="n">
        <v>0</v>
      </c>
      <c r="Q302" t="n">
        <v>0</v>
      </c>
      <c r="R302" s="2" t="inlineStr"/>
    </row>
    <row r="303" ht="15" customHeight="1">
      <c r="A303" t="inlineStr">
        <is>
          <t>A 16089-2025</t>
        </is>
      </c>
      <c r="B303" s="1" t="n">
        <v>45749.84232638889</v>
      </c>
      <c r="C303" s="1" t="n">
        <v>46091</v>
      </c>
      <c r="D303" t="inlineStr">
        <is>
          <t>UPPSALA LÄN</t>
        </is>
      </c>
      <c r="E303" t="inlineStr">
        <is>
          <t>ÖSTHAMMAR</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38003-2024</t>
        </is>
      </c>
      <c r="B304" s="1" t="n">
        <v>45544</v>
      </c>
      <c r="C304" s="1" t="n">
        <v>46091</v>
      </c>
      <c r="D304" t="inlineStr">
        <is>
          <t>UPPSALA LÄN</t>
        </is>
      </c>
      <c r="E304" t="inlineStr">
        <is>
          <t>ÖSTHAMMAR</t>
        </is>
      </c>
      <c r="F304" t="inlineStr">
        <is>
          <t>Naturvårdsverket</t>
        </is>
      </c>
      <c r="G304" t="n">
        <v>4.2</v>
      </c>
      <c r="H304" t="n">
        <v>0</v>
      </c>
      <c r="I304" t="n">
        <v>0</v>
      </c>
      <c r="J304" t="n">
        <v>0</v>
      </c>
      <c r="K304" t="n">
        <v>0</v>
      </c>
      <c r="L304" t="n">
        <v>0</v>
      </c>
      <c r="M304" t="n">
        <v>0</v>
      </c>
      <c r="N304" t="n">
        <v>0</v>
      </c>
      <c r="O304" t="n">
        <v>0</v>
      </c>
      <c r="P304" t="n">
        <v>0</v>
      </c>
      <c r="Q304" t="n">
        <v>0</v>
      </c>
      <c r="R304" s="2" t="inlineStr"/>
    </row>
    <row r="305" ht="15" customHeight="1">
      <c r="A305" t="inlineStr">
        <is>
          <t>A 1575-2025</t>
        </is>
      </c>
      <c r="B305" s="1" t="n">
        <v>45670</v>
      </c>
      <c r="C305" s="1" t="n">
        <v>46091</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16141-2022</t>
        </is>
      </c>
      <c r="B306" s="1" t="n">
        <v>44665</v>
      </c>
      <c r="C306" s="1" t="n">
        <v>46091</v>
      </c>
      <c r="D306" t="inlineStr">
        <is>
          <t>UPPSALA LÄN</t>
        </is>
      </c>
      <c r="E306" t="inlineStr">
        <is>
          <t>ÖSTHAMMAR</t>
        </is>
      </c>
      <c r="F306" t="inlineStr">
        <is>
          <t>Bergvik skog öst AB</t>
        </is>
      </c>
      <c r="G306" t="n">
        <v>1.3</v>
      </c>
      <c r="H306" t="n">
        <v>0</v>
      </c>
      <c r="I306" t="n">
        <v>0</v>
      </c>
      <c r="J306" t="n">
        <v>0</v>
      </c>
      <c r="K306" t="n">
        <v>0</v>
      </c>
      <c r="L306" t="n">
        <v>0</v>
      </c>
      <c r="M306" t="n">
        <v>0</v>
      </c>
      <c r="N306" t="n">
        <v>0</v>
      </c>
      <c r="O306" t="n">
        <v>0</v>
      </c>
      <c r="P306" t="n">
        <v>0</v>
      </c>
      <c r="Q306" t="n">
        <v>0</v>
      </c>
      <c r="R306" s="2" t="inlineStr"/>
    </row>
    <row r="307" ht="15" customHeight="1">
      <c r="A307" t="inlineStr">
        <is>
          <t>A 28099-2025</t>
        </is>
      </c>
      <c r="B307" s="1" t="n">
        <v>45817.82967592592</v>
      </c>
      <c r="C307" s="1" t="n">
        <v>46091</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5076-2025</t>
        </is>
      </c>
      <c r="B308" s="1" t="n">
        <v>45691</v>
      </c>
      <c r="C308" s="1" t="n">
        <v>46091</v>
      </c>
      <c r="D308" t="inlineStr">
        <is>
          <t>UPPSALA LÄN</t>
        </is>
      </c>
      <c r="E308" t="inlineStr">
        <is>
          <t>ÖSTHAMMAR</t>
        </is>
      </c>
      <c r="G308" t="n">
        <v>5.8</v>
      </c>
      <c r="H308" t="n">
        <v>0</v>
      </c>
      <c r="I308" t="n">
        <v>0</v>
      </c>
      <c r="J308" t="n">
        <v>0</v>
      </c>
      <c r="K308" t="n">
        <v>0</v>
      </c>
      <c r="L308" t="n">
        <v>0</v>
      </c>
      <c r="M308" t="n">
        <v>0</v>
      </c>
      <c r="N308" t="n">
        <v>0</v>
      </c>
      <c r="O308" t="n">
        <v>0</v>
      </c>
      <c r="P308" t="n">
        <v>0</v>
      </c>
      <c r="Q308" t="n">
        <v>0</v>
      </c>
      <c r="R308" s="2" t="inlineStr"/>
    </row>
    <row r="309" ht="15" customHeight="1">
      <c r="A309" t="inlineStr">
        <is>
          <t>A 34185-2024</t>
        </is>
      </c>
      <c r="B309" s="1" t="n">
        <v>45524</v>
      </c>
      <c r="C309" s="1" t="n">
        <v>46091</v>
      </c>
      <c r="D309" t="inlineStr">
        <is>
          <t>UPPSALA LÄN</t>
        </is>
      </c>
      <c r="E309" t="inlineStr">
        <is>
          <t>ÖSTHAMMAR</t>
        </is>
      </c>
      <c r="G309" t="n">
        <v>2.5</v>
      </c>
      <c r="H309" t="n">
        <v>0</v>
      </c>
      <c r="I309" t="n">
        <v>0</v>
      </c>
      <c r="J309" t="n">
        <v>0</v>
      </c>
      <c r="K309" t="n">
        <v>0</v>
      </c>
      <c r="L309" t="n">
        <v>0</v>
      </c>
      <c r="M309" t="n">
        <v>0</v>
      </c>
      <c r="N309" t="n">
        <v>0</v>
      </c>
      <c r="O309" t="n">
        <v>0</v>
      </c>
      <c r="P309" t="n">
        <v>0</v>
      </c>
      <c r="Q309" t="n">
        <v>0</v>
      </c>
      <c r="R309" s="2" t="inlineStr"/>
    </row>
    <row r="310" ht="15" customHeight="1">
      <c r="A310" t="inlineStr">
        <is>
          <t>A 14170-2025</t>
        </is>
      </c>
      <c r="B310" s="1" t="n">
        <v>45740.51895833333</v>
      </c>
      <c r="C310" s="1" t="n">
        <v>46091</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28152-2024</t>
        </is>
      </c>
      <c r="B311" s="1" t="n">
        <v>45476.77056712963</v>
      </c>
      <c r="C311" s="1" t="n">
        <v>46091</v>
      </c>
      <c r="D311" t="inlineStr">
        <is>
          <t>UPPSALA LÄN</t>
        </is>
      </c>
      <c r="E311" t="inlineStr">
        <is>
          <t>ÖSTHAMMAR</t>
        </is>
      </c>
      <c r="F311" t="inlineStr">
        <is>
          <t>Bergvik skog öst AB</t>
        </is>
      </c>
      <c r="G311" t="n">
        <v>0.5</v>
      </c>
      <c r="H311" t="n">
        <v>0</v>
      </c>
      <c r="I311" t="n">
        <v>0</v>
      </c>
      <c r="J311" t="n">
        <v>0</v>
      </c>
      <c r="K311" t="n">
        <v>0</v>
      </c>
      <c r="L311" t="n">
        <v>0</v>
      </c>
      <c r="M311" t="n">
        <v>0</v>
      </c>
      <c r="N311" t="n">
        <v>0</v>
      </c>
      <c r="O311" t="n">
        <v>0</v>
      </c>
      <c r="P311" t="n">
        <v>0</v>
      </c>
      <c r="Q311" t="n">
        <v>0</v>
      </c>
      <c r="R311" s="2" t="inlineStr"/>
    </row>
    <row r="312" ht="15" customHeight="1">
      <c r="A312" t="inlineStr">
        <is>
          <t>A 57453-2022</t>
        </is>
      </c>
      <c r="B312" s="1" t="n">
        <v>44896.56266203704</v>
      </c>
      <c r="C312" s="1" t="n">
        <v>46091</v>
      </c>
      <c r="D312" t="inlineStr">
        <is>
          <t>UPPSALA LÄN</t>
        </is>
      </c>
      <c r="E312" t="inlineStr">
        <is>
          <t>ÖSTHAMMAR</t>
        </is>
      </c>
      <c r="G312" t="n">
        <v>1.7</v>
      </c>
      <c r="H312" t="n">
        <v>0</v>
      </c>
      <c r="I312" t="n">
        <v>0</v>
      </c>
      <c r="J312" t="n">
        <v>0</v>
      </c>
      <c r="K312" t="n">
        <v>0</v>
      </c>
      <c r="L312" t="n">
        <v>0</v>
      </c>
      <c r="M312" t="n">
        <v>0</v>
      </c>
      <c r="N312" t="n">
        <v>0</v>
      </c>
      <c r="O312" t="n">
        <v>0</v>
      </c>
      <c r="P312" t="n">
        <v>0</v>
      </c>
      <c r="Q312" t="n">
        <v>0</v>
      </c>
      <c r="R312" s="2" t="inlineStr"/>
    </row>
    <row r="313" ht="15" customHeight="1">
      <c r="A313" t="inlineStr">
        <is>
          <t>A 57462-2022</t>
        </is>
      </c>
      <c r="B313" s="1" t="n">
        <v>44896.57527777777</v>
      </c>
      <c r="C313" s="1" t="n">
        <v>46091</v>
      </c>
      <c r="D313" t="inlineStr">
        <is>
          <t>UPPSALA LÄN</t>
        </is>
      </c>
      <c r="E313" t="inlineStr">
        <is>
          <t>ÖSTHAMMAR</t>
        </is>
      </c>
      <c r="G313" t="n">
        <v>1.9</v>
      </c>
      <c r="H313" t="n">
        <v>0</v>
      </c>
      <c r="I313" t="n">
        <v>0</v>
      </c>
      <c r="J313" t="n">
        <v>0</v>
      </c>
      <c r="K313" t="n">
        <v>0</v>
      </c>
      <c r="L313" t="n">
        <v>0</v>
      </c>
      <c r="M313" t="n">
        <v>0</v>
      </c>
      <c r="N313" t="n">
        <v>0</v>
      </c>
      <c r="O313" t="n">
        <v>0</v>
      </c>
      <c r="P313" t="n">
        <v>0</v>
      </c>
      <c r="Q313" t="n">
        <v>0</v>
      </c>
      <c r="R313" s="2" t="inlineStr"/>
    </row>
    <row r="314" ht="15" customHeight="1">
      <c r="A314" t="inlineStr">
        <is>
          <t>A 12945-2025</t>
        </is>
      </c>
      <c r="B314" s="1" t="n">
        <v>45734.38159722222</v>
      </c>
      <c r="C314" s="1" t="n">
        <v>46091</v>
      </c>
      <c r="D314" t="inlineStr">
        <is>
          <t>UPPSALA LÄN</t>
        </is>
      </c>
      <c r="E314" t="inlineStr">
        <is>
          <t>ÖSTHAMMAR</t>
        </is>
      </c>
      <c r="G314" t="n">
        <v>2.1</v>
      </c>
      <c r="H314" t="n">
        <v>0</v>
      </c>
      <c r="I314" t="n">
        <v>0</v>
      </c>
      <c r="J314" t="n">
        <v>0</v>
      </c>
      <c r="K314" t="n">
        <v>0</v>
      </c>
      <c r="L314" t="n">
        <v>0</v>
      </c>
      <c r="M314" t="n">
        <v>0</v>
      </c>
      <c r="N314" t="n">
        <v>0</v>
      </c>
      <c r="O314" t="n">
        <v>0</v>
      </c>
      <c r="P314" t="n">
        <v>0</v>
      </c>
      <c r="Q314" t="n">
        <v>0</v>
      </c>
      <c r="R314" s="2" t="inlineStr"/>
    </row>
    <row r="315" ht="15" customHeight="1">
      <c r="A315" t="inlineStr">
        <is>
          <t>A 2839-2025</t>
        </is>
      </c>
      <c r="B315" s="1" t="n">
        <v>45677</v>
      </c>
      <c r="C315" s="1" t="n">
        <v>46091</v>
      </c>
      <c r="D315" t="inlineStr">
        <is>
          <t>UPPSALA LÄN</t>
        </is>
      </c>
      <c r="E315" t="inlineStr">
        <is>
          <t>ÖSTHAMMAR</t>
        </is>
      </c>
      <c r="F315" t="inlineStr">
        <is>
          <t>Övriga Aktiebolag</t>
        </is>
      </c>
      <c r="G315" t="n">
        <v>4</v>
      </c>
      <c r="H315" t="n">
        <v>0</v>
      </c>
      <c r="I315" t="n">
        <v>0</v>
      </c>
      <c r="J315" t="n">
        <v>0</v>
      </c>
      <c r="K315" t="n">
        <v>0</v>
      </c>
      <c r="L315" t="n">
        <v>0</v>
      </c>
      <c r="M315" t="n">
        <v>0</v>
      </c>
      <c r="N315" t="n">
        <v>0</v>
      </c>
      <c r="O315" t="n">
        <v>0</v>
      </c>
      <c r="P315" t="n">
        <v>0</v>
      </c>
      <c r="Q315" t="n">
        <v>0</v>
      </c>
      <c r="R315" s="2" t="inlineStr"/>
    </row>
    <row r="316" ht="15" customHeight="1">
      <c r="A316" t="inlineStr">
        <is>
          <t>A 2947-2025</t>
        </is>
      </c>
      <c r="B316" s="1" t="n">
        <v>45678</v>
      </c>
      <c r="C316" s="1" t="n">
        <v>46091</v>
      </c>
      <c r="D316" t="inlineStr">
        <is>
          <t>UPPSALA LÄN</t>
        </is>
      </c>
      <c r="E316" t="inlineStr">
        <is>
          <t>ÖSTHAMMAR</t>
        </is>
      </c>
      <c r="G316" t="n">
        <v>3.6</v>
      </c>
      <c r="H316" t="n">
        <v>0</v>
      </c>
      <c r="I316" t="n">
        <v>0</v>
      </c>
      <c r="J316" t="n">
        <v>0</v>
      </c>
      <c r="K316" t="n">
        <v>0</v>
      </c>
      <c r="L316" t="n">
        <v>0</v>
      </c>
      <c r="M316" t="n">
        <v>0</v>
      </c>
      <c r="N316" t="n">
        <v>0</v>
      </c>
      <c r="O316" t="n">
        <v>0</v>
      </c>
      <c r="P316" t="n">
        <v>0</v>
      </c>
      <c r="Q316" t="n">
        <v>0</v>
      </c>
      <c r="R316" s="2" t="inlineStr"/>
    </row>
    <row r="317" ht="15" customHeight="1">
      <c r="A317" t="inlineStr">
        <is>
          <t>A 33927-2025</t>
        </is>
      </c>
      <c r="B317" s="1" t="n">
        <v>45842.62363425926</v>
      </c>
      <c r="C317" s="1" t="n">
        <v>46091</v>
      </c>
      <c r="D317" t="inlineStr">
        <is>
          <t>UPPSALA LÄN</t>
        </is>
      </c>
      <c r="E317" t="inlineStr">
        <is>
          <t>ÖSTHAMMAR</t>
        </is>
      </c>
      <c r="G317" t="n">
        <v>3.5</v>
      </c>
      <c r="H317" t="n">
        <v>0</v>
      </c>
      <c r="I317" t="n">
        <v>0</v>
      </c>
      <c r="J317" t="n">
        <v>0</v>
      </c>
      <c r="K317" t="n">
        <v>0</v>
      </c>
      <c r="L317" t="n">
        <v>0</v>
      </c>
      <c r="M317" t="n">
        <v>0</v>
      </c>
      <c r="N317" t="n">
        <v>0</v>
      </c>
      <c r="O317" t="n">
        <v>0</v>
      </c>
      <c r="P317" t="n">
        <v>0</v>
      </c>
      <c r="Q317" t="n">
        <v>0</v>
      </c>
      <c r="R317" s="2" t="inlineStr"/>
    </row>
    <row r="318" ht="15" customHeight="1">
      <c r="A318" t="inlineStr">
        <is>
          <t>A 58297-2024</t>
        </is>
      </c>
      <c r="B318" s="1" t="n">
        <v>45632.59780092593</v>
      </c>
      <c r="C318" s="1" t="n">
        <v>46091</v>
      </c>
      <c r="D318" t="inlineStr">
        <is>
          <t>UPPSALA LÄN</t>
        </is>
      </c>
      <c r="E318" t="inlineStr">
        <is>
          <t>ÖSTHAMMAR</t>
        </is>
      </c>
      <c r="G318" t="n">
        <v>5.1</v>
      </c>
      <c r="H318" t="n">
        <v>0</v>
      </c>
      <c r="I318" t="n">
        <v>0</v>
      </c>
      <c r="J318" t="n">
        <v>0</v>
      </c>
      <c r="K318" t="n">
        <v>0</v>
      </c>
      <c r="L318" t="n">
        <v>0</v>
      </c>
      <c r="M318" t="n">
        <v>0</v>
      </c>
      <c r="N318" t="n">
        <v>0</v>
      </c>
      <c r="O318" t="n">
        <v>0</v>
      </c>
      <c r="P318" t="n">
        <v>0</v>
      </c>
      <c r="Q318" t="n">
        <v>0</v>
      </c>
      <c r="R318" s="2" t="inlineStr"/>
    </row>
    <row r="319" ht="15" customHeight="1">
      <c r="A319" t="inlineStr">
        <is>
          <t>A 43011-2025</t>
        </is>
      </c>
      <c r="B319" s="1" t="n">
        <v>45909.48989583334</v>
      </c>
      <c r="C319" s="1" t="n">
        <v>46091</v>
      </c>
      <c r="D319" t="inlineStr">
        <is>
          <t>UPPSALA LÄN</t>
        </is>
      </c>
      <c r="E319" t="inlineStr">
        <is>
          <t>ÖSTHAMMAR</t>
        </is>
      </c>
      <c r="F319" t="inlineStr">
        <is>
          <t>Övriga Aktiebolag</t>
        </is>
      </c>
      <c r="G319" t="n">
        <v>4.7</v>
      </c>
      <c r="H319" t="n">
        <v>0</v>
      </c>
      <c r="I319" t="n">
        <v>0</v>
      </c>
      <c r="J319" t="n">
        <v>0</v>
      </c>
      <c r="K319" t="n">
        <v>0</v>
      </c>
      <c r="L319" t="n">
        <v>0</v>
      </c>
      <c r="M319" t="n">
        <v>0</v>
      </c>
      <c r="N319" t="n">
        <v>0</v>
      </c>
      <c r="O319" t="n">
        <v>0</v>
      </c>
      <c r="P319" t="n">
        <v>0</v>
      </c>
      <c r="Q319" t="n">
        <v>0</v>
      </c>
      <c r="R319" s="2" t="inlineStr"/>
    </row>
    <row r="320" ht="15" customHeight="1">
      <c r="A320" t="inlineStr">
        <is>
          <t>A 26055-2025</t>
        </is>
      </c>
      <c r="B320" s="1" t="n">
        <v>45804.77559027778</v>
      </c>
      <c r="C320" s="1" t="n">
        <v>46091</v>
      </c>
      <c r="D320" t="inlineStr">
        <is>
          <t>UPPSALA LÄN</t>
        </is>
      </c>
      <c r="E320" t="inlineStr">
        <is>
          <t>ÖSTHAMMAR</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26330-2025</t>
        </is>
      </c>
      <c r="B321" s="1" t="n">
        <v>45805.68263888889</v>
      </c>
      <c r="C321" s="1" t="n">
        <v>46091</v>
      </c>
      <c r="D321" t="inlineStr">
        <is>
          <t>UPPSALA LÄN</t>
        </is>
      </c>
      <c r="E321" t="inlineStr">
        <is>
          <t>ÖSTHAMMAR</t>
        </is>
      </c>
      <c r="G321" t="n">
        <v>0.5</v>
      </c>
      <c r="H321" t="n">
        <v>0</v>
      </c>
      <c r="I321" t="n">
        <v>0</v>
      </c>
      <c r="J321" t="n">
        <v>0</v>
      </c>
      <c r="K321" t="n">
        <v>0</v>
      </c>
      <c r="L321" t="n">
        <v>0</v>
      </c>
      <c r="M321" t="n">
        <v>0</v>
      </c>
      <c r="N321" t="n">
        <v>0</v>
      </c>
      <c r="O321" t="n">
        <v>0</v>
      </c>
      <c r="P321" t="n">
        <v>0</v>
      </c>
      <c r="Q321" t="n">
        <v>0</v>
      </c>
      <c r="R321" s="2" t="inlineStr"/>
    </row>
    <row r="322" ht="15" customHeight="1">
      <c r="A322" t="inlineStr">
        <is>
          <t>A 26319-2025</t>
        </is>
      </c>
      <c r="B322" s="1" t="n">
        <v>45805.65960648148</v>
      </c>
      <c r="C322" s="1" t="n">
        <v>46091</v>
      </c>
      <c r="D322" t="inlineStr">
        <is>
          <t>UPPSALA LÄN</t>
        </is>
      </c>
      <c r="E322" t="inlineStr">
        <is>
          <t>ÖSTHAMMAR</t>
        </is>
      </c>
      <c r="G322" t="n">
        <v>1</v>
      </c>
      <c r="H322" t="n">
        <v>0</v>
      </c>
      <c r="I322" t="n">
        <v>0</v>
      </c>
      <c r="J322" t="n">
        <v>0</v>
      </c>
      <c r="K322" t="n">
        <v>0</v>
      </c>
      <c r="L322" t="n">
        <v>0</v>
      </c>
      <c r="M322" t="n">
        <v>0</v>
      </c>
      <c r="N322" t="n">
        <v>0</v>
      </c>
      <c r="O322" t="n">
        <v>0</v>
      </c>
      <c r="P322" t="n">
        <v>0</v>
      </c>
      <c r="Q322" t="n">
        <v>0</v>
      </c>
      <c r="R322" s="2" t="inlineStr"/>
    </row>
    <row r="323" ht="15" customHeight="1">
      <c r="A323" t="inlineStr">
        <is>
          <t>A 42940-2025</t>
        </is>
      </c>
      <c r="B323" s="1" t="n">
        <v>45909.33440972222</v>
      </c>
      <c r="C323" s="1" t="n">
        <v>46091</v>
      </c>
      <c r="D323" t="inlineStr">
        <is>
          <t>UPPSALA LÄN</t>
        </is>
      </c>
      <c r="E323" t="inlineStr">
        <is>
          <t>ÖSTHAMMAR</t>
        </is>
      </c>
      <c r="G323" t="n">
        <v>2.1</v>
      </c>
      <c r="H323" t="n">
        <v>0</v>
      </c>
      <c r="I323" t="n">
        <v>0</v>
      </c>
      <c r="J323" t="n">
        <v>0</v>
      </c>
      <c r="K323" t="n">
        <v>0</v>
      </c>
      <c r="L323" t="n">
        <v>0</v>
      </c>
      <c r="M323" t="n">
        <v>0</v>
      </c>
      <c r="N323" t="n">
        <v>0</v>
      </c>
      <c r="O323" t="n">
        <v>0</v>
      </c>
      <c r="P323" t="n">
        <v>0</v>
      </c>
      <c r="Q323" t="n">
        <v>0</v>
      </c>
      <c r="R323" s="2" t="inlineStr"/>
    </row>
    <row r="324" ht="15" customHeight="1">
      <c r="A324" t="inlineStr">
        <is>
          <t>A 43622-2025</t>
        </is>
      </c>
      <c r="B324" s="1" t="n">
        <v>45911.68295138889</v>
      </c>
      <c r="C324" s="1" t="n">
        <v>46091</v>
      </c>
      <c r="D324" t="inlineStr">
        <is>
          <t>UPPSALA LÄN</t>
        </is>
      </c>
      <c r="E324" t="inlineStr">
        <is>
          <t>ÖSTHAMMAR</t>
        </is>
      </c>
      <c r="G324" t="n">
        <v>2.3</v>
      </c>
      <c r="H324" t="n">
        <v>0</v>
      </c>
      <c r="I324" t="n">
        <v>0</v>
      </c>
      <c r="J324" t="n">
        <v>0</v>
      </c>
      <c r="K324" t="n">
        <v>0</v>
      </c>
      <c r="L324" t="n">
        <v>0</v>
      </c>
      <c r="M324" t="n">
        <v>0</v>
      </c>
      <c r="N324" t="n">
        <v>0</v>
      </c>
      <c r="O324" t="n">
        <v>0</v>
      </c>
      <c r="P324" t="n">
        <v>0</v>
      </c>
      <c r="Q324" t="n">
        <v>0</v>
      </c>
      <c r="R324" s="2" t="inlineStr"/>
    </row>
    <row r="325" ht="15" customHeight="1">
      <c r="A325" t="inlineStr">
        <is>
          <t>A 43604-2025</t>
        </is>
      </c>
      <c r="B325" s="1" t="n">
        <v>45911.66671296296</v>
      </c>
      <c r="C325" s="1" t="n">
        <v>46091</v>
      </c>
      <c r="D325" t="inlineStr">
        <is>
          <t>UPPSALA LÄN</t>
        </is>
      </c>
      <c r="E325" t="inlineStr">
        <is>
          <t>ÖSTHAMMAR</t>
        </is>
      </c>
      <c r="G325" t="n">
        <v>8.5</v>
      </c>
      <c r="H325" t="n">
        <v>0</v>
      </c>
      <c r="I325" t="n">
        <v>0</v>
      </c>
      <c r="J325" t="n">
        <v>0</v>
      </c>
      <c r="K325" t="n">
        <v>0</v>
      </c>
      <c r="L325" t="n">
        <v>0</v>
      </c>
      <c r="M325" t="n">
        <v>0</v>
      </c>
      <c r="N325" t="n">
        <v>0</v>
      </c>
      <c r="O325" t="n">
        <v>0</v>
      </c>
      <c r="P325" t="n">
        <v>0</v>
      </c>
      <c r="Q325" t="n">
        <v>0</v>
      </c>
      <c r="R325" s="2" t="inlineStr"/>
    </row>
    <row r="326" ht="15" customHeight="1">
      <c r="A326" t="inlineStr">
        <is>
          <t>A 61817-2021</t>
        </is>
      </c>
      <c r="B326" s="1" t="n">
        <v>44501.76855324074</v>
      </c>
      <c r="C326" s="1" t="n">
        <v>46091</v>
      </c>
      <c r="D326" t="inlineStr">
        <is>
          <t>UPPSALA LÄN</t>
        </is>
      </c>
      <c r="E326" t="inlineStr">
        <is>
          <t>ÖSTHAMMAR</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73982-2021</t>
        </is>
      </c>
      <c r="B327" s="1" t="n">
        <v>44555.80339120371</v>
      </c>
      <c r="C327" s="1" t="n">
        <v>46091</v>
      </c>
      <c r="D327" t="inlineStr">
        <is>
          <t>UPPSALA LÄN</t>
        </is>
      </c>
      <c r="E327" t="inlineStr">
        <is>
          <t>ÖSTHAMMAR</t>
        </is>
      </c>
      <c r="G327" t="n">
        <v>0.9</v>
      </c>
      <c r="H327" t="n">
        <v>0</v>
      </c>
      <c r="I327" t="n">
        <v>0</v>
      </c>
      <c r="J327" t="n">
        <v>0</v>
      </c>
      <c r="K327" t="n">
        <v>0</v>
      </c>
      <c r="L327" t="n">
        <v>0</v>
      </c>
      <c r="M327" t="n">
        <v>0</v>
      </c>
      <c r="N327" t="n">
        <v>0</v>
      </c>
      <c r="O327" t="n">
        <v>0</v>
      </c>
      <c r="P327" t="n">
        <v>0</v>
      </c>
      <c r="Q327" t="n">
        <v>0</v>
      </c>
      <c r="R327" s="2" t="inlineStr"/>
    </row>
    <row r="328" ht="15" customHeight="1">
      <c r="A328" t="inlineStr">
        <is>
          <t>A 14859-2025</t>
        </is>
      </c>
      <c r="B328" s="1" t="n">
        <v>45743.42427083333</v>
      </c>
      <c r="C328" s="1" t="n">
        <v>46091</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14272-2025</t>
        </is>
      </c>
      <c r="B329" s="1" t="n">
        <v>45740.64327546296</v>
      </c>
      <c r="C329" s="1" t="n">
        <v>46091</v>
      </c>
      <c r="D329" t="inlineStr">
        <is>
          <t>UPPSALA LÄN</t>
        </is>
      </c>
      <c r="E329" t="inlineStr">
        <is>
          <t>ÖSTHAMMAR</t>
        </is>
      </c>
      <c r="G329" t="n">
        <v>5.7</v>
      </c>
      <c r="H329" t="n">
        <v>0</v>
      </c>
      <c r="I329" t="n">
        <v>0</v>
      </c>
      <c r="J329" t="n">
        <v>0</v>
      </c>
      <c r="K329" t="n">
        <v>0</v>
      </c>
      <c r="L329" t="n">
        <v>0</v>
      </c>
      <c r="M329" t="n">
        <v>0</v>
      </c>
      <c r="N329" t="n">
        <v>0</v>
      </c>
      <c r="O329" t="n">
        <v>0</v>
      </c>
      <c r="P329" t="n">
        <v>0</v>
      </c>
      <c r="Q329" t="n">
        <v>0</v>
      </c>
      <c r="R329" s="2" t="inlineStr"/>
    </row>
    <row r="330" ht="15" customHeight="1">
      <c r="A330" t="inlineStr">
        <is>
          <t>A 27660-2023</t>
        </is>
      </c>
      <c r="B330" s="1" t="n">
        <v>45097</v>
      </c>
      <c r="C330" s="1" t="n">
        <v>46091</v>
      </c>
      <c r="D330" t="inlineStr">
        <is>
          <t>UPPSALA LÄN</t>
        </is>
      </c>
      <c r="E330" t="inlineStr">
        <is>
          <t>ÖSTHAMMAR</t>
        </is>
      </c>
      <c r="G330" t="n">
        <v>2.8</v>
      </c>
      <c r="H330" t="n">
        <v>0</v>
      </c>
      <c r="I330" t="n">
        <v>0</v>
      </c>
      <c r="J330" t="n">
        <v>0</v>
      </c>
      <c r="K330" t="n">
        <v>0</v>
      </c>
      <c r="L330" t="n">
        <v>0</v>
      </c>
      <c r="M330" t="n">
        <v>0</v>
      </c>
      <c r="N330" t="n">
        <v>0</v>
      </c>
      <c r="O330" t="n">
        <v>0</v>
      </c>
      <c r="P330" t="n">
        <v>0</v>
      </c>
      <c r="Q330" t="n">
        <v>0</v>
      </c>
      <c r="R330" s="2" t="inlineStr"/>
    </row>
    <row r="331" ht="15" customHeight="1">
      <c r="A331" t="inlineStr">
        <is>
          <t>A 26521-2025</t>
        </is>
      </c>
      <c r="B331" s="1" t="n">
        <v>45807.56275462963</v>
      </c>
      <c r="C331" s="1" t="n">
        <v>46091</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26526-2025</t>
        </is>
      </c>
      <c r="B332" s="1" t="n">
        <v>45807.56612268519</v>
      </c>
      <c r="C332" s="1" t="n">
        <v>46091</v>
      </c>
      <c r="D332" t="inlineStr">
        <is>
          <t>UPPSALA LÄN</t>
        </is>
      </c>
      <c r="E332" t="inlineStr">
        <is>
          <t>ÖSTHAMMAR</t>
        </is>
      </c>
      <c r="G332" t="n">
        <v>0.7</v>
      </c>
      <c r="H332" t="n">
        <v>0</v>
      </c>
      <c r="I332" t="n">
        <v>0</v>
      </c>
      <c r="J332" t="n">
        <v>0</v>
      </c>
      <c r="K332" t="n">
        <v>0</v>
      </c>
      <c r="L332" t="n">
        <v>0</v>
      </c>
      <c r="M332" t="n">
        <v>0</v>
      </c>
      <c r="N332" t="n">
        <v>0</v>
      </c>
      <c r="O332" t="n">
        <v>0</v>
      </c>
      <c r="P332" t="n">
        <v>0</v>
      </c>
      <c r="Q332" t="n">
        <v>0</v>
      </c>
      <c r="R332" s="2" t="inlineStr"/>
    </row>
    <row r="333" ht="15" customHeight="1">
      <c r="A333" t="inlineStr">
        <is>
          <t>A 21478-2023</t>
        </is>
      </c>
      <c r="B333" s="1" t="n">
        <v>45063.47773148148</v>
      </c>
      <c r="C333" s="1" t="n">
        <v>46091</v>
      </c>
      <c r="D333" t="inlineStr">
        <is>
          <t>UPPSALA LÄN</t>
        </is>
      </c>
      <c r="E333" t="inlineStr">
        <is>
          <t>ÖSTHAMMAR</t>
        </is>
      </c>
      <c r="G333" t="n">
        <v>0.4</v>
      </c>
      <c r="H333" t="n">
        <v>0</v>
      </c>
      <c r="I333" t="n">
        <v>0</v>
      </c>
      <c r="J333" t="n">
        <v>0</v>
      </c>
      <c r="K333" t="n">
        <v>0</v>
      </c>
      <c r="L333" t="n">
        <v>0</v>
      </c>
      <c r="M333" t="n">
        <v>0</v>
      </c>
      <c r="N333" t="n">
        <v>0</v>
      </c>
      <c r="O333" t="n">
        <v>0</v>
      </c>
      <c r="P333" t="n">
        <v>0</v>
      </c>
      <c r="Q333" t="n">
        <v>0</v>
      </c>
      <c r="R333" s="2" t="inlineStr"/>
    </row>
    <row r="334" ht="15" customHeight="1">
      <c r="A334" t="inlineStr">
        <is>
          <t>A 53735-2025</t>
        </is>
      </c>
      <c r="B334" s="1" t="n">
        <v>45960.64431712963</v>
      </c>
      <c r="C334" s="1" t="n">
        <v>46091</v>
      </c>
      <c r="D334" t="inlineStr">
        <is>
          <t>UPPSALA LÄN</t>
        </is>
      </c>
      <c r="E334" t="inlineStr">
        <is>
          <t>ÖSTHAMMAR</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27395-2025</t>
        </is>
      </c>
      <c r="B335" s="1" t="n">
        <v>45812.6850462963</v>
      </c>
      <c r="C335" s="1" t="n">
        <v>46091</v>
      </c>
      <c r="D335" t="inlineStr">
        <is>
          <t>UPPSALA LÄN</t>
        </is>
      </c>
      <c r="E335" t="inlineStr">
        <is>
          <t>ÖSTHAMMAR</t>
        </is>
      </c>
      <c r="F335" t="inlineStr">
        <is>
          <t>Bergvik skog öst AB</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62394-2022</t>
        </is>
      </c>
      <c r="B336" s="1" t="n">
        <v>44923.82017361111</v>
      </c>
      <c r="C336" s="1" t="n">
        <v>46091</v>
      </c>
      <c r="D336" t="inlineStr">
        <is>
          <t>UPPSALA LÄN</t>
        </is>
      </c>
      <c r="E336" t="inlineStr">
        <is>
          <t>ÖSTHAMMAR</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44491-2025</t>
        </is>
      </c>
      <c r="B337" s="1" t="n">
        <v>45916.66152777777</v>
      </c>
      <c r="C337" s="1" t="n">
        <v>46091</v>
      </c>
      <c r="D337" t="inlineStr">
        <is>
          <t>UPPSALA LÄN</t>
        </is>
      </c>
      <c r="E337" t="inlineStr">
        <is>
          <t>ÖSTHAMMAR</t>
        </is>
      </c>
      <c r="F337" t="inlineStr">
        <is>
          <t>Bergvik skog öst AB</t>
        </is>
      </c>
      <c r="G337" t="n">
        <v>4.3</v>
      </c>
      <c r="H337" t="n">
        <v>0</v>
      </c>
      <c r="I337" t="n">
        <v>0</v>
      </c>
      <c r="J337" t="n">
        <v>0</v>
      </c>
      <c r="K337" t="n">
        <v>0</v>
      </c>
      <c r="L337" t="n">
        <v>0</v>
      </c>
      <c r="M337" t="n">
        <v>0</v>
      </c>
      <c r="N337" t="n">
        <v>0</v>
      </c>
      <c r="O337" t="n">
        <v>0</v>
      </c>
      <c r="P337" t="n">
        <v>0</v>
      </c>
      <c r="Q337" t="n">
        <v>0</v>
      </c>
      <c r="R337" s="2" t="inlineStr"/>
    </row>
    <row r="338" ht="15" customHeight="1">
      <c r="A338" t="inlineStr">
        <is>
          <t>A 53737-2025</t>
        </is>
      </c>
      <c r="B338" s="1" t="n">
        <v>45960.64520833334</v>
      </c>
      <c r="C338" s="1" t="n">
        <v>46091</v>
      </c>
      <c r="D338" t="inlineStr">
        <is>
          <t>UPPSALA LÄN</t>
        </is>
      </c>
      <c r="E338" t="inlineStr">
        <is>
          <t>ÖSTHAMMAR</t>
        </is>
      </c>
      <c r="F338" t="inlineStr">
        <is>
          <t>Bergvik skog öst AB</t>
        </is>
      </c>
      <c r="G338" t="n">
        <v>3</v>
      </c>
      <c r="H338" t="n">
        <v>0</v>
      </c>
      <c r="I338" t="n">
        <v>0</v>
      </c>
      <c r="J338" t="n">
        <v>0</v>
      </c>
      <c r="K338" t="n">
        <v>0</v>
      </c>
      <c r="L338" t="n">
        <v>0</v>
      </c>
      <c r="M338" t="n">
        <v>0</v>
      </c>
      <c r="N338" t="n">
        <v>0</v>
      </c>
      <c r="O338" t="n">
        <v>0</v>
      </c>
      <c r="P338" t="n">
        <v>0</v>
      </c>
      <c r="Q338" t="n">
        <v>0</v>
      </c>
      <c r="R338" s="2" t="inlineStr"/>
    </row>
    <row r="339" ht="15" customHeight="1">
      <c r="A339" t="inlineStr">
        <is>
          <t>A 27347-2025</t>
        </is>
      </c>
      <c r="B339" s="1" t="n">
        <v>45812.62390046296</v>
      </c>
      <c r="C339" s="1" t="n">
        <v>46091</v>
      </c>
      <c r="D339" t="inlineStr">
        <is>
          <t>UPPSALA LÄN</t>
        </is>
      </c>
      <c r="E339" t="inlineStr">
        <is>
          <t>ÖSTHAMMAR</t>
        </is>
      </c>
      <c r="G339" t="n">
        <v>0.4</v>
      </c>
      <c r="H339" t="n">
        <v>0</v>
      </c>
      <c r="I339" t="n">
        <v>0</v>
      </c>
      <c r="J339" t="n">
        <v>0</v>
      </c>
      <c r="K339" t="n">
        <v>0</v>
      </c>
      <c r="L339" t="n">
        <v>0</v>
      </c>
      <c r="M339" t="n">
        <v>0</v>
      </c>
      <c r="N339" t="n">
        <v>0</v>
      </c>
      <c r="O339" t="n">
        <v>0</v>
      </c>
      <c r="P339" t="n">
        <v>0</v>
      </c>
      <c r="Q339" t="n">
        <v>0</v>
      </c>
      <c r="R339" s="2" t="inlineStr"/>
    </row>
    <row r="340" ht="15" customHeight="1">
      <c r="A340" t="inlineStr">
        <is>
          <t>A 27383-2025</t>
        </is>
      </c>
      <c r="B340" s="1" t="n">
        <v>45812.66628472223</v>
      </c>
      <c r="C340" s="1" t="n">
        <v>46091</v>
      </c>
      <c r="D340" t="inlineStr">
        <is>
          <t>UPPSALA LÄN</t>
        </is>
      </c>
      <c r="E340" t="inlineStr">
        <is>
          <t>ÖSTHAMMAR</t>
        </is>
      </c>
      <c r="G340" t="n">
        <v>0.7</v>
      </c>
      <c r="H340" t="n">
        <v>0</v>
      </c>
      <c r="I340" t="n">
        <v>0</v>
      </c>
      <c r="J340" t="n">
        <v>0</v>
      </c>
      <c r="K340" t="n">
        <v>0</v>
      </c>
      <c r="L340" t="n">
        <v>0</v>
      </c>
      <c r="M340" t="n">
        <v>0</v>
      </c>
      <c r="N340" t="n">
        <v>0</v>
      </c>
      <c r="O340" t="n">
        <v>0</v>
      </c>
      <c r="P340" t="n">
        <v>0</v>
      </c>
      <c r="Q340" t="n">
        <v>0</v>
      </c>
      <c r="R340" s="2" t="inlineStr"/>
    </row>
    <row r="341" ht="15" customHeight="1">
      <c r="A341" t="inlineStr">
        <is>
          <t>A 27385-2025</t>
        </is>
      </c>
      <c r="B341" s="1" t="n">
        <v>45812.66829861111</v>
      </c>
      <c r="C341" s="1" t="n">
        <v>46091</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27352-2025</t>
        </is>
      </c>
      <c r="B342" s="1" t="n">
        <v>45812.62694444445</v>
      </c>
      <c r="C342" s="1" t="n">
        <v>46091</v>
      </c>
      <c r="D342" t="inlineStr">
        <is>
          <t>UPPSALA LÄN</t>
        </is>
      </c>
      <c r="E342" t="inlineStr">
        <is>
          <t>ÖSTHAMMAR</t>
        </is>
      </c>
      <c r="G342" t="n">
        <v>2.5</v>
      </c>
      <c r="H342" t="n">
        <v>0</v>
      </c>
      <c r="I342" t="n">
        <v>0</v>
      </c>
      <c r="J342" t="n">
        <v>0</v>
      </c>
      <c r="K342" t="n">
        <v>0</v>
      </c>
      <c r="L342" t="n">
        <v>0</v>
      </c>
      <c r="M342" t="n">
        <v>0</v>
      </c>
      <c r="N342" t="n">
        <v>0</v>
      </c>
      <c r="O342" t="n">
        <v>0</v>
      </c>
      <c r="P342" t="n">
        <v>0</v>
      </c>
      <c r="Q342" t="n">
        <v>0</v>
      </c>
      <c r="R342" s="2" t="inlineStr"/>
    </row>
    <row r="343" ht="15" customHeight="1">
      <c r="A343" t="inlineStr">
        <is>
          <t>A 53567-2025</t>
        </is>
      </c>
      <c r="B343" s="1" t="n">
        <v>45960</v>
      </c>
      <c r="C343" s="1" t="n">
        <v>46091</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27131-2025</t>
        </is>
      </c>
      <c r="B344" s="1" t="n">
        <v>45811</v>
      </c>
      <c r="C344" s="1" t="n">
        <v>46091</v>
      </c>
      <c r="D344" t="inlineStr">
        <is>
          <t>UPPSALA LÄN</t>
        </is>
      </c>
      <c r="E344" t="inlineStr">
        <is>
          <t>ÖSTHAMMAR</t>
        </is>
      </c>
      <c r="G344" t="n">
        <v>1.9</v>
      </c>
      <c r="H344" t="n">
        <v>0</v>
      </c>
      <c r="I344" t="n">
        <v>0</v>
      </c>
      <c r="J344" t="n">
        <v>0</v>
      </c>
      <c r="K344" t="n">
        <v>0</v>
      </c>
      <c r="L344" t="n">
        <v>0</v>
      </c>
      <c r="M344" t="n">
        <v>0</v>
      </c>
      <c r="N344" t="n">
        <v>0</v>
      </c>
      <c r="O344" t="n">
        <v>0</v>
      </c>
      <c r="P344" t="n">
        <v>0</v>
      </c>
      <c r="Q344" t="n">
        <v>0</v>
      </c>
      <c r="R344" s="2" t="inlineStr"/>
    </row>
    <row r="345" ht="15" customHeight="1">
      <c r="A345" t="inlineStr">
        <is>
          <t>A 27392-2025</t>
        </is>
      </c>
      <c r="B345" s="1" t="n">
        <v>45812.68268518519</v>
      </c>
      <c r="C345" s="1" t="n">
        <v>46091</v>
      </c>
      <c r="D345" t="inlineStr">
        <is>
          <t>UPPSALA LÄN</t>
        </is>
      </c>
      <c r="E345" t="inlineStr">
        <is>
          <t>ÖSTHAMMAR</t>
        </is>
      </c>
      <c r="F345" t="inlineStr">
        <is>
          <t>Bergvik skog öst AB</t>
        </is>
      </c>
      <c r="G345" t="n">
        <v>2.1</v>
      </c>
      <c r="H345" t="n">
        <v>0</v>
      </c>
      <c r="I345" t="n">
        <v>0</v>
      </c>
      <c r="J345" t="n">
        <v>0</v>
      </c>
      <c r="K345" t="n">
        <v>0</v>
      </c>
      <c r="L345" t="n">
        <v>0</v>
      </c>
      <c r="M345" t="n">
        <v>0</v>
      </c>
      <c r="N345" t="n">
        <v>0</v>
      </c>
      <c r="O345" t="n">
        <v>0</v>
      </c>
      <c r="P345" t="n">
        <v>0</v>
      </c>
      <c r="Q345" t="n">
        <v>0</v>
      </c>
      <c r="R345" s="2" t="inlineStr"/>
    </row>
    <row r="346" ht="15" customHeight="1">
      <c r="A346" t="inlineStr">
        <is>
          <t>A 53961-2025</t>
        </is>
      </c>
      <c r="B346" s="1" t="n">
        <v>45961</v>
      </c>
      <c r="C346" s="1" t="n">
        <v>46091</v>
      </c>
      <c r="D346" t="inlineStr">
        <is>
          <t>UPPSALA LÄN</t>
        </is>
      </c>
      <c r="E346" t="inlineStr">
        <is>
          <t>ÖSTHAMMAR</t>
        </is>
      </c>
      <c r="G346" t="n">
        <v>0.7</v>
      </c>
      <c r="H346" t="n">
        <v>0</v>
      </c>
      <c r="I346" t="n">
        <v>0</v>
      </c>
      <c r="J346" t="n">
        <v>0</v>
      </c>
      <c r="K346" t="n">
        <v>0</v>
      </c>
      <c r="L346" t="n">
        <v>0</v>
      </c>
      <c r="M346" t="n">
        <v>0</v>
      </c>
      <c r="N346" t="n">
        <v>0</v>
      </c>
      <c r="O346" t="n">
        <v>0</v>
      </c>
      <c r="P346" t="n">
        <v>0</v>
      </c>
      <c r="Q346" t="n">
        <v>0</v>
      </c>
      <c r="R346" s="2" t="inlineStr"/>
    </row>
    <row r="347" ht="15" customHeight="1">
      <c r="A347" t="inlineStr">
        <is>
          <t>A 44917-2025</t>
        </is>
      </c>
      <c r="B347" s="1" t="n">
        <v>45918.54903935185</v>
      </c>
      <c r="C347" s="1" t="n">
        <v>46091</v>
      </c>
      <c r="D347" t="inlineStr">
        <is>
          <t>UPPSALA LÄN</t>
        </is>
      </c>
      <c r="E347" t="inlineStr">
        <is>
          <t>ÖSTHAMMAR</t>
        </is>
      </c>
      <c r="F347" t="inlineStr">
        <is>
          <t>Allmännings- och besparingsskogar</t>
        </is>
      </c>
      <c r="G347" t="n">
        <v>16</v>
      </c>
      <c r="H347" t="n">
        <v>0</v>
      </c>
      <c r="I347" t="n">
        <v>0</v>
      </c>
      <c r="J347" t="n">
        <v>0</v>
      </c>
      <c r="K347" t="n">
        <v>0</v>
      </c>
      <c r="L347" t="n">
        <v>0</v>
      </c>
      <c r="M347" t="n">
        <v>0</v>
      </c>
      <c r="N347" t="n">
        <v>0</v>
      </c>
      <c r="O347" t="n">
        <v>0</v>
      </c>
      <c r="P347" t="n">
        <v>0</v>
      </c>
      <c r="Q347" t="n">
        <v>0</v>
      </c>
      <c r="R347" s="2" t="inlineStr"/>
    </row>
    <row r="348" ht="15" customHeight="1">
      <c r="A348" t="inlineStr">
        <is>
          <t>A 27058-2025</t>
        </is>
      </c>
      <c r="B348" s="1" t="n">
        <v>45811.63436342592</v>
      </c>
      <c r="C348" s="1" t="n">
        <v>46091</v>
      </c>
      <c r="D348" t="inlineStr">
        <is>
          <t>UPPSALA LÄN</t>
        </is>
      </c>
      <c r="E348" t="inlineStr">
        <is>
          <t>ÖSTHAMMAR</t>
        </is>
      </c>
      <c r="F348" t="inlineStr">
        <is>
          <t>Bergvik skog öst AB</t>
        </is>
      </c>
      <c r="G348" t="n">
        <v>5.7</v>
      </c>
      <c r="H348" t="n">
        <v>0</v>
      </c>
      <c r="I348" t="n">
        <v>0</v>
      </c>
      <c r="J348" t="n">
        <v>0</v>
      </c>
      <c r="K348" t="n">
        <v>0</v>
      </c>
      <c r="L348" t="n">
        <v>0</v>
      </c>
      <c r="M348" t="n">
        <v>0</v>
      </c>
      <c r="N348" t="n">
        <v>0</v>
      </c>
      <c r="O348" t="n">
        <v>0</v>
      </c>
      <c r="P348" t="n">
        <v>0</v>
      </c>
      <c r="Q348" t="n">
        <v>0</v>
      </c>
      <c r="R348" s="2" t="inlineStr"/>
    </row>
    <row r="349" ht="15" customHeight="1">
      <c r="A349" t="inlineStr">
        <is>
          <t>A 6153-2022</t>
        </is>
      </c>
      <c r="B349" s="1" t="n">
        <v>44599</v>
      </c>
      <c r="C349" s="1" t="n">
        <v>46091</v>
      </c>
      <c r="D349" t="inlineStr">
        <is>
          <t>UPPSALA LÄN</t>
        </is>
      </c>
      <c r="E349" t="inlineStr">
        <is>
          <t>ÖSTHAMMAR</t>
        </is>
      </c>
      <c r="G349" t="n">
        <v>1.2</v>
      </c>
      <c r="H349" t="n">
        <v>0</v>
      </c>
      <c r="I349" t="n">
        <v>0</v>
      </c>
      <c r="J349" t="n">
        <v>0</v>
      </c>
      <c r="K349" t="n">
        <v>0</v>
      </c>
      <c r="L349" t="n">
        <v>0</v>
      </c>
      <c r="M349" t="n">
        <v>0</v>
      </c>
      <c r="N349" t="n">
        <v>0</v>
      </c>
      <c r="O349" t="n">
        <v>0</v>
      </c>
      <c r="P349" t="n">
        <v>0</v>
      </c>
      <c r="Q349" t="n">
        <v>0</v>
      </c>
      <c r="R349" s="2" t="inlineStr"/>
    </row>
    <row r="350" ht="15" customHeight="1">
      <c r="A350" t="inlineStr">
        <is>
          <t>A 27350-2025</t>
        </is>
      </c>
      <c r="B350" s="1" t="n">
        <v>45812.62571759259</v>
      </c>
      <c r="C350" s="1" t="n">
        <v>46091</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27132-2025</t>
        </is>
      </c>
      <c r="B351" s="1" t="n">
        <v>45811</v>
      </c>
      <c r="C351" s="1" t="n">
        <v>46091</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1800-2023</t>
        </is>
      </c>
      <c r="B352" s="1" t="n">
        <v>44938</v>
      </c>
      <c r="C352" s="1" t="n">
        <v>46091</v>
      </c>
      <c r="D352" t="inlineStr">
        <is>
          <t>UPPSALA LÄN</t>
        </is>
      </c>
      <c r="E352" t="inlineStr">
        <is>
          <t>ÖSTHAMMAR</t>
        </is>
      </c>
      <c r="G352" t="n">
        <v>1.4</v>
      </c>
      <c r="H352" t="n">
        <v>0</v>
      </c>
      <c r="I352" t="n">
        <v>0</v>
      </c>
      <c r="J352" t="n">
        <v>0</v>
      </c>
      <c r="K352" t="n">
        <v>0</v>
      </c>
      <c r="L352" t="n">
        <v>0</v>
      </c>
      <c r="M352" t="n">
        <v>0</v>
      </c>
      <c r="N352" t="n">
        <v>0</v>
      </c>
      <c r="O352" t="n">
        <v>0</v>
      </c>
      <c r="P352" t="n">
        <v>0</v>
      </c>
      <c r="Q352" t="n">
        <v>0</v>
      </c>
      <c r="R352" s="2" t="inlineStr"/>
    </row>
    <row r="353" ht="15" customHeight="1">
      <c r="A353" t="inlineStr">
        <is>
          <t>A 8330-2025</t>
        </is>
      </c>
      <c r="B353" s="1" t="n">
        <v>45708</v>
      </c>
      <c r="C353" s="1" t="n">
        <v>46091</v>
      </c>
      <c r="D353" t="inlineStr">
        <is>
          <t>UPPSALA LÄN</t>
        </is>
      </c>
      <c r="E353" t="inlineStr">
        <is>
          <t>ÖSTHAMMAR</t>
        </is>
      </c>
      <c r="F353" t="inlineStr">
        <is>
          <t>Övriga Aktiebolag</t>
        </is>
      </c>
      <c r="G353" t="n">
        <v>2.4</v>
      </c>
      <c r="H353" t="n">
        <v>0</v>
      </c>
      <c r="I353" t="n">
        <v>0</v>
      </c>
      <c r="J353" t="n">
        <v>0</v>
      </c>
      <c r="K353" t="n">
        <v>0</v>
      </c>
      <c r="L353" t="n">
        <v>0</v>
      </c>
      <c r="M353" t="n">
        <v>0</v>
      </c>
      <c r="N353" t="n">
        <v>0</v>
      </c>
      <c r="O353" t="n">
        <v>0</v>
      </c>
      <c r="P353" t="n">
        <v>0</v>
      </c>
      <c r="Q353" t="n">
        <v>0</v>
      </c>
      <c r="R353" s="2" t="inlineStr"/>
    </row>
    <row r="354" ht="15" customHeight="1">
      <c r="A354" t="inlineStr">
        <is>
          <t>A 53557-2025</t>
        </is>
      </c>
      <c r="B354" s="1" t="n">
        <v>45960</v>
      </c>
      <c r="C354" s="1" t="n">
        <v>46091</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47341-2023</t>
        </is>
      </c>
      <c r="B355" s="1" t="n">
        <v>45202.55721064815</v>
      </c>
      <c r="C355" s="1" t="n">
        <v>46091</v>
      </c>
      <c r="D355" t="inlineStr">
        <is>
          <t>UPPSALA LÄN</t>
        </is>
      </c>
      <c r="E355" t="inlineStr">
        <is>
          <t>ÖSTHAMMAR</t>
        </is>
      </c>
      <c r="G355" t="n">
        <v>4.9</v>
      </c>
      <c r="H355" t="n">
        <v>0</v>
      </c>
      <c r="I355" t="n">
        <v>0</v>
      </c>
      <c r="J355" t="n">
        <v>0</v>
      </c>
      <c r="K355" t="n">
        <v>0</v>
      </c>
      <c r="L355" t="n">
        <v>0</v>
      </c>
      <c r="M355" t="n">
        <v>0</v>
      </c>
      <c r="N355" t="n">
        <v>0</v>
      </c>
      <c r="O355" t="n">
        <v>0</v>
      </c>
      <c r="P355" t="n">
        <v>0</v>
      </c>
      <c r="Q355" t="n">
        <v>0</v>
      </c>
      <c r="R355" s="2" t="inlineStr"/>
    </row>
    <row r="356" ht="15" customHeight="1">
      <c r="A356" t="inlineStr">
        <is>
          <t>A 45105-2025</t>
        </is>
      </c>
      <c r="B356" s="1" t="n">
        <v>45919.40252314815</v>
      </c>
      <c r="C356" s="1" t="n">
        <v>46091</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27563-2025</t>
        </is>
      </c>
      <c r="B357" s="1" t="n">
        <v>45813.48471064815</v>
      </c>
      <c r="C357" s="1" t="n">
        <v>46091</v>
      </c>
      <c r="D357" t="inlineStr">
        <is>
          <t>UPPSALA LÄN</t>
        </is>
      </c>
      <c r="E357" t="inlineStr">
        <is>
          <t>ÖSTHAMMAR</t>
        </is>
      </c>
      <c r="F357" t="inlineStr">
        <is>
          <t>Bergvik skog öst AB</t>
        </is>
      </c>
      <c r="G357" t="n">
        <v>4</v>
      </c>
      <c r="H357" t="n">
        <v>0</v>
      </c>
      <c r="I357" t="n">
        <v>0</v>
      </c>
      <c r="J357" t="n">
        <v>0</v>
      </c>
      <c r="K357" t="n">
        <v>0</v>
      </c>
      <c r="L357" t="n">
        <v>0</v>
      </c>
      <c r="M357" t="n">
        <v>0</v>
      </c>
      <c r="N357" t="n">
        <v>0</v>
      </c>
      <c r="O357" t="n">
        <v>0</v>
      </c>
      <c r="P357" t="n">
        <v>0</v>
      </c>
      <c r="Q357" t="n">
        <v>0</v>
      </c>
      <c r="R357" s="2" t="inlineStr"/>
    </row>
    <row r="358" ht="15" customHeight="1">
      <c r="A358" t="inlineStr">
        <is>
          <t>A 45102-2025</t>
        </is>
      </c>
      <c r="B358" s="1" t="n">
        <v>45919.39731481481</v>
      </c>
      <c r="C358" s="1" t="n">
        <v>46091</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27920-2025</t>
        </is>
      </c>
      <c r="B359" s="1" t="n">
        <v>45817.48454861111</v>
      </c>
      <c r="C359" s="1" t="n">
        <v>46091</v>
      </c>
      <c r="D359" t="inlineStr">
        <is>
          <t>UPPSALA LÄN</t>
        </is>
      </c>
      <c r="E359" t="inlineStr">
        <is>
          <t>ÖSTHAMMAR</t>
        </is>
      </c>
      <c r="F359" t="inlineStr">
        <is>
          <t>Bergvik skog öst AB</t>
        </is>
      </c>
      <c r="G359" t="n">
        <v>0.6</v>
      </c>
      <c r="H359" t="n">
        <v>0</v>
      </c>
      <c r="I359" t="n">
        <v>0</v>
      </c>
      <c r="J359" t="n">
        <v>0</v>
      </c>
      <c r="K359" t="n">
        <v>0</v>
      </c>
      <c r="L359" t="n">
        <v>0</v>
      </c>
      <c r="M359" t="n">
        <v>0</v>
      </c>
      <c r="N359" t="n">
        <v>0</v>
      </c>
      <c r="O359" t="n">
        <v>0</v>
      </c>
      <c r="P359" t="n">
        <v>0</v>
      </c>
      <c r="Q359" t="n">
        <v>0</v>
      </c>
      <c r="R359" s="2" t="inlineStr"/>
    </row>
    <row r="360" ht="15" customHeight="1">
      <c r="A360" t="inlineStr">
        <is>
          <t>A 61216-2022</t>
        </is>
      </c>
      <c r="B360" s="1" t="n">
        <v>44915.55423611111</v>
      </c>
      <c r="C360" s="1" t="n">
        <v>46091</v>
      </c>
      <c r="D360" t="inlineStr">
        <is>
          <t>UPPSALA LÄN</t>
        </is>
      </c>
      <c r="E360" t="inlineStr">
        <is>
          <t>ÖSTHAMMAR</t>
        </is>
      </c>
      <c r="G360" t="n">
        <v>2.9</v>
      </c>
      <c r="H360" t="n">
        <v>0</v>
      </c>
      <c r="I360" t="n">
        <v>0</v>
      </c>
      <c r="J360" t="n">
        <v>0</v>
      </c>
      <c r="K360" t="n">
        <v>0</v>
      </c>
      <c r="L360" t="n">
        <v>0</v>
      </c>
      <c r="M360" t="n">
        <v>0</v>
      </c>
      <c r="N360" t="n">
        <v>0</v>
      </c>
      <c r="O360" t="n">
        <v>0</v>
      </c>
      <c r="P360" t="n">
        <v>0</v>
      </c>
      <c r="Q360" t="n">
        <v>0</v>
      </c>
      <c r="R360" s="2" t="inlineStr"/>
    </row>
    <row r="361" ht="15" customHeight="1">
      <c r="A361" t="inlineStr">
        <is>
          <t>A 70008-2021</t>
        </is>
      </c>
      <c r="B361" s="1" t="n">
        <v>44533.44887731481</v>
      </c>
      <c r="C361" s="1" t="n">
        <v>46091</v>
      </c>
      <c r="D361" t="inlineStr">
        <is>
          <t>UPPSALA LÄN</t>
        </is>
      </c>
      <c r="E361" t="inlineStr">
        <is>
          <t>ÖSTHAMMAR</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53656-2025</t>
        </is>
      </c>
      <c r="B362" s="1" t="n">
        <v>45960</v>
      </c>
      <c r="C362" s="1" t="n">
        <v>46091</v>
      </c>
      <c r="D362" t="inlineStr">
        <is>
          <t>UPPSALA LÄN</t>
        </is>
      </c>
      <c r="E362" t="inlineStr">
        <is>
          <t>ÖSTHAMMAR</t>
        </is>
      </c>
      <c r="G362" t="n">
        <v>3.1</v>
      </c>
      <c r="H362" t="n">
        <v>0</v>
      </c>
      <c r="I362" t="n">
        <v>0</v>
      </c>
      <c r="J362" t="n">
        <v>0</v>
      </c>
      <c r="K362" t="n">
        <v>0</v>
      </c>
      <c r="L362" t="n">
        <v>0</v>
      </c>
      <c r="M362" t="n">
        <v>0</v>
      </c>
      <c r="N362" t="n">
        <v>0</v>
      </c>
      <c r="O362" t="n">
        <v>0</v>
      </c>
      <c r="P362" t="n">
        <v>0</v>
      </c>
      <c r="Q362" t="n">
        <v>0</v>
      </c>
      <c r="R362" s="2" t="inlineStr"/>
    </row>
    <row r="363" ht="15" customHeight="1">
      <c r="A363" t="inlineStr">
        <is>
          <t>A 45720-2025</t>
        </is>
      </c>
      <c r="B363" s="1" t="n">
        <v>45923.44583333333</v>
      </c>
      <c r="C363" s="1" t="n">
        <v>46091</v>
      </c>
      <c r="D363" t="inlineStr">
        <is>
          <t>UPPSALA LÄN</t>
        </is>
      </c>
      <c r="E363" t="inlineStr">
        <is>
          <t>ÖSTHAMMAR</t>
        </is>
      </c>
      <c r="F363" t="inlineStr">
        <is>
          <t>Övriga Aktiebolag</t>
        </is>
      </c>
      <c r="G363" t="n">
        <v>2.8</v>
      </c>
      <c r="H363" t="n">
        <v>0</v>
      </c>
      <c r="I363" t="n">
        <v>0</v>
      </c>
      <c r="J363" t="n">
        <v>0</v>
      </c>
      <c r="K363" t="n">
        <v>0</v>
      </c>
      <c r="L363" t="n">
        <v>0</v>
      </c>
      <c r="M363" t="n">
        <v>0</v>
      </c>
      <c r="N363" t="n">
        <v>0</v>
      </c>
      <c r="O363" t="n">
        <v>0</v>
      </c>
      <c r="P363" t="n">
        <v>0</v>
      </c>
      <c r="Q363" t="n">
        <v>0</v>
      </c>
      <c r="R363" s="2" t="inlineStr"/>
    </row>
    <row r="364" ht="15" customHeight="1">
      <c r="A364" t="inlineStr">
        <is>
          <t>A 45721-2025</t>
        </is>
      </c>
      <c r="B364" s="1" t="n">
        <v>45923.44844907407</v>
      </c>
      <c r="C364" s="1" t="n">
        <v>46091</v>
      </c>
      <c r="D364" t="inlineStr">
        <is>
          <t>UPPSALA LÄN</t>
        </is>
      </c>
      <c r="E364" t="inlineStr">
        <is>
          <t>ÖSTHAMMAR</t>
        </is>
      </c>
      <c r="F364" t="inlineStr">
        <is>
          <t>Övriga Aktiebolag</t>
        </is>
      </c>
      <c r="G364" t="n">
        <v>0.9</v>
      </c>
      <c r="H364" t="n">
        <v>0</v>
      </c>
      <c r="I364" t="n">
        <v>0</v>
      </c>
      <c r="J364" t="n">
        <v>0</v>
      </c>
      <c r="K364" t="n">
        <v>0</v>
      </c>
      <c r="L364" t="n">
        <v>0</v>
      </c>
      <c r="M364" t="n">
        <v>0</v>
      </c>
      <c r="N364" t="n">
        <v>0</v>
      </c>
      <c r="O364" t="n">
        <v>0</v>
      </c>
      <c r="P364" t="n">
        <v>0</v>
      </c>
      <c r="Q364" t="n">
        <v>0</v>
      </c>
      <c r="R364" s="2" t="inlineStr"/>
    </row>
    <row r="365" ht="15" customHeight="1">
      <c r="A365" t="inlineStr">
        <is>
          <t>A 45993-2025</t>
        </is>
      </c>
      <c r="B365" s="1" t="n">
        <v>45924.39706018518</v>
      </c>
      <c r="C365" s="1" t="n">
        <v>46091</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46088-2025</t>
        </is>
      </c>
      <c r="B366" s="1" t="n">
        <v>45924.52010416667</v>
      </c>
      <c r="C366" s="1" t="n">
        <v>46091</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2733-2023</t>
        </is>
      </c>
      <c r="B367" s="1" t="n">
        <v>44943</v>
      </c>
      <c r="C367" s="1" t="n">
        <v>46091</v>
      </c>
      <c r="D367" t="inlineStr">
        <is>
          <t>UPPSALA LÄN</t>
        </is>
      </c>
      <c r="E367" t="inlineStr">
        <is>
          <t>ÖSTHAMMAR</t>
        </is>
      </c>
      <c r="G367" t="n">
        <v>2.6</v>
      </c>
      <c r="H367" t="n">
        <v>0</v>
      </c>
      <c r="I367" t="n">
        <v>0</v>
      </c>
      <c r="J367" t="n">
        <v>0</v>
      </c>
      <c r="K367" t="n">
        <v>0</v>
      </c>
      <c r="L367" t="n">
        <v>0</v>
      </c>
      <c r="M367" t="n">
        <v>0</v>
      </c>
      <c r="N367" t="n">
        <v>0</v>
      </c>
      <c r="O367" t="n">
        <v>0</v>
      </c>
      <c r="P367" t="n">
        <v>0</v>
      </c>
      <c r="Q367" t="n">
        <v>0</v>
      </c>
      <c r="R367" s="2" t="inlineStr"/>
    </row>
    <row r="368" ht="15" customHeight="1">
      <c r="A368" t="inlineStr">
        <is>
          <t>A 46089-2025</t>
        </is>
      </c>
      <c r="B368" s="1" t="n">
        <v>45924.52100694444</v>
      </c>
      <c r="C368" s="1" t="n">
        <v>46091</v>
      </c>
      <c r="D368" t="inlineStr">
        <is>
          <t>UPPSALA LÄN</t>
        </is>
      </c>
      <c r="E368" t="inlineStr">
        <is>
          <t>ÖSTHAMMAR</t>
        </is>
      </c>
      <c r="F368" t="inlineStr">
        <is>
          <t>Bergvik skog öst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27812-2025</t>
        </is>
      </c>
      <c r="B369" s="1" t="n">
        <v>45817.32150462963</v>
      </c>
      <c r="C369" s="1" t="n">
        <v>46091</v>
      </c>
      <c r="D369" t="inlineStr">
        <is>
          <t>UPPSALA LÄN</t>
        </is>
      </c>
      <c r="E369" t="inlineStr">
        <is>
          <t>ÖSTHAMMAR</t>
        </is>
      </c>
      <c r="F369" t="inlineStr">
        <is>
          <t>Bergvik skog öst AB</t>
        </is>
      </c>
      <c r="G369" t="n">
        <v>1.8</v>
      </c>
      <c r="H369" t="n">
        <v>0</v>
      </c>
      <c r="I369" t="n">
        <v>0</v>
      </c>
      <c r="J369" t="n">
        <v>0</v>
      </c>
      <c r="K369" t="n">
        <v>0</v>
      </c>
      <c r="L369" t="n">
        <v>0</v>
      </c>
      <c r="M369" t="n">
        <v>0</v>
      </c>
      <c r="N369" t="n">
        <v>0</v>
      </c>
      <c r="O369" t="n">
        <v>0</v>
      </c>
      <c r="P369" t="n">
        <v>0</v>
      </c>
      <c r="Q369" t="n">
        <v>0</v>
      </c>
      <c r="R369" s="2" t="inlineStr"/>
    </row>
    <row r="370" ht="15" customHeight="1">
      <c r="A370" t="inlineStr">
        <is>
          <t>A 45715-2025</t>
        </is>
      </c>
      <c r="B370" s="1" t="n">
        <v>45923.44094907407</v>
      </c>
      <c r="C370" s="1" t="n">
        <v>46091</v>
      </c>
      <c r="D370" t="inlineStr">
        <is>
          <t>UPPSALA LÄN</t>
        </is>
      </c>
      <c r="E370" t="inlineStr">
        <is>
          <t>ÖSTHAMMAR</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27919-2025</t>
        </is>
      </c>
      <c r="B371" s="1" t="n">
        <v>45817.48384259259</v>
      </c>
      <c r="C371" s="1" t="n">
        <v>46091</v>
      </c>
      <c r="D371" t="inlineStr">
        <is>
          <t>UPPSALA LÄN</t>
        </is>
      </c>
      <c r="E371" t="inlineStr">
        <is>
          <t>ÖSTHAMMAR</t>
        </is>
      </c>
      <c r="F371" t="inlineStr">
        <is>
          <t>Bergvik skog öst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27853-2025</t>
        </is>
      </c>
      <c r="B372" s="1" t="n">
        <v>45817.40178240741</v>
      </c>
      <c r="C372" s="1" t="n">
        <v>46091</v>
      </c>
      <c r="D372" t="inlineStr">
        <is>
          <t>UPPSALA LÄN</t>
        </is>
      </c>
      <c r="E372" t="inlineStr">
        <is>
          <t>ÖSTHAMMAR</t>
        </is>
      </c>
      <c r="F372" t="inlineStr">
        <is>
          <t>Bergvik skog öst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27509-2025</t>
        </is>
      </c>
      <c r="B373" s="1" t="n">
        <v>45813.4278125</v>
      </c>
      <c r="C373" s="1" t="n">
        <v>46091</v>
      </c>
      <c r="D373" t="inlineStr">
        <is>
          <t>UPPSALA LÄN</t>
        </is>
      </c>
      <c r="E373" t="inlineStr">
        <is>
          <t>ÖSTHAMMAR</t>
        </is>
      </c>
      <c r="F373" t="inlineStr">
        <is>
          <t>Bergvik skog öst AB</t>
        </is>
      </c>
      <c r="G373" t="n">
        <v>3.3</v>
      </c>
      <c r="H373" t="n">
        <v>0</v>
      </c>
      <c r="I373" t="n">
        <v>0</v>
      </c>
      <c r="J373" t="n">
        <v>0</v>
      </c>
      <c r="K373" t="n">
        <v>0</v>
      </c>
      <c r="L373" t="n">
        <v>0</v>
      </c>
      <c r="M373" t="n">
        <v>0</v>
      </c>
      <c r="N373" t="n">
        <v>0</v>
      </c>
      <c r="O373" t="n">
        <v>0</v>
      </c>
      <c r="P373" t="n">
        <v>0</v>
      </c>
      <c r="Q373" t="n">
        <v>0</v>
      </c>
      <c r="R373" s="2" t="inlineStr"/>
    </row>
    <row r="374" ht="15" customHeight="1">
      <c r="A374" t="inlineStr">
        <is>
          <t>A 12812-2024</t>
        </is>
      </c>
      <c r="B374" s="1" t="n">
        <v>45384.65465277778</v>
      </c>
      <c r="C374" s="1" t="n">
        <v>46091</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28745-2025</t>
        </is>
      </c>
      <c r="B375" s="1" t="n">
        <v>45820.39076388889</v>
      </c>
      <c r="C375" s="1" t="n">
        <v>46091</v>
      </c>
      <c r="D375" t="inlineStr">
        <is>
          <t>UPPSALA LÄN</t>
        </is>
      </c>
      <c r="E375" t="inlineStr">
        <is>
          <t>ÖSTHAMMAR</t>
        </is>
      </c>
      <c r="G375" t="n">
        <v>1.7</v>
      </c>
      <c r="H375" t="n">
        <v>0</v>
      </c>
      <c r="I375" t="n">
        <v>0</v>
      </c>
      <c r="J375" t="n">
        <v>0</v>
      </c>
      <c r="K375" t="n">
        <v>0</v>
      </c>
      <c r="L375" t="n">
        <v>0</v>
      </c>
      <c r="M375" t="n">
        <v>0</v>
      </c>
      <c r="N375" t="n">
        <v>0</v>
      </c>
      <c r="O375" t="n">
        <v>0</v>
      </c>
      <c r="P375" t="n">
        <v>0</v>
      </c>
      <c r="Q375" t="n">
        <v>0</v>
      </c>
      <c r="R375" s="2" t="inlineStr"/>
    </row>
    <row r="376" ht="15" customHeight="1">
      <c r="A376" t="inlineStr">
        <is>
          <t>A 28748-2025</t>
        </is>
      </c>
      <c r="B376" s="1" t="n">
        <v>45820.39540509259</v>
      </c>
      <c r="C376" s="1" t="n">
        <v>46091</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28442-2025</t>
        </is>
      </c>
      <c r="B377" s="1" t="n">
        <v>45819</v>
      </c>
      <c r="C377" s="1" t="n">
        <v>46091</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23728-2025</t>
        </is>
      </c>
      <c r="B378" s="1" t="n">
        <v>45793.41719907407</v>
      </c>
      <c r="C378" s="1" t="n">
        <v>46091</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54592-2025</t>
        </is>
      </c>
      <c r="B379" s="1" t="n">
        <v>45965.74545138889</v>
      </c>
      <c r="C379" s="1" t="n">
        <v>46091</v>
      </c>
      <c r="D379" t="inlineStr">
        <is>
          <t>UPPSALA LÄN</t>
        </is>
      </c>
      <c r="E379" t="inlineStr">
        <is>
          <t>ÖSTHAMMAR</t>
        </is>
      </c>
      <c r="F379" t="inlineStr">
        <is>
          <t>Bergvik skog öst AB</t>
        </is>
      </c>
      <c r="G379" t="n">
        <v>5</v>
      </c>
      <c r="H379" t="n">
        <v>0</v>
      </c>
      <c r="I379" t="n">
        <v>0</v>
      </c>
      <c r="J379" t="n">
        <v>0</v>
      </c>
      <c r="K379" t="n">
        <v>0</v>
      </c>
      <c r="L379" t="n">
        <v>0</v>
      </c>
      <c r="M379" t="n">
        <v>0</v>
      </c>
      <c r="N379" t="n">
        <v>0</v>
      </c>
      <c r="O379" t="n">
        <v>0</v>
      </c>
      <c r="P379" t="n">
        <v>0</v>
      </c>
      <c r="Q379" t="n">
        <v>0</v>
      </c>
      <c r="R379" s="2" t="inlineStr"/>
    </row>
    <row r="380" ht="15" customHeight="1">
      <c r="A380" t="inlineStr">
        <is>
          <t>A 28739-2025</t>
        </is>
      </c>
      <c r="B380" s="1" t="n">
        <v>45820</v>
      </c>
      <c r="C380" s="1" t="n">
        <v>46091</v>
      </c>
      <c r="D380" t="inlineStr">
        <is>
          <t>UPPSALA LÄN</t>
        </is>
      </c>
      <c r="E380" t="inlineStr">
        <is>
          <t>ÖSTHAMMAR</t>
        </is>
      </c>
      <c r="G380" t="n">
        <v>1.4</v>
      </c>
      <c r="H380" t="n">
        <v>0</v>
      </c>
      <c r="I380" t="n">
        <v>0</v>
      </c>
      <c r="J380" t="n">
        <v>0</v>
      </c>
      <c r="K380" t="n">
        <v>0</v>
      </c>
      <c r="L380" t="n">
        <v>0</v>
      </c>
      <c r="M380" t="n">
        <v>0</v>
      </c>
      <c r="N380" t="n">
        <v>0</v>
      </c>
      <c r="O380" t="n">
        <v>0</v>
      </c>
      <c r="P380" t="n">
        <v>0</v>
      </c>
      <c r="Q380" t="n">
        <v>0</v>
      </c>
      <c r="R380" s="2" t="inlineStr"/>
    </row>
    <row r="381" ht="15" customHeight="1">
      <c r="A381" t="inlineStr">
        <is>
          <t>A 27486-2025</t>
        </is>
      </c>
      <c r="B381" s="1" t="n">
        <v>45813.38521990741</v>
      </c>
      <c r="C381" s="1" t="n">
        <v>46091</v>
      </c>
      <c r="D381" t="inlineStr">
        <is>
          <t>UPPSALA LÄN</t>
        </is>
      </c>
      <c r="E381" t="inlineStr">
        <is>
          <t>ÖSTHAMMAR</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31574-2022</t>
        </is>
      </c>
      <c r="B382" s="1" t="n">
        <v>44775</v>
      </c>
      <c r="C382" s="1" t="n">
        <v>46091</v>
      </c>
      <c r="D382" t="inlineStr">
        <is>
          <t>UPPSALA LÄN</t>
        </is>
      </c>
      <c r="E382" t="inlineStr">
        <is>
          <t>ÖSTHAMMAR</t>
        </is>
      </c>
      <c r="G382" t="n">
        <v>29.7</v>
      </c>
      <c r="H382" t="n">
        <v>0</v>
      </c>
      <c r="I382" t="n">
        <v>0</v>
      </c>
      <c r="J382" t="n">
        <v>0</v>
      </c>
      <c r="K382" t="n">
        <v>0</v>
      </c>
      <c r="L382" t="n">
        <v>0</v>
      </c>
      <c r="M382" t="n">
        <v>0</v>
      </c>
      <c r="N382" t="n">
        <v>0</v>
      </c>
      <c r="O382" t="n">
        <v>0</v>
      </c>
      <c r="P382" t="n">
        <v>0</v>
      </c>
      <c r="Q382" t="n">
        <v>0</v>
      </c>
      <c r="R382" s="2" t="inlineStr"/>
    </row>
    <row r="383" ht="15" customHeight="1">
      <c r="A383" t="inlineStr">
        <is>
          <t>A 29029-2025</t>
        </is>
      </c>
      <c r="B383" s="1" t="n">
        <v>45821.43973379629</v>
      </c>
      <c r="C383" s="1" t="n">
        <v>46091</v>
      </c>
      <c r="D383" t="inlineStr">
        <is>
          <t>UPPSALA LÄN</t>
        </is>
      </c>
      <c r="E383" t="inlineStr">
        <is>
          <t>ÖSTHAMMAR</t>
        </is>
      </c>
      <c r="F383" t="inlineStr">
        <is>
          <t>Bergvik skog öst AB</t>
        </is>
      </c>
      <c r="G383" t="n">
        <v>4.2</v>
      </c>
      <c r="H383" t="n">
        <v>0</v>
      </c>
      <c r="I383" t="n">
        <v>0</v>
      </c>
      <c r="J383" t="n">
        <v>0</v>
      </c>
      <c r="K383" t="n">
        <v>0</v>
      </c>
      <c r="L383" t="n">
        <v>0</v>
      </c>
      <c r="M383" t="n">
        <v>0</v>
      </c>
      <c r="N383" t="n">
        <v>0</v>
      </c>
      <c r="O383" t="n">
        <v>0</v>
      </c>
      <c r="P383" t="n">
        <v>0</v>
      </c>
      <c r="Q383" t="n">
        <v>0</v>
      </c>
      <c r="R383" s="2" t="inlineStr"/>
    </row>
    <row r="384" ht="15" customHeight="1">
      <c r="A384" t="inlineStr">
        <is>
          <t>A 29028-2025</t>
        </is>
      </c>
      <c r="B384" s="1" t="n">
        <v>45821.4384375</v>
      </c>
      <c r="C384" s="1" t="n">
        <v>46091</v>
      </c>
      <c r="D384" t="inlineStr">
        <is>
          <t>UPPSALA LÄN</t>
        </is>
      </c>
      <c r="E384" t="inlineStr">
        <is>
          <t>ÖSTHAMMAR</t>
        </is>
      </c>
      <c r="F384" t="inlineStr">
        <is>
          <t>Bergvik skog öst AB</t>
        </is>
      </c>
      <c r="G384" t="n">
        <v>1.7</v>
      </c>
      <c r="H384" t="n">
        <v>0</v>
      </c>
      <c r="I384" t="n">
        <v>0</v>
      </c>
      <c r="J384" t="n">
        <v>0</v>
      </c>
      <c r="K384" t="n">
        <v>0</v>
      </c>
      <c r="L384" t="n">
        <v>0</v>
      </c>
      <c r="M384" t="n">
        <v>0</v>
      </c>
      <c r="N384" t="n">
        <v>0</v>
      </c>
      <c r="O384" t="n">
        <v>0</v>
      </c>
      <c r="P384" t="n">
        <v>0</v>
      </c>
      <c r="Q384" t="n">
        <v>0</v>
      </c>
      <c r="R384" s="2" t="inlineStr"/>
    </row>
    <row r="385" ht="15" customHeight="1">
      <c r="A385" t="inlineStr">
        <is>
          <t>A 29031-2025</t>
        </is>
      </c>
      <c r="B385" s="1" t="n">
        <v>45821.44159722222</v>
      </c>
      <c r="C385" s="1" t="n">
        <v>46091</v>
      </c>
      <c r="D385" t="inlineStr">
        <is>
          <t>UPPSALA LÄN</t>
        </is>
      </c>
      <c r="E385" t="inlineStr">
        <is>
          <t>ÖSTHAMMAR</t>
        </is>
      </c>
      <c r="F385" t="inlineStr">
        <is>
          <t>Bergvik skog öst AB</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27490-2025</t>
        </is>
      </c>
      <c r="B386" s="1" t="n">
        <v>45813.39273148148</v>
      </c>
      <c r="C386" s="1" t="n">
        <v>46091</v>
      </c>
      <c r="D386" t="inlineStr">
        <is>
          <t>UPPSALA LÄN</t>
        </is>
      </c>
      <c r="E386" t="inlineStr">
        <is>
          <t>ÖSTHAMMAR</t>
        </is>
      </c>
      <c r="F386" t="inlineStr">
        <is>
          <t>Bergvik skog öst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47336-2025</t>
        </is>
      </c>
      <c r="B387" s="1" t="n">
        <v>45930.56592592593</v>
      </c>
      <c r="C387" s="1" t="n">
        <v>46091</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47337-2025</t>
        </is>
      </c>
      <c r="B388" s="1" t="n">
        <v>45930.56607638889</v>
      </c>
      <c r="C388" s="1" t="n">
        <v>46091</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27494-2025</t>
        </is>
      </c>
      <c r="B389" s="1" t="n">
        <v>45813.39756944445</v>
      </c>
      <c r="C389" s="1" t="n">
        <v>46091</v>
      </c>
      <c r="D389" t="inlineStr">
        <is>
          <t>UPPSALA LÄN</t>
        </is>
      </c>
      <c r="E389" t="inlineStr">
        <is>
          <t>ÖSTHAMMAR</t>
        </is>
      </c>
      <c r="F389" t="inlineStr">
        <is>
          <t>Bergvik skog öst AB</t>
        </is>
      </c>
      <c r="G389" t="n">
        <v>23.4</v>
      </c>
      <c r="H389" t="n">
        <v>0</v>
      </c>
      <c r="I389" t="n">
        <v>0</v>
      </c>
      <c r="J389" t="n">
        <v>0</v>
      </c>
      <c r="K389" t="n">
        <v>0</v>
      </c>
      <c r="L389" t="n">
        <v>0</v>
      </c>
      <c r="M389" t="n">
        <v>0</v>
      </c>
      <c r="N389" t="n">
        <v>0</v>
      </c>
      <c r="O389" t="n">
        <v>0</v>
      </c>
      <c r="P389" t="n">
        <v>0</v>
      </c>
      <c r="Q389" t="n">
        <v>0</v>
      </c>
      <c r="R389" s="2" t="inlineStr"/>
    </row>
    <row r="390" ht="15" customHeight="1">
      <c r="A390" t="inlineStr">
        <is>
          <t>A 47338-2025</t>
        </is>
      </c>
      <c r="B390" s="1" t="n">
        <v>45930.56626157407</v>
      </c>
      <c r="C390" s="1" t="n">
        <v>46091</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29384-2025</t>
        </is>
      </c>
      <c r="B391" s="1" t="n">
        <v>45824</v>
      </c>
      <c r="C391" s="1" t="n">
        <v>46091</v>
      </c>
      <c r="D391" t="inlineStr">
        <is>
          <t>UPPSALA LÄN</t>
        </is>
      </c>
      <c r="E391" t="inlineStr">
        <is>
          <t>ÖSTHAMMAR</t>
        </is>
      </c>
      <c r="G391" t="n">
        <v>3.1</v>
      </c>
      <c r="H391" t="n">
        <v>0</v>
      </c>
      <c r="I391" t="n">
        <v>0</v>
      </c>
      <c r="J391" t="n">
        <v>0</v>
      </c>
      <c r="K391" t="n">
        <v>0</v>
      </c>
      <c r="L391" t="n">
        <v>0</v>
      </c>
      <c r="M391" t="n">
        <v>0</v>
      </c>
      <c r="N391" t="n">
        <v>0</v>
      </c>
      <c r="O391" t="n">
        <v>0</v>
      </c>
      <c r="P391" t="n">
        <v>0</v>
      </c>
      <c r="Q391" t="n">
        <v>0</v>
      </c>
      <c r="R391" s="2" t="inlineStr"/>
    </row>
    <row r="392" ht="15" customHeight="1">
      <c r="A392" t="inlineStr">
        <is>
          <t>A 24181-2022</t>
        </is>
      </c>
      <c r="B392" s="1" t="n">
        <v>44725</v>
      </c>
      <c r="C392" s="1" t="n">
        <v>46091</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29024-2025</t>
        </is>
      </c>
      <c r="B393" s="1" t="n">
        <v>45821.43233796296</v>
      </c>
      <c r="C393" s="1" t="n">
        <v>46091</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46826-2025</t>
        </is>
      </c>
      <c r="B394" s="1" t="n">
        <v>45927.00606481481</v>
      </c>
      <c r="C394" s="1" t="n">
        <v>46091</v>
      </c>
      <c r="D394" t="inlineStr">
        <is>
          <t>UPPSALA LÄN</t>
        </is>
      </c>
      <c r="E394" t="inlineStr">
        <is>
          <t>ÖSTHAMMAR</t>
        </is>
      </c>
      <c r="G394" t="n">
        <v>9</v>
      </c>
      <c r="H394" t="n">
        <v>0</v>
      </c>
      <c r="I394" t="n">
        <v>0</v>
      </c>
      <c r="J394" t="n">
        <v>0</v>
      </c>
      <c r="K394" t="n">
        <v>0</v>
      </c>
      <c r="L394" t="n">
        <v>0</v>
      </c>
      <c r="M394" t="n">
        <v>0</v>
      </c>
      <c r="N394" t="n">
        <v>0</v>
      </c>
      <c r="O394" t="n">
        <v>0</v>
      </c>
      <c r="P394" t="n">
        <v>0</v>
      </c>
      <c r="Q394" t="n">
        <v>0</v>
      </c>
      <c r="R394" s="2" t="inlineStr"/>
    </row>
    <row r="395" ht="15" customHeight="1">
      <c r="A395" t="inlineStr">
        <is>
          <t>A 29775-2025</t>
        </is>
      </c>
      <c r="B395" s="1" t="n">
        <v>45825.63803240741</v>
      </c>
      <c r="C395" s="1" t="n">
        <v>46091</v>
      </c>
      <c r="D395" t="inlineStr">
        <is>
          <t>UPPSALA LÄN</t>
        </is>
      </c>
      <c r="E395" t="inlineStr">
        <is>
          <t>ÖSTHAMMAR</t>
        </is>
      </c>
      <c r="G395" t="n">
        <v>0.9</v>
      </c>
      <c r="H395" t="n">
        <v>0</v>
      </c>
      <c r="I395" t="n">
        <v>0</v>
      </c>
      <c r="J395" t="n">
        <v>0</v>
      </c>
      <c r="K395" t="n">
        <v>0</v>
      </c>
      <c r="L395" t="n">
        <v>0</v>
      </c>
      <c r="M395" t="n">
        <v>0</v>
      </c>
      <c r="N395" t="n">
        <v>0</v>
      </c>
      <c r="O395" t="n">
        <v>0</v>
      </c>
      <c r="P395" t="n">
        <v>0</v>
      </c>
      <c r="Q395" t="n">
        <v>0</v>
      </c>
      <c r="R395" s="2" t="inlineStr"/>
    </row>
    <row r="396" ht="15" customHeight="1">
      <c r="A396" t="inlineStr">
        <is>
          <t>A 4096-2025</t>
        </is>
      </c>
      <c r="B396" s="1" t="n">
        <v>45684</v>
      </c>
      <c r="C396" s="1" t="n">
        <v>46091</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47614-2025</t>
        </is>
      </c>
      <c r="B397" s="1" t="n">
        <v>45931.47211805556</v>
      </c>
      <c r="C397" s="1" t="n">
        <v>46091</v>
      </c>
      <c r="D397" t="inlineStr">
        <is>
          <t>UPPSALA LÄN</t>
        </is>
      </c>
      <c r="E397" t="inlineStr">
        <is>
          <t>ÖSTHAMMAR</t>
        </is>
      </c>
      <c r="G397" t="n">
        <v>22.8</v>
      </c>
      <c r="H397" t="n">
        <v>0</v>
      </c>
      <c r="I397" t="n">
        <v>0</v>
      </c>
      <c r="J397" t="n">
        <v>0</v>
      </c>
      <c r="K397" t="n">
        <v>0</v>
      </c>
      <c r="L397" t="n">
        <v>0</v>
      </c>
      <c r="M397" t="n">
        <v>0</v>
      </c>
      <c r="N397" t="n">
        <v>0</v>
      </c>
      <c r="O397" t="n">
        <v>0</v>
      </c>
      <c r="P397" t="n">
        <v>0</v>
      </c>
      <c r="Q397" t="n">
        <v>0</v>
      </c>
      <c r="R397" s="2" t="inlineStr"/>
    </row>
    <row r="398" ht="15" customHeight="1">
      <c r="A398" t="inlineStr">
        <is>
          <t>A 22884-2024</t>
        </is>
      </c>
      <c r="B398" s="1" t="n">
        <v>45448</v>
      </c>
      <c r="C398" s="1" t="n">
        <v>46091</v>
      </c>
      <c r="D398" t="inlineStr">
        <is>
          <t>UPPSALA LÄN</t>
        </is>
      </c>
      <c r="E398" t="inlineStr">
        <is>
          <t>ÖSTHAMMAR</t>
        </is>
      </c>
      <c r="G398" t="n">
        <v>3.3</v>
      </c>
      <c r="H398" t="n">
        <v>0</v>
      </c>
      <c r="I398" t="n">
        <v>0</v>
      </c>
      <c r="J398" t="n">
        <v>0</v>
      </c>
      <c r="K398" t="n">
        <v>0</v>
      </c>
      <c r="L398" t="n">
        <v>0</v>
      </c>
      <c r="M398" t="n">
        <v>0</v>
      </c>
      <c r="N398" t="n">
        <v>0</v>
      </c>
      <c r="O398" t="n">
        <v>0</v>
      </c>
      <c r="P398" t="n">
        <v>0</v>
      </c>
      <c r="Q398" t="n">
        <v>0</v>
      </c>
      <c r="R398" s="2" t="inlineStr"/>
    </row>
    <row r="399" ht="15" customHeight="1">
      <c r="A399" t="inlineStr">
        <is>
          <t>A 47615-2025</t>
        </is>
      </c>
      <c r="B399" s="1" t="n">
        <v>45931.47542824074</v>
      </c>
      <c r="C399" s="1" t="n">
        <v>46091</v>
      </c>
      <c r="D399" t="inlineStr">
        <is>
          <t>UPPSALA LÄN</t>
        </is>
      </c>
      <c r="E399" t="inlineStr">
        <is>
          <t>ÖSTHAMMAR</t>
        </is>
      </c>
      <c r="G399" t="n">
        <v>7</v>
      </c>
      <c r="H399" t="n">
        <v>0</v>
      </c>
      <c r="I399" t="n">
        <v>0</v>
      </c>
      <c r="J399" t="n">
        <v>0</v>
      </c>
      <c r="K399" t="n">
        <v>0</v>
      </c>
      <c r="L399" t="n">
        <v>0</v>
      </c>
      <c r="M399" t="n">
        <v>0</v>
      </c>
      <c r="N399" t="n">
        <v>0</v>
      </c>
      <c r="O399" t="n">
        <v>0</v>
      </c>
      <c r="P399" t="n">
        <v>0</v>
      </c>
      <c r="Q399" t="n">
        <v>0</v>
      </c>
      <c r="R399" s="2" t="inlineStr"/>
    </row>
    <row r="400" ht="15" customHeight="1">
      <c r="A400" t="inlineStr">
        <is>
          <t>A 54242-2025</t>
        </is>
      </c>
      <c r="B400" s="1" t="n">
        <v>45964.63251157408</v>
      </c>
      <c r="C400" s="1" t="n">
        <v>46091</v>
      </c>
      <c r="D400" t="inlineStr">
        <is>
          <t>UPPSALA LÄN</t>
        </is>
      </c>
      <c r="E400" t="inlineStr">
        <is>
          <t>ÖSTHAMMAR</t>
        </is>
      </c>
      <c r="G400" t="n">
        <v>4.7</v>
      </c>
      <c r="H400" t="n">
        <v>0</v>
      </c>
      <c r="I400" t="n">
        <v>0</v>
      </c>
      <c r="J400" t="n">
        <v>0</v>
      </c>
      <c r="K400" t="n">
        <v>0</v>
      </c>
      <c r="L400" t="n">
        <v>0</v>
      </c>
      <c r="M400" t="n">
        <v>0</v>
      </c>
      <c r="N400" t="n">
        <v>0</v>
      </c>
      <c r="O400" t="n">
        <v>0</v>
      </c>
      <c r="P400" t="n">
        <v>0</v>
      </c>
      <c r="Q400" t="n">
        <v>0</v>
      </c>
      <c r="R400" s="2" t="inlineStr"/>
    </row>
    <row r="401" ht="15" customHeight="1">
      <c r="A401" t="inlineStr">
        <is>
          <t>A 48977-2025</t>
        </is>
      </c>
      <c r="B401" s="1" t="n">
        <v>45936</v>
      </c>
      <c r="C401" s="1" t="n">
        <v>46091</v>
      </c>
      <c r="D401" t="inlineStr">
        <is>
          <t>UPPSALA LÄN</t>
        </is>
      </c>
      <c r="E401" t="inlineStr">
        <is>
          <t>ÖSTHAMMAR</t>
        </is>
      </c>
      <c r="G401" t="n">
        <v>21.1</v>
      </c>
      <c r="H401" t="n">
        <v>0</v>
      </c>
      <c r="I401" t="n">
        <v>0</v>
      </c>
      <c r="J401" t="n">
        <v>0</v>
      </c>
      <c r="K401" t="n">
        <v>0</v>
      </c>
      <c r="L401" t="n">
        <v>0</v>
      </c>
      <c r="M401" t="n">
        <v>0</v>
      </c>
      <c r="N401" t="n">
        <v>0</v>
      </c>
      <c r="O401" t="n">
        <v>0</v>
      </c>
      <c r="P401" t="n">
        <v>0</v>
      </c>
      <c r="Q401" t="n">
        <v>0</v>
      </c>
      <c r="R401" s="2" t="inlineStr"/>
    </row>
    <row r="402" ht="15" customHeight="1">
      <c r="A402" t="inlineStr">
        <is>
          <t>A 54647-2025</t>
        </is>
      </c>
      <c r="B402" s="1" t="n">
        <v>45966.37258101852</v>
      </c>
      <c r="C402" s="1" t="n">
        <v>46091</v>
      </c>
      <c r="D402" t="inlineStr">
        <is>
          <t>UPPSALA LÄN</t>
        </is>
      </c>
      <c r="E402" t="inlineStr">
        <is>
          <t>ÖSTHAMMAR</t>
        </is>
      </c>
      <c r="G402" t="n">
        <v>4.3</v>
      </c>
      <c r="H402" t="n">
        <v>0</v>
      </c>
      <c r="I402" t="n">
        <v>0</v>
      </c>
      <c r="J402" t="n">
        <v>0</v>
      </c>
      <c r="K402" t="n">
        <v>0</v>
      </c>
      <c r="L402" t="n">
        <v>0</v>
      </c>
      <c r="M402" t="n">
        <v>0</v>
      </c>
      <c r="N402" t="n">
        <v>0</v>
      </c>
      <c r="O402" t="n">
        <v>0</v>
      </c>
      <c r="P402" t="n">
        <v>0</v>
      </c>
      <c r="Q402" t="n">
        <v>0</v>
      </c>
      <c r="R402" s="2" t="inlineStr"/>
    </row>
    <row r="403" ht="15" customHeight="1">
      <c r="A403" t="inlineStr">
        <is>
          <t>A 54649-2025</t>
        </is>
      </c>
      <c r="B403" s="1" t="n">
        <v>45966.37548611111</v>
      </c>
      <c r="C403" s="1" t="n">
        <v>46091</v>
      </c>
      <c r="D403" t="inlineStr">
        <is>
          <t>UPPSALA LÄN</t>
        </is>
      </c>
      <c r="E403" t="inlineStr">
        <is>
          <t>ÖSTHAMMAR</t>
        </is>
      </c>
      <c r="G403" t="n">
        <v>0.5</v>
      </c>
      <c r="H403" t="n">
        <v>0</v>
      </c>
      <c r="I403" t="n">
        <v>0</v>
      </c>
      <c r="J403" t="n">
        <v>0</v>
      </c>
      <c r="K403" t="n">
        <v>0</v>
      </c>
      <c r="L403" t="n">
        <v>0</v>
      </c>
      <c r="M403" t="n">
        <v>0</v>
      </c>
      <c r="N403" t="n">
        <v>0</v>
      </c>
      <c r="O403" t="n">
        <v>0</v>
      </c>
      <c r="P403" t="n">
        <v>0</v>
      </c>
      <c r="Q403" t="n">
        <v>0</v>
      </c>
      <c r="R403" s="2" t="inlineStr"/>
    </row>
    <row r="404" ht="15" customHeight="1">
      <c r="A404" t="inlineStr">
        <is>
          <t>A 8874-2025</t>
        </is>
      </c>
      <c r="B404" s="1" t="n">
        <v>45713</v>
      </c>
      <c r="C404" s="1" t="n">
        <v>46091</v>
      </c>
      <c r="D404" t="inlineStr">
        <is>
          <t>UPPSALA LÄN</t>
        </is>
      </c>
      <c r="E404" t="inlineStr">
        <is>
          <t>ÖSTHAMMAR</t>
        </is>
      </c>
      <c r="G404" t="n">
        <v>6.3</v>
      </c>
      <c r="H404" t="n">
        <v>0</v>
      </c>
      <c r="I404" t="n">
        <v>0</v>
      </c>
      <c r="J404" t="n">
        <v>0</v>
      </c>
      <c r="K404" t="n">
        <v>0</v>
      </c>
      <c r="L404" t="n">
        <v>0</v>
      </c>
      <c r="M404" t="n">
        <v>0</v>
      </c>
      <c r="N404" t="n">
        <v>0</v>
      </c>
      <c r="O404" t="n">
        <v>0</v>
      </c>
      <c r="P404" t="n">
        <v>0</v>
      </c>
      <c r="Q404" t="n">
        <v>0</v>
      </c>
      <c r="R404" s="2" t="inlineStr"/>
    </row>
    <row r="405" ht="15" customHeight="1">
      <c r="A405" t="inlineStr">
        <is>
          <t>A 25418-2022</t>
        </is>
      </c>
      <c r="B405" s="1" t="n">
        <v>44732.464375</v>
      </c>
      <c r="C405" s="1" t="n">
        <v>46091</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30244-2025</t>
        </is>
      </c>
      <c r="B406" s="1" t="n">
        <v>45827.40902777778</v>
      </c>
      <c r="C406" s="1" t="n">
        <v>46091</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48654-2025</t>
        </is>
      </c>
      <c r="B407" s="1" t="n">
        <v>45936.55887731481</v>
      </c>
      <c r="C407" s="1" t="n">
        <v>46091</v>
      </c>
      <c r="D407" t="inlineStr">
        <is>
          <t>UPPSALA LÄN</t>
        </is>
      </c>
      <c r="E407" t="inlineStr">
        <is>
          <t>ÖSTHAMMAR</t>
        </is>
      </c>
      <c r="F407" t="inlineStr">
        <is>
          <t>Övriga Aktiebolag</t>
        </is>
      </c>
      <c r="G407" t="n">
        <v>0.7</v>
      </c>
      <c r="H407" t="n">
        <v>0</v>
      </c>
      <c r="I407" t="n">
        <v>0</v>
      </c>
      <c r="J407" t="n">
        <v>0</v>
      </c>
      <c r="K407" t="n">
        <v>0</v>
      </c>
      <c r="L407" t="n">
        <v>0</v>
      </c>
      <c r="M407" t="n">
        <v>0</v>
      </c>
      <c r="N407" t="n">
        <v>0</v>
      </c>
      <c r="O407" t="n">
        <v>0</v>
      </c>
      <c r="P407" t="n">
        <v>0</v>
      </c>
      <c r="Q407" t="n">
        <v>0</v>
      </c>
      <c r="R407" s="2" t="inlineStr"/>
    </row>
    <row r="408" ht="15" customHeight="1">
      <c r="A408" t="inlineStr">
        <is>
          <t>A 62391-2022</t>
        </is>
      </c>
      <c r="B408" s="1" t="n">
        <v>44923.7849537037</v>
      </c>
      <c r="C408" s="1" t="n">
        <v>46091</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48854-2025</t>
        </is>
      </c>
      <c r="B409" s="1" t="n">
        <v>45937.43274305556</v>
      </c>
      <c r="C409" s="1" t="n">
        <v>46091</v>
      </c>
      <c r="D409" t="inlineStr">
        <is>
          <t>UPPSALA LÄN</t>
        </is>
      </c>
      <c r="E409" t="inlineStr">
        <is>
          <t>ÖSTHAMMAR</t>
        </is>
      </c>
      <c r="F409" t="inlineStr">
        <is>
          <t>Övriga Aktiebolag</t>
        </is>
      </c>
      <c r="G409" t="n">
        <v>18.9</v>
      </c>
      <c r="H409" t="n">
        <v>0</v>
      </c>
      <c r="I409" t="n">
        <v>0</v>
      </c>
      <c r="J409" t="n">
        <v>0</v>
      </c>
      <c r="K409" t="n">
        <v>0</v>
      </c>
      <c r="L409" t="n">
        <v>0</v>
      </c>
      <c r="M409" t="n">
        <v>0</v>
      </c>
      <c r="N409" t="n">
        <v>0</v>
      </c>
      <c r="O409" t="n">
        <v>0</v>
      </c>
      <c r="P409" t="n">
        <v>0</v>
      </c>
      <c r="Q409" t="n">
        <v>0</v>
      </c>
      <c r="R409" s="2" t="inlineStr"/>
    </row>
    <row r="410" ht="15" customHeight="1">
      <c r="A410" t="inlineStr">
        <is>
          <t>A 31485-2023</t>
        </is>
      </c>
      <c r="B410" s="1" t="n">
        <v>45114</v>
      </c>
      <c r="C410" s="1" t="n">
        <v>46091</v>
      </c>
      <c r="D410" t="inlineStr">
        <is>
          <t>UPPSALA LÄN</t>
        </is>
      </c>
      <c r="E410" t="inlineStr">
        <is>
          <t>ÖSTHAMMAR</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30504-2025</t>
        </is>
      </c>
      <c r="B411" s="1" t="n">
        <v>45830.8558912037</v>
      </c>
      <c r="C411" s="1" t="n">
        <v>46091</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48857-2025</t>
        </is>
      </c>
      <c r="B412" s="1" t="n">
        <v>45937.43621527778</v>
      </c>
      <c r="C412" s="1" t="n">
        <v>46091</v>
      </c>
      <c r="D412" t="inlineStr">
        <is>
          <t>UPPSALA LÄN</t>
        </is>
      </c>
      <c r="E412" t="inlineStr">
        <is>
          <t>ÖSTHAMMAR</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30503-2025</t>
        </is>
      </c>
      <c r="B413" s="1" t="n">
        <v>45830.8500462963</v>
      </c>
      <c r="C413" s="1" t="n">
        <v>46091</v>
      </c>
      <c r="D413" t="inlineStr">
        <is>
          <t>UPPSALA LÄN</t>
        </is>
      </c>
      <c r="E413" t="inlineStr">
        <is>
          <t>ÖSTHAMMAR</t>
        </is>
      </c>
      <c r="G413" t="n">
        <v>0.8</v>
      </c>
      <c r="H413" t="n">
        <v>0</v>
      </c>
      <c r="I413" t="n">
        <v>0</v>
      </c>
      <c r="J413" t="n">
        <v>0</v>
      </c>
      <c r="K413" t="n">
        <v>0</v>
      </c>
      <c r="L413" t="n">
        <v>0</v>
      </c>
      <c r="M413" t="n">
        <v>0</v>
      </c>
      <c r="N413" t="n">
        <v>0</v>
      </c>
      <c r="O413" t="n">
        <v>0</v>
      </c>
      <c r="P413" t="n">
        <v>0</v>
      </c>
      <c r="Q413" t="n">
        <v>0</v>
      </c>
      <c r="R413" s="2" t="inlineStr"/>
    </row>
    <row r="414" ht="15" customHeight="1">
      <c r="A414" t="inlineStr">
        <is>
          <t>A 56759-2024</t>
        </is>
      </c>
      <c r="B414" s="1" t="n">
        <v>45628.39877314815</v>
      </c>
      <c r="C414" s="1" t="n">
        <v>46091</v>
      </c>
      <c r="D414" t="inlineStr">
        <is>
          <t>UPPSALA LÄN</t>
        </is>
      </c>
      <c r="E414" t="inlineStr">
        <is>
          <t>ÖSTHAMMAR</t>
        </is>
      </c>
      <c r="G414" t="n">
        <v>4.7</v>
      </c>
      <c r="H414" t="n">
        <v>0</v>
      </c>
      <c r="I414" t="n">
        <v>0</v>
      </c>
      <c r="J414" t="n">
        <v>0</v>
      </c>
      <c r="K414" t="n">
        <v>0</v>
      </c>
      <c r="L414" t="n">
        <v>0</v>
      </c>
      <c r="M414" t="n">
        <v>0</v>
      </c>
      <c r="N414" t="n">
        <v>0</v>
      </c>
      <c r="O414" t="n">
        <v>0</v>
      </c>
      <c r="P414" t="n">
        <v>0</v>
      </c>
      <c r="Q414" t="n">
        <v>0</v>
      </c>
      <c r="R414" s="2" t="inlineStr"/>
    </row>
    <row r="415" ht="15" customHeight="1">
      <c r="A415" t="inlineStr">
        <is>
          <t>A 32744-2022</t>
        </is>
      </c>
      <c r="B415" s="1" t="n">
        <v>44783.70378472222</v>
      </c>
      <c r="C415" s="1" t="n">
        <v>46091</v>
      </c>
      <c r="D415" t="inlineStr">
        <is>
          <t>UPPSALA LÄN</t>
        </is>
      </c>
      <c r="E415" t="inlineStr">
        <is>
          <t>ÖSTHAMMAR</t>
        </is>
      </c>
      <c r="F415" t="inlineStr">
        <is>
          <t>Bergvik skog öst AB</t>
        </is>
      </c>
      <c r="G415" t="n">
        <v>3</v>
      </c>
      <c r="H415" t="n">
        <v>0</v>
      </c>
      <c r="I415" t="n">
        <v>0</v>
      </c>
      <c r="J415" t="n">
        <v>0</v>
      </c>
      <c r="K415" t="n">
        <v>0</v>
      </c>
      <c r="L415" t="n">
        <v>0</v>
      </c>
      <c r="M415" t="n">
        <v>0</v>
      </c>
      <c r="N415" t="n">
        <v>0</v>
      </c>
      <c r="O415" t="n">
        <v>0</v>
      </c>
      <c r="P415" t="n">
        <v>0</v>
      </c>
      <c r="Q415" t="n">
        <v>0</v>
      </c>
      <c r="R415" s="2" t="inlineStr"/>
    </row>
    <row r="416" ht="15" customHeight="1">
      <c r="A416" t="inlineStr">
        <is>
          <t>A 26328-2025</t>
        </is>
      </c>
      <c r="B416" s="1" t="n">
        <v>45805.67305555556</v>
      </c>
      <c r="C416" s="1" t="n">
        <v>46091</v>
      </c>
      <c r="D416" t="inlineStr">
        <is>
          <t>UPPSALA LÄN</t>
        </is>
      </c>
      <c r="E416" t="inlineStr">
        <is>
          <t>ÖSTHAMMAR</t>
        </is>
      </c>
      <c r="G416" t="n">
        <v>1.6</v>
      </c>
      <c r="H416" t="n">
        <v>0</v>
      </c>
      <c r="I416" t="n">
        <v>0</v>
      </c>
      <c r="J416" t="n">
        <v>0</v>
      </c>
      <c r="K416" t="n">
        <v>0</v>
      </c>
      <c r="L416" t="n">
        <v>0</v>
      </c>
      <c r="M416" t="n">
        <v>0</v>
      </c>
      <c r="N416" t="n">
        <v>0</v>
      </c>
      <c r="O416" t="n">
        <v>0</v>
      </c>
      <c r="P416" t="n">
        <v>0</v>
      </c>
      <c r="Q416" t="n">
        <v>0</v>
      </c>
      <c r="R416" s="2" t="inlineStr"/>
    </row>
    <row r="417" ht="15" customHeight="1">
      <c r="A417" t="inlineStr">
        <is>
          <t>A 55163-2025</t>
        </is>
      </c>
      <c r="B417" s="1" t="n">
        <v>45968.48032407407</v>
      </c>
      <c r="C417" s="1" t="n">
        <v>46091</v>
      </c>
      <c r="D417" t="inlineStr">
        <is>
          <t>UPPSALA LÄN</t>
        </is>
      </c>
      <c r="E417" t="inlineStr">
        <is>
          <t>ÖSTHAMMAR</t>
        </is>
      </c>
      <c r="G417" t="n">
        <v>1.8</v>
      </c>
      <c r="H417" t="n">
        <v>0</v>
      </c>
      <c r="I417" t="n">
        <v>0</v>
      </c>
      <c r="J417" t="n">
        <v>0</v>
      </c>
      <c r="K417" t="n">
        <v>0</v>
      </c>
      <c r="L417" t="n">
        <v>0</v>
      </c>
      <c r="M417" t="n">
        <v>0</v>
      </c>
      <c r="N417" t="n">
        <v>0</v>
      </c>
      <c r="O417" t="n">
        <v>0</v>
      </c>
      <c r="P417" t="n">
        <v>0</v>
      </c>
      <c r="Q417" t="n">
        <v>0</v>
      </c>
      <c r="R417" s="2" t="inlineStr"/>
    </row>
    <row r="418" ht="15" customHeight="1">
      <c r="A418" t="inlineStr">
        <is>
          <t>A 30610-2025</t>
        </is>
      </c>
      <c r="B418" s="1" t="n">
        <v>45831.45965277778</v>
      </c>
      <c r="C418" s="1" t="n">
        <v>46091</v>
      </c>
      <c r="D418" t="inlineStr">
        <is>
          <t>UPPSALA LÄN</t>
        </is>
      </c>
      <c r="E418" t="inlineStr">
        <is>
          <t>ÖSTHAMMAR</t>
        </is>
      </c>
      <c r="G418" t="n">
        <v>0.2</v>
      </c>
      <c r="H418" t="n">
        <v>0</v>
      </c>
      <c r="I418" t="n">
        <v>0</v>
      </c>
      <c r="J418" t="n">
        <v>0</v>
      </c>
      <c r="K418" t="n">
        <v>0</v>
      </c>
      <c r="L418" t="n">
        <v>0</v>
      </c>
      <c r="M418" t="n">
        <v>0</v>
      </c>
      <c r="N418" t="n">
        <v>0</v>
      </c>
      <c r="O418" t="n">
        <v>0</v>
      </c>
      <c r="P418" t="n">
        <v>0</v>
      </c>
      <c r="Q418" t="n">
        <v>0</v>
      </c>
      <c r="R418" s="2" t="inlineStr"/>
    </row>
    <row r="419" ht="15" customHeight="1">
      <c r="A419" t="inlineStr">
        <is>
          <t>A 31579-2025</t>
        </is>
      </c>
      <c r="B419" s="1" t="n">
        <v>45833.68211805556</v>
      </c>
      <c r="C419" s="1" t="n">
        <v>46091</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31360-2025</t>
        </is>
      </c>
      <c r="B420" s="1" t="n">
        <v>45833.43527777777</v>
      </c>
      <c r="C420" s="1" t="n">
        <v>46091</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31249-2025</t>
        </is>
      </c>
      <c r="B421" s="1" t="n">
        <v>45832.89476851852</v>
      </c>
      <c r="C421" s="1" t="n">
        <v>46091</v>
      </c>
      <c r="D421" t="inlineStr">
        <is>
          <t>UPPSALA LÄN</t>
        </is>
      </c>
      <c r="E421" t="inlineStr">
        <is>
          <t>ÖSTHAMMAR</t>
        </is>
      </c>
      <c r="G421" t="n">
        <v>0.6</v>
      </c>
      <c r="H421" t="n">
        <v>0</v>
      </c>
      <c r="I421" t="n">
        <v>0</v>
      </c>
      <c r="J421" t="n">
        <v>0</v>
      </c>
      <c r="K421" t="n">
        <v>0</v>
      </c>
      <c r="L421" t="n">
        <v>0</v>
      </c>
      <c r="M421" t="n">
        <v>0</v>
      </c>
      <c r="N421" t="n">
        <v>0</v>
      </c>
      <c r="O421" t="n">
        <v>0</v>
      </c>
      <c r="P421" t="n">
        <v>0</v>
      </c>
      <c r="Q421" t="n">
        <v>0</v>
      </c>
      <c r="R421" s="2" t="inlineStr"/>
    </row>
    <row r="422" ht="15" customHeight="1">
      <c r="A422" t="inlineStr">
        <is>
          <t>A 49773-2025</t>
        </is>
      </c>
      <c r="B422" s="1" t="n">
        <v>45940.37303240741</v>
      </c>
      <c r="C422" s="1" t="n">
        <v>46091</v>
      </c>
      <c r="D422" t="inlineStr">
        <is>
          <t>UPPSALA LÄN</t>
        </is>
      </c>
      <c r="E422" t="inlineStr">
        <is>
          <t>ÖSTHAMMAR</t>
        </is>
      </c>
      <c r="G422" t="n">
        <v>3.5</v>
      </c>
      <c r="H422" t="n">
        <v>0</v>
      </c>
      <c r="I422" t="n">
        <v>0</v>
      </c>
      <c r="J422" t="n">
        <v>0</v>
      </c>
      <c r="K422" t="n">
        <v>0</v>
      </c>
      <c r="L422" t="n">
        <v>0</v>
      </c>
      <c r="M422" t="n">
        <v>0</v>
      </c>
      <c r="N422" t="n">
        <v>0</v>
      </c>
      <c r="O422" t="n">
        <v>0</v>
      </c>
      <c r="P422" t="n">
        <v>0</v>
      </c>
      <c r="Q422" t="n">
        <v>0</v>
      </c>
      <c r="R422" s="2" t="inlineStr"/>
    </row>
    <row r="423" ht="15" customHeight="1">
      <c r="A423" t="inlineStr">
        <is>
          <t>A 47020-2025</t>
        </is>
      </c>
      <c r="B423" s="1" t="n">
        <v>45929.5775</v>
      </c>
      <c r="C423" s="1" t="n">
        <v>46091</v>
      </c>
      <c r="D423" t="inlineStr">
        <is>
          <t>UPPSALA LÄN</t>
        </is>
      </c>
      <c r="E423" t="inlineStr">
        <is>
          <t>ÖSTHAMMAR</t>
        </is>
      </c>
      <c r="G423" t="n">
        <v>2.1</v>
      </c>
      <c r="H423" t="n">
        <v>0</v>
      </c>
      <c r="I423" t="n">
        <v>0</v>
      </c>
      <c r="J423" t="n">
        <v>0</v>
      </c>
      <c r="K423" t="n">
        <v>0</v>
      </c>
      <c r="L423" t="n">
        <v>0</v>
      </c>
      <c r="M423" t="n">
        <v>0</v>
      </c>
      <c r="N423" t="n">
        <v>0</v>
      </c>
      <c r="O423" t="n">
        <v>0</v>
      </c>
      <c r="P423" t="n">
        <v>0</v>
      </c>
      <c r="Q423" t="n">
        <v>0</v>
      </c>
      <c r="R423" s="2" t="inlineStr"/>
    </row>
    <row r="424" ht="15" customHeight="1">
      <c r="A424" t="inlineStr">
        <is>
          <t>A 49620-2025</t>
        </is>
      </c>
      <c r="B424" s="1" t="n">
        <v>45939.58928240741</v>
      </c>
      <c r="C424" s="1" t="n">
        <v>46091</v>
      </c>
      <c r="D424" t="inlineStr">
        <is>
          <t>UPPSALA LÄN</t>
        </is>
      </c>
      <c r="E424" t="inlineStr">
        <is>
          <t>ÖSTHAMMAR</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44591.51854166666</v>
      </c>
      <c r="C425" s="1" t="n">
        <v>46091</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11643-2022</t>
        </is>
      </c>
      <c r="B426" s="1" t="n">
        <v>44631.92662037037</v>
      </c>
      <c r="C426" s="1" t="n">
        <v>46091</v>
      </c>
      <c r="D426" t="inlineStr">
        <is>
          <t>UPPSALA LÄN</t>
        </is>
      </c>
      <c r="E426" t="inlineStr">
        <is>
          <t>ÖSTHAMMAR</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11036-2023</t>
        </is>
      </c>
      <c r="B427" s="1" t="n">
        <v>44991.9321412037</v>
      </c>
      <c r="C427" s="1" t="n">
        <v>46091</v>
      </c>
      <c r="D427" t="inlineStr">
        <is>
          <t>UPPSALA LÄN</t>
        </is>
      </c>
      <c r="E427" t="inlineStr">
        <is>
          <t>ÖSTHAMMAR</t>
        </is>
      </c>
      <c r="F427" t="inlineStr">
        <is>
          <t>Bergvik skog öst AB</t>
        </is>
      </c>
      <c r="G427" t="n">
        <v>3</v>
      </c>
      <c r="H427" t="n">
        <v>0</v>
      </c>
      <c r="I427" t="n">
        <v>0</v>
      </c>
      <c r="J427" t="n">
        <v>0</v>
      </c>
      <c r="K427" t="n">
        <v>0</v>
      </c>
      <c r="L427" t="n">
        <v>0</v>
      </c>
      <c r="M427" t="n">
        <v>0</v>
      </c>
      <c r="N427" t="n">
        <v>0</v>
      </c>
      <c r="O427" t="n">
        <v>0</v>
      </c>
      <c r="P427" t="n">
        <v>0</v>
      </c>
      <c r="Q427" t="n">
        <v>0</v>
      </c>
      <c r="R427" s="2" t="inlineStr"/>
    </row>
    <row r="428" ht="15" customHeight="1">
      <c r="A428" t="inlineStr">
        <is>
          <t>A 23363-2023</t>
        </is>
      </c>
      <c r="B428" s="1" t="n">
        <v>45076</v>
      </c>
      <c r="C428" s="1" t="n">
        <v>46091</v>
      </c>
      <c r="D428" t="inlineStr">
        <is>
          <t>UPPSALA LÄN</t>
        </is>
      </c>
      <c r="E428" t="inlineStr">
        <is>
          <t>ÖSTHAMMAR</t>
        </is>
      </c>
      <c r="G428" t="n">
        <v>3</v>
      </c>
      <c r="H428" t="n">
        <v>0</v>
      </c>
      <c r="I428" t="n">
        <v>0</v>
      </c>
      <c r="J428" t="n">
        <v>0</v>
      </c>
      <c r="K428" t="n">
        <v>0</v>
      </c>
      <c r="L428" t="n">
        <v>0</v>
      </c>
      <c r="M428" t="n">
        <v>0</v>
      </c>
      <c r="N428" t="n">
        <v>0</v>
      </c>
      <c r="O428" t="n">
        <v>0</v>
      </c>
      <c r="P428" t="n">
        <v>0</v>
      </c>
      <c r="Q428" t="n">
        <v>0</v>
      </c>
      <c r="R428" s="2" t="inlineStr"/>
    </row>
    <row r="429" ht="15" customHeight="1">
      <c r="A429" t="inlineStr">
        <is>
          <t>A 31977-2025</t>
        </is>
      </c>
      <c r="B429" s="1" t="n">
        <v>45835.3554050926</v>
      </c>
      <c r="C429" s="1" t="n">
        <v>46091</v>
      </c>
      <c r="D429" t="inlineStr">
        <is>
          <t>UPPSALA LÄN</t>
        </is>
      </c>
      <c r="E429" t="inlineStr">
        <is>
          <t>ÖSTHAMMAR</t>
        </is>
      </c>
      <c r="F429" t="inlineStr">
        <is>
          <t>Övriga Aktiebolag</t>
        </is>
      </c>
      <c r="G429" t="n">
        <v>35.3</v>
      </c>
      <c r="H429" t="n">
        <v>0</v>
      </c>
      <c r="I429" t="n">
        <v>0</v>
      </c>
      <c r="J429" t="n">
        <v>0</v>
      </c>
      <c r="K429" t="n">
        <v>0</v>
      </c>
      <c r="L429" t="n">
        <v>0</v>
      </c>
      <c r="M429" t="n">
        <v>0</v>
      </c>
      <c r="N429" t="n">
        <v>0</v>
      </c>
      <c r="O429" t="n">
        <v>0</v>
      </c>
      <c r="P429" t="n">
        <v>0</v>
      </c>
      <c r="Q429" t="n">
        <v>0</v>
      </c>
      <c r="R429" s="2" t="inlineStr"/>
    </row>
    <row r="430" ht="15" customHeight="1">
      <c r="A430" t="inlineStr">
        <is>
          <t>A 3418-2025</t>
        </is>
      </c>
      <c r="B430" s="1" t="n">
        <v>45680</v>
      </c>
      <c r="C430" s="1" t="n">
        <v>46091</v>
      </c>
      <c r="D430" t="inlineStr">
        <is>
          <t>UPPSALA LÄN</t>
        </is>
      </c>
      <c r="E430" t="inlineStr">
        <is>
          <t>ÖSTHAMMAR</t>
        </is>
      </c>
      <c r="F430" t="inlineStr">
        <is>
          <t>Bergvik skog väst AB</t>
        </is>
      </c>
      <c r="G430" t="n">
        <v>0.4</v>
      </c>
      <c r="H430" t="n">
        <v>0</v>
      </c>
      <c r="I430" t="n">
        <v>0</v>
      </c>
      <c r="J430" t="n">
        <v>0</v>
      </c>
      <c r="K430" t="n">
        <v>0</v>
      </c>
      <c r="L430" t="n">
        <v>0</v>
      </c>
      <c r="M430" t="n">
        <v>0</v>
      </c>
      <c r="N430" t="n">
        <v>0</v>
      </c>
      <c r="O430" t="n">
        <v>0</v>
      </c>
      <c r="P430" t="n">
        <v>0</v>
      </c>
      <c r="Q430" t="n">
        <v>0</v>
      </c>
      <c r="R430" s="2" t="inlineStr"/>
    </row>
    <row r="431" ht="15" customHeight="1">
      <c r="A431" t="inlineStr">
        <is>
          <t>A 3420-2025</t>
        </is>
      </c>
      <c r="B431" s="1" t="n">
        <v>45680</v>
      </c>
      <c r="C431" s="1" t="n">
        <v>46091</v>
      </c>
      <c r="D431" t="inlineStr">
        <is>
          <t>UPPSALA LÄN</t>
        </is>
      </c>
      <c r="E431" t="inlineStr">
        <is>
          <t>ÖSTHAMMAR</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31956-2025</t>
        </is>
      </c>
      <c r="B432" s="1" t="n">
        <v>45835.34184027778</v>
      </c>
      <c r="C432" s="1" t="n">
        <v>46091</v>
      </c>
      <c r="D432" t="inlineStr">
        <is>
          <t>UPPSALA LÄN</t>
        </is>
      </c>
      <c r="E432" t="inlineStr">
        <is>
          <t>ÖSTHAMMAR</t>
        </is>
      </c>
      <c r="F432" t="inlineStr">
        <is>
          <t>Övriga Aktiebolag</t>
        </is>
      </c>
      <c r="G432" t="n">
        <v>4.2</v>
      </c>
      <c r="H432" t="n">
        <v>0</v>
      </c>
      <c r="I432" t="n">
        <v>0</v>
      </c>
      <c r="J432" t="n">
        <v>0</v>
      </c>
      <c r="K432" t="n">
        <v>0</v>
      </c>
      <c r="L432" t="n">
        <v>0</v>
      </c>
      <c r="M432" t="n">
        <v>0</v>
      </c>
      <c r="N432" t="n">
        <v>0</v>
      </c>
      <c r="O432" t="n">
        <v>0</v>
      </c>
      <c r="P432" t="n">
        <v>0</v>
      </c>
      <c r="Q432" t="n">
        <v>0</v>
      </c>
      <c r="R432" s="2" t="inlineStr"/>
    </row>
    <row r="433" ht="15" customHeight="1">
      <c r="A433" t="inlineStr">
        <is>
          <t>A 14505-2023</t>
        </is>
      </c>
      <c r="B433" s="1" t="n">
        <v>45012.7975</v>
      </c>
      <c r="C433" s="1" t="n">
        <v>46091</v>
      </c>
      <c r="D433" t="inlineStr">
        <is>
          <t>UPPSALA LÄN</t>
        </is>
      </c>
      <c r="E433" t="inlineStr">
        <is>
          <t>ÖSTHAMMAR</t>
        </is>
      </c>
      <c r="F433" t="inlineStr">
        <is>
          <t>Bergvik skog öst AB</t>
        </is>
      </c>
      <c r="G433" t="n">
        <v>1.1</v>
      </c>
      <c r="H433" t="n">
        <v>0</v>
      </c>
      <c r="I433" t="n">
        <v>0</v>
      </c>
      <c r="J433" t="n">
        <v>0</v>
      </c>
      <c r="K433" t="n">
        <v>0</v>
      </c>
      <c r="L433" t="n">
        <v>0</v>
      </c>
      <c r="M433" t="n">
        <v>0</v>
      </c>
      <c r="N433" t="n">
        <v>0</v>
      </c>
      <c r="O433" t="n">
        <v>0</v>
      </c>
      <c r="P433" t="n">
        <v>0</v>
      </c>
      <c r="Q433" t="n">
        <v>0</v>
      </c>
      <c r="R433" s="2" t="inlineStr"/>
    </row>
    <row r="434" ht="15" customHeight="1">
      <c r="A434" t="inlineStr">
        <is>
          <t>A 60577-2021</t>
        </is>
      </c>
      <c r="B434" s="1" t="n">
        <v>44496.57019675926</v>
      </c>
      <c r="C434" s="1" t="n">
        <v>46091</v>
      </c>
      <c r="D434" t="inlineStr">
        <is>
          <t>UPPSALA LÄN</t>
        </is>
      </c>
      <c r="E434" t="inlineStr">
        <is>
          <t>ÖSTHAMMAR</t>
        </is>
      </c>
      <c r="G434" t="n">
        <v>0.5</v>
      </c>
      <c r="H434" t="n">
        <v>0</v>
      </c>
      <c r="I434" t="n">
        <v>0</v>
      </c>
      <c r="J434" t="n">
        <v>0</v>
      </c>
      <c r="K434" t="n">
        <v>0</v>
      </c>
      <c r="L434" t="n">
        <v>0</v>
      </c>
      <c r="M434" t="n">
        <v>0</v>
      </c>
      <c r="N434" t="n">
        <v>0</v>
      </c>
      <c r="O434" t="n">
        <v>0</v>
      </c>
      <c r="P434" t="n">
        <v>0</v>
      </c>
      <c r="Q434" t="n">
        <v>0</v>
      </c>
      <c r="R434" s="2" t="inlineStr"/>
    </row>
    <row r="435" ht="15" customHeight="1">
      <c r="A435" t="inlineStr">
        <is>
          <t>A 62695-2023</t>
        </is>
      </c>
      <c r="B435" s="1" t="n">
        <v>45271</v>
      </c>
      <c r="C435" s="1" t="n">
        <v>46091</v>
      </c>
      <c r="D435" t="inlineStr">
        <is>
          <t>UPPSALA LÄN</t>
        </is>
      </c>
      <c r="E435" t="inlineStr">
        <is>
          <t>ÖSTHAMMAR</t>
        </is>
      </c>
      <c r="G435" t="n">
        <v>5.3</v>
      </c>
      <c r="H435" t="n">
        <v>0</v>
      </c>
      <c r="I435" t="n">
        <v>0</v>
      </c>
      <c r="J435" t="n">
        <v>0</v>
      </c>
      <c r="K435" t="n">
        <v>0</v>
      </c>
      <c r="L435" t="n">
        <v>0</v>
      </c>
      <c r="M435" t="n">
        <v>0</v>
      </c>
      <c r="N435" t="n">
        <v>0</v>
      </c>
      <c r="O435" t="n">
        <v>0</v>
      </c>
      <c r="P435" t="n">
        <v>0</v>
      </c>
      <c r="Q435" t="n">
        <v>0</v>
      </c>
      <c r="R435" s="2" t="inlineStr"/>
    </row>
    <row r="436" ht="15" customHeight="1">
      <c r="A436" t="inlineStr">
        <is>
          <t>A 33048-2025</t>
        </is>
      </c>
      <c r="B436" s="1" t="n">
        <v>45840.41451388889</v>
      </c>
      <c r="C436" s="1" t="n">
        <v>46091</v>
      </c>
      <c r="D436" t="inlineStr">
        <is>
          <t>UPPSALA LÄN</t>
        </is>
      </c>
      <c r="E436" t="inlineStr">
        <is>
          <t>ÖSTHAMMAR</t>
        </is>
      </c>
      <c r="G436" t="n">
        <v>1.8</v>
      </c>
      <c r="H436" t="n">
        <v>0</v>
      </c>
      <c r="I436" t="n">
        <v>0</v>
      </c>
      <c r="J436" t="n">
        <v>0</v>
      </c>
      <c r="K436" t="n">
        <v>0</v>
      </c>
      <c r="L436" t="n">
        <v>0</v>
      </c>
      <c r="M436" t="n">
        <v>0</v>
      </c>
      <c r="N436" t="n">
        <v>0</v>
      </c>
      <c r="O436" t="n">
        <v>0</v>
      </c>
      <c r="P436" t="n">
        <v>0</v>
      </c>
      <c r="Q436" t="n">
        <v>0</v>
      </c>
      <c r="R436" s="2" t="inlineStr"/>
    </row>
    <row r="437" ht="15" customHeight="1">
      <c r="A437" t="inlineStr">
        <is>
          <t>A 27476-2025</t>
        </is>
      </c>
      <c r="B437" s="1" t="n">
        <v>45813.37517361111</v>
      </c>
      <c r="C437" s="1" t="n">
        <v>46091</v>
      </c>
      <c r="D437" t="inlineStr">
        <is>
          <t>UPPSALA LÄN</t>
        </is>
      </c>
      <c r="E437" t="inlineStr">
        <is>
          <t>ÖSTHAMMAR</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51379-2025</t>
        </is>
      </c>
      <c r="B438" s="1" t="n">
        <v>45950.45677083333</v>
      </c>
      <c r="C438" s="1" t="n">
        <v>46091</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54437-2024</t>
        </is>
      </c>
      <c r="B439" s="1" t="n">
        <v>45617</v>
      </c>
      <c r="C439" s="1" t="n">
        <v>46091</v>
      </c>
      <c r="D439" t="inlineStr">
        <is>
          <t>UPPSALA LÄN</t>
        </is>
      </c>
      <c r="E439" t="inlineStr">
        <is>
          <t>ÖSTHAMMAR</t>
        </is>
      </c>
      <c r="G439" t="n">
        <v>2.1</v>
      </c>
      <c r="H439" t="n">
        <v>0</v>
      </c>
      <c r="I439" t="n">
        <v>0</v>
      </c>
      <c r="J439" t="n">
        <v>0</v>
      </c>
      <c r="K439" t="n">
        <v>0</v>
      </c>
      <c r="L439" t="n">
        <v>0</v>
      </c>
      <c r="M439" t="n">
        <v>0</v>
      </c>
      <c r="N439" t="n">
        <v>0</v>
      </c>
      <c r="O439" t="n">
        <v>0</v>
      </c>
      <c r="P439" t="n">
        <v>0</v>
      </c>
      <c r="Q439" t="n">
        <v>0</v>
      </c>
      <c r="R439" s="2" t="inlineStr"/>
    </row>
    <row r="440" ht="15" customHeight="1">
      <c r="A440" t="inlineStr">
        <is>
          <t>A 51266-2025</t>
        </is>
      </c>
      <c r="B440" s="1" t="n">
        <v>45949.71568287037</v>
      </c>
      <c r="C440" s="1" t="n">
        <v>46091</v>
      </c>
      <c r="D440" t="inlineStr">
        <is>
          <t>UPPSALA LÄN</t>
        </is>
      </c>
      <c r="E440" t="inlineStr">
        <is>
          <t>ÖSTHAMMAR</t>
        </is>
      </c>
      <c r="F440" t="inlineStr">
        <is>
          <t>Bergvik skog öst AB</t>
        </is>
      </c>
      <c r="G440" t="n">
        <v>4.7</v>
      </c>
      <c r="H440" t="n">
        <v>0</v>
      </c>
      <c r="I440" t="n">
        <v>0</v>
      </c>
      <c r="J440" t="n">
        <v>0</v>
      </c>
      <c r="K440" t="n">
        <v>0</v>
      </c>
      <c r="L440" t="n">
        <v>0</v>
      </c>
      <c r="M440" t="n">
        <v>0</v>
      </c>
      <c r="N440" t="n">
        <v>0</v>
      </c>
      <c r="O440" t="n">
        <v>0</v>
      </c>
      <c r="P440" t="n">
        <v>0</v>
      </c>
      <c r="Q440" t="n">
        <v>0</v>
      </c>
      <c r="R440" s="2" t="inlineStr"/>
    </row>
    <row r="441" ht="15" customHeight="1">
      <c r="A441" t="inlineStr">
        <is>
          <t>A 51156-2025</t>
        </is>
      </c>
      <c r="B441" s="1" t="n">
        <v>45947.57833333333</v>
      </c>
      <c r="C441" s="1" t="n">
        <v>46091</v>
      </c>
      <c r="D441" t="inlineStr">
        <is>
          <t>UPPSALA LÄN</t>
        </is>
      </c>
      <c r="E441" t="inlineStr">
        <is>
          <t>ÖSTHAMMAR</t>
        </is>
      </c>
      <c r="F441" t="inlineStr">
        <is>
          <t>Allmännings- och besparingsskogar</t>
        </is>
      </c>
      <c r="G441" t="n">
        <v>2.8</v>
      </c>
      <c r="H441" t="n">
        <v>0</v>
      </c>
      <c r="I441" t="n">
        <v>0</v>
      </c>
      <c r="J441" t="n">
        <v>0</v>
      </c>
      <c r="K441" t="n">
        <v>0</v>
      </c>
      <c r="L441" t="n">
        <v>0</v>
      </c>
      <c r="M441" t="n">
        <v>0</v>
      </c>
      <c r="N441" t="n">
        <v>0</v>
      </c>
      <c r="O441" t="n">
        <v>0</v>
      </c>
      <c r="P441" t="n">
        <v>0</v>
      </c>
      <c r="Q441" t="n">
        <v>0</v>
      </c>
      <c r="R441" s="2" t="inlineStr"/>
    </row>
    <row r="442" ht="15" customHeight="1">
      <c r="A442" t="inlineStr">
        <is>
          <t>A 33271-2025</t>
        </is>
      </c>
      <c r="B442" s="1" t="n">
        <v>45840.68381944444</v>
      </c>
      <c r="C442" s="1" t="n">
        <v>46091</v>
      </c>
      <c r="D442" t="inlineStr">
        <is>
          <t>UPPSALA LÄN</t>
        </is>
      </c>
      <c r="E442" t="inlineStr">
        <is>
          <t>ÖSTHAMMAR</t>
        </is>
      </c>
      <c r="G442" t="n">
        <v>1.3</v>
      </c>
      <c r="H442" t="n">
        <v>0</v>
      </c>
      <c r="I442" t="n">
        <v>0</v>
      </c>
      <c r="J442" t="n">
        <v>0</v>
      </c>
      <c r="K442" t="n">
        <v>0</v>
      </c>
      <c r="L442" t="n">
        <v>0</v>
      </c>
      <c r="M442" t="n">
        <v>0</v>
      </c>
      <c r="N442" t="n">
        <v>0</v>
      </c>
      <c r="O442" t="n">
        <v>0</v>
      </c>
      <c r="P442" t="n">
        <v>0</v>
      </c>
      <c r="Q442" t="n">
        <v>0</v>
      </c>
      <c r="R442" s="2" t="inlineStr"/>
    </row>
    <row r="443" ht="15" customHeight="1">
      <c r="A443" t="inlineStr">
        <is>
          <t>A 23742-2024</t>
        </is>
      </c>
      <c r="B443" s="1" t="n">
        <v>45455</v>
      </c>
      <c r="C443" s="1" t="n">
        <v>46091</v>
      </c>
      <c r="D443" t="inlineStr">
        <is>
          <t>UPPSALA LÄN</t>
        </is>
      </c>
      <c r="E443" t="inlineStr">
        <is>
          <t>ÖSTHAMMAR</t>
        </is>
      </c>
      <c r="F443" t="inlineStr">
        <is>
          <t>Bergvik skog öst AB</t>
        </is>
      </c>
      <c r="G443" t="n">
        <v>2.2</v>
      </c>
      <c r="H443" t="n">
        <v>0</v>
      </c>
      <c r="I443" t="n">
        <v>0</v>
      </c>
      <c r="J443" t="n">
        <v>0</v>
      </c>
      <c r="K443" t="n">
        <v>0</v>
      </c>
      <c r="L443" t="n">
        <v>0</v>
      </c>
      <c r="M443" t="n">
        <v>0</v>
      </c>
      <c r="N443" t="n">
        <v>0</v>
      </c>
      <c r="O443" t="n">
        <v>0</v>
      </c>
      <c r="P443" t="n">
        <v>0</v>
      </c>
      <c r="Q443" t="n">
        <v>0</v>
      </c>
      <c r="R443" s="2" t="inlineStr"/>
    </row>
    <row r="444" ht="15" customHeight="1">
      <c r="A444" t="inlineStr">
        <is>
          <t>A 32718-2025</t>
        </is>
      </c>
      <c r="B444" s="1" t="n">
        <v>45839.37740740741</v>
      </c>
      <c r="C444" s="1" t="n">
        <v>46091</v>
      </c>
      <c r="D444" t="inlineStr">
        <is>
          <t>UPPSALA LÄN</t>
        </is>
      </c>
      <c r="E444" t="inlineStr">
        <is>
          <t>ÖSTHAMMAR</t>
        </is>
      </c>
      <c r="G444" t="n">
        <v>10.4</v>
      </c>
      <c r="H444" t="n">
        <v>0</v>
      </c>
      <c r="I444" t="n">
        <v>0</v>
      </c>
      <c r="J444" t="n">
        <v>0</v>
      </c>
      <c r="K444" t="n">
        <v>0</v>
      </c>
      <c r="L444" t="n">
        <v>0</v>
      </c>
      <c r="M444" t="n">
        <v>0</v>
      </c>
      <c r="N444" t="n">
        <v>0</v>
      </c>
      <c r="O444" t="n">
        <v>0</v>
      </c>
      <c r="P444" t="n">
        <v>0</v>
      </c>
      <c r="Q444" t="n">
        <v>0</v>
      </c>
      <c r="R444" s="2" t="inlineStr"/>
    </row>
    <row r="445" ht="15" customHeight="1">
      <c r="A445" t="inlineStr">
        <is>
          <t>A 29282-2021</t>
        </is>
      </c>
      <c r="B445" s="1" t="n">
        <v>44361</v>
      </c>
      <c r="C445" s="1" t="n">
        <v>46091</v>
      </c>
      <c r="D445" t="inlineStr">
        <is>
          <t>UPPSALA LÄN</t>
        </is>
      </c>
      <c r="E445" t="inlineStr">
        <is>
          <t>ÖSTHAMMAR</t>
        </is>
      </c>
      <c r="G445" t="n">
        <v>2.4</v>
      </c>
      <c r="H445" t="n">
        <v>0</v>
      </c>
      <c r="I445" t="n">
        <v>0</v>
      </c>
      <c r="J445" t="n">
        <v>0</v>
      </c>
      <c r="K445" t="n">
        <v>0</v>
      </c>
      <c r="L445" t="n">
        <v>0</v>
      </c>
      <c r="M445" t="n">
        <v>0</v>
      </c>
      <c r="N445" t="n">
        <v>0</v>
      </c>
      <c r="O445" t="n">
        <v>0</v>
      </c>
      <c r="P445" t="n">
        <v>0</v>
      </c>
      <c r="Q445" t="n">
        <v>0</v>
      </c>
      <c r="R445" s="2" t="inlineStr"/>
    </row>
    <row r="446" ht="15" customHeight="1">
      <c r="A446" t="inlineStr">
        <is>
          <t>A 33529-2025</t>
        </is>
      </c>
      <c r="B446" s="1" t="n">
        <v>45841.55199074074</v>
      </c>
      <c r="C446" s="1" t="n">
        <v>46091</v>
      </c>
      <c r="D446" t="inlineStr">
        <is>
          <t>UPPSALA LÄN</t>
        </is>
      </c>
      <c r="E446" t="inlineStr">
        <is>
          <t>ÖSTHAMMAR</t>
        </is>
      </c>
      <c r="F446" t="inlineStr">
        <is>
          <t>Bergvik skog öst AB</t>
        </is>
      </c>
      <c r="G446" t="n">
        <v>11.8</v>
      </c>
      <c r="H446" t="n">
        <v>0</v>
      </c>
      <c r="I446" t="n">
        <v>0</v>
      </c>
      <c r="J446" t="n">
        <v>0</v>
      </c>
      <c r="K446" t="n">
        <v>0</v>
      </c>
      <c r="L446" t="n">
        <v>0</v>
      </c>
      <c r="M446" t="n">
        <v>0</v>
      </c>
      <c r="N446" t="n">
        <v>0</v>
      </c>
      <c r="O446" t="n">
        <v>0</v>
      </c>
      <c r="P446" t="n">
        <v>0</v>
      </c>
      <c r="Q446" t="n">
        <v>0</v>
      </c>
      <c r="R446" s="2" t="inlineStr"/>
    </row>
    <row r="447" ht="15" customHeight="1">
      <c r="A447" t="inlineStr">
        <is>
          <t>A 6039-2025</t>
        </is>
      </c>
      <c r="B447" s="1" t="n">
        <v>45695</v>
      </c>
      <c r="C447" s="1" t="n">
        <v>46091</v>
      </c>
      <c r="D447" t="inlineStr">
        <is>
          <t>UPPSALA LÄN</t>
        </is>
      </c>
      <c r="E447" t="inlineStr">
        <is>
          <t>ÖSTHAMMAR</t>
        </is>
      </c>
      <c r="G447" t="n">
        <v>2.3</v>
      </c>
      <c r="H447" t="n">
        <v>0</v>
      </c>
      <c r="I447" t="n">
        <v>0</v>
      </c>
      <c r="J447" t="n">
        <v>0</v>
      </c>
      <c r="K447" t="n">
        <v>0</v>
      </c>
      <c r="L447" t="n">
        <v>0</v>
      </c>
      <c r="M447" t="n">
        <v>0</v>
      </c>
      <c r="N447" t="n">
        <v>0</v>
      </c>
      <c r="O447" t="n">
        <v>0</v>
      </c>
      <c r="P447" t="n">
        <v>0</v>
      </c>
      <c r="Q447" t="n">
        <v>0</v>
      </c>
      <c r="R447" s="2" t="inlineStr"/>
    </row>
    <row r="448" ht="15" customHeight="1">
      <c r="A448" t="inlineStr">
        <is>
          <t>A 55298-2025</t>
        </is>
      </c>
      <c r="B448" s="1" t="n">
        <v>45969.76908564815</v>
      </c>
      <c r="C448" s="1" t="n">
        <v>46091</v>
      </c>
      <c r="D448" t="inlineStr">
        <is>
          <t>UPPSALA LÄN</t>
        </is>
      </c>
      <c r="E448" t="inlineStr">
        <is>
          <t>ÖSTHAMMAR</t>
        </is>
      </c>
      <c r="F448" t="inlineStr">
        <is>
          <t>Bergvik skog öst AB</t>
        </is>
      </c>
      <c r="G448" t="n">
        <v>3.6</v>
      </c>
      <c r="H448" t="n">
        <v>0</v>
      </c>
      <c r="I448" t="n">
        <v>0</v>
      </c>
      <c r="J448" t="n">
        <v>0</v>
      </c>
      <c r="K448" t="n">
        <v>0</v>
      </c>
      <c r="L448" t="n">
        <v>0</v>
      </c>
      <c r="M448" t="n">
        <v>0</v>
      </c>
      <c r="N448" t="n">
        <v>0</v>
      </c>
      <c r="O448" t="n">
        <v>0</v>
      </c>
      <c r="P448" t="n">
        <v>0</v>
      </c>
      <c r="Q448" t="n">
        <v>0</v>
      </c>
      <c r="R448" s="2" t="inlineStr"/>
    </row>
    <row r="449" ht="15" customHeight="1">
      <c r="A449" t="inlineStr">
        <is>
          <t>A 8769-2025</t>
        </is>
      </c>
      <c r="B449" s="1" t="n">
        <v>45712.59412037037</v>
      </c>
      <c r="C449" s="1" t="n">
        <v>46091</v>
      </c>
      <c r="D449" t="inlineStr">
        <is>
          <t>UPPSALA LÄN</t>
        </is>
      </c>
      <c r="E449" t="inlineStr">
        <is>
          <t>ÖSTHAMMAR</t>
        </is>
      </c>
      <c r="G449" t="n">
        <v>1.9</v>
      </c>
      <c r="H449" t="n">
        <v>0</v>
      </c>
      <c r="I449" t="n">
        <v>0</v>
      </c>
      <c r="J449" t="n">
        <v>0</v>
      </c>
      <c r="K449" t="n">
        <v>0</v>
      </c>
      <c r="L449" t="n">
        <v>0</v>
      </c>
      <c r="M449" t="n">
        <v>0</v>
      </c>
      <c r="N449" t="n">
        <v>0</v>
      </c>
      <c r="O449" t="n">
        <v>0</v>
      </c>
      <c r="P449" t="n">
        <v>0</v>
      </c>
      <c r="Q449" t="n">
        <v>0</v>
      </c>
      <c r="R449" s="2" t="inlineStr"/>
    </row>
    <row r="450" ht="15" customHeight="1">
      <c r="A450" t="inlineStr">
        <is>
          <t>A 20326-2021</t>
        </is>
      </c>
      <c r="B450" s="1" t="n">
        <v>44308</v>
      </c>
      <c r="C450" s="1" t="n">
        <v>46091</v>
      </c>
      <c r="D450" t="inlineStr">
        <is>
          <t>UPPSALA LÄN</t>
        </is>
      </c>
      <c r="E450" t="inlineStr">
        <is>
          <t>ÖSTHAMMAR</t>
        </is>
      </c>
      <c r="G450" t="n">
        <v>7</v>
      </c>
      <c r="H450" t="n">
        <v>0</v>
      </c>
      <c r="I450" t="n">
        <v>0</v>
      </c>
      <c r="J450" t="n">
        <v>0</v>
      </c>
      <c r="K450" t="n">
        <v>0</v>
      </c>
      <c r="L450" t="n">
        <v>0</v>
      </c>
      <c r="M450" t="n">
        <v>0</v>
      </c>
      <c r="N450" t="n">
        <v>0</v>
      </c>
      <c r="O450" t="n">
        <v>0</v>
      </c>
      <c r="P450" t="n">
        <v>0</v>
      </c>
      <c r="Q450" t="n">
        <v>0</v>
      </c>
      <c r="R450" s="2" t="inlineStr"/>
    </row>
    <row r="451" ht="15" customHeight="1">
      <c r="A451" t="inlineStr">
        <is>
          <t>A 55086-2024</t>
        </is>
      </c>
      <c r="B451" s="1" t="n">
        <v>45621.43098379629</v>
      </c>
      <c r="C451" s="1" t="n">
        <v>46091</v>
      </c>
      <c r="D451" t="inlineStr">
        <is>
          <t>UPPSALA LÄN</t>
        </is>
      </c>
      <c r="E451" t="inlineStr">
        <is>
          <t>ÖSTHAMMAR</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55090-2024</t>
        </is>
      </c>
      <c r="B452" s="1" t="n">
        <v>45621.4350462963</v>
      </c>
      <c r="C452" s="1" t="n">
        <v>46091</v>
      </c>
      <c r="D452" t="inlineStr">
        <is>
          <t>UPPSALA LÄN</t>
        </is>
      </c>
      <c r="E452" t="inlineStr">
        <is>
          <t>ÖSTHAMMAR</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55093-2024</t>
        </is>
      </c>
      <c r="B453" s="1" t="n">
        <v>45621.43712962963</v>
      </c>
      <c r="C453" s="1" t="n">
        <v>46091</v>
      </c>
      <c r="D453" t="inlineStr">
        <is>
          <t>UPPSALA LÄN</t>
        </is>
      </c>
      <c r="E453" t="inlineStr">
        <is>
          <t>ÖSTHAMMAR</t>
        </is>
      </c>
      <c r="F453" t="inlineStr">
        <is>
          <t>Sveaskog</t>
        </is>
      </c>
      <c r="G453" t="n">
        <v>1.2</v>
      </c>
      <c r="H453" t="n">
        <v>0</v>
      </c>
      <c r="I453" t="n">
        <v>0</v>
      </c>
      <c r="J453" t="n">
        <v>0</v>
      </c>
      <c r="K453" t="n">
        <v>0</v>
      </c>
      <c r="L453" t="n">
        <v>0</v>
      </c>
      <c r="M453" t="n">
        <v>0</v>
      </c>
      <c r="N453" t="n">
        <v>0</v>
      </c>
      <c r="O453" t="n">
        <v>0</v>
      </c>
      <c r="P453" t="n">
        <v>0</v>
      </c>
      <c r="Q453" t="n">
        <v>0</v>
      </c>
      <c r="R453" s="2" t="inlineStr"/>
    </row>
    <row r="454" ht="15" customHeight="1">
      <c r="A454" t="inlineStr">
        <is>
          <t>A 33973-2025</t>
        </is>
      </c>
      <c r="B454" s="1" t="n">
        <v>45842.98429398148</v>
      </c>
      <c r="C454" s="1" t="n">
        <v>46091</v>
      </c>
      <c r="D454" t="inlineStr">
        <is>
          <t>UPPSALA LÄN</t>
        </is>
      </c>
      <c r="E454" t="inlineStr">
        <is>
          <t>ÖSTHAMMAR</t>
        </is>
      </c>
      <c r="G454" t="n">
        <v>1.9</v>
      </c>
      <c r="H454" t="n">
        <v>0</v>
      </c>
      <c r="I454" t="n">
        <v>0</v>
      </c>
      <c r="J454" t="n">
        <v>0</v>
      </c>
      <c r="K454" t="n">
        <v>0</v>
      </c>
      <c r="L454" t="n">
        <v>0</v>
      </c>
      <c r="M454" t="n">
        <v>0</v>
      </c>
      <c r="N454" t="n">
        <v>0</v>
      </c>
      <c r="O454" t="n">
        <v>0</v>
      </c>
      <c r="P454" t="n">
        <v>0</v>
      </c>
      <c r="Q454" t="n">
        <v>0</v>
      </c>
      <c r="R454" s="2" t="inlineStr"/>
    </row>
    <row r="455" ht="15" customHeight="1">
      <c r="A455" t="inlineStr">
        <is>
          <t>A 33972-2025</t>
        </is>
      </c>
      <c r="B455" s="1" t="n">
        <v>45842.97236111111</v>
      </c>
      <c r="C455" s="1" t="n">
        <v>46091</v>
      </c>
      <c r="D455" t="inlineStr">
        <is>
          <t>UPPSALA LÄN</t>
        </is>
      </c>
      <c r="E455" t="inlineStr">
        <is>
          <t>ÖSTHAMMAR</t>
        </is>
      </c>
      <c r="G455" t="n">
        <v>0.8</v>
      </c>
      <c r="H455" t="n">
        <v>0</v>
      </c>
      <c r="I455" t="n">
        <v>0</v>
      </c>
      <c r="J455" t="n">
        <v>0</v>
      </c>
      <c r="K455" t="n">
        <v>0</v>
      </c>
      <c r="L455" t="n">
        <v>0</v>
      </c>
      <c r="M455" t="n">
        <v>0</v>
      </c>
      <c r="N455" t="n">
        <v>0</v>
      </c>
      <c r="O455" t="n">
        <v>0</v>
      </c>
      <c r="P455" t="n">
        <v>0</v>
      </c>
      <c r="Q455" t="n">
        <v>0</v>
      </c>
      <c r="R455" s="2" t="inlineStr"/>
    </row>
    <row r="456" ht="15" customHeight="1">
      <c r="A456" t="inlineStr">
        <is>
          <t>A 28432-2023</t>
        </is>
      </c>
      <c r="B456" s="1" t="n">
        <v>45102.59896990741</v>
      </c>
      <c r="C456" s="1" t="n">
        <v>46091</v>
      </c>
      <c r="D456" t="inlineStr">
        <is>
          <t>UPPSALA LÄN</t>
        </is>
      </c>
      <c r="E456" t="inlineStr">
        <is>
          <t>ÖSTHAMMAR</t>
        </is>
      </c>
      <c r="F456" t="inlineStr">
        <is>
          <t>Bergvik skog öst AB</t>
        </is>
      </c>
      <c r="G456" t="n">
        <v>3.9</v>
      </c>
      <c r="H456" t="n">
        <v>0</v>
      </c>
      <c r="I456" t="n">
        <v>0</v>
      </c>
      <c r="J456" t="n">
        <v>0</v>
      </c>
      <c r="K456" t="n">
        <v>0</v>
      </c>
      <c r="L456" t="n">
        <v>0</v>
      </c>
      <c r="M456" t="n">
        <v>0</v>
      </c>
      <c r="N456" t="n">
        <v>0</v>
      </c>
      <c r="O456" t="n">
        <v>0</v>
      </c>
      <c r="P456" t="n">
        <v>0</v>
      </c>
      <c r="Q456" t="n">
        <v>0</v>
      </c>
      <c r="R456" s="2" t="inlineStr"/>
    </row>
    <row r="457" ht="15" customHeight="1">
      <c r="A457" t="inlineStr">
        <is>
          <t>A 26395-2025</t>
        </is>
      </c>
      <c r="B457" s="1" t="n">
        <v>45807</v>
      </c>
      <c r="C457" s="1" t="n">
        <v>46091</v>
      </c>
      <c r="D457" t="inlineStr">
        <is>
          <t>UPPSALA LÄN</t>
        </is>
      </c>
      <c r="E457" t="inlineStr">
        <is>
          <t>ÖSTHAMMAR</t>
        </is>
      </c>
      <c r="G457" t="n">
        <v>7</v>
      </c>
      <c r="H457" t="n">
        <v>0</v>
      </c>
      <c r="I457" t="n">
        <v>0</v>
      </c>
      <c r="J457" t="n">
        <v>0</v>
      </c>
      <c r="K457" t="n">
        <v>0</v>
      </c>
      <c r="L457" t="n">
        <v>0</v>
      </c>
      <c r="M457" t="n">
        <v>0</v>
      </c>
      <c r="N457" t="n">
        <v>0</v>
      </c>
      <c r="O457" t="n">
        <v>0</v>
      </c>
      <c r="P457" t="n">
        <v>0</v>
      </c>
      <c r="Q457" t="n">
        <v>0</v>
      </c>
      <c r="R457" s="2" t="inlineStr"/>
    </row>
    <row r="458" ht="15" customHeight="1">
      <c r="A458" t="inlineStr">
        <is>
          <t>A 43915-2023</t>
        </is>
      </c>
      <c r="B458" s="1" t="n">
        <v>45187.71274305556</v>
      </c>
      <c r="C458" s="1" t="n">
        <v>46091</v>
      </c>
      <c r="D458" t="inlineStr">
        <is>
          <t>UPPSALA LÄN</t>
        </is>
      </c>
      <c r="E458" t="inlineStr">
        <is>
          <t>ÖSTHAMMAR</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13352-2023</t>
        </is>
      </c>
      <c r="B459" s="1" t="n">
        <v>45005</v>
      </c>
      <c r="C459" s="1" t="n">
        <v>46091</v>
      </c>
      <c r="D459" t="inlineStr">
        <is>
          <t>UPPSALA LÄN</t>
        </is>
      </c>
      <c r="E459" t="inlineStr">
        <is>
          <t>ÖSTHAMMAR</t>
        </is>
      </c>
      <c r="G459" t="n">
        <v>1.8</v>
      </c>
      <c r="H459" t="n">
        <v>0</v>
      </c>
      <c r="I459" t="n">
        <v>0</v>
      </c>
      <c r="J459" t="n">
        <v>0</v>
      </c>
      <c r="K459" t="n">
        <v>0</v>
      </c>
      <c r="L459" t="n">
        <v>0</v>
      </c>
      <c r="M459" t="n">
        <v>0</v>
      </c>
      <c r="N459" t="n">
        <v>0</v>
      </c>
      <c r="O459" t="n">
        <v>0</v>
      </c>
      <c r="P459" t="n">
        <v>0</v>
      </c>
      <c r="Q459" t="n">
        <v>0</v>
      </c>
      <c r="R459" s="2" t="inlineStr"/>
    </row>
    <row r="460" ht="15" customHeight="1">
      <c r="A460" t="inlineStr">
        <is>
          <t>A 55798-2025</t>
        </is>
      </c>
      <c r="B460" s="1" t="n">
        <v>45972.66209490741</v>
      </c>
      <c r="C460" s="1" t="n">
        <v>46091</v>
      </c>
      <c r="D460" t="inlineStr">
        <is>
          <t>UPPSALA LÄN</t>
        </is>
      </c>
      <c r="E460" t="inlineStr">
        <is>
          <t>ÖSTHAMMAR</t>
        </is>
      </c>
      <c r="F460" t="inlineStr">
        <is>
          <t>Bergvik skog öst AB</t>
        </is>
      </c>
      <c r="G460" t="n">
        <v>3.9</v>
      </c>
      <c r="H460" t="n">
        <v>0</v>
      </c>
      <c r="I460" t="n">
        <v>0</v>
      </c>
      <c r="J460" t="n">
        <v>0</v>
      </c>
      <c r="K460" t="n">
        <v>0</v>
      </c>
      <c r="L460" t="n">
        <v>0</v>
      </c>
      <c r="M460" t="n">
        <v>0</v>
      </c>
      <c r="N460" t="n">
        <v>0</v>
      </c>
      <c r="O460" t="n">
        <v>0</v>
      </c>
      <c r="P460" t="n">
        <v>0</v>
      </c>
      <c r="Q460" t="n">
        <v>0</v>
      </c>
      <c r="R460" s="2" t="inlineStr"/>
    </row>
    <row r="461" ht="15" customHeight="1">
      <c r="A461" t="inlineStr">
        <is>
          <t>A 36343-2022</t>
        </is>
      </c>
      <c r="B461" s="1" t="n">
        <v>44803.78524305556</v>
      </c>
      <c r="C461" s="1" t="n">
        <v>46091</v>
      </c>
      <c r="D461" t="inlineStr">
        <is>
          <t>UPPSALA LÄN</t>
        </is>
      </c>
      <c r="E461" t="inlineStr">
        <is>
          <t>ÖSTHAMMAR</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357-2025</t>
        </is>
      </c>
      <c r="B462" s="1" t="n">
        <v>45659</v>
      </c>
      <c r="C462" s="1" t="n">
        <v>46091</v>
      </c>
      <c r="D462" t="inlineStr">
        <is>
          <t>UPPSALA LÄN</t>
        </is>
      </c>
      <c r="E462" t="inlineStr">
        <is>
          <t>ÖSTHAMMAR</t>
        </is>
      </c>
      <c r="G462" t="n">
        <v>15.8</v>
      </c>
      <c r="H462" t="n">
        <v>0</v>
      </c>
      <c r="I462" t="n">
        <v>0</v>
      </c>
      <c r="J462" t="n">
        <v>0</v>
      </c>
      <c r="K462" t="n">
        <v>0</v>
      </c>
      <c r="L462" t="n">
        <v>0</v>
      </c>
      <c r="M462" t="n">
        <v>0</v>
      </c>
      <c r="N462" t="n">
        <v>0</v>
      </c>
      <c r="O462" t="n">
        <v>0</v>
      </c>
      <c r="P462" t="n">
        <v>0</v>
      </c>
      <c r="Q462" t="n">
        <v>0</v>
      </c>
      <c r="R462" s="2" t="inlineStr"/>
    </row>
    <row r="463" ht="15" customHeight="1">
      <c r="A463" t="inlineStr">
        <is>
          <t>A 18731-2022</t>
        </is>
      </c>
      <c r="B463" s="1" t="n">
        <v>44687.78673611111</v>
      </c>
      <c r="C463" s="1" t="n">
        <v>46091</v>
      </c>
      <c r="D463" t="inlineStr">
        <is>
          <t>UPPSALA LÄN</t>
        </is>
      </c>
      <c r="E463" t="inlineStr">
        <is>
          <t>ÖSTHAMMAR</t>
        </is>
      </c>
      <c r="G463" t="n">
        <v>4.9</v>
      </c>
      <c r="H463" t="n">
        <v>0</v>
      </c>
      <c r="I463" t="n">
        <v>0</v>
      </c>
      <c r="J463" t="n">
        <v>0</v>
      </c>
      <c r="K463" t="n">
        <v>0</v>
      </c>
      <c r="L463" t="n">
        <v>0</v>
      </c>
      <c r="M463" t="n">
        <v>0</v>
      </c>
      <c r="N463" t="n">
        <v>0</v>
      </c>
      <c r="O463" t="n">
        <v>0</v>
      </c>
      <c r="P463" t="n">
        <v>0</v>
      </c>
      <c r="Q463" t="n">
        <v>0</v>
      </c>
      <c r="R463" s="2" t="inlineStr"/>
    </row>
    <row r="464" ht="15" customHeight="1">
      <c r="A464" t="inlineStr">
        <is>
          <t>A 23495-2023</t>
        </is>
      </c>
      <c r="B464" s="1" t="n">
        <v>45076.71652777777</v>
      </c>
      <c r="C464" s="1" t="n">
        <v>46091</v>
      </c>
      <c r="D464" t="inlineStr">
        <is>
          <t>UPPSALA LÄN</t>
        </is>
      </c>
      <c r="E464" t="inlineStr">
        <is>
          <t>ÖSTHAMMAR</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1063-2025</t>
        </is>
      </c>
      <c r="B465" s="1" t="n">
        <v>45666</v>
      </c>
      <c r="C465" s="1" t="n">
        <v>46091</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10117-2025</t>
        </is>
      </c>
      <c r="B466" s="1" t="n">
        <v>45719.59866898148</v>
      </c>
      <c r="C466" s="1" t="n">
        <v>46091</v>
      </c>
      <c r="D466" t="inlineStr">
        <is>
          <t>UPPSALA LÄN</t>
        </is>
      </c>
      <c r="E466" t="inlineStr">
        <is>
          <t>ÖSTHAMMAR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10495-2025</t>
        </is>
      </c>
      <c r="B467" s="1" t="n">
        <v>45721</v>
      </c>
      <c r="C467" s="1" t="n">
        <v>46091</v>
      </c>
      <c r="D467" t="inlineStr">
        <is>
          <t>UPPSALA LÄN</t>
        </is>
      </c>
      <c r="E467" t="inlineStr">
        <is>
          <t>ÖSTHAMMAR</t>
        </is>
      </c>
      <c r="F467" t="inlineStr">
        <is>
          <t>Sveaskog</t>
        </is>
      </c>
      <c r="G467" t="n">
        <v>2.2</v>
      </c>
      <c r="H467" t="n">
        <v>0</v>
      </c>
      <c r="I467" t="n">
        <v>0</v>
      </c>
      <c r="J467" t="n">
        <v>0</v>
      </c>
      <c r="K467" t="n">
        <v>0</v>
      </c>
      <c r="L467" t="n">
        <v>0</v>
      </c>
      <c r="M467" t="n">
        <v>0</v>
      </c>
      <c r="N467" t="n">
        <v>0</v>
      </c>
      <c r="O467" t="n">
        <v>0</v>
      </c>
      <c r="P467" t="n">
        <v>0</v>
      </c>
      <c r="Q467" t="n">
        <v>0</v>
      </c>
      <c r="R467" s="2" t="inlineStr"/>
    </row>
    <row r="468" ht="15" customHeight="1">
      <c r="A468" t="inlineStr">
        <is>
          <t>A 25859-2024</t>
        </is>
      </c>
      <c r="B468" s="1" t="n">
        <v>45467</v>
      </c>
      <c r="C468" s="1" t="n">
        <v>46091</v>
      </c>
      <c r="D468" t="inlineStr">
        <is>
          <t>UPPSALA LÄN</t>
        </is>
      </c>
      <c r="E468" t="inlineStr">
        <is>
          <t>ÖSTHAMMAR</t>
        </is>
      </c>
      <c r="G468" t="n">
        <v>7.9</v>
      </c>
      <c r="H468" t="n">
        <v>0</v>
      </c>
      <c r="I468" t="n">
        <v>0</v>
      </c>
      <c r="J468" t="n">
        <v>0</v>
      </c>
      <c r="K468" t="n">
        <v>0</v>
      </c>
      <c r="L468" t="n">
        <v>0</v>
      </c>
      <c r="M468" t="n">
        <v>0</v>
      </c>
      <c r="N468" t="n">
        <v>0</v>
      </c>
      <c r="O468" t="n">
        <v>0</v>
      </c>
      <c r="P468" t="n">
        <v>0</v>
      </c>
      <c r="Q468" t="n">
        <v>0</v>
      </c>
      <c r="R468" s="2" t="inlineStr"/>
    </row>
    <row r="469" ht="15" customHeight="1">
      <c r="A469" t="inlineStr">
        <is>
          <t>A 4356-2025</t>
        </is>
      </c>
      <c r="B469" s="1" t="n">
        <v>45686</v>
      </c>
      <c r="C469" s="1" t="n">
        <v>46091</v>
      </c>
      <c r="D469" t="inlineStr">
        <is>
          <t>UPPSALA LÄN</t>
        </is>
      </c>
      <c r="E469" t="inlineStr">
        <is>
          <t>ÖSTHAMMAR</t>
        </is>
      </c>
      <c r="F469" t="inlineStr">
        <is>
          <t>Övriga Aktiebolag</t>
        </is>
      </c>
      <c r="G469" t="n">
        <v>24.6</v>
      </c>
      <c r="H469" t="n">
        <v>0</v>
      </c>
      <c r="I469" t="n">
        <v>0</v>
      </c>
      <c r="J469" t="n">
        <v>0</v>
      </c>
      <c r="K469" t="n">
        <v>0</v>
      </c>
      <c r="L469" t="n">
        <v>0</v>
      </c>
      <c r="M469" t="n">
        <v>0</v>
      </c>
      <c r="N469" t="n">
        <v>0</v>
      </c>
      <c r="O469" t="n">
        <v>0</v>
      </c>
      <c r="P469" t="n">
        <v>0</v>
      </c>
      <c r="Q469" t="n">
        <v>0</v>
      </c>
      <c r="R469" s="2" t="inlineStr"/>
    </row>
    <row r="470" ht="15" customHeight="1">
      <c r="A470" t="inlineStr">
        <is>
          <t>A 19640-2025</t>
        </is>
      </c>
      <c r="B470" s="1" t="n">
        <v>45770.65739583333</v>
      </c>
      <c r="C470" s="1" t="n">
        <v>46091</v>
      </c>
      <c r="D470" t="inlineStr">
        <is>
          <t>UPPSALA LÄN</t>
        </is>
      </c>
      <c r="E470" t="inlineStr">
        <is>
          <t>ÖSTHAMMAR</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17085-2025</t>
        </is>
      </c>
      <c r="B471" s="1" t="n">
        <v>45755.64612268518</v>
      </c>
      <c r="C471" s="1" t="n">
        <v>46091</v>
      </c>
      <c r="D471" t="inlineStr">
        <is>
          <t>UPPSALA LÄN</t>
        </is>
      </c>
      <c r="E471" t="inlineStr">
        <is>
          <t>ÖSTHAMMAR</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32244-2021</t>
        </is>
      </c>
      <c r="B472" s="1" t="n">
        <v>44371.45335648148</v>
      </c>
      <c r="C472" s="1" t="n">
        <v>46091</v>
      </c>
      <c r="D472" t="inlineStr">
        <is>
          <t>UPPSALA LÄN</t>
        </is>
      </c>
      <c r="E472" t="inlineStr">
        <is>
          <t>ÖSTHAMMAR</t>
        </is>
      </c>
      <c r="F472" t="inlineStr">
        <is>
          <t>Bergvik skog öst AB</t>
        </is>
      </c>
      <c r="G472" t="n">
        <v>2.6</v>
      </c>
      <c r="H472" t="n">
        <v>0</v>
      </c>
      <c r="I472" t="n">
        <v>0</v>
      </c>
      <c r="J472" t="n">
        <v>0</v>
      </c>
      <c r="K472" t="n">
        <v>0</v>
      </c>
      <c r="L472" t="n">
        <v>0</v>
      </c>
      <c r="M472" t="n">
        <v>0</v>
      </c>
      <c r="N472" t="n">
        <v>0</v>
      </c>
      <c r="O472" t="n">
        <v>0</v>
      </c>
      <c r="P472" t="n">
        <v>0</v>
      </c>
      <c r="Q472" t="n">
        <v>0</v>
      </c>
      <c r="R472" s="2" t="inlineStr"/>
    </row>
    <row r="473" ht="15" customHeight="1">
      <c r="A473" t="inlineStr">
        <is>
          <t>A 33056-2021</t>
        </is>
      </c>
      <c r="B473" s="1" t="n">
        <v>44376.52438657408</v>
      </c>
      <c r="C473" s="1" t="n">
        <v>46091</v>
      </c>
      <c r="D473" t="inlineStr">
        <is>
          <t>UPPSALA LÄN</t>
        </is>
      </c>
      <c r="E473" t="inlineStr">
        <is>
          <t>ÖSTHAMMAR</t>
        </is>
      </c>
      <c r="G473" t="n">
        <v>0.6</v>
      </c>
      <c r="H473" t="n">
        <v>0</v>
      </c>
      <c r="I473" t="n">
        <v>0</v>
      </c>
      <c r="J473" t="n">
        <v>0</v>
      </c>
      <c r="K473" t="n">
        <v>0</v>
      </c>
      <c r="L473" t="n">
        <v>0</v>
      </c>
      <c r="M473" t="n">
        <v>0</v>
      </c>
      <c r="N473" t="n">
        <v>0</v>
      </c>
      <c r="O473" t="n">
        <v>0</v>
      </c>
      <c r="P473" t="n">
        <v>0</v>
      </c>
      <c r="Q473" t="n">
        <v>0</v>
      </c>
      <c r="R473" s="2" t="inlineStr"/>
    </row>
    <row r="474" ht="15" customHeight="1">
      <c r="A474" t="inlineStr">
        <is>
          <t>A 56582-2025</t>
        </is>
      </c>
      <c r="B474" s="1" t="n">
        <v>45975.54730324074</v>
      </c>
      <c r="C474" s="1" t="n">
        <v>46091</v>
      </c>
      <c r="D474" t="inlineStr">
        <is>
          <t>UPPSALA LÄN</t>
        </is>
      </c>
      <c r="E474" t="inlineStr">
        <is>
          <t>ÖSTHAMMAR</t>
        </is>
      </c>
      <c r="G474" t="n">
        <v>4.1</v>
      </c>
      <c r="H474" t="n">
        <v>0</v>
      </c>
      <c r="I474" t="n">
        <v>0</v>
      </c>
      <c r="J474" t="n">
        <v>0</v>
      </c>
      <c r="K474" t="n">
        <v>0</v>
      </c>
      <c r="L474" t="n">
        <v>0</v>
      </c>
      <c r="M474" t="n">
        <v>0</v>
      </c>
      <c r="N474" t="n">
        <v>0</v>
      </c>
      <c r="O474" t="n">
        <v>0</v>
      </c>
      <c r="P474" t="n">
        <v>0</v>
      </c>
      <c r="Q474" t="n">
        <v>0</v>
      </c>
      <c r="R474" s="2" t="inlineStr"/>
    </row>
    <row r="475" ht="15" customHeight="1">
      <c r="A475" t="inlineStr">
        <is>
          <t>A 56682-2025</t>
        </is>
      </c>
      <c r="B475" s="1" t="n">
        <v>45975</v>
      </c>
      <c r="C475" s="1" t="n">
        <v>46091</v>
      </c>
      <c r="D475" t="inlineStr">
        <is>
          <t>UPPSALA LÄN</t>
        </is>
      </c>
      <c r="E475" t="inlineStr">
        <is>
          <t>ÖSTHAMMAR</t>
        </is>
      </c>
      <c r="G475" t="n">
        <v>3.9</v>
      </c>
      <c r="H475" t="n">
        <v>0</v>
      </c>
      <c r="I475" t="n">
        <v>0</v>
      </c>
      <c r="J475" t="n">
        <v>0</v>
      </c>
      <c r="K475" t="n">
        <v>0</v>
      </c>
      <c r="L475" t="n">
        <v>0</v>
      </c>
      <c r="M475" t="n">
        <v>0</v>
      </c>
      <c r="N475" t="n">
        <v>0</v>
      </c>
      <c r="O475" t="n">
        <v>0</v>
      </c>
      <c r="P475" t="n">
        <v>0</v>
      </c>
      <c r="Q475" t="n">
        <v>0</v>
      </c>
      <c r="R475" s="2" t="inlineStr"/>
    </row>
    <row r="476" ht="15" customHeight="1">
      <c r="A476" t="inlineStr">
        <is>
          <t>A 56518-2025</t>
        </is>
      </c>
      <c r="B476" s="1" t="n">
        <v>45975.4581712963</v>
      </c>
      <c r="C476" s="1" t="n">
        <v>46091</v>
      </c>
      <c r="D476" t="inlineStr">
        <is>
          <t>UPPSALA LÄN</t>
        </is>
      </c>
      <c r="E476" t="inlineStr">
        <is>
          <t>ÖSTHAMMAR</t>
        </is>
      </c>
      <c r="G476" t="n">
        <v>2.7</v>
      </c>
      <c r="H476" t="n">
        <v>0</v>
      </c>
      <c r="I476" t="n">
        <v>0</v>
      </c>
      <c r="J476" t="n">
        <v>0</v>
      </c>
      <c r="K476" t="n">
        <v>0</v>
      </c>
      <c r="L476" t="n">
        <v>0</v>
      </c>
      <c r="M476" t="n">
        <v>0</v>
      </c>
      <c r="N476" t="n">
        <v>0</v>
      </c>
      <c r="O476" t="n">
        <v>0</v>
      </c>
      <c r="P476" t="n">
        <v>0</v>
      </c>
      <c r="Q476" t="n">
        <v>0</v>
      </c>
      <c r="R476" s="2" t="inlineStr"/>
    </row>
    <row r="477" ht="15" customHeight="1">
      <c r="A477" t="inlineStr">
        <is>
          <t>A 56658-2025</t>
        </is>
      </c>
      <c r="B477" s="1" t="n">
        <v>45975.65431712963</v>
      </c>
      <c r="C477" s="1" t="n">
        <v>46091</v>
      </c>
      <c r="D477" t="inlineStr">
        <is>
          <t>UPPSALA LÄN</t>
        </is>
      </c>
      <c r="E477" t="inlineStr">
        <is>
          <t>ÖSTHAMMAR</t>
        </is>
      </c>
      <c r="G477" t="n">
        <v>1.3</v>
      </c>
      <c r="H477" t="n">
        <v>0</v>
      </c>
      <c r="I477" t="n">
        <v>0</v>
      </c>
      <c r="J477" t="n">
        <v>0</v>
      </c>
      <c r="K477" t="n">
        <v>0</v>
      </c>
      <c r="L477" t="n">
        <v>0</v>
      </c>
      <c r="M477" t="n">
        <v>0</v>
      </c>
      <c r="N477" t="n">
        <v>0</v>
      </c>
      <c r="O477" t="n">
        <v>0</v>
      </c>
      <c r="P477" t="n">
        <v>0</v>
      </c>
      <c r="Q477" t="n">
        <v>0</v>
      </c>
      <c r="R477" s="2" t="inlineStr"/>
    </row>
    <row r="478" ht="15" customHeight="1">
      <c r="A478" t="inlineStr">
        <is>
          <t>A 17929-2025</t>
        </is>
      </c>
      <c r="B478" s="1" t="n">
        <v>45759.56462962963</v>
      </c>
      <c r="C478" s="1" t="n">
        <v>46091</v>
      </c>
      <c r="D478" t="inlineStr">
        <is>
          <t>UPPSALA LÄN</t>
        </is>
      </c>
      <c r="E478" t="inlineStr">
        <is>
          <t>ÖSTHAMMAR</t>
        </is>
      </c>
      <c r="G478" t="n">
        <v>3.4</v>
      </c>
      <c r="H478" t="n">
        <v>0</v>
      </c>
      <c r="I478" t="n">
        <v>0</v>
      </c>
      <c r="J478" t="n">
        <v>0</v>
      </c>
      <c r="K478" t="n">
        <v>0</v>
      </c>
      <c r="L478" t="n">
        <v>0</v>
      </c>
      <c r="M478" t="n">
        <v>0</v>
      </c>
      <c r="N478" t="n">
        <v>0</v>
      </c>
      <c r="O478" t="n">
        <v>0</v>
      </c>
      <c r="P478" t="n">
        <v>0</v>
      </c>
      <c r="Q478" t="n">
        <v>0</v>
      </c>
      <c r="R478" s="2" t="inlineStr"/>
    </row>
    <row r="479" ht="15" customHeight="1">
      <c r="A479" t="inlineStr">
        <is>
          <t>A 56745-2025</t>
        </is>
      </c>
      <c r="B479" s="1" t="n">
        <v>45978.36157407407</v>
      </c>
      <c r="C479" s="1" t="n">
        <v>46091</v>
      </c>
      <c r="D479" t="inlineStr">
        <is>
          <t>UPPSALA LÄN</t>
        </is>
      </c>
      <c r="E479" t="inlineStr">
        <is>
          <t>ÖSTHAMMAR</t>
        </is>
      </c>
      <c r="G479" t="n">
        <v>2.6</v>
      </c>
      <c r="H479" t="n">
        <v>0</v>
      </c>
      <c r="I479" t="n">
        <v>0</v>
      </c>
      <c r="J479" t="n">
        <v>0</v>
      </c>
      <c r="K479" t="n">
        <v>0</v>
      </c>
      <c r="L479" t="n">
        <v>0</v>
      </c>
      <c r="M479" t="n">
        <v>0</v>
      </c>
      <c r="N479" t="n">
        <v>0</v>
      </c>
      <c r="O479" t="n">
        <v>0</v>
      </c>
      <c r="P479" t="n">
        <v>0</v>
      </c>
      <c r="Q479" t="n">
        <v>0</v>
      </c>
      <c r="R479" s="2" t="inlineStr"/>
    </row>
    <row r="480" ht="15" customHeight="1">
      <c r="A480" t="inlineStr">
        <is>
          <t>A 4292-2025</t>
        </is>
      </c>
      <c r="B480" s="1" t="n">
        <v>45685.66459490741</v>
      </c>
      <c r="C480" s="1" t="n">
        <v>46091</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36092-2025</t>
        </is>
      </c>
      <c r="B481" s="1" t="n">
        <v>45866.48244212963</v>
      </c>
      <c r="C481" s="1" t="n">
        <v>46091</v>
      </c>
      <c r="D481" t="inlineStr">
        <is>
          <t>UPPSALA LÄN</t>
        </is>
      </c>
      <c r="E481" t="inlineStr">
        <is>
          <t>ÖSTHAMMAR</t>
        </is>
      </c>
      <c r="G481" t="n">
        <v>1.2</v>
      </c>
      <c r="H481" t="n">
        <v>0</v>
      </c>
      <c r="I481" t="n">
        <v>0</v>
      </c>
      <c r="J481" t="n">
        <v>0</v>
      </c>
      <c r="K481" t="n">
        <v>0</v>
      </c>
      <c r="L481" t="n">
        <v>0</v>
      </c>
      <c r="M481" t="n">
        <v>0</v>
      </c>
      <c r="N481" t="n">
        <v>0</v>
      </c>
      <c r="O481" t="n">
        <v>0</v>
      </c>
      <c r="P481" t="n">
        <v>0</v>
      </c>
      <c r="Q481" t="n">
        <v>0</v>
      </c>
      <c r="R481" s="2" t="inlineStr"/>
    </row>
    <row r="482" ht="15" customHeight="1">
      <c r="A482" t="inlineStr">
        <is>
          <t>A 56942-2025</t>
        </is>
      </c>
      <c r="B482" s="1" t="n">
        <v>45978.62611111111</v>
      </c>
      <c r="C482" s="1" t="n">
        <v>46091</v>
      </c>
      <c r="D482" t="inlineStr">
        <is>
          <t>UPPSALA LÄN</t>
        </is>
      </c>
      <c r="E482" t="inlineStr">
        <is>
          <t>ÖSTHAMMAR</t>
        </is>
      </c>
      <c r="G482" t="n">
        <v>3.2</v>
      </c>
      <c r="H482" t="n">
        <v>0</v>
      </c>
      <c r="I482" t="n">
        <v>0</v>
      </c>
      <c r="J482" t="n">
        <v>0</v>
      </c>
      <c r="K482" t="n">
        <v>0</v>
      </c>
      <c r="L482" t="n">
        <v>0</v>
      </c>
      <c r="M482" t="n">
        <v>0</v>
      </c>
      <c r="N482" t="n">
        <v>0</v>
      </c>
      <c r="O482" t="n">
        <v>0</v>
      </c>
      <c r="P482" t="n">
        <v>0</v>
      </c>
      <c r="Q482" t="n">
        <v>0</v>
      </c>
      <c r="R482" s="2" t="inlineStr"/>
    </row>
    <row r="483" ht="15" customHeight="1">
      <c r="A483" t="inlineStr">
        <is>
          <t>A 8592-2022</t>
        </is>
      </c>
      <c r="B483" s="1" t="n">
        <v>44613</v>
      </c>
      <c r="C483" s="1" t="n">
        <v>46091</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56757-2025</t>
        </is>
      </c>
      <c r="B484" s="1" t="n">
        <v>45978.37162037037</v>
      </c>
      <c r="C484" s="1" t="n">
        <v>46091</v>
      </c>
      <c r="D484" t="inlineStr">
        <is>
          <t>UPPSALA LÄN</t>
        </is>
      </c>
      <c r="E484" t="inlineStr">
        <is>
          <t>ÖSTHAMMAR</t>
        </is>
      </c>
      <c r="G484" t="n">
        <v>1.1</v>
      </c>
      <c r="H484" t="n">
        <v>0</v>
      </c>
      <c r="I484" t="n">
        <v>0</v>
      </c>
      <c r="J484" t="n">
        <v>0</v>
      </c>
      <c r="K484" t="n">
        <v>0</v>
      </c>
      <c r="L484" t="n">
        <v>0</v>
      </c>
      <c r="M484" t="n">
        <v>0</v>
      </c>
      <c r="N484" t="n">
        <v>0</v>
      </c>
      <c r="O484" t="n">
        <v>0</v>
      </c>
      <c r="P484" t="n">
        <v>0</v>
      </c>
      <c r="Q484" t="n">
        <v>0</v>
      </c>
      <c r="R484" s="2" t="inlineStr"/>
    </row>
    <row r="485" ht="15" customHeight="1">
      <c r="A485" t="inlineStr">
        <is>
          <t>A 56823-2025</t>
        </is>
      </c>
      <c r="B485" s="1" t="n">
        <v>45978.46484953703</v>
      </c>
      <c r="C485" s="1" t="n">
        <v>46091</v>
      </c>
      <c r="D485" t="inlineStr">
        <is>
          <t>UPPSALA LÄN</t>
        </is>
      </c>
      <c r="E485" t="inlineStr">
        <is>
          <t>ÖSTHAMMAR</t>
        </is>
      </c>
      <c r="G485" t="n">
        <v>0.1</v>
      </c>
      <c r="H485" t="n">
        <v>0</v>
      </c>
      <c r="I485" t="n">
        <v>0</v>
      </c>
      <c r="J485" t="n">
        <v>0</v>
      </c>
      <c r="K485" t="n">
        <v>0</v>
      </c>
      <c r="L485" t="n">
        <v>0</v>
      </c>
      <c r="M485" t="n">
        <v>0</v>
      </c>
      <c r="N485" t="n">
        <v>0</v>
      </c>
      <c r="O485" t="n">
        <v>0</v>
      </c>
      <c r="P485" t="n">
        <v>0</v>
      </c>
      <c r="Q485" t="n">
        <v>0</v>
      </c>
      <c r="R485" s="2" t="inlineStr"/>
    </row>
    <row r="486" ht="15" customHeight="1">
      <c r="A486" t="inlineStr">
        <is>
          <t>A 56754-2025</t>
        </is>
      </c>
      <c r="B486" s="1" t="n">
        <v>45978.36700231482</v>
      </c>
      <c r="C486" s="1" t="n">
        <v>46091</v>
      </c>
      <c r="D486" t="inlineStr">
        <is>
          <t>UPPSALA LÄN</t>
        </is>
      </c>
      <c r="E486" t="inlineStr">
        <is>
          <t>ÖSTHAMMAR</t>
        </is>
      </c>
      <c r="G486" t="n">
        <v>0.9</v>
      </c>
      <c r="H486" t="n">
        <v>0</v>
      </c>
      <c r="I486" t="n">
        <v>0</v>
      </c>
      <c r="J486" t="n">
        <v>0</v>
      </c>
      <c r="K486" t="n">
        <v>0</v>
      </c>
      <c r="L486" t="n">
        <v>0</v>
      </c>
      <c r="M486" t="n">
        <v>0</v>
      </c>
      <c r="N486" t="n">
        <v>0</v>
      </c>
      <c r="O486" t="n">
        <v>0</v>
      </c>
      <c r="P486" t="n">
        <v>0</v>
      </c>
      <c r="Q486" t="n">
        <v>0</v>
      </c>
      <c r="R486" s="2" t="inlineStr"/>
    </row>
    <row r="487" ht="15" customHeight="1">
      <c r="A487" t="inlineStr">
        <is>
          <t>A 36451-2025</t>
        </is>
      </c>
      <c r="B487" s="1" t="n">
        <v>45869.4290625</v>
      </c>
      <c r="C487" s="1" t="n">
        <v>46091</v>
      </c>
      <c r="D487" t="inlineStr">
        <is>
          <t>UPPSALA LÄN</t>
        </is>
      </c>
      <c r="E487" t="inlineStr">
        <is>
          <t>ÖSTHAMMAR</t>
        </is>
      </c>
      <c r="G487" t="n">
        <v>0.8</v>
      </c>
      <c r="H487" t="n">
        <v>0</v>
      </c>
      <c r="I487" t="n">
        <v>0</v>
      </c>
      <c r="J487" t="n">
        <v>0</v>
      </c>
      <c r="K487" t="n">
        <v>0</v>
      </c>
      <c r="L487" t="n">
        <v>0</v>
      </c>
      <c r="M487" t="n">
        <v>0</v>
      </c>
      <c r="N487" t="n">
        <v>0</v>
      </c>
      <c r="O487" t="n">
        <v>0</v>
      </c>
      <c r="P487" t="n">
        <v>0</v>
      </c>
      <c r="Q487" t="n">
        <v>0</v>
      </c>
      <c r="R487" s="2" t="inlineStr"/>
    </row>
    <row r="488" ht="15" customHeight="1">
      <c r="A488" t="inlineStr">
        <is>
          <t>A 56748-2025</t>
        </is>
      </c>
      <c r="B488" s="1" t="n">
        <v>45978.36412037037</v>
      </c>
      <c r="C488" s="1" t="n">
        <v>46091</v>
      </c>
      <c r="D488" t="inlineStr">
        <is>
          <t>UPPSALA LÄN</t>
        </is>
      </c>
      <c r="E488" t="inlineStr">
        <is>
          <t>ÖSTHAMMAR</t>
        </is>
      </c>
      <c r="F488" t="inlineStr">
        <is>
          <t>Sveaskog</t>
        </is>
      </c>
      <c r="G488" t="n">
        <v>3.4</v>
      </c>
      <c r="H488" t="n">
        <v>0</v>
      </c>
      <c r="I488" t="n">
        <v>0</v>
      </c>
      <c r="J488" t="n">
        <v>0</v>
      </c>
      <c r="K488" t="n">
        <v>0</v>
      </c>
      <c r="L488" t="n">
        <v>0</v>
      </c>
      <c r="M488" t="n">
        <v>0</v>
      </c>
      <c r="N488" t="n">
        <v>0</v>
      </c>
      <c r="O488" t="n">
        <v>0</v>
      </c>
      <c r="P488" t="n">
        <v>0</v>
      </c>
      <c r="Q488" t="n">
        <v>0</v>
      </c>
      <c r="R488" s="2" t="inlineStr"/>
    </row>
    <row r="489" ht="15" customHeight="1">
      <c r="A489" t="inlineStr">
        <is>
          <t>A 3119-2025</t>
        </is>
      </c>
      <c r="B489" s="1" t="n">
        <v>45678</v>
      </c>
      <c r="C489" s="1" t="n">
        <v>46091</v>
      </c>
      <c r="D489" t="inlineStr">
        <is>
          <t>UPPSALA LÄN</t>
        </is>
      </c>
      <c r="E489" t="inlineStr">
        <is>
          <t>ÖSTHAMMAR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17646-2025</t>
        </is>
      </c>
      <c r="B490" s="1" t="n">
        <v>45758.32872685185</v>
      </c>
      <c r="C490" s="1" t="n">
        <v>46091</v>
      </c>
      <c r="D490" t="inlineStr">
        <is>
          <t>UPPSALA LÄN</t>
        </is>
      </c>
      <c r="E490" t="inlineStr">
        <is>
          <t>ÖSTHAMMAR</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17648-2025</t>
        </is>
      </c>
      <c r="B491" s="1" t="n">
        <v>45758.33064814815</v>
      </c>
      <c r="C491" s="1" t="n">
        <v>46091</v>
      </c>
      <c r="D491" t="inlineStr">
        <is>
          <t>UPPSALA LÄN</t>
        </is>
      </c>
      <c r="E491" t="inlineStr">
        <is>
          <t>ÖSTHAMMAR</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56653-2025</t>
        </is>
      </c>
      <c r="B492" s="1" t="n">
        <v>45975.64628472222</v>
      </c>
      <c r="C492" s="1" t="n">
        <v>46091</v>
      </c>
      <c r="D492" t="inlineStr">
        <is>
          <t>UPPSALA LÄN</t>
        </is>
      </c>
      <c r="E492" t="inlineStr">
        <is>
          <t>ÖSTHAMMAR</t>
        </is>
      </c>
      <c r="G492" t="n">
        <v>1.7</v>
      </c>
      <c r="H492" t="n">
        <v>0</v>
      </c>
      <c r="I492" t="n">
        <v>0</v>
      </c>
      <c r="J492" t="n">
        <v>0</v>
      </c>
      <c r="K492" t="n">
        <v>0</v>
      </c>
      <c r="L492" t="n">
        <v>0</v>
      </c>
      <c r="M492" t="n">
        <v>0</v>
      </c>
      <c r="N492" t="n">
        <v>0</v>
      </c>
      <c r="O492" t="n">
        <v>0</v>
      </c>
      <c r="P492" t="n">
        <v>0</v>
      </c>
      <c r="Q492" t="n">
        <v>0</v>
      </c>
      <c r="R492" s="2" t="inlineStr"/>
    </row>
    <row r="493" ht="15" customHeight="1">
      <c r="A493" t="inlineStr">
        <is>
          <t>A 56753-2025</t>
        </is>
      </c>
      <c r="B493" s="1" t="n">
        <v>45978.36677083333</v>
      </c>
      <c r="C493" s="1" t="n">
        <v>46091</v>
      </c>
      <c r="D493" t="inlineStr">
        <is>
          <t>UPPSALA LÄN</t>
        </is>
      </c>
      <c r="E493" t="inlineStr">
        <is>
          <t>ÖSTHAMMAR</t>
        </is>
      </c>
      <c r="F493" t="inlineStr">
        <is>
          <t>Sveaskog</t>
        </is>
      </c>
      <c r="G493" t="n">
        <v>8.6</v>
      </c>
      <c r="H493" t="n">
        <v>0</v>
      </c>
      <c r="I493" t="n">
        <v>0</v>
      </c>
      <c r="J493" t="n">
        <v>0</v>
      </c>
      <c r="K493" t="n">
        <v>0</v>
      </c>
      <c r="L493" t="n">
        <v>0</v>
      </c>
      <c r="M493" t="n">
        <v>0</v>
      </c>
      <c r="N493" t="n">
        <v>0</v>
      </c>
      <c r="O493" t="n">
        <v>0</v>
      </c>
      <c r="P493" t="n">
        <v>0</v>
      </c>
      <c r="Q493" t="n">
        <v>0</v>
      </c>
      <c r="R493" s="2" t="inlineStr"/>
    </row>
    <row r="494" ht="15" customHeight="1">
      <c r="A494" t="inlineStr">
        <is>
          <t>A 57248-2025</t>
        </is>
      </c>
      <c r="B494" s="1" t="n">
        <v>45979.635625</v>
      </c>
      <c r="C494" s="1" t="n">
        <v>46091</v>
      </c>
      <c r="D494" t="inlineStr">
        <is>
          <t>UPPSALA LÄN</t>
        </is>
      </c>
      <c r="E494" t="inlineStr">
        <is>
          <t>ÖSTHAMMAR</t>
        </is>
      </c>
      <c r="F494" t="inlineStr">
        <is>
          <t>Bergvik skog öst AB</t>
        </is>
      </c>
      <c r="G494" t="n">
        <v>2.8</v>
      </c>
      <c r="H494" t="n">
        <v>0</v>
      </c>
      <c r="I494" t="n">
        <v>0</v>
      </c>
      <c r="J494" t="n">
        <v>0</v>
      </c>
      <c r="K494" t="n">
        <v>0</v>
      </c>
      <c r="L494" t="n">
        <v>0</v>
      </c>
      <c r="M494" t="n">
        <v>0</v>
      </c>
      <c r="N494" t="n">
        <v>0</v>
      </c>
      <c r="O494" t="n">
        <v>0</v>
      </c>
      <c r="P494" t="n">
        <v>0</v>
      </c>
      <c r="Q494" t="n">
        <v>0</v>
      </c>
      <c r="R494" s="2" t="inlineStr"/>
    </row>
    <row r="495" ht="15" customHeight="1">
      <c r="A495" t="inlineStr">
        <is>
          <t>A 36646-2025</t>
        </is>
      </c>
      <c r="B495" s="1" t="n">
        <v>45872</v>
      </c>
      <c r="C495" s="1" t="n">
        <v>46091</v>
      </c>
      <c r="D495" t="inlineStr">
        <is>
          <t>UPPSALA LÄN</t>
        </is>
      </c>
      <c r="E495" t="inlineStr">
        <is>
          <t>ÖSTHAMMAR</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36643-2025</t>
        </is>
      </c>
      <c r="B496" s="1" t="n">
        <v>45872.47782407407</v>
      </c>
      <c r="C496" s="1" t="n">
        <v>46091</v>
      </c>
      <c r="D496" t="inlineStr">
        <is>
          <t>UPPSALA LÄN</t>
        </is>
      </c>
      <c r="E496" t="inlineStr">
        <is>
          <t>ÖSTHAMMAR</t>
        </is>
      </c>
      <c r="F496" t="inlineStr">
        <is>
          <t>Bergvik skog öst AB</t>
        </is>
      </c>
      <c r="G496" t="n">
        <v>15.1</v>
      </c>
      <c r="H496" t="n">
        <v>0</v>
      </c>
      <c r="I496" t="n">
        <v>0</v>
      </c>
      <c r="J496" t="n">
        <v>0</v>
      </c>
      <c r="K496" t="n">
        <v>0</v>
      </c>
      <c r="L496" t="n">
        <v>0</v>
      </c>
      <c r="M496" t="n">
        <v>0</v>
      </c>
      <c r="N496" t="n">
        <v>0</v>
      </c>
      <c r="O496" t="n">
        <v>0</v>
      </c>
      <c r="P496" t="n">
        <v>0</v>
      </c>
      <c r="Q496" t="n">
        <v>0</v>
      </c>
      <c r="R496" s="2" t="inlineStr"/>
    </row>
    <row r="497" ht="15" customHeight="1">
      <c r="A497" t="inlineStr">
        <is>
          <t>A 60047-2021</t>
        </is>
      </c>
      <c r="B497" s="1" t="n">
        <v>44495</v>
      </c>
      <c r="C497" s="1" t="n">
        <v>46091</v>
      </c>
      <c r="D497" t="inlineStr">
        <is>
          <t>UPPSALA LÄN</t>
        </is>
      </c>
      <c r="E497" t="inlineStr">
        <is>
          <t>ÖSTHAMMAR</t>
        </is>
      </c>
      <c r="F497" t="inlineStr">
        <is>
          <t>Övriga Aktiebolag</t>
        </is>
      </c>
      <c r="G497" t="n">
        <v>1.8</v>
      </c>
      <c r="H497" t="n">
        <v>0</v>
      </c>
      <c r="I497" t="n">
        <v>0</v>
      </c>
      <c r="J497" t="n">
        <v>0</v>
      </c>
      <c r="K497" t="n">
        <v>0</v>
      </c>
      <c r="L497" t="n">
        <v>0</v>
      </c>
      <c r="M497" t="n">
        <v>0</v>
      </c>
      <c r="N497" t="n">
        <v>0</v>
      </c>
      <c r="O497" t="n">
        <v>0</v>
      </c>
      <c r="P497" t="n">
        <v>0</v>
      </c>
      <c r="Q497" t="n">
        <v>0</v>
      </c>
      <c r="R497" s="2" t="inlineStr"/>
    </row>
    <row r="498" ht="15" customHeight="1">
      <c r="A498" t="inlineStr">
        <is>
          <t>A 18401-2025</t>
        </is>
      </c>
      <c r="B498" s="1" t="n">
        <v>45762.5966087963</v>
      </c>
      <c r="C498" s="1" t="n">
        <v>46091</v>
      </c>
      <c r="D498" t="inlineStr">
        <is>
          <t>UPPSALA LÄN</t>
        </is>
      </c>
      <c r="E498" t="inlineStr">
        <is>
          <t>ÖSTHAMMAR</t>
        </is>
      </c>
      <c r="G498" t="n">
        <v>1.7</v>
      </c>
      <c r="H498" t="n">
        <v>0</v>
      </c>
      <c r="I498" t="n">
        <v>0</v>
      </c>
      <c r="J498" t="n">
        <v>0</v>
      </c>
      <c r="K498" t="n">
        <v>0</v>
      </c>
      <c r="L498" t="n">
        <v>0</v>
      </c>
      <c r="M498" t="n">
        <v>0</v>
      </c>
      <c r="N498" t="n">
        <v>0</v>
      </c>
      <c r="O498" t="n">
        <v>0</v>
      </c>
      <c r="P498" t="n">
        <v>0</v>
      </c>
      <c r="Q498" t="n">
        <v>0</v>
      </c>
      <c r="R498" s="2" t="inlineStr"/>
    </row>
    <row r="499" ht="15" customHeight="1">
      <c r="A499" t="inlineStr">
        <is>
          <t>A 30086-2023</t>
        </is>
      </c>
      <c r="B499" s="1" t="n">
        <v>45110.43907407407</v>
      </c>
      <c r="C499" s="1" t="n">
        <v>46091</v>
      </c>
      <c r="D499" t="inlineStr">
        <is>
          <t>UPPSALA LÄN</t>
        </is>
      </c>
      <c r="E499" t="inlineStr">
        <is>
          <t>ÖSTHAMMAR</t>
        </is>
      </c>
      <c r="G499" t="n">
        <v>3.5</v>
      </c>
      <c r="H499" t="n">
        <v>0</v>
      </c>
      <c r="I499" t="n">
        <v>0</v>
      </c>
      <c r="J499" t="n">
        <v>0</v>
      </c>
      <c r="K499" t="n">
        <v>0</v>
      </c>
      <c r="L499" t="n">
        <v>0</v>
      </c>
      <c r="M499" t="n">
        <v>0</v>
      </c>
      <c r="N499" t="n">
        <v>0</v>
      </c>
      <c r="O499" t="n">
        <v>0</v>
      </c>
      <c r="P499" t="n">
        <v>0</v>
      </c>
      <c r="Q499" t="n">
        <v>0</v>
      </c>
      <c r="R499" s="2" t="inlineStr"/>
    </row>
    <row r="500" ht="15" customHeight="1">
      <c r="A500" t="inlineStr">
        <is>
          <t>A 36645-2025</t>
        </is>
      </c>
      <c r="B500" s="1" t="n">
        <v>45872</v>
      </c>
      <c r="C500" s="1" t="n">
        <v>46091</v>
      </c>
      <c r="D500" t="inlineStr">
        <is>
          <t>UPPSALA LÄN</t>
        </is>
      </c>
      <c r="E500" t="inlineStr">
        <is>
          <t>ÖSTHAMMAR</t>
        </is>
      </c>
      <c r="F500" t="inlineStr">
        <is>
          <t>Bergvik skog öst AB</t>
        </is>
      </c>
      <c r="G500" t="n">
        <v>1.8</v>
      </c>
      <c r="H500" t="n">
        <v>0</v>
      </c>
      <c r="I500" t="n">
        <v>0</v>
      </c>
      <c r="J500" t="n">
        <v>0</v>
      </c>
      <c r="K500" t="n">
        <v>0</v>
      </c>
      <c r="L500" t="n">
        <v>0</v>
      </c>
      <c r="M500" t="n">
        <v>0</v>
      </c>
      <c r="N500" t="n">
        <v>0</v>
      </c>
      <c r="O500" t="n">
        <v>0</v>
      </c>
      <c r="P500" t="n">
        <v>0</v>
      </c>
      <c r="Q500" t="n">
        <v>0</v>
      </c>
      <c r="R500" s="2" t="inlineStr"/>
    </row>
    <row r="501" ht="15" customHeight="1">
      <c r="A501" t="inlineStr">
        <is>
          <t>A 36644-2025</t>
        </is>
      </c>
      <c r="B501" s="1" t="n">
        <v>45872.48738425926</v>
      </c>
      <c r="C501" s="1" t="n">
        <v>46091</v>
      </c>
      <c r="D501" t="inlineStr">
        <is>
          <t>UPPSALA LÄN</t>
        </is>
      </c>
      <c r="E501" t="inlineStr">
        <is>
          <t>ÖSTHAMMAR</t>
        </is>
      </c>
      <c r="F501" t="inlineStr">
        <is>
          <t>Bergvik skog öst AB</t>
        </is>
      </c>
      <c r="G501" t="n">
        <v>1.6</v>
      </c>
      <c r="H501" t="n">
        <v>0</v>
      </c>
      <c r="I501" t="n">
        <v>0</v>
      </c>
      <c r="J501" t="n">
        <v>0</v>
      </c>
      <c r="K501" t="n">
        <v>0</v>
      </c>
      <c r="L501" t="n">
        <v>0</v>
      </c>
      <c r="M501" t="n">
        <v>0</v>
      </c>
      <c r="N501" t="n">
        <v>0</v>
      </c>
      <c r="O501" t="n">
        <v>0</v>
      </c>
      <c r="P501" t="n">
        <v>0</v>
      </c>
      <c r="Q501" t="n">
        <v>0</v>
      </c>
      <c r="R501" s="2" t="inlineStr"/>
    </row>
    <row r="502" ht="15" customHeight="1">
      <c r="A502" t="inlineStr">
        <is>
          <t>A 57257-2025</t>
        </is>
      </c>
      <c r="B502" s="1" t="n">
        <v>45979.65149305556</v>
      </c>
      <c r="C502" s="1" t="n">
        <v>46091</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11008-2023</t>
        </is>
      </c>
      <c r="B503" s="1" t="n">
        <v>44991</v>
      </c>
      <c r="C503" s="1" t="n">
        <v>46091</v>
      </c>
      <c r="D503" t="inlineStr">
        <is>
          <t>UPPSALA LÄN</t>
        </is>
      </c>
      <c r="E503" t="inlineStr">
        <is>
          <t>ÖSTHAMMAR</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13771-2023</t>
        </is>
      </c>
      <c r="B504" s="1" t="n">
        <v>45007</v>
      </c>
      <c r="C504" s="1" t="n">
        <v>46091</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57154-2025</t>
        </is>
      </c>
      <c r="B505" s="1" t="n">
        <v>45979.51086805556</v>
      </c>
      <c r="C505" s="1" t="n">
        <v>46091</v>
      </c>
      <c r="D505" t="inlineStr">
        <is>
          <t>UPPSALA LÄN</t>
        </is>
      </c>
      <c r="E505" t="inlineStr">
        <is>
          <t>ÖSTHAMMAR</t>
        </is>
      </c>
      <c r="G505" t="n">
        <v>1.9</v>
      </c>
      <c r="H505" t="n">
        <v>0</v>
      </c>
      <c r="I505" t="n">
        <v>0</v>
      </c>
      <c r="J505" t="n">
        <v>0</v>
      </c>
      <c r="K505" t="n">
        <v>0</v>
      </c>
      <c r="L505" t="n">
        <v>0</v>
      </c>
      <c r="M505" t="n">
        <v>0</v>
      </c>
      <c r="N505" t="n">
        <v>0</v>
      </c>
      <c r="O505" t="n">
        <v>0</v>
      </c>
      <c r="P505" t="n">
        <v>0</v>
      </c>
      <c r="Q505" t="n">
        <v>0</v>
      </c>
      <c r="R505" s="2" t="inlineStr"/>
    </row>
    <row r="506" ht="15" customHeight="1">
      <c r="A506" t="inlineStr">
        <is>
          <t>A 37656-2025</t>
        </is>
      </c>
      <c r="B506" s="1" t="n">
        <v>45880</v>
      </c>
      <c r="C506" s="1" t="n">
        <v>46091</v>
      </c>
      <c r="D506" t="inlineStr">
        <is>
          <t>UPPSALA LÄN</t>
        </is>
      </c>
      <c r="E506" t="inlineStr">
        <is>
          <t>ÖSTHAMMAR</t>
        </is>
      </c>
      <c r="G506" t="n">
        <v>4.3</v>
      </c>
      <c r="H506" t="n">
        <v>0</v>
      </c>
      <c r="I506" t="n">
        <v>0</v>
      </c>
      <c r="J506" t="n">
        <v>0</v>
      </c>
      <c r="K506" t="n">
        <v>0</v>
      </c>
      <c r="L506" t="n">
        <v>0</v>
      </c>
      <c r="M506" t="n">
        <v>0</v>
      </c>
      <c r="N506" t="n">
        <v>0</v>
      </c>
      <c r="O506" t="n">
        <v>0</v>
      </c>
      <c r="P506" t="n">
        <v>0</v>
      </c>
      <c r="Q506" t="n">
        <v>0</v>
      </c>
      <c r="R506" s="2" t="inlineStr"/>
    </row>
    <row r="507" ht="15" customHeight="1">
      <c r="A507" t="inlineStr">
        <is>
          <t>A 37764-2025</t>
        </is>
      </c>
      <c r="B507" s="1" t="n">
        <v>45880.70917824074</v>
      </c>
      <c r="C507" s="1" t="n">
        <v>46091</v>
      </c>
      <c r="D507" t="inlineStr">
        <is>
          <t>UPPSALA LÄN</t>
        </is>
      </c>
      <c r="E507" t="inlineStr">
        <is>
          <t>ÖSTHAMMAR</t>
        </is>
      </c>
      <c r="G507" t="n">
        <v>4.6</v>
      </c>
      <c r="H507" t="n">
        <v>0</v>
      </c>
      <c r="I507" t="n">
        <v>0</v>
      </c>
      <c r="J507" t="n">
        <v>0</v>
      </c>
      <c r="K507" t="n">
        <v>0</v>
      </c>
      <c r="L507" t="n">
        <v>0</v>
      </c>
      <c r="M507" t="n">
        <v>0</v>
      </c>
      <c r="N507" t="n">
        <v>0</v>
      </c>
      <c r="O507" t="n">
        <v>0</v>
      </c>
      <c r="P507" t="n">
        <v>0</v>
      </c>
      <c r="Q507" t="n">
        <v>0</v>
      </c>
      <c r="R507" s="2" t="inlineStr"/>
    </row>
    <row r="508" ht="15" customHeight="1">
      <c r="A508" t="inlineStr">
        <is>
          <t>A 5189-2025</t>
        </is>
      </c>
      <c r="B508" s="1" t="n">
        <v>45691</v>
      </c>
      <c r="C508" s="1" t="n">
        <v>46091</v>
      </c>
      <c r="D508" t="inlineStr">
        <is>
          <t>UPPSALA LÄN</t>
        </is>
      </c>
      <c r="E508" t="inlineStr">
        <is>
          <t>ÖSTHAMMAR</t>
        </is>
      </c>
      <c r="F508" t="inlineStr">
        <is>
          <t>Bergvik skog öst AB</t>
        </is>
      </c>
      <c r="G508" t="n">
        <v>24.4</v>
      </c>
      <c r="H508" t="n">
        <v>0</v>
      </c>
      <c r="I508" t="n">
        <v>0</v>
      </c>
      <c r="J508" t="n">
        <v>0</v>
      </c>
      <c r="K508" t="n">
        <v>0</v>
      </c>
      <c r="L508" t="n">
        <v>0</v>
      </c>
      <c r="M508" t="n">
        <v>0</v>
      </c>
      <c r="N508" t="n">
        <v>0</v>
      </c>
      <c r="O508" t="n">
        <v>0</v>
      </c>
      <c r="P508" t="n">
        <v>0</v>
      </c>
      <c r="Q508" t="n">
        <v>0</v>
      </c>
      <c r="R508" s="2" t="inlineStr"/>
    </row>
    <row r="509" ht="15" customHeight="1">
      <c r="A509" t="inlineStr">
        <is>
          <t>A 58324-2023</t>
        </is>
      </c>
      <c r="B509" s="1" t="n">
        <v>45250.58635416667</v>
      </c>
      <c r="C509" s="1" t="n">
        <v>46091</v>
      </c>
      <c r="D509" t="inlineStr">
        <is>
          <t>UPPSALA LÄN</t>
        </is>
      </c>
      <c r="E509" t="inlineStr">
        <is>
          <t>ÖSTHAMMAR</t>
        </is>
      </c>
      <c r="G509" t="n">
        <v>5.1</v>
      </c>
      <c r="H509" t="n">
        <v>0</v>
      </c>
      <c r="I509" t="n">
        <v>0</v>
      </c>
      <c r="J509" t="n">
        <v>0</v>
      </c>
      <c r="K509" t="n">
        <v>0</v>
      </c>
      <c r="L509" t="n">
        <v>0</v>
      </c>
      <c r="M509" t="n">
        <v>0</v>
      </c>
      <c r="N509" t="n">
        <v>0</v>
      </c>
      <c r="O509" t="n">
        <v>0</v>
      </c>
      <c r="P509" t="n">
        <v>0</v>
      </c>
      <c r="Q509" t="n">
        <v>0</v>
      </c>
      <c r="R509" s="2" t="inlineStr"/>
    </row>
    <row r="510" ht="15" customHeight="1">
      <c r="A510" t="inlineStr">
        <is>
          <t>A 57908-2025</t>
        </is>
      </c>
      <c r="B510" s="1" t="n">
        <v>45981.78886574074</v>
      </c>
      <c r="C510" s="1" t="n">
        <v>46091</v>
      </c>
      <c r="D510" t="inlineStr">
        <is>
          <t>UPPSALA LÄN</t>
        </is>
      </c>
      <c r="E510" t="inlineStr">
        <is>
          <t>ÖSTHAMMAR</t>
        </is>
      </c>
      <c r="F510" t="inlineStr">
        <is>
          <t>Bergvik skog öst AB</t>
        </is>
      </c>
      <c r="G510" t="n">
        <v>2</v>
      </c>
      <c r="H510" t="n">
        <v>0</v>
      </c>
      <c r="I510" t="n">
        <v>0</v>
      </c>
      <c r="J510" t="n">
        <v>0</v>
      </c>
      <c r="K510" t="n">
        <v>0</v>
      </c>
      <c r="L510" t="n">
        <v>0</v>
      </c>
      <c r="M510" t="n">
        <v>0</v>
      </c>
      <c r="N510" t="n">
        <v>0</v>
      </c>
      <c r="O510" t="n">
        <v>0</v>
      </c>
      <c r="P510" t="n">
        <v>0</v>
      </c>
      <c r="Q510" t="n">
        <v>0</v>
      </c>
      <c r="R510" s="2" t="inlineStr"/>
    </row>
    <row r="511" ht="15" customHeight="1">
      <c r="A511" t="inlineStr">
        <is>
          <t>A 7118-2023</t>
        </is>
      </c>
      <c r="B511" s="1" t="n">
        <v>44970.39591435185</v>
      </c>
      <c r="C511" s="1" t="n">
        <v>46091</v>
      </c>
      <c r="D511" t="inlineStr">
        <is>
          <t>UPPSALA LÄN</t>
        </is>
      </c>
      <c r="E511" t="inlineStr">
        <is>
          <t>ÖSTHAMMAR</t>
        </is>
      </c>
      <c r="G511" t="n">
        <v>2.1</v>
      </c>
      <c r="H511" t="n">
        <v>0</v>
      </c>
      <c r="I511" t="n">
        <v>0</v>
      </c>
      <c r="J511" t="n">
        <v>0</v>
      </c>
      <c r="K511" t="n">
        <v>0</v>
      </c>
      <c r="L511" t="n">
        <v>0</v>
      </c>
      <c r="M511" t="n">
        <v>0</v>
      </c>
      <c r="N511" t="n">
        <v>0</v>
      </c>
      <c r="O511" t="n">
        <v>0</v>
      </c>
      <c r="P511" t="n">
        <v>0</v>
      </c>
      <c r="Q511" t="n">
        <v>0</v>
      </c>
      <c r="R511" s="2" t="inlineStr"/>
    </row>
    <row r="512" ht="15" customHeight="1">
      <c r="A512" t="inlineStr">
        <is>
          <t>A 37770-2025</t>
        </is>
      </c>
      <c r="B512" s="1" t="n">
        <v>45880.7505787037</v>
      </c>
      <c r="C512" s="1" t="n">
        <v>46091</v>
      </c>
      <c r="D512" t="inlineStr">
        <is>
          <t>UPPSALA LÄN</t>
        </is>
      </c>
      <c r="E512" t="inlineStr">
        <is>
          <t>ÖSTHAMMAR</t>
        </is>
      </c>
      <c r="G512" t="n">
        <v>2.9</v>
      </c>
      <c r="H512" t="n">
        <v>0</v>
      </c>
      <c r="I512" t="n">
        <v>0</v>
      </c>
      <c r="J512" t="n">
        <v>0</v>
      </c>
      <c r="K512" t="n">
        <v>0</v>
      </c>
      <c r="L512" t="n">
        <v>0</v>
      </c>
      <c r="M512" t="n">
        <v>0</v>
      </c>
      <c r="N512" t="n">
        <v>0</v>
      </c>
      <c r="O512" t="n">
        <v>0</v>
      </c>
      <c r="P512" t="n">
        <v>0</v>
      </c>
      <c r="Q512" t="n">
        <v>0</v>
      </c>
      <c r="R512" s="2" t="inlineStr"/>
    </row>
    <row r="513" ht="15" customHeight="1">
      <c r="A513" t="inlineStr">
        <is>
          <t>A 57907-2025</t>
        </is>
      </c>
      <c r="B513" s="1" t="n">
        <v>45981.78840277778</v>
      </c>
      <c r="C513" s="1" t="n">
        <v>46091</v>
      </c>
      <c r="D513" t="inlineStr">
        <is>
          <t>UPPSALA LÄN</t>
        </is>
      </c>
      <c r="E513" t="inlineStr">
        <is>
          <t>ÖSTHAMMAR</t>
        </is>
      </c>
      <c r="F513" t="inlineStr">
        <is>
          <t>Bergvik skog öst AB</t>
        </is>
      </c>
      <c r="G513" t="n">
        <v>2.9</v>
      </c>
      <c r="H513" t="n">
        <v>0</v>
      </c>
      <c r="I513" t="n">
        <v>0</v>
      </c>
      <c r="J513" t="n">
        <v>0</v>
      </c>
      <c r="K513" t="n">
        <v>0</v>
      </c>
      <c r="L513" t="n">
        <v>0</v>
      </c>
      <c r="M513" t="n">
        <v>0</v>
      </c>
      <c r="N513" t="n">
        <v>0</v>
      </c>
      <c r="O513" t="n">
        <v>0</v>
      </c>
      <c r="P513" t="n">
        <v>0</v>
      </c>
      <c r="Q513" t="n">
        <v>0</v>
      </c>
      <c r="R513" s="2" t="inlineStr"/>
    </row>
    <row r="514" ht="15" customHeight="1">
      <c r="A514" t="inlineStr">
        <is>
          <t>A 69411-2021</t>
        </is>
      </c>
      <c r="B514" s="1" t="n">
        <v>44531.61038194445</v>
      </c>
      <c r="C514" s="1" t="n">
        <v>46091</v>
      </c>
      <c r="D514" t="inlineStr">
        <is>
          <t>UPPSALA LÄN</t>
        </is>
      </c>
      <c r="E514" t="inlineStr">
        <is>
          <t>ÖSTHAMMAR</t>
        </is>
      </c>
      <c r="F514" t="inlineStr">
        <is>
          <t>Bergvik skog öst AB</t>
        </is>
      </c>
      <c r="G514" t="n">
        <v>1.1</v>
      </c>
      <c r="H514" t="n">
        <v>0</v>
      </c>
      <c r="I514" t="n">
        <v>0</v>
      </c>
      <c r="J514" t="n">
        <v>0</v>
      </c>
      <c r="K514" t="n">
        <v>0</v>
      </c>
      <c r="L514" t="n">
        <v>0</v>
      </c>
      <c r="M514" t="n">
        <v>0</v>
      </c>
      <c r="N514" t="n">
        <v>0</v>
      </c>
      <c r="O514" t="n">
        <v>0</v>
      </c>
      <c r="P514" t="n">
        <v>0</v>
      </c>
      <c r="Q514" t="n">
        <v>0</v>
      </c>
      <c r="R514" s="2" t="inlineStr"/>
    </row>
    <row r="515" ht="15" customHeight="1">
      <c r="A515" t="inlineStr">
        <is>
          <t>A 49831-2023</t>
        </is>
      </c>
      <c r="B515" s="1" t="n">
        <v>45212.71241898148</v>
      </c>
      <c r="C515" s="1" t="n">
        <v>46091</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58399-2025</t>
        </is>
      </c>
      <c r="B516" s="1" t="n">
        <v>45985.56244212963</v>
      </c>
      <c r="C516" s="1" t="n">
        <v>46091</v>
      </c>
      <c r="D516" t="inlineStr">
        <is>
          <t>UPPSALA LÄN</t>
        </is>
      </c>
      <c r="E516" t="inlineStr">
        <is>
          <t>ÖSTHAMMAR</t>
        </is>
      </c>
      <c r="G516" t="n">
        <v>2.6</v>
      </c>
      <c r="H516" t="n">
        <v>0</v>
      </c>
      <c r="I516" t="n">
        <v>0</v>
      </c>
      <c r="J516" t="n">
        <v>0</v>
      </c>
      <c r="K516" t="n">
        <v>0</v>
      </c>
      <c r="L516" t="n">
        <v>0</v>
      </c>
      <c r="M516" t="n">
        <v>0</v>
      </c>
      <c r="N516" t="n">
        <v>0</v>
      </c>
      <c r="O516" t="n">
        <v>0</v>
      </c>
      <c r="P516" t="n">
        <v>0</v>
      </c>
      <c r="Q516" t="n">
        <v>0</v>
      </c>
      <c r="R516" s="2" t="inlineStr"/>
    </row>
    <row r="517" ht="15" customHeight="1">
      <c r="A517" t="inlineStr">
        <is>
          <t>A 49899-2023</t>
        </is>
      </c>
      <c r="B517" s="1" t="n">
        <v>45213</v>
      </c>
      <c r="C517" s="1" t="n">
        <v>46091</v>
      </c>
      <c r="D517" t="inlineStr">
        <is>
          <t>UPPSALA LÄN</t>
        </is>
      </c>
      <c r="E517" t="inlineStr">
        <is>
          <t>ÖSTHAMMAR</t>
        </is>
      </c>
      <c r="G517" t="n">
        <v>6.2</v>
      </c>
      <c r="H517" t="n">
        <v>0</v>
      </c>
      <c r="I517" t="n">
        <v>0</v>
      </c>
      <c r="J517" t="n">
        <v>0</v>
      </c>
      <c r="K517" t="n">
        <v>0</v>
      </c>
      <c r="L517" t="n">
        <v>0</v>
      </c>
      <c r="M517" t="n">
        <v>0</v>
      </c>
      <c r="N517" t="n">
        <v>0</v>
      </c>
      <c r="O517" t="n">
        <v>0</v>
      </c>
      <c r="P517" t="n">
        <v>0</v>
      </c>
      <c r="Q517" t="n">
        <v>0</v>
      </c>
      <c r="R517" s="2" t="inlineStr"/>
    </row>
    <row r="518" ht="15" customHeight="1">
      <c r="A518" t="inlineStr">
        <is>
          <t>A 17939-2025</t>
        </is>
      </c>
      <c r="B518" s="1" t="n">
        <v>45760.55671296296</v>
      </c>
      <c r="C518" s="1" t="n">
        <v>46091</v>
      </c>
      <c r="D518" t="inlineStr">
        <is>
          <t>UPPSALA LÄN</t>
        </is>
      </c>
      <c r="E518" t="inlineStr">
        <is>
          <t>ÖSTHAMMAR</t>
        </is>
      </c>
      <c r="F518" t="inlineStr">
        <is>
          <t>Bergvik skog öst AB</t>
        </is>
      </c>
      <c r="G518" t="n">
        <v>5.4</v>
      </c>
      <c r="H518" t="n">
        <v>0</v>
      </c>
      <c r="I518" t="n">
        <v>0</v>
      </c>
      <c r="J518" t="n">
        <v>0</v>
      </c>
      <c r="K518" t="n">
        <v>0</v>
      </c>
      <c r="L518" t="n">
        <v>0</v>
      </c>
      <c r="M518" t="n">
        <v>0</v>
      </c>
      <c r="N518" t="n">
        <v>0</v>
      </c>
      <c r="O518" t="n">
        <v>0</v>
      </c>
      <c r="P518" t="n">
        <v>0</v>
      </c>
      <c r="Q518" t="n">
        <v>0</v>
      </c>
      <c r="R518" s="2" t="inlineStr"/>
    </row>
    <row r="519" ht="15" customHeight="1">
      <c r="A519" t="inlineStr">
        <is>
          <t>A 17940-2025</t>
        </is>
      </c>
      <c r="B519" s="1" t="n">
        <v>45760.55842592593</v>
      </c>
      <c r="C519" s="1" t="n">
        <v>46091</v>
      </c>
      <c r="D519" t="inlineStr">
        <is>
          <t>UPPSALA LÄN</t>
        </is>
      </c>
      <c r="E519" t="inlineStr">
        <is>
          <t>ÖSTHAMMAR</t>
        </is>
      </c>
      <c r="F519" t="inlineStr">
        <is>
          <t>Bergvik skog öst AB</t>
        </is>
      </c>
      <c r="G519" t="n">
        <v>5.6</v>
      </c>
      <c r="H519" t="n">
        <v>0</v>
      </c>
      <c r="I519" t="n">
        <v>0</v>
      </c>
      <c r="J519" t="n">
        <v>0</v>
      </c>
      <c r="K519" t="n">
        <v>0</v>
      </c>
      <c r="L519" t="n">
        <v>0</v>
      </c>
      <c r="M519" t="n">
        <v>0</v>
      </c>
      <c r="N519" t="n">
        <v>0</v>
      </c>
      <c r="O519" t="n">
        <v>0</v>
      </c>
      <c r="P519" t="n">
        <v>0</v>
      </c>
      <c r="Q519" t="n">
        <v>0</v>
      </c>
      <c r="R519" s="2" t="inlineStr"/>
    </row>
    <row r="520" ht="15" customHeight="1">
      <c r="A520" t="inlineStr">
        <is>
          <t>A 5855-2022</t>
        </is>
      </c>
      <c r="B520" s="1" t="n">
        <v>44596.63290509259</v>
      </c>
      <c r="C520" s="1" t="n">
        <v>46091</v>
      </c>
      <c r="D520" t="inlineStr">
        <is>
          <t>UPPSALA LÄN</t>
        </is>
      </c>
      <c r="E520" t="inlineStr">
        <is>
          <t>ÖSTHAMMAR</t>
        </is>
      </c>
      <c r="G520" t="n">
        <v>0.9</v>
      </c>
      <c r="H520" t="n">
        <v>0</v>
      </c>
      <c r="I520" t="n">
        <v>0</v>
      </c>
      <c r="J520" t="n">
        <v>0</v>
      </c>
      <c r="K520" t="n">
        <v>0</v>
      </c>
      <c r="L520" t="n">
        <v>0</v>
      </c>
      <c r="M520" t="n">
        <v>0</v>
      </c>
      <c r="N520" t="n">
        <v>0</v>
      </c>
      <c r="O520" t="n">
        <v>0</v>
      </c>
      <c r="P520" t="n">
        <v>0</v>
      </c>
      <c r="Q520" t="n">
        <v>0</v>
      </c>
      <c r="R520" s="2" t="inlineStr"/>
    </row>
    <row r="521" ht="15" customHeight="1">
      <c r="A521" t="inlineStr">
        <is>
          <t>A 54366-2023</t>
        </is>
      </c>
      <c r="B521" s="1" t="n">
        <v>45233</v>
      </c>
      <c r="C521" s="1" t="n">
        <v>46091</v>
      </c>
      <c r="D521" t="inlineStr">
        <is>
          <t>UPPSALA LÄN</t>
        </is>
      </c>
      <c r="E521" t="inlineStr">
        <is>
          <t>ÖSTHAMMAR</t>
        </is>
      </c>
      <c r="F521" t="inlineStr">
        <is>
          <t>Bergvik skog öst AB</t>
        </is>
      </c>
      <c r="G521" t="n">
        <v>2.9</v>
      </c>
      <c r="H521" t="n">
        <v>0</v>
      </c>
      <c r="I521" t="n">
        <v>0</v>
      </c>
      <c r="J521" t="n">
        <v>0</v>
      </c>
      <c r="K521" t="n">
        <v>0</v>
      </c>
      <c r="L521" t="n">
        <v>0</v>
      </c>
      <c r="M521" t="n">
        <v>0</v>
      </c>
      <c r="N521" t="n">
        <v>0</v>
      </c>
      <c r="O521" t="n">
        <v>0</v>
      </c>
      <c r="P521" t="n">
        <v>0</v>
      </c>
      <c r="Q521" t="n">
        <v>0</v>
      </c>
      <c r="R521" s="2" t="inlineStr"/>
    </row>
    <row r="522" ht="15" customHeight="1">
      <c r="A522" t="inlineStr">
        <is>
          <t>A 17643-2025</t>
        </is>
      </c>
      <c r="B522" s="1" t="n">
        <v>45758.32454861111</v>
      </c>
      <c r="C522" s="1" t="n">
        <v>46091</v>
      </c>
      <c r="D522" t="inlineStr">
        <is>
          <t>UPPSALA LÄN</t>
        </is>
      </c>
      <c r="E522" t="inlineStr">
        <is>
          <t>ÖSTHAMMAR</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13248-2025</t>
        </is>
      </c>
      <c r="B523" s="1" t="n">
        <v>45735</v>
      </c>
      <c r="C523" s="1" t="n">
        <v>46091</v>
      </c>
      <c r="D523" t="inlineStr">
        <is>
          <t>UPPSALA LÄN</t>
        </is>
      </c>
      <c r="E523" t="inlineStr">
        <is>
          <t>ÖSTHAMMAR</t>
        </is>
      </c>
      <c r="F523" t="inlineStr">
        <is>
          <t>Kyrkan</t>
        </is>
      </c>
      <c r="G523" t="n">
        <v>12.2</v>
      </c>
      <c r="H523" t="n">
        <v>0</v>
      </c>
      <c r="I523" t="n">
        <v>0</v>
      </c>
      <c r="J523" t="n">
        <v>0</v>
      </c>
      <c r="K523" t="n">
        <v>0</v>
      </c>
      <c r="L523" t="n">
        <v>0</v>
      </c>
      <c r="M523" t="n">
        <v>0</v>
      </c>
      <c r="N523" t="n">
        <v>0</v>
      </c>
      <c r="O523" t="n">
        <v>0</v>
      </c>
      <c r="P523" t="n">
        <v>0</v>
      </c>
      <c r="Q523" t="n">
        <v>0</v>
      </c>
      <c r="R523" s="2" t="inlineStr"/>
    </row>
    <row r="524" ht="15" customHeight="1">
      <c r="A524" t="inlineStr">
        <is>
          <t>A 51364-2021</t>
        </is>
      </c>
      <c r="B524" s="1" t="n">
        <v>44461</v>
      </c>
      <c r="C524" s="1" t="n">
        <v>46091</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61062-2023</t>
        </is>
      </c>
      <c r="B525" s="1" t="n">
        <v>45259</v>
      </c>
      <c r="C525" s="1" t="n">
        <v>46091</v>
      </c>
      <c r="D525" t="inlineStr">
        <is>
          <t>UPPSALA LÄN</t>
        </is>
      </c>
      <c r="E525" t="inlineStr">
        <is>
          <t>ÖSTHAMMAR</t>
        </is>
      </c>
      <c r="G525" t="n">
        <v>5.3</v>
      </c>
      <c r="H525" t="n">
        <v>0</v>
      </c>
      <c r="I525" t="n">
        <v>0</v>
      </c>
      <c r="J525" t="n">
        <v>0</v>
      </c>
      <c r="K525" t="n">
        <v>0</v>
      </c>
      <c r="L525" t="n">
        <v>0</v>
      </c>
      <c r="M525" t="n">
        <v>0</v>
      </c>
      <c r="N525" t="n">
        <v>0</v>
      </c>
      <c r="O525" t="n">
        <v>0</v>
      </c>
      <c r="P525" t="n">
        <v>0</v>
      </c>
      <c r="Q525" t="n">
        <v>0</v>
      </c>
      <c r="R525" s="2" t="inlineStr"/>
    </row>
    <row r="526" ht="15" customHeight="1">
      <c r="A526" t="inlineStr">
        <is>
          <t>A 59743-2025</t>
        </is>
      </c>
      <c r="B526" s="1" t="n">
        <v>45992.57668981481</v>
      </c>
      <c r="C526" s="1" t="n">
        <v>46091</v>
      </c>
      <c r="D526" t="inlineStr">
        <is>
          <t>UPPSALA LÄN</t>
        </is>
      </c>
      <c r="E526" t="inlineStr">
        <is>
          <t>ÖSTHAMMAR</t>
        </is>
      </c>
      <c r="F526" t="inlineStr">
        <is>
          <t>Bergvik skog öst AB</t>
        </is>
      </c>
      <c r="G526" t="n">
        <v>0.7</v>
      </c>
      <c r="H526" t="n">
        <v>0</v>
      </c>
      <c r="I526" t="n">
        <v>0</v>
      </c>
      <c r="J526" t="n">
        <v>0</v>
      </c>
      <c r="K526" t="n">
        <v>0</v>
      </c>
      <c r="L526" t="n">
        <v>0</v>
      </c>
      <c r="M526" t="n">
        <v>0</v>
      </c>
      <c r="N526" t="n">
        <v>0</v>
      </c>
      <c r="O526" t="n">
        <v>0</v>
      </c>
      <c r="P526" t="n">
        <v>0</v>
      </c>
      <c r="Q526" t="n">
        <v>0</v>
      </c>
      <c r="R526" s="2" t="inlineStr"/>
    </row>
    <row r="527" ht="15" customHeight="1">
      <c r="A527" t="inlineStr">
        <is>
          <t>A 59745-2025</t>
        </is>
      </c>
      <c r="B527" s="1" t="n">
        <v>45992.57708333333</v>
      </c>
      <c r="C527" s="1" t="n">
        <v>46091</v>
      </c>
      <c r="D527" t="inlineStr">
        <is>
          <t>UPPSALA LÄN</t>
        </is>
      </c>
      <c r="E527" t="inlineStr">
        <is>
          <t>ÖSTHAMMAR</t>
        </is>
      </c>
      <c r="F527" t="inlineStr">
        <is>
          <t>Bergvik skog öst AB</t>
        </is>
      </c>
      <c r="G527" t="n">
        <v>3.3</v>
      </c>
      <c r="H527" t="n">
        <v>0</v>
      </c>
      <c r="I527" t="n">
        <v>0</v>
      </c>
      <c r="J527" t="n">
        <v>0</v>
      </c>
      <c r="K527" t="n">
        <v>0</v>
      </c>
      <c r="L527" t="n">
        <v>0</v>
      </c>
      <c r="M527" t="n">
        <v>0</v>
      </c>
      <c r="N527" t="n">
        <v>0</v>
      </c>
      <c r="O527" t="n">
        <v>0</v>
      </c>
      <c r="P527" t="n">
        <v>0</v>
      </c>
      <c r="Q527" t="n">
        <v>0</v>
      </c>
      <c r="R527" s="2" t="inlineStr"/>
    </row>
    <row r="528" ht="15" customHeight="1">
      <c r="A528" t="inlineStr">
        <is>
          <t>A 61443-2024</t>
        </is>
      </c>
      <c r="B528" s="1" t="n">
        <v>45646.47936342593</v>
      </c>
      <c r="C528" s="1" t="n">
        <v>46091</v>
      </c>
      <c r="D528" t="inlineStr">
        <is>
          <t>UPPSALA LÄN</t>
        </is>
      </c>
      <c r="E528" t="inlineStr">
        <is>
          <t>ÖSTHAMMAR</t>
        </is>
      </c>
      <c r="G528" t="n">
        <v>0.4</v>
      </c>
      <c r="H528" t="n">
        <v>0</v>
      </c>
      <c r="I528" t="n">
        <v>0</v>
      </c>
      <c r="J528" t="n">
        <v>0</v>
      </c>
      <c r="K528" t="n">
        <v>0</v>
      </c>
      <c r="L528" t="n">
        <v>0</v>
      </c>
      <c r="M528" t="n">
        <v>0</v>
      </c>
      <c r="N528" t="n">
        <v>0</v>
      </c>
      <c r="O528" t="n">
        <v>0</v>
      </c>
      <c r="P528" t="n">
        <v>0</v>
      </c>
      <c r="Q528" t="n">
        <v>0</v>
      </c>
      <c r="R528" s="2" t="inlineStr"/>
    </row>
    <row r="529" ht="15" customHeight="1">
      <c r="A529" t="inlineStr">
        <is>
          <t>A 59706-2025</t>
        </is>
      </c>
      <c r="B529" s="1" t="n">
        <v>45992.50333333333</v>
      </c>
      <c r="C529" s="1" t="n">
        <v>46091</v>
      </c>
      <c r="D529" t="inlineStr">
        <is>
          <t>UPPSALA LÄN</t>
        </is>
      </c>
      <c r="E529" t="inlineStr">
        <is>
          <t>ÖSTHAMMAR</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26612-2023</t>
        </is>
      </c>
      <c r="B530" s="1" t="n">
        <v>45089</v>
      </c>
      <c r="C530" s="1" t="n">
        <v>46091</v>
      </c>
      <c r="D530" t="inlineStr">
        <is>
          <t>UPPSALA LÄN</t>
        </is>
      </c>
      <c r="E530" t="inlineStr">
        <is>
          <t>ÖSTHAMMAR</t>
        </is>
      </c>
      <c r="G530" t="n">
        <v>2.1</v>
      </c>
      <c r="H530" t="n">
        <v>0</v>
      </c>
      <c r="I530" t="n">
        <v>0</v>
      </c>
      <c r="J530" t="n">
        <v>0</v>
      </c>
      <c r="K530" t="n">
        <v>0</v>
      </c>
      <c r="L530" t="n">
        <v>0</v>
      </c>
      <c r="M530" t="n">
        <v>0</v>
      </c>
      <c r="N530" t="n">
        <v>0</v>
      </c>
      <c r="O530" t="n">
        <v>0</v>
      </c>
      <c r="P530" t="n">
        <v>0</v>
      </c>
      <c r="Q530" t="n">
        <v>0</v>
      </c>
      <c r="R530" s="2" t="inlineStr"/>
    </row>
    <row r="531" ht="15" customHeight="1">
      <c r="A531" t="inlineStr">
        <is>
          <t>A 59708-2025</t>
        </is>
      </c>
      <c r="B531" s="1" t="n">
        <v>45992.50802083333</v>
      </c>
      <c r="C531" s="1" t="n">
        <v>46091</v>
      </c>
      <c r="D531" t="inlineStr">
        <is>
          <t>UPPSALA LÄN</t>
        </is>
      </c>
      <c r="E531" t="inlineStr">
        <is>
          <t>ÖSTHAMMAR</t>
        </is>
      </c>
      <c r="F531" t="inlineStr">
        <is>
          <t>Bergvik skog öst AB</t>
        </is>
      </c>
      <c r="G531" t="n">
        <v>3.2</v>
      </c>
      <c r="H531" t="n">
        <v>0</v>
      </c>
      <c r="I531" t="n">
        <v>0</v>
      </c>
      <c r="J531" t="n">
        <v>0</v>
      </c>
      <c r="K531" t="n">
        <v>0</v>
      </c>
      <c r="L531" t="n">
        <v>0</v>
      </c>
      <c r="M531" t="n">
        <v>0</v>
      </c>
      <c r="N531" t="n">
        <v>0</v>
      </c>
      <c r="O531" t="n">
        <v>0</v>
      </c>
      <c r="P531" t="n">
        <v>0</v>
      </c>
      <c r="Q531" t="n">
        <v>0</v>
      </c>
      <c r="R531" s="2" t="inlineStr"/>
    </row>
    <row r="532" ht="15" customHeight="1">
      <c r="A532" t="inlineStr">
        <is>
          <t>A 14269-2025</t>
        </is>
      </c>
      <c r="B532" s="1" t="n">
        <v>45740.64078703704</v>
      </c>
      <c r="C532" s="1" t="n">
        <v>46091</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18088-2025</t>
        </is>
      </c>
      <c r="B533" s="1" t="n">
        <v>45761.53104166667</v>
      </c>
      <c r="C533" s="1" t="n">
        <v>46091</v>
      </c>
      <c r="D533" t="inlineStr">
        <is>
          <t>UPPSALA LÄN</t>
        </is>
      </c>
      <c r="E533" t="inlineStr">
        <is>
          <t>ÖSTHAMMAR</t>
        </is>
      </c>
      <c r="F533" t="inlineStr">
        <is>
          <t>Bergvik skog öst AB</t>
        </is>
      </c>
      <c r="G533" t="n">
        <v>1.9</v>
      </c>
      <c r="H533" t="n">
        <v>0</v>
      </c>
      <c r="I533" t="n">
        <v>0</v>
      </c>
      <c r="J533" t="n">
        <v>0</v>
      </c>
      <c r="K533" t="n">
        <v>0</v>
      </c>
      <c r="L533" t="n">
        <v>0</v>
      </c>
      <c r="M533" t="n">
        <v>0</v>
      </c>
      <c r="N533" t="n">
        <v>0</v>
      </c>
      <c r="O533" t="n">
        <v>0</v>
      </c>
      <c r="P533" t="n">
        <v>0</v>
      </c>
      <c r="Q533" t="n">
        <v>0</v>
      </c>
      <c r="R533" s="2" t="inlineStr"/>
    </row>
    <row r="534" ht="15" customHeight="1">
      <c r="A534" t="inlineStr">
        <is>
          <t>A 18095-2025</t>
        </is>
      </c>
      <c r="B534" s="1" t="n">
        <v>45761.54925925926</v>
      </c>
      <c r="C534" s="1" t="n">
        <v>46091</v>
      </c>
      <c r="D534" t="inlineStr">
        <is>
          <t>UPPSALA LÄN</t>
        </is>
      </c>
      <c r="E534" t="inlineStr">
        <is>
          <t>ÖSTHAMMAR</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16531-2025</t>
        </is>
      </c>
      <c r="B535" s="1" t="n">
        <v>45751</v>
      </c>
      <c r="C535" s="1" t="n">
        <v>46091</v>
      </c>
      <c r="D535" t="inlineStr">
        <is>
          <t>UPPSALA LÄN</t>
        </is>
      </c>
      <c r="E535" t="inlineStr">
        <is>
          <t>ÖSTHAMMAR</t>
        </is>
      </c>
      <c r="G535" t="n">
        <v>3.3</v>
      </c>
      <c r="H535" t="n">
        <v>0</v>
      </c>
      <c r="I535" t="n">
        <v>0</v>
      </c>
      <c r="J535" t="n">
        <v>0</v>
      </c>
      <c r="K535" t="n">
        <v>0</v>
      </c>
      <c r="L535" t="n">
        <v>0</v>
      </c>
      <c r="M535" t="n">
        <v>0</v>
      </c>
      <c r="N535" t="n">
        <v>0</v>
      </c>
      <c r="O535" t="n">
        <v>0</v>
      </c>
      <c r="P535" t="n">
        <v>0</v>
      </c>
      <c r="Q535" t="n">
        <v>0</v>
      </c>
      <c r="R535" s="2" t="inlineStr"/>
    </row>
    <row r="536" ht="15" customHeight="1">
      <c r="A536" t="inlineStr">
        <is>
          <t>A 60603-2025</t>
        </is>
      </c>
      <c r="B536" s="1" t="n">
        <v>45996.3543287037</v>
      </c>
      <c r="C536" s="1" t="n">
        <v>46091</v>
      </c>
      <c r="D536" t="inlineStr">
        <is>
          <t>UPPSALA LÄN</t>
        </is>
      </c>
      <c r="E536" t="inlineStr">
        <is>
          <t>ÖSTHAMMAR</t>
        </is>
      </c>
      <c r="G536" t="n">
        <v>4.7</v>
      </c>
      <c r="H536" t="n">
        <v>0</v>
      </c>
      <c r="I536" t="n">
        <v>0</v>
      </c>
      <c r="J536" t="n">
        <v>0</v>
      </c>
      <c r="K536" t="n">
        <v>0</v>
      </c>
      <c r="L536" t="n">
        <v>0</v>
      </c>
      <c r="M536" t="n">
        <v>0</v>
      </c>
      <c r="N536" t="n">
        <v>0</v>
      </c>
      <c r="O536" t="n">
        <v>0</v>
      </c>
      <c r="P536" t="n">
        <v>0</v>
      </c>
      <c r="Q536" t="n">
        <v>0</v>
      </c>
      <c r="R536" s="2" t="inlineStr"/>
    </row>
    <row r="537" ht="15" customHeight="1">
      <c r="A537" t="inlineStr">
        <is>
          <t>A 25897-2023</t>
        </is>
      </c>
      <c r="B537" s="1" t="n">
        <v>45090.63300925926</v>
      </c>
      <c r="C537" s="1" t="n">
        <v>46091</v>
      </c>
      <c r="D537" t="inlineStr">
        <is>
          <t>UPPSALA LÄN</t>
        </is>
      </c>
      <c r="E537" t="inlineStr">
        <is>
          <t>ÖSTHAMMAR</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57156-2025</t>
        </is>
      </c>
      <c r="B538" s="1" t="n">
        <v>45979.51591435185</v>
      </c>
      <c r="C538" s="1" t="n">
        <v>46091</v>
      </c>
      <c r="D538" t="inlineStr">
        <is>
          <t>UPPSALA LÄN</t>
        </is>
      </c>
      <c r="E538" t="inlineStr">
        <is>
          <t>ÖSTHAMMAR</t>
        </is>
      </c>
      <c r="G538" t="n">
        <v>1.8</v>
      </c>
      <c r="H538" t="n">
        <v>0</v>
      </c>
      <c r="I538" t="n">
        <v>0</v>
      </c>
      <c r="J538" t="n">
        <v>0</v>
      </c>
      <c r="K538" t="n">
        <v>0</v>
      </c>
      <c r="L538" t="n">
        <v>0</v>
      </c>
      <c r="M538" t="n">
        <v>0</v>
      </c>
      <c r="N538" t="n">
        <v>0</v>
      </c>
      <c r="O538" t="n">
        <v>0</v>
      </c>
      <c r="P538" t="n">
        <v>0</v>
      </c>
      <c r="Q538" t="n">
        <v>0</v>
      </c>
      <c r="R538" s="2" t="inlineStr"/>
    </row>
    <row r="539" ht="15" customHeight="1">
      <c r="A539" t="inlineStr">
        <is>
          <t>A 20046-2023</t>
        </is>
      </c>
      <c r="B539" s="1" t="n">
        <v>45054</v>
      </c>
      <c r="C539" s="1" t="n">
        <v>46091</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41478-2024</t>
        </is>
      </c>
      <c r="B540" s="1" t="n">
        <v>45560.44158564815</v>
      </c>
      <c r="C540" s="1" t="n">
        <v>46091</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60910-2025</t>
        </is>
      </c>
      <c r="B541" s="1" t="n">
        <v>45999.59837962963</v>
      </c>
      <c r="C541" s="1" t="n">
        <v>46091</v>
      </c>
      <c r="D541" t="inlineStr">
        <is>
          <t>UPPSALA LÄN</t>
        </is>
      </c>
      <c r="E541" t="inlineStr">
        <is>
          <t>ÖSTHAMMAR</t>
        </is>
      </c>
      <c r="G541" t="n">
        <v>3.5</v>
      </c>
      <c r="H541" t="n">
        <v>0</v>
      </c>
      <c r="I541" t="n">
        <v>0</v>
      </c>
      <c r="J541" t="n">
        <v>0</v>
      </c>
      <c r="K541" t="n">
        <v>0</v>
      </c>
      <c r="L541" t="n">
        <v>0</v>
      </c>
      <c r="M541" t="n">
        <v>0</v>
      </c>
      <c r="N541" t="n">
        <v>0</v>
      </c>
      <c r="O541" t="n">
        <v>0</v>
      </c>
      <c r="P541" t="n">
        <v>0</v>
      </c>
      <c r="Q541" t="n">
        <v>0</v>
      </c>
      <c r="R541" s="2" t="inlineStr"/>
    </row>
    <row r="542" ht="15" customHeight="1">
      <c r="A542" t="inlineStr">
        <is>
          <t>A 3638-2022</t>
        </is>
      </c>
      <c r="B542" s="1" t="n">
        <v>44578</v>
      </c>
      <c r="C542" s="1" t="n">
        <v>46091</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60738-2025</t>
        </is>
      </c>
      <c r="B543" s="1" t="n">
        <v>45996.83506944445</v>
      </c>
      <c r="C543" s="1" t="n">
        <v>46091</v>
      </c>
      <c r="D543" t="inlineStr">
        <is>
          <t>UPPSALA LÄN</t>
        </is>
      </c>
      <c r="E543" t="inlineStr">
        <is>
          <t>ÖSTHAMMAR</t>
        </is>
      </c>
      <c r="G543" t="n">
        <v>1.8</v>
      </c>
      <c r="H543" t="n">
        <v>0</v>
      </c>
      <c r="I543" t="n">
        <v>0</v>
      </c>
      <c r="J543" t="n">
        <v>0</v>
      </c>
      <c r="K543" t="n">
        <v>0</v>
      </c>
      <c r="L543" t="n">
        <v>0</v>
      </c>
      <c r="M543" t="n">
        <v>0</v>
      </c>
      <c r="N543" t="n">
        <v>0</v>
      </c>
      <c r="O543" t="n">
        <v>0</v>
      </c>
      <c r="P543" t="n">
        <v>0</v>
      </c>
      <c r="Q543" t="n">
        <v>0</v>
      </c>
      <c r="R543" s="2" t="inlineStr"/>
    </row>
    <row r="544" ht="15" customHeight="1">
      <c r="A544" t="inlineStr">
        <is>
          <t>A 61250-2025</t>
        </is>
      </c>
      <c r="B544" s="1" t="n">
        <v>46000.66645833333</v>
      </c>
      <c r="C544" s="1" t="n">
        <v>46091</v>
      </c>
      <c r="D544" t="inlineStr">
        <is>
          <t>UPPSALA LÄN</t>
        </is>
      </c>
      <c r="E544" t="inlineStr">
        <is>
          <t>ÖSTHAMMAR</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17969-2023</t>
        </is>
      </c>
      <c r="B545" s="1" t="n">
        <v>45040.47081018519</v>
      </c>
      <c r="C545" s="1" t="n">
        <v>46091</v>
      </c>
      <c r="D545" t="inlineStr">
        <is>
          <t>UPPSALA LÄN</t>
        </is>
      </c>
      <c r="E545" t="inlineStr">
        <is>
          <t>ÖSTHAMMAR</t>
        </is>
      </c>
      <c r="G545" t="n">
        <v>5.4</v>
      </c>
      <c r="H545" t="n">
        <v>0</v>
      </c>
      <c r="I545" t="n">
        <v>0</v>
      </c>
      <c r="J545" t="n">
        <v>0</v>
      </c>
      <c r="K545" t="n">
        <v>0</v>
      </c>
      <c r="L545" t="n">
        <v>0</v>
      </c>
      <c r="M545" t="n">
        <v>0</v>
      </c>
      <c r="N545" t="n">
        <v>0</v>
      </c>
      <c r="O545" t="n">
        <v>0</v>
      </c>
      <c r="P545" t="n">
        <v>0</v>
      </c>
      <c r="Q545" t="n">
        <v>0</v>
      </c>
      <c r="R545" s="2" t="inlineStr"/>
    </row>
    <row r="546" ht="15" customHeight="1">
      <c r="A546" t="inlineStr">
        <is>
          <t>A 61143-2025</t>
        </is>
      </c>
      <c r="B546" s="1" t="n">
        <v>46000.53084490741</v>
      </c>
      <c r="C546" s="1" t="n">
        <v>46091</v>
      </c>
      <c r="D546" t="inlineStr">
        <is>
          <t>UPPSALA LÄN</t>
        </is>
      </c>
      <c r="E546" t="inlineStr">
        <is>
          <t>ÖSTHAMMAR</t>
        </is>
      </c>
      <c r="F546" t="inlineStr">
        <is>
          <t>Bergvik skog öst AB</t>
        </is>
      </c>
      <c r="G546" t="n">
        <v>3.3</v>
      </c>
      <c r="H546" t="n">
        <v>0</v>
      </c>
      <c r="I546" t="n">
        <v>0</v>
      </c>
      <c r="J546" t="n">
        <v>0</v>
      </c>
      <c r="K546" t="n">
        <v>0</v>
      </c>
      <c r="L546" t="n">
        <v>0</v>
      </c>
      <c r="M546" t="n">
        <v>0</v>
      </c>
      <c r="N546" t="n">
        <v>0</v>
      </c>
      <c r="O546" t="n">
        <v>0</v>
      </c>
      <c r="P546" t="n">
        <v>0</v>
      </c>
      <c r="Q546" t="n">
        <v>0</v>
      </c>
      <c r="R546" s="2" t="inlineStr"/>
    </row>
    <row r="547" ht="15" customHeight="1">
      <c r="A547" t="inlineStr">
        <is>
          <t>A 58878-2022</t>
        </is>
      </c>
      <c r="B547" s="1" t="n">
        <v>44903</v>
      </c>
      <c r="C547" s="1" t="n">
        <v>46091</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61147-2025</t>
        </is>
      </c>
      <c r="B548" s="1" t="n">
        <v>46000.53493055556</v>
      </c>
      <c r="C548" s="1" t="n">
        <v>46091</v>
      </c>
      <c r="D548" t="inlineStr">
        <is>
          <t>UPPSALA LÄN</t>
        </is>
      </c>
      <c r="E548" t="inlineStr">
        <is>
          <t>ÖSTHAMMAR</t>
        </is>
      </c>
      <c r="F548" t="inlineStr">
        <is>
          <t>Bergvik skog öst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61251-2025</t>
        </is>
      </c>
      <c r="B549" s="1" t="n">
        <v>46000.6669675926</v>
      </c>
      <c r="C549" s="1" t="n">
        <v>46091</v>
      </c>
      <c r="D549" t="inlineStr">
        <is>
          <t>UPPSALA LÄN</t>
        </is>
      </c>
      <c r="E549" t="inlineStr">
        <is>
          <t>ÖSTHAMMAR</t>
        </is>
      </c>
      <c r="F549" t="inlineStr">
        <is>
          <t>Bergvik skog öst AB</t>
        </is>
      </c>
      <c r="G549" t="n">
        <v>22.2</v>
      </c>
      <c r="H549" t="n">
        <v>0</v>
      </c>
      <c r="I549" t="n">
        <v>0</v>
      </c>
      <c r="J549" t="n">
        <v>0</v>
      </c>
      <c r="K549" t="n">
        <v>0</v>
      </c>
      <c r="L549" t="n">
        <v>0</v>
      </c>
      <c r="M549" t="n">
        <v>0</v>
      </c>
      <c r="N549" t="n">
        <v>0</v>
      </c>
      <c r="O549" t="n">
        <v>0</v>
      </c>
      <c r="P549" t="n">
        <v>0</v>
      </c>
      <c r="Q549" t="n">
        <v>0</v>
      </c>
      <c r="R549" s="2" t="inlineStr"/>
    </row>
    <row r="550" ht="15" customHeight="1">
      <c r="A550" t="inlineStr">
        <is>
          <t>A 12528-2024</t>
        </is>
      </c>
      <c r="B550" s="1" t="n">
        <v>45379.61878472222</v>
      </c>
      <c r="C550" s="1" t="n">
        <v>46091</v>
      </c>
      <c r="D550" t="inlineStr">
        <is>
          <t>UPPSALA LÄN</t>
        </is>
      </c>
      <c r="E550" t="inlineStr">
        <is>
          <t>ÖSTHAMMAR</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4228-2023</t>
        </is>
      </c>
      <c r="B551" s="1" t="n">
        <v>44953.48179398148</v>
      </c>
      <c r="C551" s="1" t="n">
        <v>46091</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61838-2025</t>
        </is>
      </c>
      <c r="B552" s="1" t="n">
        <v>46003.35675925926</v>
      </c>
      <c r="C552" s="1" t="n">
        <v>46091</v>
      </c>
      <c r="D552" t="inlineStr">
        <is>
          <t>UPPSALA LÄN</t>
        </is>
      </c>
      <c r="E552" t="inlineStr">
        <is>
          <t>ÖSTHAMMAR</t>
        </is>
      </c>
      <c r="G552" t="n">
        <v>1.2</v>
      </c>
      <c r="H552" t="n">
        <v>0</v>
      </c>
      <c r="I552" t="n">
        <v>0</v>
      </c>
      <c r="J552" t="n">
        <v>0</v>
      </c>
      <c r="K552" t="n">
        <v>0</v>
      </c>
      <c r="L552" t="n">
        <v>0</v>
      </c>
      <c r="M552" t="n">
        <v>0</v>
      </c>
      <c r="N552" t="n">
        <v>0</v>
      </c>
      <c r="O552" t="n">
        <v>0</v>
      </c>
      <c r="P552" t="n">
        <v>0</v>
      </c>
      <c r="Q552" t="n">
        <v>0</v>
      </c>
      <c r="R552" s="2" t="inlineStr"/>
    </row>
    <row r="553" ht="15" customHeight="1">
      <c r="A553" t="inlineStr">
        <is>
          <t>A 18091-2023</t>
        </is>
      </c>
      <c r="B553" s="1" t="n">
        <v>45040</v>
      </c>
      <c r="C553" s="1" t="n">
        <v>46091</v>
      </c>
      <c r="D553" t="inlineStr">
        <is>
          <t>UPPSALA LÄN</t>
        </is>
      </c>
      <c r="E553" t="inlineStr">
        <is>
          <t>ÖSTHAMMAR</t>
        </is>
      </c>
      <c r="G553" t="n">
        <v>2.4</v>
      </c>
      <c r="H553" t="n">
        <v>0</v>
      </c>
      <c r="I553" t="n">
        <v>0</v>
      </c>
      <c r="J553" t="n">
        <v>0</v>
      </c>
      <c r="K553" t="n">
        <v>0</v>
      </c>
      <c r="L553" t="n">
        <v>0</v>
      </c>
      <c r="M553" t="n">
        <v>0</v>
      </c>
      <c r="N553" t="n">
        <v>0</v>
      </c>
      <c r="O553" t="n">
        <v>0</v>
      </c>
      <c r="P553" t="n">
        <v>0</v>
      </c>
      <c r="Q553" t="n">
        <v>0</v>
      </c>
      <c r="R553" s="2" t="inlineStr"/>
    </row>
    <row r="554" ht="15" customHeight="1">
      <c r="A554" t="inlineStr">
        <is>
          <t>A 66779-2021</t>
        </is>
      </c>
      <c r="B554" s="1" t="n">
        <v>44522.31700231481</v>
      </c>
      <c r="C554" s="1" t="n">
        <v>46091</v>
      </c>
      <c r="D554" t="inlineStr">
        <is>
          <t>UPPSALA LÄN</t>
        </is>
      </c>
      <c r="E554" t="inlineStr">
        <is>
          <t>ÖSTHAMMAR</t>
        </is>
      </c>
      <c r="G554" t="n">
        <v>2</v>
      </c>
      <c r="H554" t="n">
        <v>0</v>
      </c>
      <c r="I554" t="n">
        <v>0</v>
      </c>
      <c r="J554" t="n">
        <v>0</v>
      </c>
      <c r="K554" t="n">
        <v>0</v>
      </c>
      <c r="L554" t="n">
        <v>0</v>
      </c>
      <c r="M554" t="n">
        <v>0</v>
      </c>
      <c r="N554" t="n">
        <v>0</v>
      </c>
      <c r="O554" t="n">
        <v>0</v>
      </c>
      <c r="P554" t="n">
        <v>0</v>
      </c>
      <c r="Q554" t="n">
        <v>0</v>
      </c>
      <c r="R554" s="2" t="inlineStr"/>
    </row>
    <row r="555" ht="15" customHeight="1">
      <c r="A555" t="inlineStr">
        <is>
          <t>A 23197-2023</t>
        </is>
      </c>
      <c r="B555" s="1" t="n">
        <v>45075</v>
      </c>
      <c r="C555" s="1" t="n">
        <v>46091</v>
      </c>
      <c r="D555" t="inlineStr">
        <is>
          <t>UPPSALA LÄN</t>
        </is>
      </c>
      <c r="E555" t="inlineStr">
        <is>
          <t>ÖSTHAMMAR</t>
        </is>
      </c>
      <c r="G555" t="n">
        <v>0.5</v>
      </c>
      <c r="H555" t="n">
        <v>0</v>
      </c>
      <c r="I555" t="n">
        <v>0</v>
      </c>
      <c r="J555" t="n">
        <v>0</v>
      </c>
      <c r="K555" t="n">
        <v>0</v>
      </c>
      <c r="L555" t="n">
        <v>0</v>
      </c>
      <c r="M555" t="n">
        <v>0</v>
      </c>
      <c r="N555" t="n">
        <v>0</v>
      </c>
      <c r="O555" t="n">
        <v>0</v>
      </c>
      <c r="P555" t="n">
        <v>0</v>
      </c>
      <c r="Q555" t="n">
        <v>0</v>
      </c>
      <c r="R555" s="2" t="inlineStr"/>
    </row>
    <row r="556" ht="15" customHeight="1">
      <c r="A556" t="inlineStr">
        <is>
          <t>A 60079-2022</t>
        </is>
      </c>
      <c r="B556" s="1" t="n">
        <v>44909</v>
      </c>
      <c r="C556" s="1" t="n">
        <v>46091</v>
      </c>
      <c r="D556" t="inlineStr">
        <is>
          <t>UPPSALA LÄN</t>
        </is>
      </c>
      <c r="E556" t="inlineStr">
        <is>
          <t>ÖSTHAMMAR</t>
        </is>
      </c>
      <c r="G556" t="n">
        <v>9.6</v>
      </c>
      <c r="H556" t="n">
        <v>0</v>
      </c>
      <c r="I556" t="n">
        <v>0</v>
      </c>
      <c r="J556" t="n">
        <v>0</v>
      </c>
      <c r="K556" t="n">
        <v>0</v>
      </c>
      <c r="L556" t="n">
        <v>0</v>
      </c>
      <c r="M556" t="n">
        <v>0</v>
      </c>
      <c r="N556" t="n">
        <v>0</v>
      </c>
      <c r="O556" t="n">
        <v>0</v>
      </c>
      <c r="P556" t="n">
        <v>0</v>
      </c>
      <c r="Q556" t="n">
        <v>0</v>
      </c>
      <c r="R556" s="2" t="inlineStr"/>
    </row>
    <row r="557" ht="15" customHeight="1">
      <c r="A557" t="inlineStr">
        <is>
          <t>A 9267-2024</t>
        </is>
      </c>
      <c r="B557" s="1" t="n">
        <v>45358</v>
      </c>
      <c r="C557" s="1" t="n">
        <v>46091</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33758-2024</t>
        </is>
      </c>
      <c r="B558" s="1" t="n">
        <v>45520.56896990741</v>
      </c>
      <c r="C558" s="1" t="n">
        <v>46091</v>
      </c>
      <c r="D558" t="inlineStr">
        <is>
          <t>UPPSALA LÄN</t>
        </is>
      </c>
      <c r="E558" t="inlineStr">
        <is>
          <t>ÖSTHAMMAR</t>
        </is>
      </c>
      <c r="G558" t="n">
        <v>6.5</v>
      </c>
      <c r="H558" t="n">
        <v>0</v>
      </c>
      <c r="I558" t="n">
        <v>0</v>
      </c>
      <c r="J558" t="n">
        <v>0</v>
      </c>
      <c r="K558" t="n">
        <v>0</v>
      </c>
      <c r="L558" t="n">
        <v>0</v>
      </c>
      <c r="M558" t="n">
        <v>0</v>
      </c>
      <c r="N558" t="n">
        <v>0</v>
      </c>
      <c r="O558" t="n">
        <v>0</v>
      </c>
      <c r="P558" t="n">
        <v>0</v>
      </c>
      <c r="Q558" t="n">
        <v>0</v>
      </c>
      <c r="R558" s="2" t="inlineStr"/>
    </row>
    <row r="559" ht="15" customHeight="1">
      <c r="A559" t="inlineStr">
        <is>
          <t>A 35316-2024</t>
        </is>
      </c>
      <c r="B559" s="1" t="n">
        <v>45530.68873842592</v>
      </c>
      <c r="C559" s="1" t="n">
        <v>46091</v>
      </c>
      <c r="D559" t="inlineStr">
        <is>
          <t>UPPSALA LÄN</t>
        </is>
      </c>
      <c r="E559" t="inlineStr">
        <is>
          <t>ÖSTHAMMAR</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38571-2023</t>
        </is>
      </c>
      <c r="B560" s="1" t="n">
        <v>45162.6177662037</v>
      </c>
      <c r="C560" s="1" t="n">
        <v>46091</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62745-2025</t>
        </is>
      </c>
      <c r="B561" s="1" t="n">
        <v>46008.57596064815</v>
      </c>
      <c r="C561" s="1" t="n">
        <v>46091</v>
      </c>
      <c r="D561" t="inlineStr">
        <is>
          <t>UPPSALA LÄN</t>
        </is>
      </c>
      <c r="E561" t="inlineStr">
        <is>
          <t>ÖSTHAMMAR</t>
        </is>
      </c>
      <c r="G561" t="n">
        <v>2</v>
      </c>
      <c r="H561" t="n">
        <v>0</v>
      </c>
      <c r="I561" t="n">
        <v>0</v>
      </c>
      <c r="J561" t="n">
        <v>0</v>
      </c>
      <c r="K561" t="n">
        <v>0</v>
      </c>
      <c r="L561" t="n">
        <v>0</v>
      </c>
      <c r="M561" t="n">
        <v>0</v>
      </c>
      <c r="N561" t="n">
        <v>0</v>
      </c>
      <c r="O561" t="n">
        <v>0</v>
      </c>
      <c r="P561" t="n">
        <v>0</v>
      </c>
      <c r="Q561" t="n">
        <v>0</v>
      </c>
      <c r="R561" s="2" t="inlineStr"/>
    </row>
    <row r="562" ht="15" customHeight="1">
      <c r="A562" t="inlineStr">
        <is>
          <t>A 7560-2023</t>
        </is>
      </c>
      <c r="B562" s="1" t="n">
        <v>44972.34811342593</v>
      </c>
      <c r="C562" s="1" t="n">
        <v>46091</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44184-2024</t>
        </is>
      </c>
      <c r="B563" s="1" t="n">
        <v>45572</v>
      </c>
      <c r="C563" s="1" t="n">
        <v>46091</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48083-2024</t>
        </is>
      </c>
      <c r="B564" s="1" t="n">
        <v>45589.58766203704</v>
      </c>
      <c r="C564" s="1" t="n">
        <v>46091</v>
      </c>
      <c r="D564" t="inlineStr">
        <is>
          <t>UPPSALA LÄN</t>
        </is>
      </c>
      <c r="E564" t="inlineStr">
        <is>
          <t>ÖSTHAMMAR</t>
        </is>
      </c>
      <c r="G564" t="n">
        <v>3</v>
      </c>
      <c r="H564" t="n">
        <v>0</v>
      </c>
      <c r="I564" t="n">
        <v>0</v>
      </c>
      <c r="J564" t="n">
        <v>0</v>
      </c>
      <c r="K564" t="n">
        <v>0</v>
      </c>
      <c r="L564" t="n">
        <v>0</v>
      </c>
      <c r="M564" t="n">
        <v>0</v>
      </c>
      <c r="N564" t="n">
        <v>0</v>
      </c>
      <c r="O564" t="n">
        <v>0</v>
      </c>
      <c r="P564" t="n">
        <v>0</v>
      </c>
      <c r="Q564" t="n">
        <v>0</v>
      </c>
      <c r="R564" s="2" t="inlineStr"/>
    </row>
    <row r="565" ht="15" customHeight="1">
      <c r="A565" t="inlineStr">
        <is>
          <t>A 74436-2021</t>
        </is>
      </c>
      <c r="B565" s="1" t="n">
        <v>44560.4502199074</v>
      </c>
      <c r="C565" s="1" t="n">
        <v>46091</v>
      </c>
      <c r="D565" t="inlineStr">
        <is>
          <t>UPPSALA LÄN</t>
        </is>
      </c>
      <c r="E565" t="inlineStr">
        <is>
          <t>ÖSTHAMMAR</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32778-2023</t>
        </is>
      </c>
      <c r="B566" s="1" t="n">
        <v>45123.88789351852</v>
      </c>
      <c r="C566" s="1" t="n">
        <v>46091</v>
      </c>
      <c r="D566" t="inlineStr">
        <is>
          <t>UPPSALA LÄN</t>
        </is>
      </c>
      <c r="E566" t="inlineStr">
        <is>
          <t>ÖSTHAMMAR</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33680-2024</t>
        </is>
      </c>
      <c r="B567" s="1" t="n">
        <v>45520.50712962963</v>
      </c>
      <c r="C567" s="1" t="n">
        <v>46091</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7944-2023</t>
        </is>
      </c>
      <c r="B568" s="1" t="n">
        <v>44973.66458333333</v>
      </c>
      <c r="C568" s="1" t="n">
        <v>46091</v>
      </c>
      <c r="D568" t="inlineStr">
        <is>
          <t>UPPSALA LÄN</t>
        </is>
      </c>
      <c r="E568" t="inlineStr">
        <is>
          <t>ÖSTHAMMAR</t>
        </is>
      </c>
      <c r="G568" t="n">
        <v>4.6</v>
      </c>
      <c r="H568" t="n">
        <v>0</v>
      </c>
      <c r="I568" t="n">
        <v>0</v>
      </c>
      <c r="J568" t="n">
        <v>0</v>
      </c>
      <c r="K568" t="n">
        <v>0</v>
      </c>
      <c r="L568" t="n">
        <v>0</v>
      </c>
      <c r="M568" t="n">
        <v>0</v>
      </c>
      <c r="N568" t="n">
        <v>0</v>
      </c>
      <c r="O568" t="n">
        <v>0</v>
      </c>
      <c r="P568" t="n">
        <v>0</v>
      </c>
      <c r="Q568" t="n">
        <v>0</v>
      </c>
      <c r="R568" s="2" t="inlineStr"/>
    </row>
    <row r="569" ht="15" customHeight="1">
      <c r="A569" t="inlineStr">
        <is>
          <t>A 6511-2026</t>
        </is>
      </c>
      <c r="B569" s="1" t="n">
        <v>46056.38925925926</v>
      </c>
      <c r="C569" s="1" t="n">
        <v>46091</v>
      </c>
      <c r="D569" t="inlineStr">
        <is>
          <t>UPPSALA LÄN</t>
        </is>
      </c>
      <c r="E569" t="inlineStr">
        <is>
          <t>ÖSTHAMMAR</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6522-2026</t>
        </is>
      </c>
      <c r="B570" s="1" t="n">
        <v>46056.4025</v>
      </c>
      <c r="C570" s="1" t="n">
        <v>46091</v>
      </c>
      <c r="D570" t="inlineStr">
        <is>
          <t>UPPSALA LÄN</t>
        </is>
      </c>
      <c r="E570" t="inlineStr">
        <is>
          <t>ÖSTHAMMAR</t>
        </is>
      </c>
      <c r="F570" t="inlineStr">
        <is>
          <t>Bergvik skog öst AB</t>
        </is>
      </c>
      <c r="G570" t="n">
        <v>4.2</v>
      </c>
      <c r="H570" t="n">
        <v>0</v>
      </c>
      <c r="I570" t="n">
        <v>0</v>
      </c>
      <c r="J570" t="n">
        <v>0</v>
      </c>
      <c r="K570" t="n">
        <v>0</v>
      </c>
      <c r="L570" t="n">
        <v>0</v>
      </c>
      <c r="M570" t="n">
        <v>0</v>
      </c>
      <c r="N570" t="n">
        <v>0</v>
      </c>
      <c r="O570" t="n">
        <v>0</v>
      </c>
      <c r="P570" t="n">
        <v>0</v>
      </c>
      <c r="Q570" t="n">
        <v>0</v>
      </c>
      <c r="R570" s="2" t="inlineStr"/>
    </row>
    <row r="571" ht="15" customHeight="1">
      <c r="A571" t="inlineStr">
        <is>
          <t>A 8616-2023</t>
        </is>
      </c>
      <c r="B571" s="1" t="n">
        <v>44977</v>
      </c>
      <c r="C571" s="1" t="n">
        <v>46091</v>
      </c>
      <c r="D571" t="inlineStr">
        <is>
          <t>UPPSALA LÄN</t>
        </is>
      </c>
      <c r="E571" t="inlineStr">
        <is>
          <t>ÖSTHAMMAR</t>
        </is>
      </c>
      <c r="F571" t="inlineStr">
        <is>
          <t>Bergvik skog öst AB</t>
        </is>
      </c>
      <c r="G571" t="n">
        <v>0.2</v>
      </c>
      <c r="H571" t="n">
        <v>0</v>
      </c>
      <c r="I571" t="n">
        <v>0</v>
      </c>
      <c r="J571" t="n">
        <v>0</v>
      </c>
      <c r="K571" t="n">
        <v>0</v>
      </c>
      <c r="L571" t="n">
        <v>0</v>
      </c>
      <c r="M571" t="n">
        <v>0</v>
      </c>
      <c r="N571" t="n">
        <v>0</v>
      </c>
      <c r="O571" t="n">
        <v>0</v>
      </c>
      <c r="P571" t="n">
        <v>0</v>
      </c>
      <c r="Q571" t="n">
        <v>0</v>
      </c>
      <c r="R571" s="2" t="inlineStr"/>
    </row>
    <row r="572" ht="15" customHeight="1">
      <c r="A572" t="inlineStr">
        <is>
          <t>A 6712-2026</t>
        </is>
      </c>
      <c r="B572" s="1" t="n">
        <v>46056.65564814815</v>
      </c>
      <c r="C572" s="1" t="n">
        <v>46091</v>
      </c>
      <c r="D572" t="inlineStr">
        <is>
          <t>UPPSALA LÄN</t>
        </is>
      </c>
      <c r="E572" t="inlineStr">
        <is>
          <t>ÖSTHAMMAR</t>
        </is>
      </c>
      <c r="F572" t="inlineStr">
        <is>
          <t>Bergvik skog öst AB</t>
        </is>
      </c>
      <c r="G572" t="n">
        <v>5</v>
      </c>
      <c r="H572" t="n">
        <v>0</v>
      </c>
      <c r="I572" t="n">
        <v>0</v>
      </c>
      <c r="J572" t="n">
        <v>0</v>
      </c>
      <c r="K572" t="n">
        <v>0</v>
      </c>
      <c r="L572" t="n">
        <v>0</v>
      </c>
      <c r="M572" t="n">
        <v>0</v>
      </c>
      <c r="N572" t="n">
        <v>0</v>
      </c>
      <c r="O572" t="n">
        <v>0</v>
      </c>
      <c r="P572" t="n">
        <v>0</v>
      </c>
      <c r="Q572" t="n">
        <v>0</v>
      </c>
      <c r="R572" s="2" t="inlineStr"/>
    </row>
    <row r="573" ht="15" customHeight="1">
      <c r="A573" t="inlineStr">
        <is>
          <t>A 1567-2025</t>
        </is>
      </c>
      <c r="B573" s="1" t="n">
        <v>45670</v>
      </c>
      <c r="C573" s="1" t="n">
        <v>46091</v>
      </c>
      <c r="D573" t="inlineStr">
        <is>
          <t>UPPSALA LÄN</t>
        </is>
      </c>
      <c r="E573" t="inlineStr">
        <is>
          <t>ÖSTHAMMAR</t>
        </is>
      </c>
      <c r="G573" t="n">
        <v>2.8</v>
      </c>
      <c r="H573" t="n">
        <v>0</v>
      </c>
      <c r="I573" t="n">
        <v>0</v>
      </c>
      <c r="J573" t="n">
        <v>0</v>
      </c>
      <c r="K573" t="n">
        <v>0</v>
      </c>
      <c r="L573" t="n">
        <v>0</v>
      </c>
      <c r="M573" t="n">
        <v>0</v>
      </c>
      <c r="N573" t="n">
        <v>0</v>
      </c>
      <c r="O573" t="n">
        <v>0</v>
      </c>
      <c r="P573" t="n">
        <v>0</v>
      </c>
      <c r="Q573" t="n">
        <v>0</v>
      </c>
      <c r="R573" s="2" t="inlineStr"/>
    </row>
    <row r="574" ht="15" customHeight="1">
      <c r="A574" t="inlineStr">
        <is>
          <t>A 6635-2026</t>
        </is>
      </c>
      <c r="B574" s="1" t="n">
        <v>46056.52885416667</v>
      </c>
      <c r="C574" s="1" t="n">
        <v>46091</v>
      </c>
      <c r="D574" t="inlineStr">
        <is>
          <t>UPPSALA LÄN</t>
        </is>
      </c>
      <c r="E574" t="inlineStr">
        <is>
          <t>ÖSTHAMMAR</t>
        </is>
      </c>
      <c r="F574" t="inlineStr">
        <is>
          <t>Bergvik skog öst AB</t>
        </is>
      </c>
      <c r="G574" t="n">
        <v>4.3</v>
      </c>
      <c r="H574" t="n">
        <v>0</v>
      </c>
      <c r="I574" t="n">
        <v>0</v>
      </c>
      <c r="J574" t="n">
        <v>0</v>
      </c>
      <c r="K574" t="n">
        <v>0</v>
      </c>
      <c r="L574" t="n">
        <v>0</v>
      </c>
      <c r="M574" t="n">
        <v>0</v>
      </c>
      <c r="N574" t="n">
        <v>0</v>
      </c>
      <c r="O574" t="n">
        <v>0</v>
      </c>
      <c r="P574" t="n">
        <v>0</v>
      </c>
      <c r="Q574" t="n">
        <v>0</v>
      </c>
      <c r="R574" s="2" t="inlineStr"/>
    </row>
    <row r="575" ht="15" customHeight="1">
      <c r="A575" t="inlineStr">
        <is>
          <t>A 6238-2026</t>
        </is>
      </c>
      <c r="B575" s="1" t="n">
        <v>46055.45547453704</v>
      </c>
      <c r="C575" s="1" t="n">
        <v>46091</v>
      </c>
      <c r="D575" t="inlineStr">
        <is>
          <t>UPPSALA LÄN</t>
        </is>
      </c>
      <c r="E575" t="inlineStr">
        <is>
          <t>ÖSTHAMMAR</t>
        </is>
      </c>
      <c r="F575" t="inlineStr">
        <is>
          <t>Övriga Aktiebolag</t>
        </is>
      </c>
      <c r="G575" t="n">
        <v>26.7</v>
      </c>
      <c r="H575" t="n">
        <v>0</v>
      </c>
      <c r="I575" t="n">
        <v>0</v>
      </c>
      <c r="J575" t="n">
        <v>0</v>
      </c>
      <c r="K575" t="n">
        <v>0</v>
      </c>
      <c r="L575" t="n">
        <v>0</v>
      </c>
      <c r="M575" t="n">
        <v>0</v>
      </c>
      <c r="N575" t="n">
        <v>0</v>
      </c>
      <c r="O575" t="n">
        <v>0</v>
      </c>
      <c r="P575" t="n">
        <v>0</v>
      </c>
      <c r="Q575" t="n">
        <v>0</v>
      </c>
      <c r="R575" s="2" t="inlineStr"/>
    </row>
    <row r="576" ht="15" customHeight="1">
      <c r="A576" t="inlineStr">
        <is>
          <t>A 6762-2026</t>
        </is>
      </c>
      <c r="B576" s="1" t="n">
        <v>46056.85776620371</v>
      </c>
      <c r="C576" s="1" t="n">
        <v>46091</v>
      </c>
      <c r="D576" t="inlineStr">
        <is>
          <t>UPPSALA LÄN</t>
        </is>
      </c>
      <c r="E576" t="inlineStr">
        <is>
          <t>ÖSTHAMMAR</t>
        </is>
      </c>
      <c r="G576" t="n">
        <v>1.6</v>
      </c>
      <c r="H576" t="n">
        <v>0</v>
      </c>
      <c r="I576" t="n">
        <v>0</v>
      </c>
      <c r="J576" t="n">
        <v>0</v>
      </c>
      <c r="K576" t="n">
        <v>0</v>
      </c>
      <c r="L576" t="n">
        <v>0</v>
      </c>
      <c r="M576" t="n">
        <v>0</v>
      </c>
      <c r="N576" t="n">
        <v>0</v>
      </c>
      <c r="O576" t="n">
        <v>0</v>
      </c>
      <c r="P576" t="n">
        <v>0</v>
      </c>
      <c r="Q576" t="n">
        <v>0</v>
      </c>
      <c r="R576" s="2" t="inlineStr"/>
    </row>
    <row r="577" ht="15" customHeight="1">
      <c r="A577" t="inlineStr">
        <is>
          <t>A 73965-2021</t>
        </is>
      </c>
      <c r="B577" s="1" t="n">
        <v>44553.80824074074</v>
      </c>
      <c r="C577" s="1" t="n">
        <v>46091</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6517-2026</t>
        </is>
      </c>
      <c r="B578" s="1" t="n">
        <v>46056.39921296296</v>
      </c>
      <c r="C578" s="1" t="n">
        <v>46091</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6884-2026</t>
        </is>
      </c>
      <c r="B579" s="1" t="n">
        <v>46057.46614583334</v>
      </c>
      <c r="C579" s="1" t="n">
        <v>46091</v>
      </c>
      <c r="D579" t="inlineStr">
        <is>
          <t>UPPSALA LÄN</t>
        </is>
      </c>
      <c r="E579" t="inlineStr">
        <is>
          <t>ÖSTHAMMAR</t>
        </is>
      </c>
      <c r="G579" t="n">
        <v>4.1</v>
      </c>
      <c r="H579" t="n">
        <v>0</v>
      </c>
      <c r="I579" t="n">
        <v>0</v>
      </c>
      <c r="J579" t="n">
        <v>0</v>
      </c>
      <c r="K579" t="n">
        <v>0</v>
      </c>
      <c r="L579" t="n">
        <v>0</v>
      </c>
      <c r="M579" t="n">
        <v>0</v>
      </c>
      <c r="N579" t="n">
        <v>0</v>
      </c>
      <c r="O579" t="n">
        <v>0</v>
      </c>
      <c r="P579" t="n">
        <v>0</v>
      </c>
      <c r="Q579" t="n">
        <v>0</v>
      </c>
      <c r="R579" s="2" t="inlineStr"/>
    </row>
    <row r="580" ht="15" customHeight="1">
      <c r="A580" t="inlineStr">
        <is>
          <t>A 73592-2021</t>
        </is>
      </c>
      <c r="B580" s="1" t="n">
        <v>44552.36974537037</v>
      </c>
      <c r="C580" s="1" t="n">
        <v>46091</v>
      </c>
      <c r="D580" t="inlineStr">
        <is>
          <t>UPPSALA LÄN</t>
        </is>
      </c>
      <c r="E580" t="inlineStr">
        <is>
          <t>ÖSTHAMMAR</t>
        </is>
      </c>
      <c r="G580" t="n">
        <v>1.7</v>
      </c>
      <c r="H580" t="n">
        <v>0</v>
      </c>
      <c r="I580" t="n">
        <v>0</v>
      </c>
      <c r="J580" t="n">
        <v>0</v>
      </c>
      <c r="K580" t="n">
        <v>0</v>
      </c>
      <c r="L580" t="n">
        <v>0</v>
      </c>
      <c r="M580" t="n">
        <v>0</v>
      </c>
      <c r="N580" t="n">
        <v>0</v>
      </c>
      <c r="O580" t="n">
        <v>0</v>
      </c>
      <c r="P580" t="n">
        <v>0</v>
      </c>
      <c r="Q580" t="n">
        <v>0</v>
      </c>
      <c r="R580" s="2" t="inlineStr"/>
    </row>
    <row r="581" ht="15" customHeight="1">
      <c r="A581" t="inlineStr">
        <is>
          <t>A 31479-2023</t>
        </is>
      </c>
      <c r="B581" s="1" t="n">
        <v>45114.79793981482</v>
      </c>
      <c r="C581" s="1" t="n">
        <v>46091</v>
      </c>
      <c r="D581" t="inlineStr">
        <is>
          <t>UPPSALA LÄN</t>
        </is>
      </c>
      <c r="E581" t="inlineStr">
        <is>
          <t>ÖSTHAMMAR</t>
        </is>
      </c>
      <c r="F581" t="inlineStr">
        <is>
          <t>Bergvik skog öst AB</t>
        </is>
      </c>
      <c r="G581" t="n">
        <v>1.9</v>
      </c>
      <c r="H581" t="n">
        <v>0</v>
      </c>
      <c r="I581" t="n">
        <v>0</v>
      </c>
      <c r="J581" t="n">
        <v>0</v>
      </c>
      <c r="K581" t="n">
        <v>0</v>
      </c>
      <c r="L581" t="n">
        <v>0</v>
      </c>
      <c r="M581" t="n">
        <v>0</v>
      </c>
      <c r="N581" t="n">
        <v>0</v>
      </c>
      <c r="O581" t="n">
        <v>0</v>
      </c>
      <c r="P581" t="n">
        <v>0</v>
      </c>
      <c r="Q581" t="n">
        <v>0</v>
      </c>
      <c r="R581" s="2" t="inlineStr"/>
    </row>
    <row r="582" ht="15" customHeight="1">
      <c r="A582" t="inlineStr">
        <is>
          <t>A 24128-2023</t>
        </is>
      </c>
      <c r="B582" s="1" t="n">
        <v>45079.50289351852</v>
      </c>
      <c r="C582" s="1" t="n">
        <v>46091</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35918-2023</t>
        </is>
      </c>
      <c r="B583" s="1" t="n">
        <v>45148.64976851852</v>
      </c>
      <c r="C583" s="1" t="n">
        <v>46091</v>
      </c>
      <c r="D583" t="inlineStr">
        <is>
          <t>UPPSALA LÄN</t>
        </is>
      </c>
      <c r="E583" t="inlineStr">
        <is>
          <t>ÖSTHAMMAR</t>
        </is>
      </c>
      <c r="F583" t="inlineStr">
        <is>
          <t>Bergvik skog öst AB</t>
        </is>
      </c>
      <c r="G583" t="n">
        <v>0.9</v>
      </c>
      <c r="H583" t="n">
        <v>0</v>
      </c>
      <c r="I583" t="n">
        <v>0</v>
      </c>
      <c r="J583" t="n">
        <v>0</v>
      </c>
      <c r="K583" t="n">
        <v>0</v>
      </c>
      <c r="L583" t="n">
        <v>0</v>
      </c>
      <c r="M583" t="n">
        <v>0</v>
      </c>
      <c r="N583" t="n">
        <v>0</v>
      </c>
      <c r="O583" t="n">
        <v>0</v>
      </c>
      <c r="P583" t="n">
        <v>0</v>
      </c>
      <c r="Q583" t="n">
        <v>0</v>
      </c>
      <c r="R583" s="2" t="inlineStr"/>
    </row>
    <row r="584" ht="15" customHeight="1">
      <c r="A584" t="inlineStr">
        <is>
          <t>A 7241-2026</t>
        </is>
      </c>
      <c r="B584" s="1" t="n">
        <v>46058.58392361111</v>
      </c>
      <c r="C584" s="1" t="n">
        <v>46091</v>
      </c>
      <c r="D584" t="inlineStr">
        <is>
          <t>UPPSALA LÄN</t>
        </is>
      </c>
      <c r="E584" t="inlineStr">
        <is>
          <t>ÖSTHAMMAR</t>
        </is>
      </c>
      <c r="F584" t="inlineStr">
        <is>
          <t>Övriga Aktiebolag</t>
        </is>
      </c>
      <c r="G584" t="n">
        <v>1.7</v>
      </c>
      <c r="H584" t="n">
        <v>0</v>
      </c>
      <c r="I584" t="n">
        <v>0</v>
      </c>
      <c r="J584" t="n">
        <v>0</v>
      </c>
      <c r="K584" t="n">
        <v>0</v>
      </c>
      <c r="L584" t="n">
        <v>0</v>
      </c>
      <c r="M584" t="n">
        <v>0</v>
      </c>
      <c r="N584" t="n">
        <v>0</v>
      </c>
      <c r="O584" t="n">
        <v>0</v>
      </c>
      <c r="P584" t="n">
        <v>0</v>
      </c>
      <c r="Q584" t="n">
        <v>0</v>
      </c>
      <c r="R584" s="2" t="inlineStr"/>
    </row>
    <row r="585" ht="15" customHeight="1">
      <c r="A585" t="inlineStr">
        <is>
          <t>A 7262-2026</t>
        </is>
      </c>
      <c r="B585" s="1" t="n">
        <v>46058.6049537037</v>
      </c>
      <c r="C585" s="1" t="n">
        <v>46091</v>
      </c>
      <c r="D585" t="inlineStr">
        <is>
          <t>UPPSALA LÄN</t>
        </is>
      </c>
      <c r="E585" t="inlineStr">
        <is>
          <t>ÖSTHAMMAR</t>
        </is>
      </c>
      <c r="F585" t="inlineStr">
        <is>
          <t>Övriga Aktiebolag</t>
        </is>
      </c>
      <c r="G585" t="n">
        <v>0.8</v>
      </c>
      <c r="H585" t="n">
        <v>0</v>
      </c>
      <c r="I585" t="n">
        <v>0</v>
      </c>
      <c r="J585" t="n">
        <v>0</v>
      </c>
      <c r="K585" t="n">
        <v>0</v>
      </c>
      <c r="L585" t="n">
        <v>0</v>
      </c>
      <c r="M585" t="n">
        <v>0</v>
      </c>
      <c r="N585" t="n">
        <v>0</v>
      </c>
      <c r="O585" t="n">
        <v>0</v>
      </c>
      <c r="P585" t="n">
        <v>0</v>
      </c>
      <c r="Q585" t="n">
        <v>0</v>
      </c>
      <c r="R585" s="2" t="inlineStr"/>
    </row>
    <row r="586" ht="15" customHeight="1">
      <c r="A586" t="inlineStr">
        <is>
          <t>A 4004-2023</t>
        </is>
      </c>
      <c r="B586" s="1" t="n">
        <v>44952</v>
      </c>
      <c r="C586" s="1" t="n">
        <v>46091</v>
      </c>
      <c r="D586" t="inlineStr">
        <is>
          <t>UPPSALA LÄN</t>
        </is>
      </c>
      <c r="E586" t="inlineStr">
        <is>
          <t>ÖSTHAMMAR</t>
        </is>
      </c>
      <c r="G586" t="n">
        <v>4.1</v>
      </c>
      <c r="H586" t="n">
        <v>0</v>
      </c>
      <c r="I586" t="n">
        <v>0</v>
      </c>
      <c r="J586" t="n">
        <v>0</v>
      </c>
      <c r="K586" t="n">
        <v>0</v>
      </c>
      <c r="L586" t="n">
        <v>0</v>
      </c>
      <c r="M586" t="n">
        <v>0</v>
      </c>
      <c r="N586" t="n">
        <v>0</v>
      </c>
      <c r="O586" t="n">
        <v>0</v>
      </c>
      <c r="P586" t="n">
        <v>0</v>
      </c>
      <c r="Q586" t="n">
        <v>0</v>
      </c>
      <c r="R586" s="2" t="inlineStr"/>
    </row>
    <row r="587" ht="15" customHeight="1">
      <c r="A587" t="inlineStr">
        <is>
          <t>A 1527-2025</t>
        </is>
      </c>
      <c r="B587" s="1" t="n">
        <v>45670</v>
      </c>
      <c r="C587" s="1" t="n">
        <v>46091</v>
      </c>
      <c r="D587" t="inlineStr">
        <is>
          <t>UPPSALA LÄN</t>
        </is>
      </c>
      <c r="E587" t="inlineStr">
        <is>
          <t>ÖSTHAMMAR</t>
        </is>
      </c>
      <c r="F587" t="inlineStr">
        <is>
          <t>Bergvik skog öst AB</t>
        </is>
      </c>
      <c r="G587" t="n">
        <v>7.7</v>
      </c>
      <c r="H587" t="n">
        <v>0</v>
      </c>
      <c r="I587" t="n">
        <v>0</v>
      </c>
      <c r="J587" t="n">
        <v>0</v>
      </c>
      <c r="K587" t="n">
        <v>0</v>
      </c>
      <c r="L587" t="n">
        <v>0</v>
      </c>
      <c r="M587" t="n">
        <v>0</v>
      </c>
      <c r="N587" t="n">
        <v>0</v>
      </c>
      <c r="O587" t="n">
        <v>0</v>
      </c>
      <c r="P587" t="n">
        <v>0</v>
      </c>
      <c r="Q587" t="n">
        <v>0</v>
      </c>
      <c r="R587" s="2" t="inlineStr"/>
    </row>
    <row r="588" ht="15" customHeight="1">
      <c r="A588" t="inlineStr">
        <is>
          <t>A 35474-2023</t>
        </is>
      </c>
      <c r="B588" s="1" t="n">
        <v>45146.68921296296</v>
      </c>
      <c r="C588" s="1" t="n">
        <v>46091</v>
      </c>
      <c r="D588" t="inlineStr">
        <is>
          <t>UPPSALA LÄN</t>
        </is>
      </c>
      <c r="E588" t="inlineStr">
        <is>
          <t>ÖSTHAMMAR</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26303-2024</t>
        </is>
      </c>
      <c r="B589" s="1" t="n">
        <v>45468</v>
      </c>
      <c r="C589" s="1" t="n">
        <v>46091</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44152-2024</t>
        </is>
      </c>
      <c r="B590" s="1" t="n">
        <v>45572</v>
      </c>
      <c r="C590" s="1" t="n">
        <v>46091</v>
      </c>
      <c r="D590" t="inlineStr">
        <is>
          <t>UPPSALA LÄN</t>
        </is>
      </c>
      <c r="E590" t="inlineStr">
        <is>
          <t>ÖSTHAMMAR</t>
        </is>
      </c>
      <c r="G590" t="n">
        <v>1.6</v>
      </c>
      <c r="H590" t="n">
        <v>0</v>
      </c>
      <c r="I590" t="n">
        <v>0</v>
      </c>
      <c r="J590" t="n">
        <v>0</v>
      </c>
      <c r="K590" t="n">
        <v>0</v>
      </c>
      <c r="L590" t="n">
        <v>0</v>
      </c>
      <c r="M590" t="n">
        <v>0</v>
      </c>
      <c r="N590" t="n">
        <v>0</v>
      </c>
      <c r="O590" t="n">
        <v>0</v>
      </c>
      <c r="P590" t="n">
        <v>0</v>
      </c>
      <c r="Q590" t="n">
        <v>0</v>
      </c>
      <c r="R590" s="2" t="inlineStr"/>
    </row>
    <row r="591" ht="15" customHeight="1">
      <c r="A591" t="inlineStr">
        <is>
          <t>A 4561-2022</t>
        </is>
      </c>
      <c r="B591" s="1" t="n">
        <v>44591.59170138889</v>
      </c>
      <c r="C591" s="1" t="n">
        <v>46091</v>
      </c>
      <c r="D591" t="inlineStr">
        <is>
          <t>UPPSALA LÄN</t>
        </is>
      </c>
      <c r="E591" t="inlineStr">
        <is>
          <t>ÖSTHAMMAR</t>
        </is>
      </c>
      <c r="F591" t="inlineStr">
        <is>
          <t>Bergvik skog öst AB</t>
        </is>
      </c>
      <c r="G591" t="n">
        <v>1.5</v>
      </c>
      <c r="H591" t="n">
        <v>0</v>
      </c>
      <c r="I591" t="n">
        <v>0</v>
      </c>
      <c r="J591" t="n">
        <v>0</v>
      </c>
      <c r="K591" t="n">
        <v>0</v>
      </c>
      <c r="L591" t="n">
        <v>0</v>
      </c>
      <c r="M591" t="n">
        <v>0</v>
      </c>
      <c r="N591" t="n">
        <v>0</v>
      </c>
      <c r="O591" t="n">
        <v>0</v>
      </c>
      <c r="P591" t="n">
        <v>0</v>
      </c>
      <c r="Q591" t="n">
        <v>0</v>
      </c>
      <c r="R591" s="2" t="inlineStr"/>
    </row>
    <row r="592" ht="15" customHeight="1">
      <c r="A592" t="inlineStr">
        <is>
          <t>A 7855-2026</t>
        </is>
      </c>
      <c r="B592" s="1" t="n">
        <v>46062.67241898148</v>
      </c>
      <c r="C592" s="1" t="n">
        <v>46091</v>
      </c>
      <c r="D592" t="inlineStr">
        <is>
          <t>UPPSALA LÄN</t>
        </is>
      </c>
      <c r="E592" t="inlineStr">
        <is>
          <t>ÖSTHAMMAR</t>
        </is>
      </c>
      <c r="G592" t="n">
        <v>3.8</v>
      </c>
      <c r="H592" t="n">
        <v>0</v>
      </c>
      <c r="I592" t="n">
        <v>0</v>
      </c>
      <c r="J592" t="n">
        <v>0</v>
      </c>
      <c r="K592" t="n">
        <v>0</v>
      </c>
      <c r="L592" t="n">
        <v>0</v>
      </c>
      <c r="M592" t="n">
        <v>0</v>
      </c>
      <c r="N592" t="n">
        <v>0</v>
      </c>
      <c r="O592" t="n">
        <v>0</v>
      </c>
      <c r="P592" t="n">
        <v>0</v>
      </c>
      <c r="Q592" t="n">
        <v>0</v>
      </c>
      <c r="R592" s="2" t="inlineStr"/>
    </row>
    <row r="593" ht="15" customHeight="1">
      <c r="A593" t="inlineStr">
        <is>
          <t>A 17651-2025</t>
        </is>
      </c>
      <c r="B593" s="1" t="n">
        <v>45758.33304398148</v>
      </c>
      <c r="C593" s="1" t="n">
        <v>46091</v>
      </c>
      <c r="D593" t="inlineStr">
        <is>
          <t>UPPSALA LÄN</t>
        </is>
      </c>
      <c r="E593" t="inlineStr">
        <is>
          <t>ÖSTHAMMAR</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8030-2026</t>
        </is>
      </c>
      <c r="B594" s="1" t="n">
        <v>46063.57956018519</v>
      </c>
      <c r="C594" s="1" t="n">
        <v>46091</v>
      </c>
      <c r="D594" t="inlineStr">
        <is>
          <t>UPPSALA LÄN</t>
        </is>
      </c>
      <c r="E594" t="inlineStr">
        <is>
          <t>ÖSTHAMMAR</t>
        </is>
      </c>
      <c r="G594" t="n">
        <v>1.1</v>
      </c>
      <c r="H594" t="n">
        <v>0</v>
      </c>
      <c r="I594" t="n">
        <v>0</v>
      </c>
      <c r="J594" t="n">
        <v>0</v>
      </c>
      <c r="K594" t="n">
        <v>0</v>
      </c>
      <c r="L594" t="n">
        <v>0</v>
      </c>
      <c r="M594" t="n">
        <v>0</v>
      </c>
      <c r="N594" t="n">
        <v>0</v>
      </c>
      <c r="O594" t="n">
        <v>0</v>
      </c>
      <c r="P594" t="n">
        <v>0</v>
      </c>
      <c r="Q594" t="n">
        <v>0</v>
      </c>
      <c r="R594" s="2" t="inlineStr"/>
    </row>
    <row r="595" ht="15" customHeight="1">
      <c r="A595" t="inlineStr">
        <is>
          <t>A 8291-2026</t>
        </is>
      </c>
      <c r="B595" s="1" t="n">
        <v>46064.56945601852</v>
      </c>
      <c r="C595" s="1" t="n">
        <v>46091</v>
      </c>
      <c r="D595" t="inlineStr">
        <is>
          <t>UPPSALA LÄN</t>
        </is>
      </c>
      <c r="E595" t="inlineStr">
        <is>
          <t>ÖSTHAMMAR</t>
        </is>
      </c>
      <c r="G595" t="n">
        <v>4.5</v>
      </c>
      <c r="H595" t="n">
        <v>0</v>
      </c>
      <c r="I595" t="n">
        <v>0</v>
      </c>
      <c r="J595" t="n">
        <v>0</v>
      </c>
      <c r="K595" t="n">
        <v>0</v>
      </c>
      <c r="L595" t="n">
        <v>0</v>
      </c>
      <c r="M595" t="n">
        <v>0</v>
      </c>
      <c r="N595" t="n">
        <v>0</v>
      </c>
      <c r="O595" t="n">
        <v>0</v>
      </c>
      <c r="P595" t="n">
        <v>0</v>
      </c>
      <c r="Q595" t="n">
        <v>0</v>
      </c>
      <c r="R595" s="2" t="inlineStr"/>
    </row>
    <row r="596" ht="15" customHeight="1">
      <c r="A596" t="inlineStr">
        <is>
          <t>A 8014-2026</t>
        </is>
      </c>
      <c r="B596" s="1" t="n">
        <v>46063.54009259259</v>
      </c>
      <c r="C596" s="1" t="n">
        <v>46091</v>
      </c>
      <c r="D596" t="inlineStr">
        <is>
          <t>UPPSALA LÄN</t>
        </is>
      </c>
      <c r="E596" t="inlineStr">
        <is>
          <t>ÖSTHAMMAR</t>
        </is>
      </c>
      <c r="G596" t="n">
        <v>15.2</v>
      </c>
      <c r="H596" t="n">
        <v>0</v>
      </c>
      <c r="I596" t="n">
        <v>0</v>
      </c>
      <c r="J596" t="n">
        <v>0</v>
      </c>
      <c r="K596" t="n">
        <v>0</v>
      </c>
      <c r="L596" t="n">
        <v>0</v>
      </c>
      <c r="M596" t="n">
        <v>0</v>
      </c>
      <c r="N596" t="n">
        <v>0</v>
      </c>
      <c r="O596" t="n">
        <v>0</v>
      </c>
      <c r="P596" t="n">
        <v>0</v>
      </c>
      <c r="Q596" t="n">
        <v>0</v>
      </c>
      <c r="R596" s="2" t="inlineStr"/>
    </row>
    <row r="597" ht="15" customHeight="1">
      <c r="A597" t="inlineStr">
        <is>
          <t>A 8269-2026</t>
        </is>
      </c>
      <c r="B597" s="1" t="n">
        <v>46064.54721064815</v>
      </c>
      <c r="C597" s="1" t="n">
        <v>46091</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10290-2025</t>
        </is>
      </c>
      <c r="B598" s="1" t="n">
        <v>45720.41847222222</v>
      </c>
      <c r="C598" s="1" t="n">
        <v>46091</v>
      </c>
      <c r="D598" t="inlineStr">
        <is>
          <t>UPPSALA LÄN</t>
        </is>
      </c>
      <c r="E598" t="inlineStr">
        <is>
          <t>ÖSTHAMMAR</t>
        </is>
      </c>
      <c r="G598" t="n">
        <v>8.6</v>
      </c>
      <c r="H598" t="n">
        <v>0</v>
      </c>
      <c r="I598" t="n">
        <v>0</v>
      </c>
      <c r="J598" t="n">
        <v>0</v>
      </c>
      <c r="K598" t="n">
        <v>0</v>
      </c>
      <c r="L598" t="n">
        <v>0</v>
      </c>
      <c r="M598" t="n">
        <v>0</v>
      </c>
      <c r="N598" t="n">
        <v>0</v>
      </c>
      <c r="O598" t="n">
        <v>0</v>
      </c>
      <c r="P598" t="n">
        <v>0</v>
      </c>
      <c r="Q598" t="n">
        <v>0</v>
      </c>
      <c r="R598" s="2" t="inlineStr"/>
    </row>
    <row r="599" ht="15" customHeight="1">
      <c r="A599" t="inlineStr">
        <is>
          <t>A 8086-2026</t>
        </is>
      </c>
      <c r="B599" s="1" t="n">
        <v>46063.70094907407</v>
      </c>
      <c r="C599" s="1" t="n">
        <v>46091</v>
      </c>
      <c r="D599" t="inlineStr">
        <is>
          <t>UPPSALA LÄN</t>
        </is>
      </c>
      <c r="E599" t="inlineStr">
        <is>
          <t>ÖSTHAMMAR</t>
        </is>
      </c>
      <c r="G599" t="n">
        <v>3.8</v>
      </c>
      <c r="H599" t="n">
        <v>0</v>
      </c>
      <c r="I599" t="n">
        <v>0</v>
      </c>
      <c r="J599" t="n">
        <v>0</v>
      </c>
      <c r="K599" t="n">
        <v>0</v>
      </c>
      <c r="L599" t="n">
        <v>0</v>
      </c>
      <c r="M599" t="n">
        <v>0</v>
      </c>
      <c r="N599" t="n">
        <v>0</v>
      </c>
      <c r="O599" t="n">
        <v>0</v>
      </c>
      <c r="P599" t="n">
        <v>0</v>
      </c>
      <c r="Q599" t="n">
        <v>0</v>
      </c>
      <c r="R599" s="2" t="inlineStr"/>
    </row>
    <row r="600" ht="15" customHeight="1">
      <c r="A600" t="inlineStr">
        <is>
          <t>A 45102-2024</t>
        </is>
      </c>
      <c r="B600" s="1" t="n">
        <v>45575.58836805556</v>
      </c>
      <c r="C600" s="1" t="n">
        <v>46091</v>
      </c>
      <c r="D600" t="inlineStr">
        <is>
          <t>UPPSALA LÄN</t>
        </is>
      </c>
      <c r="E600" t="inlineStr">
        <is>
          <t>ÖSTHAMMAR</t>
        </is>
      </c>
      <c r="G600" t="n">
        <v>8.6</v>
      </c>
      <c r="H600" t="n">
        <v>0</v>
      </c>
      <c r="I600" t="n">
        <v>0</v>
      </c>
      <c r="J600" t="n">
        <v>0</v>
      </c>
      <c r="K600" t="n">
        <v>0</v>
      </c>
      <c r="L600" t="n">
        <v>0</v>
      </c>
      <c r="M600" t="n">
        <v>0</v>
      </c>
      <c r="N600" t="n">
        <v>0</v>
      </c>
      <c r="O600" t="n">
        <v>0</v>
      </c>
      <c r="P600" t="n">
        <v>0</v>
      </c>
      <c r="Q600" t="n">
        <v>0</v>
      </c>
      <c r="R600" s="2" t="inlineStr"/>
    </row>
    <row r="601" ht="15" customHeight="1">
      <c r="A601" t="inlineStr">
        <is>
          <t>A 45307-2023</t>
        </is>
      </c>
      <c r="B601" s="1" t="n">
        <v>45191</v>
      </c>
      <c r="C601" s="1" t="n">
        <v>46091</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6661-2024</t>
        </is>
      </c>
      <c r="B602" s="1" t="n">
        <v>45341.70582175926</v>
      </c>
      <c r="C602" s="1" t="n">
        <v>46091</v>
      </c>
      <c r="D602" t="inlineStr">
        <is>
          <t>UPPSALA LÄN</t>
        </is>
      </c>
      <c r="E602" t="inlineStr">
        <is>
          <t>ÖSTHAMMAR</t>
        </is>
      </c>
      <c r="G602" t="n">
        <v>0.2</v>
      </c>
      <c r="H602" t="n">
        <v>0</v>
      </c>
      <c r="I602" t="n">
        <v>0</v>
      </c>
      <c r="J602" t="n">
        <v>0</v>
      </c>
      <c r="K602" t="n">
        <v>0</v>
      </c>
      <c r="L602" t="n">
        <v>0</v>
      </c>
      <c r="M602" t="n">
        <v>0</v>
      </c>
      <c r="N602" t="n">
        <v>0</v>
      </c>
      <c r="O602" t="n">
        <v>0</v>
      </c>
      <c r="P602" t="n">
        <v>0</v>
      </c>
      <c r="Q602" t="n">
        <v>0</v>
      </c>
      <c r="R602" s="2" t="inlineStr"/>
    </row>
    <row r="603" ht="15" customHeight="1">
      <c r="A603" t="inlineStr">
        <is>
          <t>A 4101-2022</t>
        </is>
      </c>
      <c r="B603" s="1" t="n">
        <v>44588</v>
      </c>
      <c r="C603" s="1" t="n">
        <v>46091</v>
      </c>
      <c r="D603" t="inlineStr">
        <is>
          <t>UPPSALA LÄN</t>
        </is>
      </c>
      <c r="E603" t="inlineStr">
        <is>
          <t>ÖSTHAMMAR</t>
        </is>
      </c>
      <c r="G603" t="n">
        <v>4.4</v>
      </c>
      <c r="H603" t="n">
        <v>0</v>
      </c>
      <c r="I603" t="n">
        <v>0</v>
      </c>
      <c r="J603" t="n">
        <v>0</v>
      </c>
      <c r="K603" t="n">
        <v>0</v>
      </c>
      <c r="L603" t="n">
        <v>0</v>
      </c>
      <c r="M603" t="n">
        <v>0</v>
      </c>
      <c r="N603" t="n">
        <v>0</v>
      </c>
      <c r="O603" t="n">
        <v>0</v>
      </c>
      <c r="P603" t="n">
        <v>0</v>
      </c>
      <c r="Q603" t="n">
        <v>0</v>
      </c>
      <c r="R603" s="2" t="inlineStr"/>
    </row>
    <row r="604" ht="15" customHeight="1">
      <c r="A604" t="inlineStr">
        <is>
          <t>A 8789-2026</t>
        </is>
      </c>
      <c r="B604" s="1" t="n">
        <v>46066.58792824074</v>
      </c>
      <c r="C604" s="1" t="n">
        <v>46091</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8530-2026</t>
        </is>
      </c>
      <c r="B605" s="1" t="n">
        <v>46065.60075231481</v>
      </c>
      <c r="C605" s="1" t="n">
        <v>46091</v>
      </c>
      <c r="D605" t="inlineStr">
        <is>
          <t>UPPSALA LÄN</t>
        </is>
      </c>
      <c r="E605" t="inlineStr">
        <is>
          <t>ÖSTHAMMAR</t>
        </is>
      </c>
      <c r="F605" t="inlineStr">
        <is>
          <t>Övriga Aktiebolag</t>
        </is>
      </c>
      <c r="G605" t="n">
        <v>2</v>
      </c>
      <c r="H605" t="n">
        <v>0</v>
      </c>
      <c r="I605" t="n">
        <v>0</v>
      </c>
      <c r="J605" t="n">
        <v>0</v>
      </c>
      <c r="K605" t="n">
        <v>0</v>
      </c>
      <c r="L605" t="n">
        <v>0</v>
      </c>
      <c r="M605" t="n">
        <v>0</v>
      </c>
      <c r="N605" t="n">
        <v>0</v>
      </c>
      <c r="O605" t="n">
        <v>0</v>
      </c>
      <c r="P605" t="n">
        <v>0</v>
      </c>
      <c r="Q605" t="n">
        <v>0</v>
      </c>
      <c r="R605" s="2" t="inlineStr"/>
    </row>
    <row r="606" ht="15" customHeight="1">
      <c r="A606" t="inlineStr">
        <is>
          <t>A 52478-2024</t>
        </is>
      </c>
      <c r="B606" s="1" t="n">
        <v>45609.55065972222</v>
      </c>
      <c r="C606" s="1" t="n">
        <v>46091</v>
      </c>
      <c r="D606" t="inlineStr">
        <is>
          <t>UPPSALA LÄN</t>
        </is>
      </c>
      <c r="E606" t="inlineStr">
        <is>
          <t>ÖSTHAMMAR</t>
        </is>
      </c>
      <c r="G606" t="n">
        <v>0.7</v>
      </c>
      <c r="H606" t="n">
        <v>0</v>
      </c>
      <c r="I606" t="n">
        <v>0</v>
      </c>
      <c r="J606" t="n">
        <v>0</v>
      </c>
      <c r="K606" t="n">
        <v>0</v>
      </c>
      <c r="L606" t="n">
        <v>0</v>
      </c>
      <c r="M606" t="n">
        <v>0</v>
      </c>
      <c r="N606" t="n">
        <v>0</v>
      </c>
      <c r="O606" t="n">
        <v>0</v>
      </c>
      <c r="P606" t="n">
        <v>0</v>
      </c>
      <c r="Q606" t="n">
        <v>0</v>
      </c>
      <c r="R606" s="2" t="inlineStr"/>
    </row>
    <row r="607" ht="15" customHeight="1">
      <c r="A607" t="inlineStr">
        <is>
          <t>A 5933-2022</t>
        </is>
      </c>
      <c r="B607" s="1" t="n">
        <v>44598.82957175926</v>
      </c>
      <c r="C607" s="1" t="n">
        <v>46091</v>
      </c>
      <c r="D607" t="inlineStr">
        <is>
          <t>UPPSALA LÄN</t>
        </is>
      </c>
      <c r="E607" t="inlineStr">
        <is>
          <t>ÖSTHAMMAR</t>
        </is>
      </c>
      <c r="F607" t="inlineStr">
        <is>
          <t>Bergvik skog öst AB</t>
        </is>
      </c>
      <c r="G607" t="n">
        <v>1.4</v>
      </c>
      <c r="H607" t="n">
        <v>0</v>
      </c>
      <c r="I607" t="n">
        <v>0</v>
      </c>
      <c r="J607" t="n">
        <v>0</v>
      </c>
      <c r="K607" t="n">
        <v>0</v>
      </c>
      <c r="L607" t="n">
        <v>0</v>
      </c>
      <c r="M607" t="n">
        <v>0</v>
      </c>
      <c r="N607" t="n">
        <v>0</v>
      </c>
      <c r="O607" t="n">
        <v>0</v>
      </c>
      <c r="P607" t="n">
        <v>0</v>
      </c>
      <c r="Q607" t="n">
        <v>0</v>
      </c>
      <c r="R607" s="2" t="inlineStr"/>
    </row>
    <row r="608" ht="15" customHeight="1">
      <c r="A608" t="inlineStr">
        <is>
          <t>A 8525-2026</t>
        </is>
      </c>
      <c r="B608" s="1" t="n">
        <v>46065.58760416666</v>
      </c>
      <c r="C608" s="1" t="n">
        <v>46091</v>
      </c>
      <c r="D608" t="inlineStr">
        <is>
          <t>UPPSALA LÄN</t>
        </is>
      </c>
      <c r="E608" t="inlineStr">
        <is>
          <t>ÖSTHAMMAR</t>
        </is>
      </c>
      <c r="F608" t="inlineStr">
        <is>
          <t>Övriga Aktiebolag</t>
        </is>
      </c>
      <c r="G608" t="n">
        <v>4.8</v>
      </c>
      <c r="H608" t="n">
        <v>0</v>
      </c>
      <c r="I608" t="n">
        <v>0</v>
      </c>
      <c r="J608" t="n">
        <v>0</v>
      </c>
      <c r="K608" t="n">
        <v>0</v>
      </c>
      <c r="L608" t="n">
        <v>0</v>
      </c>
      <c r="M608" t="n">
        <v>0</v>
      </c>
      <c r="N608" t="n">
        <v>0</v>
      </c>
      <c r="O608" t="n">
        <v>0</v>
      </c>
      <c r="P608" t="n">
        <v>0</v>
      </c>
      <c r="Q608" t="n">
        <v>0</v>
      </c>
      <c r="R608" s="2" t="inlineStr"/>
    </row>
    <row r="609" ht="15" customHeight="1">
      <c r="A609" t="inlineStr">
        <is>
          <t>A 29873-2023</t>
        </is>
      </c>
      <c r="B609" s="1" t="n">
        <v>45107</v>
      </c>
      <c r="C609" s="1" t="n">
        <v>46091</v>
      </c>
      <c r="D609" t="inlineStr">
        <is>
          <t>UPPSALA LÄN</t>
        </is>
      </c>
      <c r="E609" t="inlineStr">
        <is>
          <t>ÖSTHAMMAR</t>
        </is>
      </c>
      <c r="F609" t="inlineStr">
        <is>
          <t>Naturvårdsverket</t>
        </is>
      </c>
      <c r="G609" t="n">
        <v>7.8</v>
      </c>
      <c r="H609" t="n">
        <v>0</v>
      </c>
      <c r="I609" t="n">
        <v>0</v>
      </c>
      <c r="J609" t="n">
        <v>0</v>
      </c>
      <c r="K609" t="n">
        <v>0</v>
      </c>
      <c r="L609" t="n">
        <v>0</v>
      </c>
      <c r="M609" t="n">
        <v>0</v>
      </c>
      <c r="N609" t="n">
        <v>0</v>
      </c>
      <c r="O609" t="n">
        <v>0</v>
      </c>
      <c r="P609" t="n">
        <v>0</v>
      </c>
      <c r="Q609" t="n">
        <v>0</v>
      </c>
      <c r="R609" s="2" t="inlineStr"/>
    </row>
    <row r="610" ht="15" customHeight="1">
      <c r="A610" t="inlineStr">
        <is>
          <t>A 13279-2022</t>
        </is>
      </c>
      <c r="B610" s="1" t="n">
        <v>44644</v>
      </c>
      <c r="C610" s="1" t="n">
        <v>46091</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6892-2022</t>
        </is>
      </c>
      <c r="B611" s="1" t="n">
        <v>44602</v>
      </c>
      <c r="C611" s="1" t="n">
        <v>46091</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223-2026</t>
        </is>
      </c>
      <c r="B612" s="1" t="n">
        <v>46026.84339120371</v>
      </c>
      <c r="C612" s="1" t="n">
        <v>46091</v>
      </c>
      <c r="D612" t="inlineStr">
        <is>
          <t>UPPSALA LÄN</t>
        </is>
      </c>
      <c r="E612" t="inlineStr">
        <is>
          <t>ÖSTHAMMAR</t>
        </is>
      </c>
      <c r="G612" t="n">
        <v>39.2</v>
      </c>
      <c r="H612" t="n">
        <v>0</v>
      </c>
      <c r="I612" t="n">
        <v>0</v>
      </c>
      <c r="J612" t="n">
        <v>0</v>
      </c>
      <c r="K612" t="n">
        <v>0</v>
      </c>
      <c r="L612" t="n">
        <v>0</v>
      </c>
      <c r="M612" t="n">
        <v>0</v>
      </c>
      <c r="N612" t="n">
        <v>0</v>
      </c>
      <c r="O612" t="n">
        <v>0</v>
      </c>
      <c r="P612" t="n">
        <v>0</v>
      </c>
      <c r="Q612" t="n">
        <v>0</v>
      </c>
      <c r="R612" s="2" t="inlineStr"/>
    </row>
    <row r="613" ht="15" customHeight="1">
      <c r="A613" t="inlineStr">
        <is>
          <t>A 13044-2022</t>
        </is>
      </c>
      <c r="B613" s="1" t="n">
        <v>44643</v>
      </c>
      <c r="C613" s="1" t="n">
        <v>46091</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360-2026</t>
        </is>
      </c>
      <c r="B614" s="1" t="n">
        <v>46027.66442129629</v>
      </c>
      <c r="C614" s="1" t="n">
        <v>46091</v>
      </c>
      <c r="D614" t="inlineStr">
        <is>
          <t>UPPSALA LÄN</t>
        </is>
      </c>
      <c r="E614" t="inlineStr">
        <is>
          <t>ÖSTHAMMAR</t>
        </is>
      </c>
      <c r="F614" t="inlineStr">
        <is>
          <t>Bergvik skog öst AB</t>
        </is>
      </c>
      <c r="G614" t="n">
        <v>7.9</v>
      </c>
      <c r="H614" t="n">
        <v>0</v>
      </c>
      <c r="I614" t="n">
        <v>0</v>
      </c>
      <c r="J614" t="n">
        <v>0</v>
      </c>
      <c r="K614" t="n">
        <v>0</v>
      </c>
      <c r="L614" t="n">
        <v>0</v>
      </c>
      <c r="M614" t="n">
        <v>0</v>
      </c>
      <c r="N614" t="n">
        <v>0</v>
      </c>
      <c r="O614" t="n">
        <v>0</v>
      </c>
      <c r="P614" t="n">
        <v>0</v>
      </c>
      <c r="Q614" t="n">
        <v>0</v>
      </c>
      <c r="R614" s="2" t="inlineStr"/>
    </row>
    <row r="615" ht="15" customHeight="1">
      <c r="A615" t="inlineStr">
        <is>
          <t>A 285-2026</t>
        </is>
      </c>
      <c r="B615" s="1" t="n">
        <v>46027.49130787037</v>
      </c>
      <c r="C615" s="1" t="n">
        <v>46091</v>
      </c>
      <c r="D615" t="inlineStr">
        <is>
          <t>UPPSALA LÄN</t>
        </is>
      </c>
      <c r="E615" t="inlineStr">
        <is>
          <t>ÖSTHAMMAR</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362-2026</t>
        </is>
      </c>
      <c r="B616" s="1" t="n">
        <v>46027.6659375</v>
      </c>
      <c r="C616" s="1" t="n">
        <v>46091</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8763-2025</t>
        </is>
      </c>
      <c r="B617" s="1" t="n">
        <v>45712.57872685185</v>
      </c>
      <c r="C617" s="1" t="n">
        <v>46091</v>
      </c>
      <c r="D617" t="inlineStr">
        <is>
          <t>UPPSALA LÄN</t>
        </is>
      </c>
      <c r="E617" t="inlineStr">
        <is>
          <t>ÖSTHAMMAR</t>
        </is>
      </c>
      <c r="G617" t="n">
        <v>0.6</v>
      </c>
      <c r="H617" t="n">
        <v>0</v>
      </c>
      <c r="I617" t="n">
        <v>0</v>
      </c>
      <c r="J617" t="n">
        <v>0</v>
      </c>
      <c r="K617" t="n">
        <v>0</v>
      </c>
      <c r="L617" t="n">
        <v>0</v>
      </c>
      <c r="M617" t="n">
        <v>0</v>
      </c>
      <c r="N617" t="n">
        <v>0</v>
      </c>
      <c r="O617" t="n">
        <v>0</v>
      </c>
      <c r="P617" t="n">
        <v>0</v>
      </c>
      <c r="Q617" t="n">
        <v>0</v>
      </c>
      <c r="R617" s="2" t="inlineStr"/>
    </row>
    <row r="618" ht="15" customHeight="1">
      <c r="A618" t="inlineStr">
        <is>
          <t>A 31896-2025</t>
        </is>
      </c>
      <c r="B618" s="1" t="n">
        <v>45834.67556712963</v>
      </c>
      <c r="C618" s="1" t="n">
        <v>46091</v>
      </c>
      <c r="D618" t="inlineStr">
        <is>
          <t>UPPSALA LÄN</t>
        </is>
      </c>
      <c r="E618" t="inlineStr">
        <is>
          <t>ÖSTHAMMAR</t>
        </is>
      </c>
      <c r="G618" t="n">
        <v>4.1</v>
      </c>
      <c r="H618" t="n">
        <v>0</v>
      </c>
      <c r="I618" t="n">
        <v>0</v>
      </c>
      <c r="J618" t="n">
        <v>0</v>
      </c>
      <c r="K618" t="n">
        <v>0</v>
      </c>
      <c r="L618" t="n">
        <v>0</v>
      </c>
      <c r="M618" t="n">
        <v>0</v>
      </c>
      <c r="N618" t="n">
        <v>0</v>
      </c>
      <c r="O618" t="n">
        <v>0</v>
      </c>
      <c r="P618" t="n">
        <v>0</v>
      </c>
      <c r="Q618" t="n">
        <v>0</v>
      </c>
      <c r="R618" s="2" t="inlineStr"/>
    </row>
    <row r="619" ht="15" customHeight="1">
      <c r="A619" t="inlineStr">
        <is>
          <t>A 8623-2025</t>
        </is>
      </c>
      <c r="B619" s="1" t="n">
        <v>45711.51902777778</v>
      </c>
      <c r="C619" s="1" t="n">
        <v>46091</v>
      </c>
      <c r="D619" t="inlineStr">
        <is>
          <t>UPPSALA LÄN</t>
        </is>
      </c>
      <c r="E619" t="inlineStr">
        <is>
          <t>ÖSTHAMMAR</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8626-2025</t>
        </is>
      </c>
      <c r="B620" s="1" t="n">
        <v>45711.53565972222</v>
      </c>
      <c r="C620" s="1" t="n">
        <v>46091</v>
      </c>
      <c r="D620" t="inlineStr">
        <is>
          <t>UPPSALA LÄN</t>
        </is>
      </c>
      <c r="E620" t="inlineStr">
        <is>
          <t>ÖSTHAMMAR</t>
        </is>
      </c>
      <c r="F620" t="inlineStr">
        <is>
          <t>Bergvik skog väst AB</t>
        </is>
      </c>
      <c r="G620" t="n">
        <v>1.3</v>
      </c>
      <c r="H620" t="n">
        <v>0</v>
      </c>
      <c r="I620" t="n">
        <v>0</v>
      </c>
      <c r="J620" t="n">
        <v>0</v>
      </c>
      <c r="K620" t="n">
        <v>0</v>
      </c>
      <c r="L620" t="n">
        <v>0</v>
      </c>
      <c r="M620" t="n">
        <v>0</v>
      </c>
      <c r="N620" t="n">
        <v>0</v>
      </c>
      <c r="O620" t="n">
        <v>0</v>
      </c>
      <c r="P620" t="n">
        <v>0</v>
      </c>
      <c r="Q620" t="n">
        <v>0</v>
      </c>
      <c r="R620" s="2" t="inlineStr"/>
    </row>
    <row r="621" ht="15" customHeight="1">
      <c r="A621" t="inlineStr">
        <is>
          <t>A 9664-2026</t>
        </is>
      </c>
      <c r="B621" s="1" t="n">
        <v>46072.36732638889</v>
      </c>
      <c r="C621" s="1" t="n">
        <v>46091</v>
      </c>
      <c r="D621" t="inlineStr">
        <is>
          <t>UPPSALA LÄN</t>
        </is>
      </c>
      <c r="E621" t="inlineStr">
        <is>
          <t>ÖSTHAMMAR</t>
        </is>
      </c>
      <c r="F621" t="inlineStr">
        <is>
          <t>Bergvik skog öst AB</t>
        </is>
      </c>
      <c r="G621" t="n">
        <v>0.3</v>
      </c>
      <c r="H621" t="n">
        <v>0</v>
      </c>
      <c r="I621" t="n">
        <v>0</v>
      </c>
      <c r="J621" t="n">
        <v>0</v>
      </c>
      <c r="K621" t="n">
        <v>0</v>
      </c>
      <c r="L621" t="n">
        <v>0</v>
      </c>
      <c r="M621" t="n">
        <v>0</v>
      </c>
      <c r="N621" t="n">
        <v>0</v>
      </c>
      <c r="O621" t="n">
        <v>0</v>
      </c>
      <c r="P621" t="n">
        <v>0</v>
      </c>
      <c r="Q621" t="n">
        <v>0</v>
      </c>
      <c r="R621" s="2" t="inlineStr"/>
    </row>
    <row r="622" ht="15" customHeight="1">
      <c r="A622" t="inlineStr">
        <is>
          <t>A 52694-2023</t>
        </is>
      </c>
      <c r="B622" s="1" t="n">
        <v>45225.76836805556</v>
      </c>
      <c r="C622" s="1" t="n">
        <v>46091</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985-2026</t>
        </is>
      </c>
      <c r="B623" s="1" t="n">
        <v>46030.58104166666</v>
      </c>
      <c r="C623" s="1" t="n">
        <v>46091</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5303-2025</t>
        </is>
      </c>
      <c r="B624" s="1" t="n">
        <v>45692</v>
      </c>
      <c r="C624" s="1" t="n">
        <v>46091</v>
      </c>
      <c r="D624" t="inlineStr">
        <is>
          <t>UPPSALA LÄN</t>
        </is>
      </c>
      <c r="E624" t="inlineStr">
        <is>
          <t>ÖSTHAMMAR</t>
        </is>
      </c>
      <c r="G624" t="n">
        <v>5</v>
      </c>
      <c r="H624" t="n">
        <v>0</v>
      </c>
      <c r="I624" t="n">
        <v>0</v>
      </c>
      <c r="J624" t="n">
        <v>0</v>
      </c>
      <c r="K624" t="n">
        <v>0</v>
      </c>
      <c r="L624" t="n">
        <v>0</v>
      </c>
      <c r="M624" t="n">
        <v>0</v>
      </c>
      <c r="N624" t="n">
        <v>0</v>
      </c>
      <c r="O624" t="n">
        <v>0</v>
      </c>
      <c r="P624" t="n">
        <v>0</v>
      </c>
      <c r="Q624" t="n">
        <v>0</v>
      </c>
      <c r="R624" s="2" t="inlineStr"/>
    </row>
    <row r="625" ht="15" customHeight="1">
      <c r="A625" t="inlineStr">
        <is>
          <t>A 9666-2026</t>
        </is>
      </c>
      <c r="B625" s="1" t="n">
        <v>46072.36847222222</v>
      </c>
      <c r="C625" s="1" t="n">
        <v>46091</v>
      </c>
      <c r="D625" t="inlineStr">
        <is>
          <t>UPPSALA LÄN</t>
        </is>
      </c>
      <c r="E625" t="inlineStr">
        <is>
          <t>ÖSTHAMMAR</t>
        </is>
      </c>
      <c r="F625" t="inlineStr">
        <is>
          <t>Bergvik skog öst AB</t>
        </is>
      </c>
      <c r="G625" t="n">
        <v>12.8</v>
      </c>
      <c r="H625" t="n">
        <v>0</v>
      </c>
      <c r="I625" t="n">
        <v>0</v>
      </c>
      <c r="J625" t="n">
        <v>0</v>
      </c>
      <c r="K625" t="n">
        <v>0</v>
      </c>
      <c r="L625" t="n">
        <v>0</v>
      </c>
      <c r="M625" t="n">
        <v>0</v>
      </c>
      <c r="N625" t="n">
        <v>0</v>
      </c>
      <c r="O625" t="n">
        <v>0</v>
      </c>
      <c r="P625" t="n">
        <v>0</v>
      </c>
      <c r="Q625" t="n">
        <v>0</v>
      </c>
      <c r="R625" s="2" t="inlineStr"/>
    </row>
    <row r="626" ht="15" customHeight="1">
      <c r="A626" t="inlineStr">
        <is>
          <t>A 24493-2023</t>
        </is>
      </c>
      <c r="B626" s="1" t="n">
        <v>45082.62603009259</v>
      </c>
      <c r="C626" s="1" t="n">
        <v>46091</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638-2026</t>
        </is>
      </c>
      <c r="B627" s="1" t="n">
        <v>46029.56026620371</v>
      </c>
      <c r="C627" s="1" t="n">
        <v>46091</v>
      </c>
      <c r="D627" t="inlineStr">
        <is>
          <t>UPPSALA LÄN</t>
        </is>
      </c>
      <c r="E627" t="inlineStr">
        <is>
          <t>ÖSTHAMMAR</t>
        </is>
      </c>
      <c r="F627" t="inlineStr">
        <is>
          <t>Bergvik skog öst AB</t>
        </is>
      </c>
      <c r="G627" t="n">
        <v>6.1</v>
      </c>
      <c r="H627" t="n">
        <v>0</v>
      </c>
      <c r="I627" t="n">
        <v>0</v>
      </c>
      <c r="J627" t="n">
        <v>0</v>
      </c>
      <c r="K627" t="n">
        <v>0</v>
      </c>
      <c r="L627" t="n">
        <v>0</v>
      </c>
      <c r="M627" t="n">
        <v>0</v>
      </c>
      <c r="N627" t="n">
        <v>0</v>
      </c>
      <c r="O627" t="n">
        <v>0</v>
      </c>
      <c r="P627" t="n">
        <v>0</v>
      </c>
      <c r="Q627" t="n">
        <v>0</v>
      </c>
      <c r="R627" s="2" t="inlineStr"/>
    </row>
    <row r="628" ht="15" customHeight="1">
      <c r="A628" t="inlineStr">
        <is>
          <t>A 653-2026</t>
        </is>
      </c>
      <c r="B628" s="1" t="n">
        <v>46029.57829861111</v>
      </c>
      <c r="C628" s="1" t="n">
        <v>46091</v>
      </c>
      <c r="D628" t="inlineStr">
        <is>
          <t>UPPSALA LÄN</t>
        </is>
      </c>
      <c r="E628" t="inlineStr">
        <is>
          <t>ÖSTHAMMAR</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34742-2022</t>
        </is>
      </c>
      <c r="B629" s="1" t="n">
        <v>44795.61990740741</v>
      </c>
      <c r="C629" s="1" t="n">
        <v>46091</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13622-2025</t>
        </is>
      </c>
      <c r="B630" s="1" t="n">
        <v>45736</v>
      </c>
      <c r="C630" s="1" t="n">
        <v>46091</v>
      </c>
      <c r="D630" t="inlineStr">
        <is>
          <t>UPPSALA LÄN</t>
        </is>
      </c>
      <c r="E630" t="inlineStr">
        <is>
          <t>ÖSTHAMMAR</t>
        </is>
      </c>
      <c r="G630" t="n">
        <v>2.6</v>
      </c>
      <c r="H630" t="n">
        <v>0</v>
      </c>
      <c r="I630" t="n">
        <v>0</v>
      </c>
      <c r="J630" t="n">
        <v>0</v>
      </c>
      <c r="K630" t="n">
        <v>0</v>
      </c>
      <c r="L630" t="n">
        <v>0</v>
      </c>
      <c r="M630" t="n">
        <v>0</v>
      </c>
      <c r="N630" t="n">
        <v>0</v>
      </c>
      <c r="O630" t="n">
        <v>0</v>
      </c>
      <c r="P630" t="n">
        <v>0</v>
      </c>
      <c r="Q630" t="n">
        <v>0</v>
      </c>
      <c r="R630" s="2" t="inlineStr"/>
    </row>
    <row r="631" ht="15" customHeight="1">
      <c r="A631" t="inlineStr">
        <is>
          <t>A 46399-2023</t>
        </is>
      </c>
      <c r="B631" s="1" t="n">
        <v>45197.49262731482</v>
      </c>
      <c r="C631" s="1" t="n">
        <v>46091</v>
      </c>
      <c r="D631" t="inlineStr">
        <is>
          <t>UPPSALA LÄN</t>
        </is>
      </c>
      <c r="E631" t="inlineStr">
        <is>
          <t>ÖSTHAMMAR</t>
        </is>
      </c>
      <c r="G631" t="n">
        <v>5.8</v>
      </c>
      <c r="H631" t="n">
        <v>0</v>
      </c>
      <c r="I631" t="n">
        <v>0</v>
      </c>
      <c r="J631" t="n">
        <v>0</v>
      </c>
      <c r="K631" t="n">
        <v>0</v>
      </c>
      <c r="L631" t="n">
        <v>0</v>
      </c>
      <c r="M631" t="n">
        <v>0</v>
      </c>
      <c r="N631" t="n">
        <v>0</v>
      </c>
      <c r="O631" t="n">
        <v>0</v>
      </c>
      <c r="P631" t="n">
        <v>0</v>
      </c>
      <c r="Q631" t="n">
        <v>0</v>
      </c>
      <c r="R631" s="2" t="inlineStr"/>
    </row>
    <row r="632" ht="15" customHeight="1">
      <c r="A632" t="inlineStr">
        <is>
          <t>A 13358-2024</t>
        </is>
      </c>
      <c r="B632" s="1" t="n">
        <v>45387.3503125</v>
      </c>
      <c r="C632" s="1" t="n">
        <v>46091</v>
      </c>
      <c r="D632" t="inlineStr">
        <is>
          <t>UPPSALA LÄN</t>
        </is>
      </c>
      <c r="E632" t="inlineStr">
        <is>
          <t>ÖSTHAMMAR</t>
        </is>
      </c>
      <c r="G632" t="n">
        <v>2.2</v>
      </c>
      <c r="H632" t="n">
        <v>0</v>
      </c>
      <c r="I632" t="n">
        <v>0</v>
      </c>
      <c r="J632" t="n">
        <v>0</v>
      </c>
      <c r="K632" t="n">
        <v>0</v>
      </c>
      <c r="L632" t="n">
        <v>0</v>
      </c>
      <c r="M632" t="n">
        <v>0</v>
      </c>
      <c r="N632" t="n">
        <v>0</v>
      </c>
      <c r="O632" t="n">
        <v>0</v>
      </c>
      <c r="P632" t="n">
        <v>0</v>
      </c>
      <c r="Q632" t="n">
        <v>0</v>
      </c>
      <c r="R632" s="2" t="inlineStr"/>
    </row>
    <row r="633" ht="15" customHeight="1">
      <c r="A633" t="inlineStr">
        <is>
          <t>A 55079-2024</t>
        </is>
      </c>
      <c r="B633" s="1" t="n">
        <v>45621.42747685185</v>
      </c>
      <c r="C633" s="1" t="n">
        <v>46091</v>
      </c>
      <c r="D633" t="inlineStr">
        <is>
          <t>UPPSALA LÄN</t>
        </is>
      </c>
      <c r="E633" t="inlineStr">
        <is>
          <t>ÖSTHAMMAR</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36873-2022</t>
        </is>
      </c>
      <c r="B634" s="1" t="n">
        <v>44805.63708333333</v>
      </c>
      <c r="C634" s="1" t="n">
        <v>46091</v>
      </c>
      <c r="D634" t="inlineStr">
        <is>
          <t>UPPSALA LÄN</t>
        </is>
      </c>
      <c r="E634" t="inlineStr">
        <is>
          <t>ÖSTHAMMAR</t>
        </is>
      </c>
      <c r="G634" t="n">
        <v>2.5</v>
      </c>
      <c r="H634" t="n">
        <v>0</v>
      </c>
      <c r="I634" t="n">
        <v>0</v>
      </c>
      <c r="J634" t="n">
        <v>0</v>
      </c>
      <c r="K634" t="n">
        <v>0</v>
      </c>
      <c r="L634" t="n">
        <v>0</v>
      </c>
      <c r="M634" t="n">
        <v>0</v>
      </c>
      <c r="N634" t="n">
        <v>0</v>
      </c>
      <c r="O634" t="n">
        <v>0</v>
      </c>
      <c r="P634" t="n">
        <v>0</v>
      </c>
      <c r="Q634" t="n">
        <v>0</v>
      </c>
      <c r="R634" s="2" t="inlineStr"/>
    </row>
    <row r="635" ht="15" customHeight="1">
      <c r="A635" t="inlineStr">
        <is>
          <t>A 53733-2023</t>
        </is>
      </c>
      <c r="B635" s="1" t="n">
        <v>45230.76862268519</v>
      </c>
      <c r="C635" s="1" t="n">
        <v>46091</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53735-2023</t>
        </is>
      </c>
      <c r="B636" s="1" t="n">
        <v>45230.77258101852</v>
      </c>
      <c r="C636" s="1" t="n">
        <v>46091</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1393-2026</t>
        </is>
      </c>
      <c r="B637" s="1" t="n">
        <v>46031.63748842593</v>
      </c>
      <c r="C637" s="1" t="n">
        <v>46091</v>
      </c>
      <c r="D637" t="inlineStr">
        <is>
          <t>UPPSALA LÄN</t>
        </is>
      </c>
      <c r="E637" t="inlineStr">
        <is>
          <t>ÖSTHAMMAR</t>
        </is>
      </c>
      <c r="F637" t="inlineStr">
        <is>
          <t>Bergvik skog öst AB</t>
        </is>
      </c>
      <c r="G637" t="n">
        <v>4</v>
      </c>
      <c r="H637" t="n">
        <v>0</v>
      </c>
      <c r="I637" t="n">
        <v>0</v>
      </c>
      <c r="J637" t="n">
        <v>0</v>
      </c>
      <c r="K637" t="n">
        <v>0</v>
      </c>
      <c r="L637" t="n">
        <v>0</v>
      </c>
      <c r="M637" t="n">
        <v>0</v>
      </c>
      <c r="N637" t="n">
        <v>0</v>
      </c>
      <c r="O637" t="n">
        <v>0</v>
      </c>
      <c r="P637" t="n">
        <v>0</v>
      </c>
      <c r="Q637" t="n">
        <v>0</v>
      </c>
      <c r="R637" s="2" t="inlineStr"/>
    </row>
    <row r="638" ht="15" customHeight="1">
      <c r="A638" t="inlineStr">
        <is>
          <t>A 21522-2022</t>
        </is>
      </c>
      <c r="B638" s="1" t="n">
        <v>44706</v>
      </c>
      <c r="C638" s="1" t="n">
        <v>46091</v>
      </c>
      <c r="D638" t="inlineStr">
        <is>
          <t>UPPSALA LÄN</t>
        </is>
      </c>
      <c r="E638" t="inlineStr">
        <is>
          <t>ÖSTHAMMAR</t>
        </is>
      </c>
      <c r="G638" t="n">
        <v>1.8</v>
      </c>
      <c r="H638" t="n">
        <v>0</v>
      </c>
      <c r="I638" t="n">
        <v>0</v>
      </c>
      <c r="J638" t="n">
        <v>0</v>
      </c>
      <c r="K638" t="n">
        <v>0</v>
      </c>
      <c r="L638" t="n">
        <v>0</v>
      </c>
      <c r="M638" t="n">
        <v>0</v>
      </c>
      <c r="N638" t="n">
        <v>0</v>
      </c>
      <c r="O638" t="n">
        <v>0</v>
      </c>
      <c r="P638" t="n">
        <v>0</v>
      </c>
      <c r="Q638" t="n">
        <v>0</v>
      </c>
      <c r="R638" s="2" t="inlineStr"/>
    </row>
    <row r="639" ht="15" customHeight="1">
      <c r="A639" t="inlineStr">
        <is>
          <t>A 14187-2022</t>
        </is>
      </c>
      <c r="B639" s="1" t="n">
        <v>44651.5625</v>
      </c>
      <c r="C639" s="1" t="n">
        <v>46091</v>
      </c>
      <c r="D639" t="inlineStr">
        <is>
          <t>UPPSALA LÄN</t>
        </is>
      </c>
      <c r="E639" t="inlineStr">
        <is>
          <t>ÖSTHAMMAR</t>
        </is>
      </c>
      <c r="F639" t="inlineStr">
        <is>
          <t>Övriga Aktiebolag</t>
        </is>
      </c>
      <c r="G639" t="n">
        <v>14.1</v>
      </c>
      <c r="H639" t="n">
        <v>0</v>
      </c>
      <c r="I639" t="n">
        <v>0</v>
      </c>
      <c r="J639" t="n">
        <v>0</v>
      </c>
      <c r="K639" t="n">
        <v>0</v>
      </c>
      <c r="L639" t="n">
        <v>0</v>
      </c>
      <c r="M639" t="n">
        <v>0</v>
      </c>
      <c r="N639" t="n">
        <v>0</v>
      </c>
      <c r="O639" t="n">
        <v>0</v>
      </c>
      <c r="P639" t="n">
        <v>0</v>
      </c>
      <c r="Q639" t="n">
        <v>0</v>
      </c>
      <c r="R639" s="2" t="inlineStr"/>
    </row>
    <row r="640" ht="15" customHeight="1">
      <c r="A640" t="inlineStr">
        <is>
          <t>A 7997-2022</t>
        </is>
      </c>
      <c r="B640" s="1" t="n">
        <v>44609</v>
      </c>
      <c r="C640" s="1" t="n">
        <v>46091</v>
      </c>
      <c r="D640" t="inlineStr">
        <is>
          <t>UPPSALA LÄN</t>
        </is>
      </c>
      <c r="E640" t="inlineStr">
        <is>
          <t>ÖSTHAMMAR</t>
        </is>
      </c>
      <c r="G640" t="n">
        <v>1.8</v>
      </c>
      <c r="H640" t="n">
        <v>0</v>
      </c>
      <c r="I640" t="n">
        <v>0</v>
      </c>
      <c r="J640" t="n">
        <v>0</v>
      </c>
      <c r="K640" t="n">
        <v>0</v>
      </c>
      <c r="L640" t="n">
        <v>0</v>
      </c>
      <c r="M640" t="n">
        <v>0</v>
      </c>
      <c r="N640" t="n">
        <v>0</v>
      </c>
      <c r="O640" t="n">
        <v>0</v>
      </c>
      <c r="P640" t="n">
        <v>0</v>
      </c>
      <c r="Q640" t="n">
        <v>0</v>
      </c>
      <c r="R640" s="2" t="inlineStr"/>
    </row>
    <row r="641" ht="15" customHeight="1">
      <c r="A641" t="inlineStr">
        <is>
          <t>A 4676-2025</t>
        </is>
      </c>
      <c r="B641" s="1" t="n">
        <v>45687.8313425926</v>
      </c>
      <c r="C641" s="1" t="n">
        <v>46091</v>
      </c>
      <c r="D641" t="inlineStr">
        <is>
          <t>UPPSALA LÄN</t>
        </is>
      </c>
      <c r="E641" t="inlineStr">
        <is>
          <t>ÖSTHAMMAR</t>
        </is>
      </c>
      <c r="G641" t="n">
        <v>3.7</v>
      </c>
      <c r="H641" t="n">
        <v>0</v>
      </c>
      <c r="I641" t="n">
        <v>0</v>
      </c>
      <c r="J641" t="n">
        <v>0</v>
      </c>
      <c r="K641" t="n">
        <v>0</v>
      </c>
      <c r="L641" t="n">
        <v>0</v>
      </c>
      <c r="M641" t="n">
        <v>0</v>
      </c>
      <c r="N641" t="n">
        <v>0</v>
      </c>
      <c r="O641" t="n">
        <v>0</v>
      </c>
      <c r="P641" t="n">
        <v>0</v>
      </c>
      <c r="Q641" t="n">
        <v>0</v>
      </c>
      <c r="R641" s="2" t="inlineStr"/>
    </row>
    <row r="642" ht="15" customHeight="1">
      <c r="A642" t="inlineStr">
        <is>
          <t>A 2352-2026</t>
        </is>
      </c>
      <c r="B642" s="1" t="n">
        <v>46034</v>
      </c>
      <c r="C642" s="1" t="n">
        <v>46091</v>
      </c>
      <c r="D642" t="inlineStr">
        <is>
          <t>UPPSALA LÄN</t>
        </is>
      </c>
      <c r="E642" t="inlineStr">
        <is>
          <t>ÖSTHAMMAR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2358-2026</t>
        </is>
      </c>
      <c r="B643" s="1" t="n">
        <v>46034</v>
      </c>
      <c r="C643" s="1" t="n">
        <v>46091</v>
      </c>
      <c r="D643" t="inlineStr">
        <is>
          <t>UPPSALA LÄN</t>
        </is>
      </c>
      <c r="E643" t="inlineStr">
        <is>
          <t>ÖSTHAMMAR</t>
        </is>
      </c>
      <c r="G643" t="n">
        <v>3.6</v>
      </c>
      <c r="H643" t="n">
        <v>0</v>
      </c>
      <c r="I643" t="n">
        <v>0</v>
      </c>
      <c r="J643" t="n">
        <v>0</v>
      </c>
      <c r="K643" t="n">
        <v>0</v>
      </c>
      <c r="L643" t="n">
        <v>0</v>
      </c>
      <c r="M643" t="n">
        <v>0</v>
      </c>
      <c r="N643" t="n">
        <v>0</v>
      </c>
      <c r="O643" t="n">
        <v>0</v>
      </c>
      <c r="P643" t="n">
        <v>0</v>
      </c>
      <c r="Q643" t="n">
        <v>0</v>
      </c>
      <c r="R643" s="2" t="inlineStr"/>
    </row>
    <row r="644" ht="15" customHeight="1">
      <c r="A644" t="inlineStr">
        <is>
          <t>A 55837-2023</t>
        </is>
      </c>
      <c r="B644" s="1" t="n">
        <v>45239</v>
      </c>
      <c r="C644" s="1" t="n">
        <v>46091</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1271-2026</t>
        </is>
      </c>
      <c r="B645" s="1" t="n">
        <v>46031.46616898148</v>
      </c>
      <c r="C645" s="1" t="n">
        <v>46091</v>
      </c>
      <c r="D645" t="inlineStr">
        <is>
          <t>UPPSALA LÄN</t>
        </is>
      </c>
      <c r="E645" t="inlineStr">
        <is>
          <t>ÖSTHAMMAR</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13093-2022</t>
        </is>
      </c>
      <c r="B646" s="1" t="n">
        <v>44643.93269675926</v>
      </c>
      <c r="C646" s="1" t="n">
        <v>46091</v>
      </c>
      <c r="D646" t="inlineStr">
        <is>
          <t>UPPSALA LÄN</t>
        </is>
      </c>
      <c r="E646" t="inlineStr">
        <is>
          <t>ÖSTHAMMAR</t>
        </is>
      </c>
      <c r="F646" t="inlineStr">
        <is>
          <t>Bergvik skog öst AB</t>
        </is>
      </c>
      <c r="G646" t="n">
        <v>3.2</v>
      </c>
      <c r="H646" t="n">
        <v>0</v>
      </c>
      <c r="I646" t="n">
        <v>0</v>
      </c>
      <c r="J646" t="n">
        <v>0</v>
      </c>
      <c r="K646" t="n">
        <v>0</v>
      </c>
      <c r="L646" t="n">
        <v>0</v>
      </c>
      <c r="M646" t="n">
        <v>0</v>
      </c>
      <c r="N646" t="n">
        <v>0</v>
      </c>
      <c r="O646" t="n">
        <v>0</v>
      </c>
      <c r="P646" t="n">
        <v>0</v>
      </c>
      <c r="Q646" t="n">
        <v>0</v>
      </c>
      <c r="R646" s="2" t="inlineStr"/>
    </row>
    <row r="647" ht="15" customHeight="1">
      <c r="A647" t="inlineStr">
        <is>
          <t>A 1906-2026</t>
        </is>
      </c>
      <c r="B647" s="1" t="n">
        <v>46035.55158564815</v>
      </c>
      <c r="C647" s="1" t="n">
        <v>46091</v>
      </c>
      <c r="D647" t="inlineStr">
        <is>
          <t>UPPSALA LÄN</t>
        </is>
      </c>
      <c r="E647" t="inlineStr">
        <is>
          <t>ÖSTHAMMAR</t>
        </is>
      </c>
      <c r="F647" t="inlineStr">
        <is>
          <t>Bergvik skog öst AB</t>
        </is>
      </c>
      <c r="G647" t="n">
        <v>4.3</v>
      </c>
      <c r="H647" t="n">
        <v>0</v>
      </c>
      <c r="I647" t="n">
        <v>0</v>
      </c>
      <c r="J647" t="n">
        <v>0</v>
      </c>
      <c r="K647" t="n">
        <v>0</v>
      </c>
      <c r="L647" t="n">
        <v>0</v>
      </c>
      <c r="M647" t="n">
        <v>0</v>
      </c>
      <c r="N647" t="n">
        <v>0</v>
      </c>
      <c r="O647" t="n">
        <v>0</v>
      </c>
      <c r="P647" t="n">
        <v>0</v>
      </c>
      <c r="Q647" t="n">
        <v>0</v>
      </c>
      <c r="R647" s="2" t="inlineStr"/>
    </row>
    <row r="648" ht="15" customHeight="1">
      <c r="A648" t="inlineStr">
        <is>
          <t>A 45795-2023</t>
        </is>
      </c>
      <c r="B648" s="1" t="n">
        <v>45195</v>
      </c>
      <c r="C648" s="1" t="n">
        <v>46091</v>
      </c>
      <c r="D648" t="inlineStr">
        <is>
          <t>UPPSALA LÄN</t>
        </is>
      </c>
      <c r="E648" t="inlineStr">
        <is>
          <t>ÖSTHAMMAR</t>
        </is>
      </c>
      <c r="G648" t="n">
        <v>4</v>
      </c>
      <c r="H648" t="n">
        <v>0</v>
      </c>
      <c r="I648" t="n">
        <v>0</v>
      </c>
      <c r="J648" t="n">
        <v>0</v>
      </c>
      <c r="K648" t="n">
        <v>0</v>
      </c>
      <c r="L648" t="n">
        <v>0</v>
      </c>
      <c r="M648" t="n">
        <v>0</v>
      </c>
      <c r="N648" t="n">
        <v>0</v>
      </c>
      <c r="O648" t="n">
        <v>0</v>
      </c>
      <c r="P648" t="n">
        <v>0</v>
      </c>
      <c r="Q648" t="n">
        <v>0</v>
      </c>
      <c r="R648" s="2" t="inlineStr"/>
    </row>
    <row r="649" ht="15" customHeight="1">
      <c r="A649" t="inlineStr">
        <is>
          <t>A 38600-2023</t>
        </is>
      </c>
      <c r="B649" s="1" t="n">
        <v>45162</v>
      </c>
      <c r="C649" s="1" t="n">
        <v>46091</v>
      </c>
      <c r="D649" t="inlineStr">
        <is>
          <t>UPPSALA LÄN</t>
        </is>
      </c>
      <c r="E649" t="inlineStr">
        <is>
          <t>ÖSTHAMMAR</t>
        </is>
      </c>
      <c r="F649" t="inlineStr">
        <is>
          <t>Bergvik skog väst AB</t>
        </is>
      </c>
      <c r="G649" t="n">
        <v>0.1</v>
      </c>
      <c r="H649" t="n">
        <v>0</v>
      </c>
      <c r="I649" t="n">
        <v>0</v>
      </c>
      <c r="J649" t="n">
        <v>0</v>
      </c>
      <c r="K649" t="n">
        <v>0</v>
      </c>
      <c r="L649" t="n">
        <v>0</v>
      </c>
      <c r="M649" t="n">
        <v>0</v>
      </c>
      <c r="N649" t="n">
        <v>0</v>
      </c>
      <c r="O649" t="n">
        <v>0</v>
      </c>
      <c r="P649" t="n">
        <v>0</v>
      </c>
      <c r="Q649" t="n">
        <v>0</v>
      </c>
      <c r="R649" s="2" t="inlineStr"/>
    </row>
    <row r="650" ht="15" customHeight="1">
      <c r="A650" t="inlineStr">
        <is>
          <t>A 8624-2025</t>
        </is>
      </c>
      <c r="B650" s="1" t="n">
        <v>45711.52333333333</v>
      </c>
      <c r="C650" s="1" t="n">
        <v>46091</v>
      </c>
      <c r="D650" t="inlineStr">
        <is>
          <t>UPPSALA LÄN</t>
        </is>
      </c>
      <c r="E650" t="inlineStr">
        <is>
          <t>ÖSTHAMMAR</t>
        </is>
      </c>
      <c r="F650" t="inlineStr">
        <is>
          <t>Bergvik skog väst AB</t>
        </is>
      </c>
      <c r="G650" t="n">
        <v>2.8</v>
      </c>
      <c r="H650" t="n">
        <v>0</v>
      </c>
      <c r="I650" t="n">
        <v>0</v>
      </c>
      <c r="J650" t="n">
        <v>0</v>
      </c>
      <c r="K650" t="n">
        <v>0</v>
      </c>
      <c r="L650" t="n">
        <v>0</v>
      </c>
      <c r="M650" t="n">
        <v>0</v>
      </c>
      <c r="N650" t="n">
        <v>0</v>
      </c>
      <c r="O650" t="n">
        <v>0</v>
      </c>
      <c r="P650" t="n">
        <v>0</v>
      </c>
      <c r="Q650" t="n">
        <v>0</v>
      </c>
      <c r="R650" s="2" t="inlineStr"/>
    </row>
    <row r="651" ht="15" customHeight="1">
      <c r="A651" t="inlineStr">
        <is>
          <t>A 17644-2025</t>
        </is>
      </c>
      <c r="B651" s="1" t="n">
        <v>45758.32645833334</v>
      </c>
      <c r="C651" s="1" t="n">
        <v>46091</v>
      </c>
      <c r="D651" t="inlineStr">
        <is>
          <t>UPPSALA LÄN</t>
        </is>
      </c>
      <c r="E651" t="inlineStr">
        <is>
          <t>ÖSTHAMMAR</t>
        </is>
      </c>
      <c r="F651" t="inlineStr">
        <is>
          <t>Bergvik skog väst AB</t>
        </is>
      </c>
      <c r="G651" t="n">
        <v>6.1</v>
      </c>
      <c r="H651" t="n">
        <v>0</v>
      </c>
      <c r="I651" t="n">
        <v>0</v>
      </c>
      <c r="J651" t="n">
        <v>0</v>
      </c>
      <c r="K651" t="n">
        <v>0</v>
      </c>
      <c r="L651" t="n">
        <v>0</v>
      </c>
      <c r="M651" t="n">
        <v>0</v>
      </c>
      <c r="N651" t="n">
        <v>0</v>
      </c>
      <c r="O651" t="n">
        <v>0</v>
      </c>
      <c r="P651" t="n">
        <v>0</v>
      </c>
      <c r="Q651" t="n">
        <v>0</v>
      </c>
      <c r="R651" s="2" t="inlineStr"/>
    </row>
    <row r="652" ht="15" customHeight="1">
      <c r="A652" t="inlineStr">
        <is>
          <t>A 20385-2025</t>
        </is>
      </c>
      <c r="B652" s="1" t="n">
        <v>45775.44483796296</v>
      </c>
      <c r="C652" s="1" t="n">
        <v>46091</v>
      </c>
      <c r="D652" t="inlineStr">
        <is>
          <t>UPPSALA LÄN</t>
        </is>
      </c>
      <c r="E652" t="inlineStr">
        <is>
          <t>ÖSTHAMMAR</t>
        </is>
      </c>
      <c r="G652" t="n">
        <v>1.9</v>
      </c>
      <c r="H652" t="n">
        <v>0</v>
      </c>
      <c r="I652" t="n">
        <v>0</v>
      </c>
      <c r="J652" t="n">
        <v>0</v>
      </c>
      <c r="K652" t="n">
        <v>0</v>
      </c>
      <c r="L652" t="n">
        <v>0</v>
      </c>
      <c r="M652" t="n">
        <v>0</v>
      </c>
      <c r="N652" t="n">
        <v>0</v>
      </c>
      <c r="O652" t="n">
        <v>0</v>
      </c>
      <c r="P652" t="n">
        <v>0</v>
      </c>
      <c r="Q652" t="n">
        <v>0</v>
      </c>
      <c r="R652" s="2" t="inlineStr"/>
    </row>
    <row r="653" ht="15" customHeight="1">
      <c r="A653" t="inlineStr">
        <is>
          <t>A 18183-2022</t>
        </is>
      </c>
      <c r="B653" s="1" t="n">
        <v>44684</v>
      </c>
      <c r="C653" s="1" t="n">
        <v>46091</v>
      </c>
      <c r="D653" t="inlineStr">
        <is>
          <t>UPPSALA LÄN</t>
        </is>
      </c>
      <c r="E653" t="inlineStr">
        <is>
          <t>ÖSTHAMMAR</t>
        </is>
      </c>
      <c r="G653" t="n">
        <v>0.2</v>
      </c>
      <c r="H653" t="n">
        <v>0</v>
      </c>
      <c r="I653" t="n">
        <v>0</v>
      </c>
      <c r="J653" t="n">
        <v>0</v>
      </c>
      <c r="K653" t="n">
        <v>0</v>
      </c>
      <c r="L653" t="n">
        <v>0</v>
      </c>
      <c r="M653" t="n">
        <v>0</v>
      </c>
      <c r="N653" t="n">
        <v>0</v>
      </c>
      <c r="O653" t="n">
        <v>0</v>
      </c>
      <c r="P653" t="n">
        <v>0</v>
      </c>
      <c r="Q653" t="n">
        <v>0</v>
      </c>
      <c r="R653" s="2" t="inlineStr"/>
    </row>
    <row r="654" ht="15" customHeight="1">
      <c r="A654" t="inlineStr">
        <is>
          <t>A 4304-2025</t>
        </is>
      </c>
      <c r="B654" s="1" t="n">
        <v>45685.68193287037</v>
      </c>
      <c r="C654" s="1" t="n">
        <v>46091</v>
      </c>
      <c r="D654" t="inlineStr">
        <is>
          <t>UPPSALA LÄN</t>
        </is>
      </c>
      <c r="E654" t="inlineStr">
        <is>
          <t>ÖSTHAMMAR</t>
        </is>
      </c>
      <c r="G654" t="n">
        <v>1.2</v>
      </c>
      <c r="H654" t="n">
        <v>0</v>
      </c>
      <c r="I654" t="n">
        <v>0</v>
      </c>
      <c r="J654" t="n">
        <v>0</v>
      </c>
      <c r="K654" t="n">
        <v>0</v>
      </c>
      <c r="L654" t="n">
        <v>0</v>
      </c>
      <c r="M654" t="n">
        <v>0</v>
      </c>
      <c r="N654" t="n">
        <v>0</v>
      </c>
      <c r="O654" t="n">
        <v>0</v>
      </c>
      <c r="P654" t="n">
        <v>0</v>
      </c>
      <c r="Q654" t="n">
        <v>0</v>
      </c>
      <c r="R654" s="2" t="inlineStr"/>
    </row>
    <row r="655" ht="15" customHeight="1">
      <c r="A655" t="inlineStr">
        <is>
          <t>A 28170-2023</t>
        </is>
      </c>
      <c r="B655" s="1" t="n">
        <v>45093</v>
      </c>
      <c r="C655" s="1" t="n">
        <v>46091</v>
      </c>
      <c r="D655" t="inlineStr">
        <is>
          <t>UPPSALA LÄN</t>
        </is>
      </c>
      <c r="E655" t="inlineStr">
        <is>
          <t>ÖSTHAMMAR</t>
        </is>
      </c>
      <c r="G655" t="n">
        <v>7.2</v>
      </c>
      <c r="H655" t="n">
        <v>0</v>
      </c>
      <c r="I655" t="n">
        <v>0</v>
      </c>
      <c r="J655" t="n">
        <v>0</v>
      </c>
      <c r="K655" t="n">
        <v>0</v>
      </c>
      <c r="L655" t="n">
        <v>0</v>
      </c>
      <c r="M655" t="n">
        <v>0</v>
      </c>
      <c r="N655" t="n">
        <v>0</v>
      </c>
      <c r="O655" t="n">
        <v>0</v>
      </c>
      <c r="P655" t="n">
        <v>0</v>
      </c>
      <c r="Q655" t="n">
        <v>0</v>
      </c>
      <c r="R655" s="2" t="inlineStr"/>
    </row>
    <row r="656" ht="15" customHeight="1">
      <c r="A656" t="inlineStr">
        <is>
          <t>A 16933-2022</t>
        </is>
      </c>
      <c r="B656" s="1" t="n">
        <v>44676</v>
      </c>
      <c r="C656" s="1" t="n">
        <v>46091</v>
      </c>
      <c r="D656" t="inlineStr">
        <is>
          <t>UPPSALA LÄN</t>
        </is>
      </c>
      <c r="E656" t="inlineStr">
        <is>
          <t>ÖSTHAMMAR</t>
        </is>
      </c>
      <c r="G656" t="n">
        <v>1.3</v>
      </c>
      <c r="H656" t="n">
        <v>0</v>
      </c>
      <c r="I656" t="n">
        <v>0</v>
      </c>
      <c r="J656" t="n">
        <v>0</v>
      </c>
      <c r="K656" t="n">
        <v>0</v>
      </c>
      <c r="L656" t="n">
        <v>0</v>
      </c>
      <c r="M656" t="n">
        <v>0</v>
      </c>
      <c r="N656" t="n">
        <v>0</v>
      </c>
      <c r="O656" t="n">
        <v>0</v>
      </c>
      <c r="P656" t="n">
        <v>0</v>
      </c>
      <c r="Q656" t="n">
        <v>0</v>
      </c>
      <c r="R656" s="2" t="inlineStr"/>
    </row>
    <row r="657" ht="15" customHeight="1">
      <c r="A657" t="inlineStr">
        <is>
          <t>A 23741-2024</t>
        </is>
      </c>
      <c r="B657" s="1" t="n">
        <v>45455</v>
      </c>
      <c r="C657" s="1" t="n">
        <v>46091</v>
      </c>
      <c r="D657" t="inlineStr">
        <is>
          <t>UPPSALA LÄN</t>
        </is>
      </c>
      <c r="E657" t="inlineStr">
        <is>
          <t>ÖSTHAMMAR</t>
        </is>
      </c>
      <c r="F657" t="inlineStr">
        <is>
          <t>Bergvik skog öst AB</t>
        </is>
      </c>
      <c r="G657" t="n">
        <v>1.9</v>
      </c>
      <c r="H657" t="n">
        <v>0</v>
      </c>
      <c r="I657" t="n">
        <v>0</v>
      </c>
      <c r="J657" t="n">
        <v>0</v>
      </c>
      <c r="K657" t="n">
        <v>0</v>
      </c>
      <c r="L657" t="n">
        <v>0</v>
      </c>
      <c r="M657" t="n">
        <v>0</v>
      </c>
      <c r="N657" t="n">
        <v>0</v>
      </c>
      <c r="O657" t="n">
        <v>0</v>
      </c>
      <c r="P657" t="n">
        <v>0</v>
      </c>
      <c r="Q657" t="n">
        <v>0</v>
      </c>
      <c r="R657" s="2" t="inlineStr"/>
    </row>
    <row r="658" ht="15" customHeight="1">
      <c r="A658" t="inlineStr">
        <is>
          <t>A 9264-2024</t>
        </is>
      </c>
      <c r="B658" s="1" t="n">
        <v>45358</v>
      </c>
      <c r="C658" s="1" t="n">
        <v>46091</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57043-2022</t>
        </is>
      </c>
      <c r="B659" s="1" t="n">
        <v>44895.36748842592</v>
      </c>
      <c r="C659" s="1" t="n">
        <v>46091</v>
      </c>
      <c r="D659" t="inlineStr">
        <is>
          <t>UPPSALA LÄN</t>
        </is>
      </c>
      <c r="E659" t="inlineStr">
        <is>
          <t>ÖSTHAMMAR</t>
        </is>
      </c>
      <c r="F659" t="inlineStr">
        <is>
          <t>Bergvik skog öst AB</t>
        </is>
      </c>
      <c r="G659" t="n">
        <v>5.7</v>
      </c>
      <c r="H659" t="n">
        <v>0</v>
      </c>
      <c r="I659" t="n">
        <v>0</v>
      </c>
      <c r="J659" t="n">
        <v>0</v>
      </c>
      <c r="K659" t="n">
        <v>0</v>
      </c>
      <c r="L659" t="n">
        <v>0</v>
      </c>
      <c r="M659" t="n">
        <v>0</v>
      </c>
      <c r="N659" t="n">
        <v>0</v>
      </c>
      <c r="O659" t="n">
        <v>0</v>
      </c>
      <c r="P659" t="n">
        <v>0</v>
      </c>
      <c r="Q659" t="n">
        <v>0</v>
      </c>
      <c r="R659" s="2" t="inlineStr"/>
    </row>
    <row r="660" ht="15" customHeight="1">
      <c r="A660" t="inlineStr">
        <is>
          <t>A 47390-2023</t>
        </is>
      </c>
      <c r="B660" s="1" t="n">
        <v>45202</v>
      </c>
      <c r="C660" s="1" t="n">
        <v>46091</v>
      </c>
      <c r="D660" t="inlineStr">
        <is>
          <t>UPPSALA LÄN</t>
        </is>
      </c>
      <c r="E660" t="inlineStr">
        <is>
          <t>ÖSTHAMMAR</t>
        </is>
      </c>
      <c r="G660" t="n">
        <v>3.7</v>
      </c>
      <c r="H660" t="n">
        <v>0</v>
      </c>
      <c r="I660" t="n">
        <v>0</v>
      </c>
      <c r="J660" t="n">
        <v>0</v>
      </c>
      <c r="K660" t="n">
        <v>0</v>
      </c>
      <c r="L660" t="n">
        <v>0</v>
      </c>
      <c r="M660" t="n">
        <v>0</v>
      </c>
      <c r="N660" t="n">
        <v>0</v>
      </c>
      <c r="O660" t="n">
        <v>0</v>
      </c>
      <c r="P660" t="n">
        <v>0</v>
      </c>
      <c r="Q660" t="n">
        <v>0</v>
      </c>
      <c r="R660" s="2" t="inlineStr"/>
    </row>
    <row r="661" ht="15" customHeight="1">
      <c r="A661" t="inlineStr">
        <is>
          <t>A 5469-2026</t>
        </is>
      </c>
      <c r="B661" s="1" t="n">
        <v>46050</v>
      </c>
      <c r="C661" s="1" t="n">
        <v>46091</v>
      </c>
      <c r="D661" t="inlineStr">
        <is>
          <t>UPPSALA LÄN</t>
        </is>
      </c>
      <c r="E661" t="inlineStr">
        <is>
          <t>ÖSTHAMMAR</t>
        </is>
      </c>
      <c r="F661" t="inlineStr">
        <is>
          <t>Övriga Aktiebolag</t>
        </is>
      </c>
      <c r="G661" t="n">
        <v>1</v>
      </c>
      <c r="H661" t="n">
        <v>0</v>
      </c>
      <c r="I661" t="n">
        <v>0</v>
      </c>
      <c r="J661" t="n">
        <v>0</v>
      </c>
      <c r="K661" t="n">
        <v>0</v>
      </c>
      <c r="L661" t="n">
        <v>0</v>
      </c>
      <c r="M661" t="n">
        <v>0</v>
      </c>
      <c r="N661" t="n">
        <v>0</v>
      </c>
      <c r="O661" t="n">
        <v>0</v>
      </c>
      <c r="P661" t="n">
        <v>0</v>
      </c>
      <c r="Q661" t="n">
        <v>0</v>
      </c>
      <c r="R661" s="2" t="inlineStr"/>
    </row>
    <row r="662" ht="15" customHeight="1">
      <c r="A662" t="inlineStr">
        <is>
          <t>A 2615-2026</t>
        </is>
      </c>
      <c r="B662" s="1" t="n">
        <v>46037.58893518519</v>
      </c>
      <c r="C662" s="1" t="n">
        <v>46091</v>
      </c>
      <c r="D662" t="inlineStr">
        <is>
          <t>UPPSALA LÄN</t>
        </is>
      </c>
      <c r="E662" t="inlineStr">
        <is>
          <t>ÖSTHAMMAR</t>
        </is>
      </c>
      <c r="G662" t="n">
        <v>3.2</v>
      </c>
      <c r="H662" t="n">
        <v>0</v>
      </c>
      <c r="I662" t="n">
        <v>0</v>
      </c>
      <c r="J662" t="n">
        <v>0</v>
      </c>
      <c r="K662" t="n">
        <v>0</v>
      </c>
      <c r="L662" t="n">
        <v>0</v>
      </c>
      <c r="M662" t="n">
        <v>0</v>
      </c>
      <c r="N662" t="n">
        <v>0</v>
      </c>
      <c r="O662" t="n">
        <v>0</v>
      </c>
      <c r="P662" t="n">
        <v>0</v>
      </c>
      <c r="Q662" t="n">
        <v>0</v>
      </c>
      <c r="R662" s="2" t="inlineStr"/>
    </row>
    <row r="663" ht="15" customHeight="1">
      <c r="A663" t="inlineStr">
        <is>
          <t>A 2620-2026</t>
        </is>
      </c>
      <c r="B663" s="1" t="n">
        <v>46037.59137731481</v>
      </c>
      <c r="C663" s="1" t="n">
        <v>46091</v>
      </c>
      <c r="D663" t="inlineStr">
        <is>
          <t>UPPSALA LÄN</t>
        </is>
      </c>
      <c r="E663" t="inlineStr">
        <is>
          <t>ÖSTHAMMAR</t>
        </is>
      </c>
      <c r="G663" t="n">
        <v>4.4</v>
      </c>
      <c r="H663" t="n">
        <v>0</v>
      </c>
      <c r="I663" t="n">
        <v>0</v>
      </c>
      <c r="J663" t="n">
        <v>0</v>
      </c>
      <c r="K663" t="n">
        <v>0</v>
      </c>
      <c r="L663" t="n">
        <v>0</v>
      </c>
      <c r="M663" t="n">
        <v>0</v>
      </c>
      <c r="N663" t="n">
        <v>0</v>
      </c>
      <c r="O663" t="n">
        <v>0</v>
      </c>
      <c r="P663" t="n">
        <v>0</v>
      </c>
      <c r="Q663" t="n">
        <v>0</v>
      </c>
      <c r="R663" s="2" t="inlineStr"/>
    </row>
    <row r="664" ht="15" customHeight="1">
      <c r="A664" t="inlineStr">
        <is>
          <t>A 15928-2022</t>
        </is>
      </c>
      <c r="B664" s="1" t="n">
        <v>44664</v>
      </c>
      <c r="C664" s="1" t="n">
        <v>46091</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28228-2022</t>
        </is>
      </c>
      <c r="B665" s="1" t="n">
        <v>44746.65873842593</v>
      </c>
      <c r="C665" s="1" t="n">
        <v>46091</v>
      </c>
      <c r="D665" t="inlineStr">
        <is>
          <t>UPPSALA LÄN</t>
        </is>
      </c>
      <c r="E665" t="inlineStr">
        <is>
          <t>ÖSTHAMMAR</t>
        </is>
      </c>
      <c r="G665" t="n">
        <v>2.7</v>
      </c>
      <c r="H665" t="n">
        <v>0</v>
      </c>
      <c r="I665" t="n">
        <v>0</v>
      </c>
      <c r="J665" t="n">
        <v>0</v>
      </c>
      <c r="K665" t="n">
        <v>0</v>
      </c>
      <c r="L665" t="n">
        <v>0</v>
      </c>
      <c r="M665" t="n">
        <v>0</v>
      </c>
      <c r="N665" t="n">
        <v>0</v>
      </c>
      <c r="O665" t="n">
        <v>0</v>
      </c>
      <c r="P665" t="n">
        <v>0</v>
      </c>
      <c r="Q665" t="n">
        <v>0</v>
      </c>
      <c r="R665" s="2" t="inlineStr"/>
    </row>
    <row r="666" ht="15" customHeight="1">
      <c r="A666" t="inlineStr">
        <is>
          <t>A 15445-2022</t>
        </is>
      </c>
      <c r="B666" s="1" t="n">
        <v>44660.4987962963</v>
      </c>
      <c r="C666" s="1" t="n">
        <v>46091</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10275-2025</t>
        </is>
      </c>
      <c r="B667" s="1" t="n">
        <v>45720.39715277778</v>
      </c>
      <c r="C667" s="1" t="n">
        <v>46091</v>
      </c>
      <c r="D667" t="inlineStr">
        <is>
          <t>UPPSALA LÄN</t>
        </is>
      </c>
      <c r="E667" t="inlineStr">
        <is>
          <t>ÖSTHAMMAR</t>
        </is>
      </c>
      <c r="G667" t="n">
        <v>6.2</v>
      </c>
      <c r="H667" t="n">
        <v>0</v>
      </c>
      <c r="I667" t="n">
        <v>0</v>
      </c>
      <c r="J667" t="n">
        <v>0</v>
      </c>
      <c r="K667" t="n">
        <v>0</v>
      </c>
      <c r="L667" t="n">
        <v>0</v>
      </c>
      <c r="M667" t="n">
        <v>0</v>
      </c>
      <c r="N667" t="n">
        <v>0</v>
      </c>
      <c r="O667" t="n">
        <v>0</v>
      </c>
      <c r="P667" t="n">
        <v>0</v>
      </c>
      <c r="Q667" t="n">
        <v>0</v>
      </c>
      <c r="R667" s="2" t="inlineStr"/>
    </row>
    <row r="668" ht="15" customHeight="1">
      <c r="A668" t="inlineStr">
        <is>
          <t>A 14124-2022</t>
        </is>
      </c>
      <c r="B668" s="1" t="n">
        <v>44651.40924768519</v>
      </c>
      <c r="C668" s="1" t="n">
        <v>46091</v>
      </c>
      <c r="D668" t="inlineStr">
        <is>
          <t>UPPSALA LÄN</t>
        </is>
      </c>
      <c r="E668" t="inlineStr">
        <is>
          <t>ÖSTHAMMAR</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37812-2022</t>
        </is>
      </c>
      <c r="B669" s="1" t="n">
        <v>44810</v>
      </c>
      <c r="C669" s="1" t="n">
        <v>46091</v>
      </c>
      <c r="D669" t="inlineStr">
        <is>
          <t>UPPSALA LÄN</t>
        </is>
      </c>
      <c r="E669" t="inlineStr">
        <is>
          <t>ÖSTHAMMAR</t>
        </is>
      </c>
      <c r="G669" t="n">
        <v>1</v>
      </c>
      <c r="H669" t="n">
        <v>0</v>
      </c>
      <c r="I669" t="n">
        <v>0</v>
      </c>
      <c r="J669" t="n">
        <v>0</v>
      </c>
      <c r="K669" t="n">
        <v>0</v>
      </c>
      <c r="L669" t="n">
        <v>0</v>
      </c>
      <c r="M669" t="n">
        <v>0</v>
      </c>
      <c r="N669" t="n">
        <v>0</v>
      </c>
      <c r="O669" t="n">
        <v>0</v>
      </c>
      <c r="P669" t="n">
        <v>0</v>
      </c>
      <c r="Q669" t="n">
        <v>0</v>
      </c>
      <c r="R669" s="2" t="inlineStr"/>
    </row>
    <row r="670" ht="15" customHeight="1">
      <c r="A670" t="inlineStr">
        <is>
          <t>A 3055-2026</t>
        </is>
      </c>
      <c r="B670" s="1" t="n">
        <v>46039.39636574074</v>
      </c>
      <c r="C670" s="1" t="n">
        <v>46091</v>
      </c>
      <c r="D670" t="inlineStr">
        <is>
          <t>UPPSALA LÄN</t>
        </is>
      </c>
      <c r="E670" t="inlineStr">
        <is>
          <t>ÖSTHAMMAR</t>
        </is>
      </c>
      <c r="F670" t="inlineStr">
        <is>
          <t>Bergvik skog öst AB</t>
        </is>
      </c>
      <c r="G670" t="n">
        <v>3.5</v>
      </c>
      <c r="H670" t="n">
        <v>0</v>
      </c>
      <c r="I670" t="n">
        <v>0</v>
      </c>
      <c r="J670" t="n">
        <v>0</v>
      </c>
      <c r="K670" t="n">
        <v>0</v>
      </c>
      <c r="L670" t="n">
        <v>0</v>
      </c>
      <c r="M670" t="n">
        <v>0</v>
      </c>
      <c r="N670" t="n">
        <v>0</v>
      </c>
      <c r="O670" t="n">
        <v>0</v>
      </c>
      <c r="P670" t="n">
        <v>0</v>
      </c>
      <c r="Q670" t="n">
        <v>0</v>
      </c>
      <c r="R670" s="2" t="inlineStr"/>
    </row>
    <row r="671" ht="15" customHeight="1">
      <c r="A671" t="inlineStr">
        <is>
          <t>A 19501-2025</t>
        </is>
      </c>
      <c r="B671" s="1" t="n">
        <v>45770.4015625</v>
      </c>
      <c r="C671" s="1" t="n">
        <v>46091</v>
      </c>
      <c r="D671" t="inlineStr">
        <is>
          <t>UPPSALA LÄN</t>
        </is>
      </c>
      <c r="E671" t="inlineStr">
        <is>
          <t>ÖSTHAMMAR</t>
        </is>
      </c>
      <c r="F671" t="inlineStr">
        <is>
          <t>Övriga Aktiebolag</t>
        </is>
      </c>
      <c r="G671" t="n">
        <v>17.3</v>
      </c>
      <c r="H671" t="n">
        <v>0</v>
      </c>
      <c r="I671" t="n">
        <v>0</v>
      </c>
      <c r="J671" t="n">
        <v>0</v>
      </c>
      <c r="K671" t="n">
        <v>0</v>
      </c>
      <c r="L671" t="n">
        <v>0</v>
      </c>
      <c r="M671" t="n">
        <v>0</v>
      </c>
      <c r="N671" t="n">
        <v>0</v>
      </c>
      <c r="O671" t="n">
        <v>0</v>
      </c>
      <c r="P671" t="n">
        <v>0</v>
      </c>
      <c r="Q671" t="n">
        <v>0</v>
      </c>
      <c r="R671" s="2" t="inlineStr"/>
    </row>
    <row r="672" ht="15" customHeight="1">
      <c r="A672" t="inlineStr">
        <is>
          <t>A 41821-2023</t>
        </is>
      </c>
      <c r="B672" s="1" t="n">
        <v>45176</v>
      </c>
      <c r="C672" s="1" t="n">
        <v>46091</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32742-2022</t>
        </is>
      </c>
      <c r="B673" s="1" t="n">
        <v>44783.69886574074</v>
      </c>
      <c r="C673" s="1" t="n">
        <v>46091</v>
      </c>
      <c r="D673" t="inlineStr">
        <is>
          <t>UPPSALA LÄN</t>
        </is>
      </c>
      <c r="E673" t="inlineStr">
        <is>
          <t>ÖSTHAMMAR</t>
        </is>
      </c>
      <c r="F673" t="inlineStr">
        <is>
          <t>Bergvik skog öst AB</t>
        </is>
      </c>
      <c r="G673" t="n">
        <v>0.9</v>
      </c>
      <c r="H673" t="n">
        <v>0</v>
      </c>
      <c r="I673" t="n">
        <v>0</v>
      </c>
      <c r="J673" t="n">
        <v>0</v>
      </c>
      <c r="K673" t="n">
        <v>0</v>
      </c>
      <c r="L673" t="n">
        <v>0</v>
      </c>
      <c r="M673" t="n">
        <v>0</v>
      </c>
      <c r="N673" t="n">
        <v>0</v>
      </c>
      <c r="O673" t="n">
        <v>0</v>
      </c>
      <c r="P673" t="n">
        <v>0</v>
      </c>
      <c r="Q673" t="n">
        <v>0</v>
      </c>
      <c r="R673" s="2" t="inlineStr"/>
    </row>
    <row r="674" ht="15" customHeight="1">
      <c r="A674" t="inlineStr">
        <is>
          <t>A 41308-2023</t>
        </is>
      </c>
      <c r="B674" s="1" t="n">
        <v>45174.62788194444</v>
      </c>
      <c r="C674" s="1" t="n">
        <v>46091</v>
      </c>
      <c r="D674" t="inlineStr">
        <is>
          <t>UPPSALA LÄN</t>
        </is>
      </c>
      <c r="E674" t="inlineStr">
        <is>
          <t>ÖSTHAMMAR</t>
        </is>
      </c>
      <c r="F674" t="inlineStr">
        <is>
          <t>Övriga Aktiebolag</t>
        </is>
      </c>
      <c r="G674" t="n">
        <v>2.8</v>
      </c>
      <c r="H674" t="n">
        <v>0</v>
      </c>
      <c r="I674" t="n">
        <v>0</v>
      </c>
      <c r="J674" t="n">
        <v>0</v>
      </c>
      <c r="K674" t="n">
        <v>0</v>
      </c>
      <c r="L674" t="n">
        <v>0</v>
      </c>
      <c r="M674" t="n">
        <v>0</v>
      </c>
      <c r="N674" t="n">
        <v>0</v>
      </c>
      <c r="O674" t="n">
        <v>0</v>
      </c>
      <c r="P674" t="n">
        <v>0</v>
      </c>
      <c r="Q674" t="n">
        <v>0</v>
      </c>
      <c r="R674" s="2" t="inlineStr"/>
    </row>
    <row r="675" ht="15" customHeight="1">
      <c r="A675" t="inlineStr">
        <is>
          <t>A 49833-2023</t>
        </is>
      </c>
      <c r="B675" s="1" t="n">
        <v>45212.71481481481</v>
      </c>
      <c r="C675" s="1" t="n">
        <v>46091</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17433-2025</t>
        </is>
      </c>
      <c r="B676" s="1" t="n">
        <v>45757.40733796296</v>
      </c>
      <c r="C676" s="1" t="n">
        <v>46091</v>
      </c>
      <c r="D676" t="inlineStr">
        <is>
          <t>UPPSALA LÄN</t>
        </is>
      </c>
      <c r="E676" t="inlineStr">
        <is>
          <t>ÖSTHAMMAR</t>
        </is>
      </c>
      <c r="F676" t="inlineStr">
        <is>
          <t>Övriga Aktiebolag</t>
        </is>
      </c>
      <c r="G676" t="n">
        <v>0.5</v>
      </c>
      <c r="H676" t="n">
        <v>0</v>
      </c>
      <c r="I676" t="n">
        <v>0</v>
      </c>
      <c r="J676" t="n">
        <v>0</v>
      </c>
      <c r="K676" t="n">
        <v>0</v>
      </c>
      <c r="L676" t="n">
        <v>0</v>
      </c>
      <c r="M676" t="n">
        <v>0</v>
      </c>
      <c r="N676" t="n">
        <v>0</v>
      </c>
      <c r="O676" t="n">
        <v>0</v>
      </c>
      <c r="P676" t="n">
        <v>0</v>
      </c>
      <c r="Q676" t="n">
        <v>0</v>
      </c>
      <c r="R676" s="2" t="inlineStr"/>
    </row>
    <row r="677" ht="15" customHeight="1">
      <c r="A677" t="inlineStr">
        <is>
          <t>A 45550-2023</t>
        </is>
      </c>
      <c r="B677" s="1" t="n">
        <v>45194.57125</v>
      </c>
      <c r="C677" s="1" t="n">
        <v>46091</v>
      </c>
      <c r="D677" t="inlineStr">
        <is>
          <t>UPPSALA LÄN</t>
        </is>
      </c>
      <c r="E677" t="inlineStr">
        <is>
          <t>ÖSTHAMMAR</t>
        </is>
      </c>
      <c r="F677" t="inlineStr">
        <is>
          <t>Bergvik skog öst AB</t>
        </is>
      </c>
      <c r="G677" t="n">
        <v>0.4</v>
      </c>
      <c r="H677" t="n">
        <v>0</v>
      </c>
      <c r="I677" t="n">
        <v>0</v>
      </c>
      <c r="J677" t="n">
        <v>0</v>
      </c>
      <c r="K677" t="n">
        <v>0</v>
      </c>
      <c r="L677" t="n">
        <v>0</v>
      </c>
      <c r="M677" t="n">
        <v>0</v>
      </c>
      <c r="N677" t="n">
        <v>0</v>
      </c>
      <c r="O677" t="n">
        <v>0</v>
      </c>
      <c r="P677" t="n">
        <v>0</v>
      </c>
      <c r="Q677" t="n">
        <v>0</v>
      </c>
      <c r="R677" s="2" t="inlineStr"/>
    </row>
    <row r="678" ht="15" customHeight="1">
      <c r="A678" t="inlineStr">
        <is>
          <t>A 54368-2023</t>
        </is>
      </c>
      <c r="B678" s="1" t="n">
        <v>45233.33221064815</v>
      </c>
      <c r="C678" s="1" t="n">
        <v>46091</v>
      </c>
      <c r="D678" t="inlineStr">
        <is>
          <t>UPPSALA LÄN</t>
        </is>
      </c>
      <c r="E678" t="inlineStr">
        <is>
          <t>ÖSTHAMMAR</t>
        </is>
      </c>
      <c r="F678" t="inlineStr">
        <is>
          <t>Bergvik skog öst AB</t>
        </is>
      </c>
      <c r="G678" t="n">
        <v>3</v>
      </c>
      <c r="H678" t="n">
        <v>0</v>
      </c>
      <c r="I678" t="n">
        <v>0</v>
      </c>
      <c r="J678" t="n">
        <v>0</v>
      </c>
      <c r="K678" t="n">
        <v>0</v>
      </c>
      <c r="L678" t="n">
        <v>0</v>
      </c>
      <c r="M678" t="n">
        <v>0</v>
      </c>
      <c r="N678" t="n">
        <v>0</v>
      </c>
      <c r="O678" t="n">
        <v>0</v>
      </c>
      <c r="P678" t="n">
        <v>0</v>
      </c>
      <c r="Q678" t="n">
        <v>0</v>
      </c>
      <c r="R678" s="2" t="inlineStr"/>
    </row>
    <row r="679" ht="15" customHeight="1">
      <c r="A679" t="inlineStr">
        <is>
          <t>A 3095-2026</t>
        </is>
      </c>
      <c r="B679" s="1" t="n">
        <v>46040.90493055555</v>
      </c>
      <c r="C679" s="1" t="n">
        <v>46091</v>
      </c>
      <c r="D679" t="inlineStr">
        <is>
          <t>UPPSALA LÄN</t>
        </is>
      </c>
      <c r="E679" t="inlineStr">
        <is>
          <t>ÖSTHAMMAR</t>
        </is>
      </c>
      <c r="G679" t="n">
        <v>1.7</v>
      </c>
      <c r="H679" t="n">
        <v>0</v>
      </c>
      <c r="I679" t="n">
        <v>0</v>
      </c>
      <c r="J679" t="n">
        <v>0</v>
      </c>
      <c r="K679" t="n">
        <v>0</v>
      </c>
      <c r="L679" t="n">
        <v>0</v>
      </c>
      <c r="M679" t="n">
        <v>0</v>
      </c>
      <c r="N679" t="n">
        <v>0</v>
      </c>
      <c r="O679" t="n">
        <v>0</v>
      </c>
      <c r="P679" t="n">
        <v>0</v>
      </c>
      <c r="Q679" t="n">
        <v>0</v>
      </c>
      <c r="R679" s="2" t="inlineStr"/>
    </row>
    <row r="680" ht="15" customHeight="1">
      <c r="A680" t="inlineStr">
        <is>
          <t>A 17931-2025</t>
        </is>
      </c>
      <c r="B680" s="1" t="n">
        <v>45759.56894675926</v>
      </c>
      <c r="C680" s="1" t="n">
        <v>46091</v>
      </c>
      <c r="D680" t="inlineStr">
        <is>
          <t>UPPSALA LÄN</t>
        </is>
      </c>
      <c r="E680" t="inlineStr">
        <is>
          <t>ÖSTHAMMAR</t>
        </is>
      </c>
      <c r="G680" t="n">
        <v>2.1</v>
      </c>
      <c r="H680" t="n">
        <v>0</v>
      </c>
      <c r="I680" t="n">
        <v>0</v>
      </c>
      <c r="J680" t="n">
        <v>0</v>
      </c>
      <c r="K680" t="n">
        <v>0</v>
      </c>
      <c r="L680" t="n">
        <v>0</v>
      </c>
      <c r="M680" t="n">
        <v>0</v>
      </c>
      <c r="N680" t="n">
        <v>0</v>
      </c>
      <c r="O680" t="n">
        <v>0</v>
      </c>
      <c r="P680" t="n">
        <v>0</v>
      </c>
      <c r="Q680" t="n">
        <v>0</v>
      </c>
      <c r="R680" s="2" t="inlineStr"/>
    </row>
    <row r="681" ht="15" customHeight="1">
      <c r="A681" t="inlineStr">
        <is>
          <t>A 17938-2025</t>
        </is>
      </c>
      <c r="B681" s="1" t="n">
        <v>45760.55626157407</v>
      </c>
      <c r="C681" s="1" t="n">
        <v>46091</v>
      </c>
      <c r="D681" t="inlineStr">
        <is>
          <t>UPPSALA LÄN</t>
        </is>
      </c>
      <c r="E681" t="inlineStr">
        <is>
          <t>ÖSTHAMMAR</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8791-2025</t>
        </is>
      </c>
      <c r="B682" s="1" t="n">
        <v>45712</v>
      </c>
      <c r="C682" s="1" t="n">
        <v>46091</v>
      </c>
      <c r="D682" t="inlineStr">
        <is>
          <t>UPPSALA LÄN</t>
        </is>
      </c>
      <c r="E682" t="inlineStr">
        <is>
          <t>ÖSTHAMMAR</t>
        </is>
      </c>
      <c r="G682" t="n">
        <v>0.6</v>
      </c>
      <c r="H682" t="n">
        <v>0</v>
      </c>
      <c r="I682" t="n">
        <v>0</v>
      </c>
      <c r="J682" t="n">
        <v>0</v>
      </c>
      <c r="K682" t="n">
        <v>0</v>
      </c>
      <c r="L682" t="n">
        <v>0</v>
      </c>
      <c r="M682" t="n">
        <v>0</v>
      </c>
      <c r="N682" t="n">
        <v>0</v>
      </c>
      <c r="O682" t="n">
        <v>0</v>
      </c>
      <c r="P682" t="n">
        <v>0</v>
      </c>
      <c r="Q682" t="n">
        <v>0</v>
      </c>
      <c r="R682" s="2" t="inlineStr"/>
    </row>
    <row r="683" ht="15" customHeight="1">
      <c r="A683" t="inlineStr">
        <is>
          <t>A 26552-2022</t>
        </is>
      </c>
      <c r="B683" s="1" t="n">
        <v>44739</v>
      </c>
      <c r="C683" s="1" t="n">
        <v>46091</v>
      </c>
      <c r="D683" t="inlineStr">
        <is>
          <t>UPPSALA LÄN</t>
        </is>
      </c>
      <c r="E683" t="inlineStr">
        <is>
          <t>ÖSTHAMMAR</t>
        </is>
      </c>
      <c r="G683" t="n">
        <v>2.2</v>
      </c>
      <c r="H683" t="n">
        <v>0</v>
      </c>
      <c r="I683" t="n">
        <v>0</v>
      </c>
      <c r="J683" t="n">
        <v>0</v>
      </c>
      <c r="K683" t="n">
        <v>0</v>
      </c>
      <c r="L683" t="n">
        <v>0</v>
      </c>
      <c r="M683" t="n">
        <v>0</v>
      </c>
      <c r="N683" t="n">
        <v>0</v>
      </c>
      <c r="O683" t="n">
        <v>0</v>
      </c>
      <c r="P683" t="n">
        <v>0</v>
      </c>
      <c r="Q683" t="n">
        <v>0</v>
      </c>
      <c r="R683" s="2" t="inlineStr"/>
    </row>
    <row r="684" ht="15" customHeight="1">
      <c r="A684" t="inlineStr">
        <is>
          <t>A 7216-2025</t>
        </is>
      </c>
      <c r="B684" s="1" t="n">
        <v>45702.47630787037</v>
      </c>
      <c r="C684" s="1" t="n">
        <v>46091</v>
      </c>
      <c r="D684" t="inlineStr">
        <is>
          <t>UPPSALA LÄN</t>
        </is>
      </c>
      <c r="E684" t="inlineStr">
        <is>
          <t>ÖSTHAMMAR</t>
        </is>
      </c>
      <c r="F684" t="inlineStr">
        <is>
          <t>Övriga Aktiebolag</t>
        </is>
      </c>
      <c r="G684" t="n">
        <v>12.5</v>
      </c>
      <c r="H684" t="n">
        <v>0</v>
      </c>
      <c r="I684" t="n">
        <v>0</v>
      </c>
      <c r="J684" t="n">
        <v>0</v>
      </c>
      <c r="K684" t="n">
        <v>0</v>
      </c>
      <c r="L684" t="n">
        <v>0</v>
      </c>
      <c r="M684" t="n">
        <v>0</v>
      </c>
      <c r="N684" t="n">
        <v>0</v>
      </c>
      <c r="O684" t="n">
        <v>0</v>
      </c>
      <c r="P684" t="n">
        <v>0</v>
      </c>
      <c r="Q684" t="n">
        <v>0</v>
      </c>
      <c r="R684" s="2" t="inlineStr"/>
    </row>
    <row r="685" ht="15" customHeight="1">
      <c r="A685" t="inlineStr">
        <is>
          <t>A 3926-2026</t>
        </is>
      </c>
      <c r="B685" s="1" t="n">
        <v>46043.781875</v>
      </c>
      <c r="C685" s="1" t="n">
        <v>46091</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3959-2026</t>
        </is>
      </c>
      <c r="B686" s="1" t="n">
        <v>46044.33802083333</v>
      </c>
      <c r="C686" s="1" t="n">
        <v>46091</v>
      </c>
      <c r="D686" t="inlineStr">
        <is>
          <t>UPPSALA LÄN</t>
        </is>
      </c>
      <c r="E686" t="inlineStr">
        <is>
          <t>ÖSTHAMMAR</t>
        </is>
      </c>
      <c r="F686" t="inlineStr">
        <is>
          <t>Övriga Aktiebolag</t>
        </is>
      </c>
      <c r="G686" t="n">
        <v>3.4</v>
      </c>
      <c r="H686" t="n">
        <v>0</v>
      </c>
      <c r="I686" t="n">
        <v>0</v>
      </c>
      <c r="J686" t="n">
        <v>0</v>
      </c>
      <c r="K686" t="n">
        <v>0</v>
      </c>
      <c r="L686" t="n">
        <v>0</v>
      </c>
      <c r="M686" t="n">
        <v>0</v>
      </c>
      <c r="N686" t="n">
        <v>0</v>
      </c>
      <c r="O686" t="n">
        <v>0</v>
      </c>
      <c r="P686" t="n">
        <v>0</v>
      </c>
      <c r="Q686" t="n">
        <v>0</v>
      </c>
      <c r="R686" s="2" t="inlineStr"/>
    </row>
    <row r="687" ht="15" customHeight="1">
      <c r="A687" t="inlineStr">
        <is>
          <t>A 31137-2022</t>
        </is>
      </c>
      <c r="B687" s="1" t="n">
        <v>44770.42166666667</v>
      </c>
      <c r="C687" s="1" t="n">
        <v>46091</v>
      </c>
      <c r="D687" t="inlineStr">
        <is>
          <t>UPPSALA LÄN</t>
        </is>
      </c>
      <c r="E687" t="inlineStr">
        <is>
          <t>ÖSTHAMMAR</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18094-2025</t>
        </is>
      </c>
      <c r="B688" s="1" t="n">
        <v>45761.54710648148</v>
      </c>
      <c r="C688" s="1" t="n">
        <v>46091</v>
      </c>
      <c r="D688" t="inlineStr">
        <is>
          <t>UPPSALA LÄN</t>
        </is>
      </c>
      <c r="E688" t="inlineStr">
        <is>
          <t>ÖSTHAMMAR</t>
        </is>
      </c>
      <c r="F688" t="inlineStr">
        <is>
          <t>Bergvik skog öst AB</t>
        </is>
      </c>
      <c r="G688" t="n">
        <v>6.5</v>
      </c>
      <c r="H688" t="n">
        <v>0</v>
      </c>
      <c r="I688" t="n">
        <v>0</v>
      </c>
      <c r="J688" t="n">
        <v>0</v>
      </c>
      <c r="K688" t="n">
        <v>0</v>
      </c>
      <c r="L688" t="n">
        <v>0</v>
      </c>
      <c r="M688" t="n">
        <v>0</v>
      </c>
      <c r="N688" t="n">
        <v>0</v>
      </c>
      <c r="O688" t="n">
        <v>0</v>
      </c>
      <c r="P688" t="n">
        <v>0</v>
      </c>
      <c r="Q688" t="n">
        <v>0</v>
      </c>
      <c r="R688" s="2" t="inlineStr"/>
    </row>
    <row r="689" ht="15" customHeight="1">
      <c r="A689" t="inlineStr">
        <is>
          <t>A 12151-2026</t>
        </is>
      </c>
      <c r="B689" s="1" t="n">
        <v>46086.5972800926</v>
      </c>
      <c r="C689" s="1" t="n">
        <v>46091</v>
      </c>
      <c r="D689" t="inlineStr">
        <is>
          <t>UPPSALA LÄN</t>
        </is>
      </c>
      <c r="E689" t="inlineStr">
        <is>
          <t>ÖSTHAMMAR</t>
        </is>
      </c>
      <c r="F689" t="inlineStr">
        <is>
          <t>Bergvik skog öst AB</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12172-2026</t>
        </is>
      </c>
      <c r="B690" s="1" t="n">
        <v>46086.6590625</v>
      </c>
      <c r="C690" s="1" t="n">
        <v>46091</v>
      </c>
      <c r="D690" t="inlineStr">
        <is>
          <t>UPPSALA LÄN</t>
        </is>
      </c>
      <c r="E690" t="inlineStr">
        <is>
          <t>ÖSTHAMMAR</t>
        </is>
      </c>
      <c r="F690" t="inlineStr">
        <is>
          <t>Bergvik skog öst AB</t>
        </is>
      </c>
      <c r="G690" t="n">
        <v>5.4</v>
      </c>
      <c r="H690" t="n">
        <v>0</v>
      </c>
      <c r="I690" t="n">
        <v>0</v>
      </c>
      <c r="J690" t="n">
        <v>0</v>
      </c>
      <c r="K690" t="n">
        <v>0</v>
      </c>
      <c r="L690" t="n">
        <v>0</v>
      </c>
      <c r="M690" t="n">
        <v>0</v>
      </c>
      <c r="N690" t="n">
        <v>0</v>
      </c>
      <c r="O690" t="n">
        <v>0</v>
      </c>
      <c r="P690" t="n">
        <v>0</v>
      </c>
      <c r="Q690" t="n">
        <v>0</v>
      </c>
      <c r="R690" s="2" t="inlineStr"/>
    </row>
    <row r="691" ht="15" customHeight="1">
      <c r="A691" t="inlineStr">
        <is>
          <t>A 44815-2022</t>
        </is>
      </c>
      <c r="B691" s="1" t="n">
        <v>44841.40452546296</v>
      </c>
      <c r="C691" s="1" t="n">
        <v>46091</v>
      </c>
      <c r="D691" t="inlineStr">
        <is>
          <t>UPPSALA LÄN</t>
        </is>
      </c>
      <c r="E691" t="inlineStr">
        <is>
          <t>ÖSTHAMMAR</t>
        </is>
      </c>
      <c r="G691" t="n">
        <v>1.8</v>
      </c>
      <c r="H691" t="n">
        <v>0</v>
      </c>
      <c r="I691" t="n">
        <v>0</v>
      </c>
      <c r="J691" t="n">
        <v>0</v>
      </c>
      <c r="K691" t="n">
        <v>0</v>
      </c>
      <c r="L691" t="n">
        <v>0</v>
      </c>
      <c r="M691" t="n">
        <v>0</v>
      </c>
      <c r="N691" t="n">
        <v>0</v>
      </c>
      <c r="O691" t="n">
        <v>0</v>
      </c>
      <c r="P691" t="n">
        <v>0</v>
      </c>
      <c r="Q691" t="n">
        <v>0</v>
      </c>
      <c r="R691" s="2" t="inlineStr"/>
    </row>
    <row r="692" ht="15" customHeight="1">
      <c r="A692" t="inlineStr">
        <is>
          <t>A 29753-2022</t>
        </is>
      </c>
      <c r="B692" s="1" t="n">
        <v>44755</v>
      </c>
      <c r="C692" s="1" t="n">
        <v>46091</v>
      </c>
      <c r="D692" t="inlineStr">
        <is>
          <t>UPPSALA LÄN</t>
        </is>
      </c>
      <c r="E692" t="inlineStr">
        <is>
          <t>ÖSTHAMMAR</t>
        </is>
      </c>
      <c r="G692" t="n">
        <v>9.4</v>
      </c>
      <c r="H692" t="n">
        <v>0</v>
      </c>
      <c r="I692" t="n">
        <v>0</v>
      </c>
      <c r="J692" t="n">
        <v>0</v>
      </c>
      <c r="K692" t="n">
        <v>0</v>
      </c>
      <c r="L692" t="n">
        <v>0</v>
      </c>
      <c r="M692" t="n">
        <v>0</v>
      </c>
      <c r="N692" t="n">
        <v>0</v>
      </c>
      <c r="O692" t="n">
        <v>0</v>
      </c>
      <c r="P692" t="n">
        <v>0</v>
      </c>
      <c r="Q692" t="n">
        <v>0</v>
      </c>
      <c r="R692" s="2" t="inlineStr"/>
    </row>
    <row r="693" ht="15" customHeight="1">
      <c r="A693" t="inlineStr">
        <is>
          <t>A 12150-2026</t>
        </is>
      </c>
      <c r="B693" s="1" t="n">
        <v>46086.59512731482</v>
      </c>
      <c r="C693" s="1" t="n">
        <v>46091</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3642-2026</t>
        </is>
      </c>
      <c r="B694" s="1" t="n">
        <v>46043.35760416667</v>
      </c>
      <c r="C694" s="1" t="n">
        <v>46091</v>
      </c>
      <c r="D694" t="inlineStr">
        <is>
          <t>UPPSALA LÄN</t>
        </is>
      </c>
      <c r="E694" t="inlineStr">
        <is>
          <t>ÖSTHAMMAR</t>
        </is>
      </c>
      <c r="G694" t="n">
        <v>3</v>
      </c>
      <c r="H694" t="n">
        <v>0</v>
      </c>
      <c r="I694" t="n">
        <v>0</v>
      </c>
      <c r="J694" t="n">
        <v>0</v>
      </c>
      <c r="K694" t="n">
        <v>0</v>
      </c>
      <c r="L694" t="n">
        <v>0</v>
      </c>
      <c r="M694" t="n">
        <v>0</v>
      </c>
      <c r="N694" t="n">
        <v>0</v>
      </c>
      <c r="O694" t="n">
        <v>0</v>
      </c>
      <c r="P694" t="n">
        <v>0</v>
      </c>
      <c r="Q694" t="n">
        <v>0</v>
      </c>
      <c r="R694" s="2" t="inlineStr"/>
    </row>
    <row r="695" ht="15" customHeight="1">
      <c r="A695" t="inlineStr">
        <is>
          <t>A 3668-2026</t>
        </is>
      </c>
      <c r="B695" s="1" t="n">
        <v>46043.41212962963</v>
      </c>
      <c r="C695" s="1" t="n">
        <v>46091</v>
      </c>
      <c r="D695" t="inlineStr">
        <is>
          <t>UPPSALA LÄN</t>
        </is>
      </c>
      <c r="E695" t="inlineStr">
        <is>
          <t>ÖSTHAMMAR</t>
        </is>
      </c>
      <c r="G695" t="n">
        <v>1.7</v>
      </c>
      <c r="H695" t="n">
        <v>0</v>
      </c>
      <c r="I695" t="n">
        <v>0</v>
      </c>
      <c r="J695" t="n">
        <v>0</v>
      </c>
      <c r="K695" t="n">
        <v>0</v>
      </c>
      <c r="L695" t="n">
        <v>0</v>
      </c>
      <c r="M695" t="n">
        <v>0</v>
      </c>
      <c r="N695" t="n">
        <v>0</v>
      </c>
      <c r="O695" t="n">
        <v>0</v>
      </c>
      <c r="P695" t="n">
        <v>0</v>
      </c>
      <c r="Q695" t="n">
        <v>0</v>
      </c>
      <c r="R695" s="2" t="inlineStr"/>
    </row>
    <row r="696" ht="15" customHeight="1">
      <c r="A696" t="inlineStr">
        <is>
          <t>A 20072-2025</t>
        </is>
      </c>
      <c r="B696" s="1" t="n">
        <v>45772</v>
      </c>
      <c r="C696" s="1" t="n">
        <v>46091</v>
      </c>
      <c r="D696" t="inlineStr">
        <is>
          <t>UPPSALA LÄN</t>
        </is>
      </c>
      <c r="E696" t="inlineStr">
        <is>
          <t>ÖSTHAMMAR</t>
        </is>
      </c>
      <c r="G696" t="n">
        <v>3.1</v>
      </c>
      <c r="H696" t="n">
        <v>0</v>
      </c>
      <c r="I696" t="n">
        <v>0</v>
      </c>
      <c r="J696" t="n">
        <v>0</v>
      </c>
      <c r="K696" t="n">
        <v>0</v>
      </c>
      <c r="L696" t="n">
        <v>0</v>
      </c>
      <c r="M696" t="n">
        <v>0</v>
      </c>
      <c r="N696" t="n">
        <v>0</v>
      </c>
      <c r="O696" t="n">
        <v>0</v>
      </c>
      <c r="P696" t="n">
        <v>0</v>
      </c>
      <c r="Q696" t="n">
        <v>0</v>
      </c>
      <c r="R696" s="2" t="inlineStr"/>
    </row>
    <row r="697" ht="15" customHeight="1">
      <c r="A697" t="inlineStr">
        <is>
          <t>A 52629-2023</t>
        </is>
      </c>
      <c r="B697" s="1" t="n">
        <v>45225</v>
      </c>
      <c r="C697" s="1" t="n">
        <v>46091</v>
      </c>
      <c r="D697" t="inlineStr">
        <is>
          <t>UPPSALA LÄN</t>
        </is>
      </c>
      <c r="E697" t="inlineStr">
        <is>
          <t>ÖSTHAMMAR</t>
        </is>
      </c>
      <c r="G697" t="n">
        <v>1.2</v>
      </c>
      <c r="H697" t="n">
        <v>0</v>
      </c>
      <c r="I697" t="n">
        <v>0</v>
      </c>
      <c r="J697" t="n">
        <v>0</v>
      </c>
      <c r="K697" t="n">
        <v>0</v>
      </c>
      <c r="L697" t="n">
        <v>0</v>
      </c>
      <c r="M697" t="n">
        <v>0</v>
      </c>
      <c r="N697" t="n">
        <v>0</v>
      </c>
      <c r="O697" t="n">
        <v>0</v>
      </c>
      <c r="P697" t="n">
        <v>0</v>
      </c>
      <c r="Q697" t="n">
        <v>0</v>
      </c>
      <c r="R697" s="2" t="inlineStr"/>
    </row>
    <row r="698" ht="15" customHeight="1">
      <c r="A698" t="inlineStr">
        <is>
          <t>A 12263-2026</t>
        </is>
      </c>
      <c r="B698" s="1" t="n">
        <v>46087.49299768519</v>
      </c>
      <c r="C698" s="1" t="n">
        <v>46091</v>
      </c>
      <c r="D698" t="inlineStr">
        <is>
          <t>UPPSALA LÄN</t>
        </is>
      </c>
      <c r="E698" t="inlineStr">
        <is>
          <t>ÖSTHAMMAR</t>
        </is>
      </c>
      <c r="F698" t="inlineStr">
        <is>
          <t>Övriga Aktiebolag</t>
        </is>
      </c>
      <c r="G698" t="n">
        <v>2.8</v>
      </c>
      <c r="H698" t="n">
        <v>0</v>
      </c>
      <c r="I698" t="n">
        <v>0</v>
      </c>
      <c r="J698" t="n">
        <v>0</v>
      </c>
      <c r="K698" t="n">
        <v>0</v>
      </c>
      <c r="L698" t="n">
        <v>0</v>
      </c>
      <c r="M698" t="n">
        <v>0</v>
      </c>
      <c r="N698" t="n">
        <v>0</v>
      </c>
      <c r="O698" t="n">
        <v>0</v>
      </c>
      <c r="P698" t="n">
        <v>0</v>
      </c>
      <c r="Q698" t="n">
        <v>0</v>
      </c>
      <c r="R698" s="2" t="inlineStr"/>
    </row>
    <row r="699" ht="15" customHeight="1">
      <c r="A699" t="inlineStr">
        <is>
          <t>A 4570-2026</t>
        </is>
      </c>
      <c r="B699" s="1" t="n">
        <v>46048.00856481482</v>
      </c>
      <c r="C699" s="1" t="n">
        <v>46091</v>
      </c>
      <c r="D699" t="inlineStr">
        <is>
          <t>UPPSALA LÄN</t>
        </is>
      </c>
      <c r="E699" t="inlineStr">
        <is>
          <t>ÖSTHAMMAR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9642-2024</t>
        </is>
      </c>
      <c r="B700" s="1" t="n">
        <v>45362.36296296296</v>
      </c>
      <c r="C700" s="1" t="n">
        <v>46091</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31549-2022</t>
        </is>
      </c>
      <c r="B701" s="1" t="n">
        <v>44775.400625</v>
      </c>
      <c r="C701" s="1" t="n">
        <v>46091</v>
      </c>
      <c r="D701" t="inlineStr">
        <is>
          <t>UPPSALA LÄN</t>
        </is>
      </c>
      <c r="E701" t="inlineStr">
        <is>
          <t>ÖSTHAMMAR</t>
        </is>
      </c>
      <c r="G701" t="n">
        <v>1.5</v>
      </c>
      <c r="H701" t="n">
        <v>0</v>
      </c>
      <c r="I701" t="n">
        <v>0</v>
      </c>
      <c r="J701" t="n">
        <v>0</v>
      </c>
      <c r="K701" t="n">
        <v>0</v>
      </c>
      <c r="L701" t="n">
        <v>0</v>
      </c>
      <c r="M701" t="n">
        <v>0</v>
      </c>
      <c r="N701" t="n">
        <v>0</v>
      </c>
      <c r="O701" t="n">
        <v>0</v>
      </c>
      <c r="P701" t="n">
        <v>0</v>
      </c>
      <c r="Q701" t="n">
        <v>0</v>
      </c>
      <c r="R701" s="2" t="inlineStr"/>
    </row>
    <row r="702" ht="15" customHeight="1">
      <c r="A702" t="inlineStr">
        <is>
          <t>A 47522-2023</t>
        </is>
      </c>
      <c r="B702" s="1" t="n">
        <v>45203</v>
      </c>
      <c r="C702" s="1" t="n">
        <v>46091</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12387-2026</t>
        </is>
      </c>
      <c r="B703" s="1" t="n">
        <v>46090</v>
      </c>
      <c r="C703" s="1" t="n">
        <v>46091</v>
      </c>
      <c r="D703" t="inlineStr">
        <is>
          <t>UPPSALA LÄN</t>
        </is>
      </c>
      <c r="E703" t="inlineStr">
        <is>
          <t>ÖSTHAMMAR</t>
        </is>
      </c>
      <c r="G703" t="n">
        <v>1.2</v>
      </c>
      <c r="H703" t="n">
        <v>0</v>
      </c>
      <c r="I703" t="n">
        <v>0</v>
      </c>
      <c r="J703" t="n">
        <v>0</v>
      </c>
      <c r="K703" t="n">
        <v>0</v>
      </c>
      <c r="L703" t="n">
        <v>0</v>
      </c>
      <c r="M703" t="n">
        <v>0</v>
      </c>
      <c r="N703" t="n">
        <v>0</v>
      </c>
      <c r="O703" t="n">
        <v>0</v>
      </c>
      <c r="P703" t="n">
        <v>0</v>
      </c>
      <c r="Q703" t="n">
        <v>0</v>
      </c>
      <c r="R703" s="2" t="inlineStr"/>
    </row>
    <row r="704" ht="15" customHeight="1">
      <c r="A704" t="inlineStr">
        <is>
          <t>A 13738-2023</t>
        </is>
      </c>
      <c r="B704" s="1" t="n">
        <v>45007.37081018519</v>
      </c>
      <c r="C704" s="1" t="n">
        <v>46091</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ht="15" customHeight="1">
      <c r="A705" t="inlineStr">
        <is>
          <t>A 34971-2022</t>
        </is>
      </c>
      <c r="B705" s="1" t="n">
        <v>44796.66613425926</v>
      </c>
      <c r="C705" s="1" t="n">
        <v>46091</v>
      </c>
      <c r="D705" t="inlineStr">
        <is>
          <t>UPPSALA LÄN</t>
        </is>
      </c>
      <c r="E705" t="inlineStr">
        <is>
          <t>ÖSTHAMMAR</t>
        </is>
      </c>
      <c r="F705" t="inlineStr">
        <is>
          <t>Bergvik skog öst AB</t>
        </is>
      </c>
      <c r="G705" t="n">
        <v>2.3</v>
      </c>
      <c r="H705" t="n">
        <v>0</v>
      </c>
      <c r="I705" t="n">
        <v>0</v>
      </c>
      <c r="J705" t="n">
        <v>0</v>
      </c>
      <c r="K705" t="n">
        <v>0</v>
      </c>
      <c r="L705" t="n">
        <v>0</v>
      </c>
      <c r="M705" t="n">
        <v>0</v>
      </c>
      <c r="N705" t="n">
        <v>0</v>
      </c>
      <c r="O705" t="n">
        <v>0</v>
      </c>
      <c r="P705" t="n">
        <v>0</v>
      </c>
      <c r="Q705" t="n">
        <v>0</v>
      </c>
      <c r="R705" s="2" t="inlineStr"/>
    </row>
    <row r="706" ht="15" customHeight="1">
      <c r="A706" t="inlineStr">
        <is>
          <t>A 55646-2021</t>
        </is>
      </c>
      <c r="B706" s="1" t="n">
        <v>44476.3632175926</v>
      </c>
      <c r="C706" s="1" t="n">
        <v>46091</v>
      </c>
      <c r="D706" t="inlineStr">
        <is>
          <t>UPPSALA LÄN</t>
        </is>
      </c>
      <c r="E706" t="inlineStr">
        <is>
          <t>ÖSTHAMMAR</t>
        </is>
      </c>
      <c r="F706" t="inlineStr">
        <is>
          <t>Bergvik skog öst AB</t>
        </is>
      </c>
      <c r="G706" t="n">
        <v>0.2</v>
      </c>
      <c r="H706" t="n">
        <v>0</v>
      </c>
      <c r="I706" t="n">
        <v>0</v>
      </c>
      <c r="J706" t="n">
        <v>0</v>
      </c>
      <c r="K706" t="n">
        <v>0</v>
      </c>
      <c r="L706" t="n">
        <v>0</v>
      </c>
      <c r="M706" t="n">
        <v>0</v>
      </c>
      <c r="N706" t="n">
        <v>0</v>
      </c>
      <c r="O706" t="n">
        <v>0</v>
      </c>
      <c r="P706" t="n">
        <v>0</v>
      </c>
      <c r="Q706" t="n">
        <v>0</v>
      </c>
      <c r="R706" s="2" t="inlineStr"/>
    </row>
    <row r="707" ht="15" customHeight="1">
      <c r="A707" t="inlineStr">
        <is>
          <t>A 12261-2026</t>
        </is>
      </c>
      <c r="B707" s="1" t="n">
        <v>46087.48739583333</v>
      </c>
      <c r="C707" s="1" t="n">
        <v>46091</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12262-2026</t>
        </is>
      </c>
      <c r="B708" s="1" t="n">
        <v>46087.4896875</v>
      </c>
      <c r="C708" s="1" t="n">
        <v>46091</v>
      </c>
      <c r="D708" t="inlineStr">
        <is>
          <t>UPPSALA LÄN</t>
        </is>
      </c>
      <c r="E708" t="inlineStr">
        <is>
          <t>ÖSTHAMMAR</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16240-2025</t>
        </is>
      </c>
      <c r="B709" s="1" t="n">
        <v>45746</v>
      </c>
      <c r="C709" s="1" t="n">
        <v>46091</v>
      </c>
      <c r="D709" t="inlineStr">
        <is>
          <t>UPPSALA LÄN</t>
        </is>
      </c>
      <c r="E709" t="inlineStr">
        <is>
          <t>ÖSTHAMMAR</t>
        </is>
      </c>
      <c r="G709" t="n">
        <v>1.4</v>
      </c>
      <c r="H709" t="n">
        <v>0</v>
      </c>
      <c r="I709" t="n">
        <v>0</v>
      </c>
      <c r="J709" t="n">
        <v>0</v>
      </c>
      <c r="K709" t="n">
        <v>0</v>
      </c>
      <c r="L709" t="n">
        <v>0</v>
      </c>
      <c r="M709" t="n">
        <v>0</v>
      </c>
      <c r="N709" t="n">
        <v>0</v>
      </c>
      <c r="O709" t="n">
        <v>0</v>
      </c>
      <c r="P709" t="n">
        <v>0</v>
      </c>
      <c r="Q709" t="n">
        <v>0</v>
      </c>
      <c r="R709" s="2" t="inlineStr"/>
    </row>
    <row r="710" ht="15" customHeight="1">
      <c r="A710" t="inlineStr">
        <is>
          <t>A 20038-2023</t>
        </is>
      </c>
      <c r="B710" s="1" t="n">
        <v>45054.65834490741</v>
      </c>
      <c r="C710" s="1" t="n">
        <v>46091</v>
      </c>
      <c r="D710" t="inlineStr">
        <is>
          <t>UPPSALA LÄN</t>
        </is>
      </c>
      <c r="E710" t="inlineStr">
        <is>
          <t>ÖSTHAMMAR</t>
        </is>
      </c>
      <c r="G710" t="n">
        <v>0.4</v>
      </c>
      <c r="H710" t="n">
        <v>0</v>
      </c>
      <c r="I710" t="n">
        <v>0</v>
      </c>
      <c r="J710" t="n">
        <v>0</v>
      </c>
      <c r="K710" t="n">
        <v>0</v>
      </c>
      <c r="L710" t="n">
        <v>0</v>
      </c>
      <c r="M710" t="n">
        <v>0</v>
      </c>
      <c r="N710" t="n">
        <v>0</v>
      </c>
      <c r="O710" t="n">
        <v>0</v>
      </c>
      <c r="P710" t="n">
        <v>0</v>
      </c>
      <c r="Q710" t="n">
        <v>0</v>
      </c>
      <c r="R710" s="2" t="inlineStr"/>
    </row>
    <row r="711" ht="15" customHeight="1">
      <c r="A711" t="inlineStr">
        <is>
          <t>A 6121-2024</t>
        </is>
      </c>
      <c r="B711" s="1" t="n">
        <v>45337.4219212963</v>
      </c>
      <c r="C711" s="1" t="n">
        <v>46091</v>
      </c>
      <c r="D711" t="inlineStr">
        <is>
          <t>UPPSALA LÄN</t>
        </is>
      </c>
      <c r="E711" t="inlineStr">
        <is>
          <t>ÖSTHAMMAR</t>
        </is>
      </c>
      <c r="G711" t="n">
        <v>0.4</v>
      </c>
      <c r="H711" t="n">
        <v>0</v>
      </c>
      <c r="I711" t="n">
        <v>0</v>
      </c>
      <c r="J711" t="n">
        <v>0</v>
      </c>
      <c r="K711" t="n">
        <v>0</v>
      </c>
      <c r="L711" t="n">
        <v>0</v>
      </c>
      <c r="M711" t="n">
        <v>0</v>
      </c>
      <c r="N711" t="n">
        <v>0</v>
      </c>
      <c r="O711" t="n">
        <v>0</v>
      </c>
      <c r="P711" t="n">
        <v>0</v>
      </c>
      <c r="Q711" t="n">
        <v>0</v>
      </c>
      <c r="R711" s="2" t="inlineStr"/>
    </row>
    <row r="712" ht="15" customHeight="1">
      <c r="A712" t="inlineStr">
        <is>
          <t>A 8699-2025</t>
        </is>
      </c>
      <c r="B712" s="1" t="n">
        <v>45712.47983796296</v>
      </c>
      <c r="C712" s="1" t="n">
        <v>46091</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15031-2025</t>
        </is>
      </c>
      <c r="B713" s="1" t="n">
        <v>45743.67333333333</v>
      </c>
      <c r="C713" s="1" t="n">
        <v>46091</v>
      </c>
      <c r="D713" t="inlineStr">
        <is>
          <t>UPPSALA LÄN</t>
        </is>
      </c>
      <c r="E713" t="inlineStr">
        <is>
          <t>ÖSTHAMMAR</t>
        </is>
      </c>
      <c r="G713" t="n">
        <v>9.6</v>
      </c>
      <c r="H713" t="n">
        <v>0</v>
      </c>
      <c r="I713" t="n">
        <v>0</v>
      </c>
      <c r="J713" t="n">
        <v>0</v>
      </c>
      <c r="K713" t="n">
        <v>0</v>
      </c>
      <c r="L713" t="n">
        <v>0</v>
      </c>
      <c r="M713" t="n">
        <v>0</v>
      </c>
      <c r="N713" t="n">
        <v>0</v>
      </c>
      <c r="O713" t="n">
        <v>0</v>
      </c>
      <c r="P713" t="n">
        <v>0</v>
      </c>
      <c r="Q713" t="n">
        <v>0</v>
      </c>
      <c r="R713" s="2" t="inlineStr"/>
    </row>
    <row r="714" ht="15" customHeight="1">
      <c r="A714" t="inlineStr">
        <is>
          <t>A 60555-2023</t>
        </is>
      </c>
      <c r="B714" s="1" t="n">
        <v>45259</v>
      </c>
      <c r="C714" s="1" t="n">
        <v>46091</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12589-2026</t>
        </is>
      </c>
      <c r="B715" s="1" t="n">
        <v>46090</v>
      </c>
      <c r="C715" s="1" t="n">
        <v>46091</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60584-2021</t>
        </is>
      </c>
      <c r="B716" s="1" t="n">
        <v>44496</v>
      </c>
      <c r="C716" s="1" t="n">
        <v>46091</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17652-2025</t>
        </is>
      </c>
      <c r="B717" s="1" t="n">
        <v>45758.33583333333</v>
      </c>
      <c r="C717" s="1" t="n">
        <v>46091</v>
      </c>
      <c r="D717" t="inlineStr">
        <is>
          <t>UPPSALA LÄN</t>
        </is>
      </c>
      <c r="E717" t="inlineStr">
        <is>
          <t>ÖSTHAMMAR</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48719-2023</t>
        </is>
      </c>
      <c r="B718" s="1" t="n">
        <v>45208.70452546296</v>
      </c>
      <c r="C718" s="1" t="n">
        <v>46091</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33784-2024</t>
        </is>
      </c>
      <c r="B719" s="1" t="n">
        <v>45520</v>
      </c>
      <c r="C719" s="1" t="n">
        <v>46091</v>
      </c>
      <c r="D719" t="inlineStr">
        <is>
          <t>UPPSALA LÄN</t>
        </is>
      </c>
      <c r="E719" t="inlineStr">
        <is>
          <t>ÖSTHAMMAR</t>
        </is>
      </c>
      <c r="F719" t="inlineStr">
        <is>
          <t>Naturvårdsverket</t>
        </is>
      </c>
      <c r="G719" t="n">
        <v>0.6</v>
      </c>
      <c r="H719" t="n">
        <v>0</v>
      </c>
      <c r="I719" t="n">
        <v>0</v>
      </c>
      <c r="J719" t="n">
        <v>0</v>
      </c>
      <c r="K719" t="n">
        <v>0</v>
      </c>
      <c r="L719" t="n">
        <v>0</v>
      </c>
      <c r="M719" t="n">
        <v>0</v>
      </c>
      <c r="N719" t="n">
        <v>0</v>
      </c>
      <c r="O719" t="n">
        <v>0</v>
      </c>
      <c r="P719" t="n">
        <v>0</v>
      </c>
      <c r="Q719" t="n">
        <v>0</v>
      </c>
      <c r="R719" s="2" t="inlineStr"/>
    </row>
    <row r="720" ht="15" customHeight="1">
      <c r="A720" t="inlineStr">
        <is>
          <t>A 33601-2024</t>
        </is>
      </c>
      <c r="B720" s="1" t="n">
        <v>45520</v>
      </c>
      <c r="C720" s="1" t="n">
        <v>46091</v>
      </c>
      <c r="D720" t="inlineStr">
        <is>
          <t>UPPSALA LÄN</t>
        </is>
      </c>
      <c r="E720" t="inlineStr">
        <is>
          <t>ÖSTHAMMAR</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19009-2023</t>
        </is>
      </c>
      <c r="B721" s="1" t="n">
        <v>45045</v>
      </c>
      <c r="C721" s="1" t="n">
        <v>46091</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30755-2024</t>
        </is>
      </c>
      <c r="B722" s="1" t="n">
        <v>45496</v>
      </c>
      <c r="C722" s="1" t="n">
        <v>46091</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9052-2023</t>
        </is>
      </c>
      <c r="B723" s="1" t="n">
        <v>44979</v>
      </c>
      <c r="C723" s="1" t="n">
        <v>46091</v>
      </c>
      <c r="D723" t="inlineStr">
        <is>
          <t>UPPSALA LÄN</t>
        </is>
      </c>
      <c r="E723" t="inlineStr">
        <is>
          <t>ÖSTHAMMAR</t>
        </is>
      </c>
      <c r="F723" t="inlineStr">
        <is>
          <t>Kyrkan</t>
        </is>
      </c>
      <c r="G723" t="n">
        <v>0.2</v>
      </c>
      <c r="H723" t="n">
        <v>0</v>
      </c>
      <c r="I723" t="n">
        <v>0</v>
      </c>
      <c r="J723" t="n">
        <v>0</v>
      </c>
      <c r="K723" t="n">
        <v>0</v>
      </c>
      <c r="L723" t="n">
        <v>0</v>
      </c>
      <c r="M723" t="n">
        <v>0</v>
      </c>
      <c r="N723" t="n">
        <v>0</v>
      </c>
      <c r="O723" t="n">
        <v>0</v>
      </c>
      <c r="P723" t="n">
        <v>0</v>
      </c>
      <c r="Q723" t="n">
        <v>0</v>
      </c>
      <c r="R723" s="2" t="inlineStr"/>
    </row>
    <row r="724" ht="15" customHeight="1">
      <c r="A724" t="inlineStr">
        <is>
          <t>A 33760-2024</t>
        </is>
      </c>
      <c r="B724" s="1" t="n">
        <v>45520</v>
      </c>
      <c r="C724" s="1" t="n">
        <v>46091</v>
      </c>
      <c r="D724" t="inlineStr">
        <is>
          <t>UPPSALA LÄN</t>
        </is>
      </c>
      <c r="E724" t="inlineStr">
        <is>
          <t>ÖSTHAMMAR</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3725-2022</t>
        </is>
      </c>
      <c r="B725" s="1" t="n">
        <v>44586</v>
      </c>
      <c r="C725" s="1" t="n">
        <v>46091</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8006-2023</t>
        </is>
      </c>
      <c r="B726" s="1" t="n">
        <v>44973</v>
      </c>
      <c r="C726" s="1" t="n">
        <v>46091</v>
      </c>
      <c r="D726" t="inlineStr">
        <is>
          <t>UPPSALA LÄN</t>
        </is>
      </c>
      <c r="E726" t="inlineStr">
        <is>
          <t>ÖSTHAMMAR</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11469-2023</t>
        </is>
      </c>
      <c r="B727" s="1" t="n">
        <v>44993.60099537037</v>
      </c>
      <c r="C727" s="1" t="n">
        <v>46091</v>
      </c>
      <c r="D727" t="inlineStr">
        <is>
          <t>UPPSALA LÄN</t>
        </is>
      </c>
      <c r="E727" t="inlineStr">
        <is>
          <t>ÖSTHAMMAR</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20324-2021</t>
        </is>
      </c>
      <c r="B728" s="1" t="n">
        <v>44308</v>
      </c>
      <c r="C728" s="1" t="n">
        <v>46091</v>
      </c>
      <c r="D728" t="inlineStr">
        <is>
          <t>UPPSALA LÄN</t>
        </is>
      </c>
      <c r="E728" t="inlineStr">
        <is>
          <t>ÖSTHAMMAR</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25033-2021</t>
        </is>
      </c>
      <c r="B729" s="1" t="n">
        <v>44341.590625</v>
      </c>
      <c r="C729" s="1" t="n">
        <v>46091</v>
      </c>
      <c r="D729" t="inlineStr">
        <is>
          <t>UPPSALA LÄN</t>
        </is>
      </c>
      <c r="E729" t="inlineStr">
        <is>
          <t>ÖSTHAMMAR</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16212-2021</t>
        </is>
      </c>
      <c r="B730" s="1" t="n">
        <v>44287</v>
      </c>
      <c r="C730" s="1" t="n">
        <v>46091</v>
      </c>
      <c r="D730" t="inlineStr">
        <is>
          <t>UPPSALA LÄN</t>
        </is>
      </c>
      <c r="E730" t="inlineStr">
        <is>
          <t>ÖSTHAMMAR</t>
        </is>
      </c>
      <c r="G730" t="n">
        <v>1.6</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46091</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23120-2021</t>
        </is>
      </c>
      <c r="B732" s="1" t="n">
        <v>44330</v>
      </c>
      <c r="C732" s="1" t="n">
        <v>46091</v>
      </c>
      <c r="D732" t="inlineStr">
        <is>
          <t>UPPSALA LÄN</t>
        </is>
      </c>
      <c r="E732" t="inlineStr">
        <is>
          <t>ÖSTHAMMAR</t>
        </is>
      </c>
      <c r="G732" t="n">
        <v>0.5</v>
      </c>
      <c r="H732" t="n">
        <v>0</v>
      </c>
      <c r="I732" t="n">
        <v>0</v>
      </c>
      <c r="J732" t="n">
        <v>0</v>
      </c>
      <c r="K732" t="n">
        <v>0</v>
      </c>
      <c r="L732" t="n">
        <v>0</v>
      </c>
      <c r="M732" t="n">
        <v>0</v>
      </c>
      <c r="N732" t="n">
        <v>0</v>
      </c>
      <c r="O732" t="n">
        <v>0</v>
      </c>
      <c r="P732" t="n">
        <v>0</v>
      </c>
      <c r="Q732" t="n">
        <v>0</v>
      </c>
      <c r="R732" s="2" t="inlineStr"/>
    </row>
    <row r="733" ht="15" customHeight="1">
      <c r="A733" t="inlineStr">
        <is>
          <t>A 52389-2022</t>
        </is>
      </c>
      <c r="B733" s="1" t="n">
        <v>44874.38325231482</v>
      </c>
      <c r="C733" s="1" t="n">
        <v>46091</v>
      </c>
      <c r="D733" t="inlineStr">
        <is>
          <t>UPPSALA LÄN</t>
        </is>
      </c>
      <c r="E733" t="inlineStr">
        <is>
          <t>ÖSTHAMMAR</t>
        </is>
      </c>
      <c r="G733" t="n">
        <v>3.1</v>
      </c>
      <c r="H733" t="n">
        <v>0</v>
      </c>
      <c r="I733" t="n">
        <v>0</v>
      </c>
      <c r="J733" t="n">
        <v>0</v>
      </c>
      <c r="K733" t="n">
        <v>0</v>
      </c>
      <c r="L733" t="n">
        <v>0</v>
      </c>
      <c r="M733" t="n">
        <v>0</v>
      </c>
      <c r="N733" t="n">
        <v>0</v>
      </c>
      <c r="O733" t="n">
        <v>0</v>
      </c>
      <c r="P733" t="n">
        <v>0</v>
      </c>
      <c r="Q733" t="n">
        <v>0</v>
      </c>
      <c r="R733" s="2" t="inlineStr"/>
    </row>
    <row r="734" ht="15" customHeight="1">
      <c r="A734" t="inlineStr">
        <is>
          <t>A 1238-2022</t>
        </is>
      </c>
      <c r="B734" s="1" t="n">
        <v>44572.5827662037</v>
      </c>
      <c r="C734" s="1" t="n">
        <v>46091</v>
      </c>
      <c r="D734" t="inlineStr">
        <is>
          <t>UPPSALA LÄN</t>
        </is>
      </c>
      <c r="E734" t="inlineStr">
        <is>
          <t>ÖSTHAMMAR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3327-2023</t>
        </is>
      </c>
      <c r="B735" s="1" t="n">
        <v>44949.4377662037</v>
      </c>
      <c r="C735" s="1" t="n">
        <v>46091</v>
      </c>
      <c r="D735" t="inlineStr">
        <is>
          <t>UPPSALA LÄN</t>
        </is>
      </c>
      <c r="E735" t="inlineStr">
        <is>
          <t>ÖSTHAMMAR</t>
        </is>
      </c>
      <c r="G735" t="n">
        <v>1.1</v>
      </c>
      <c r="H735" t="n">
        <v>0</v>
      </c>
      <c r="I735" t="n">
        <v>0</v>
      </c>
      <c r="J735" t="n">
        <v>0</v>
      </c>
      <c r="K735" t="n">
        <v>0</v>
      </c>
      <c r="L735" t="n">
        <v>0</v>
      </c>
      <c r="M735" t="n">
        <v>0</v>
      </c>
      <c r="N735" t="n">
        <v>0</v>
      </c>
      <c r="O735" t="n">
        <v>0</v>
      </c>
      <c r="P735" t="n">
        <v>0</v>
      </c>
      <c r="Q735" t="n">
        <v>0</v>
      </c>
      <c r="R735" s="2" t="inlineStr"/>
    </row>
    <row r="736" ht="15" customHeight="1">
      <c r="A736" t="inlineStr">
        <is>
          <t>A 4233-2023</t>
        </is>
      </c>
      <c r="B736" s="1" t="n">
        <v>44953.48619212963</v>
      </c>
      <c r="C736" s="1" t="n">
        <v>46091</v>
      </c>
      <c r="D736" t="inlineStr">
        <is>
          <t>UPPSALA LÄN</t>
        </is>
      </c>
      <c r="E736" t="inlineStr">
        <is>
          <t>ÖSTHAMMAR</t>
        </is>
      </c>
      <c r="G736" t="n">
        <v>0.9</v>
      </c>
      <c r="H736" t="n">
        <v>0</v>
      </c>
      <c r="I736" t="n">
        <v>0</v>
      </c>
      <c r="J736" t="n">
        <v>0</v>
      </c>
      <c r="K736" t="n">
        <v>0</v>
      </c>
      <c r="L736" t="n">
        <v>0</v>
      </c>
      <c r="M736" t="n">
        <v>0</v>
      </c>
      <c r="N736" t="n">
        <v>0</v>
      </c>
      <c r="O736" t="n">
        <v>0</v>
      </c>
      <c r="P736" t="n">
        <v>0</v>
      </c>
      <c r="Q736" t="n">
        <v>0</v>
      </c>
      <c r="R736" s="2" t="inlineStr"/>
    </row>
    <row r="737" ht="15" customHeight="1">
      <c r="A737" t="inlineStr">
        <is>
          <t>A 30811-2023</t>
        </is>
      </c>
      <c r="B737" s="1" t="n">
        <v>45112.86422453704</v>
      </c>
      <c r="C737" s="1" t="n">
        <v>46091</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8708-2022</t>
        </is>
      </c>
      <c r="B738" s="1" t="n">
        <v>44613.77238425926</v>
      </c>
      <c r="C738" s="1" t="n">
        <v>46091</v>
      </c>
      <c r="D738" t="inlineStr">
        <is>
          <t>UPPSALA LÄN</t>
        </is>
      </c>
      <c r="E738" t="inlineStr">
        <is>
          <t>ÖSTHAMMAR</t>
        </is>
      </c>
      <c r="G738" t="n">
        <v>4.3</v>
      </c>
      <c r="H738" t="n">
        <v>0</v>
      </c>
      <c r="I738" t="n">
        <v>0</v>
      </c>
      <c r="J738" t="n">
        <v>0</v>
      </c>
      <c r="K738" t="n">
        <v>0</v>
      </c>
      <c r="L738" t="n">
        <v>0</v>
      </c>
      <c r="M738" t="n">
        <v>0</v>
      </c>
      <c r="N738" t="n">
        <v>0</v>
      </c>
      <c r="O738" t="n">
        <v>0</v>
      </c>
      <c r="P738" t="n">
        <v>0</v>
      </c>
      <c r="Q738" t="n">
        <v>0</v>
      </c>
      <c r="R738" s="2" t="inlineStr"/>
    </row>
    <row r="739" ht="15" customHeight="1">
      <c r="A739" t="inlineStr">
        <is>
          <t>A 11547-2022</t>
        </is>
      </c>
      <c r="B739" s="1" t="n">
        <v>44631.43116898148</v>
      </c>
      <c r="C739" s="1" t="n">
        <v>46091</v>
      </c>
      <c r="D739" t="inlineStr">
        <is>
          <t>UPPSALA LÄN</t>
        </is>
      </c>
      <c r="E739" t="inlineStr">
        <is>
          <t>ÖSTHAMMAR</t>
        </is>
      </c>
      <c r="G739" t="n">
        <v>4.4</v>
      </c>
      <c r="H739" t="n">
        <v>0</v>
      </c>
      <c r="I739" t="n">
        <v>0</v>
      </c>
      <c r="J739" t="n">
        <v>0</v>
      </c>
      <c r="K739" t="n">
        <v>0</v>
      </c>
      <c r="L739" t="n">
        <v>0</v>
      </c>
      <c r="M739" t="n">
        <v>0</v>
      </c>
      <c r="N739" t="n">
        <v>0</v>
      </c>
      <c r="O739" t="n">
        <v>0</v>
      </c>
      <c r="P739" t="n">
        <v>0</v>
      </c>
      <c r="Q739" t="n">
        <v>0</v>
      </c>
      <c r="R739" s="2" t="inlineStr"/>
    </row>
    <row r="740" ht="15" customHeight="1">
      <c r="A740" t="inlineStr">
        <is>
          <t>A 25269-2024</t>
        </is>
      </c>
      <c r="B740" s="1" t="n">
        <v>45462</v>
      </c>
      <c r="C740" s="1" t="n">
        <v>46091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59382-2022</t>
        </is>
      </c>
      <c r="B741" s="1" t="n">
        <v>44905.50363425926</v>
      </c>
      <c r="C741" s="1" t="n">
        <v>46091</v>
      </c>
      <c r="D741" t="inlineStr">
        <is>
          <t>UPPSALA LÄN</t>
        </is>
      </c>
      <c r="E741" t="inlineStr">
        <is>
          <t>ÖSTHAMMAR</t>
        </is>
      </c>
      <c r="G741" t="n">
        <v>2.9</v>
      </c>
      <c r="H741" t="n">
        <v>0</v>
      </c>
      <c r="I741" t="n">
        <v>0</v>
      </c>
      <c r="J741" t="n">
        <v>0</v>
      </c>
      <c r="K741" t="n">
        <v>0</v>
      </c>
      <c r="L741" t="n">
        <v>0</v>
      </c>
      <c r="M741" t="n">
        <v>0</v>
      </c>
      <c r="N741" t="n">
        <v>0</v>
      </c>
      <c r="O741" t="n">
        <v>0</v>
      </c>
      <c r="P741" t="n">
        <v>0</v>
      </c>
      <c r="Q741" t="n">
        <v>0</v>
      </c>
      <c r="R741" s="2" t="inlineStr"/>
    </row>
    <row r="742" ht="15" customHeight="1">
      <c r="A742" t="inlineStr">
        <is>
          <t>A 25969-2023</t>
        </is>
      </c>
      <c r="B742" s="1" t="n">
        <v>45090</v>
      </c>
      <c r="C742" s="1" t="n">
        <v>46091</v>
      </c>
      <c r="D742" t="inlineStr">
        <is>
          <t>UPPSALA LÄN</t>
        </is>
      </c>
      <c r="E742" t="inlineStr">
        <is>
          <t>ÖSTHAMMAR</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56903-2023</t>
        </is>
      </c>
      <c r="B743" s="1" t="n">
        <v>45244.56943287037</v>
      </c>
      <c r="C743" s="1" t="n">
        <v>46091</v>
      </c>
      <c r="D743" t="inlineStr">
        <is>
          <t>UPPSALA LÄN</t>
        </is>
      </c>
      <c r="E743" t="inlineStr">
        <is>
          <t>ÖSTHAMMAR</t>
        </is>
      </c>
      <c r="G743" t="n">
        <v>3.1</v>
      </c>
      <c r="H743" t="n">
        <v>0</v>
      </c>
      <c r="I743" t="n">
        <v>0</v>
      </c>
      <c r="J743" t="n">
        <v>0</v>
      </c>
      <c r="K743" t="n">
        <v>0</v>
      </c>
      <c r="L743" t="n">
        <v>0</v>
      </c>
      <c r="M743" t="n">
        <v>0</v>
      </c>
      <c r="N743" t="n">
        <v>0</v>
      </c>
      <c r="O743" t="n">
        <v>0</v>
      </c>
      <c r="P743" t="n">
        <v>0</v>
      </c>
      <c r="Q743" t="n">
        <v>0</v>
      </c>
      <c r="R743" s="2" t="inlineStr"/>
    </row>
    <row r="744" ht="15" customHeight="1">
      <c r="A744" t="inlineStr">
        <is>
          <t>A 67151-2021</t>
        </is>
      </c>
      <c r="B744" s="1" t="n">
        <v>44523</v>
      </c>
      <c r="C744" s="1" t="n">
        <v>46091</v>
      </c>
      <c r="D744" t="inlineStr">
        <is>
          <t>UPPSALA LÄN</t>
        </is>
      </c>
      <c r="E744" t="inlineStr">
        <is>
          <t>ÖSTHAMMAR</t>
        </is>
      </c>
      <c r="G744" t="n">
        <v>2.4</v>
      </c>
      <c r="H744" t="n">
        <v>0</v>
      </c>
      <c r="I744" t="n">
        <v>0</v>
      </c>
      <c r="J744" t="n">
        <v>0</v>
      </c>
      <c r="K744" t="n">
        <v>0</v>
      </c>
      <c r="L744" t="n">
        <v>0</v>
      </c>
      <c r="M744" t="n">
        <v>0</v>
      </c>
      <c r="N744" t="n">
        <v>0</v>
      </c>
      <c r="O744" t="n">
        <v>0</v>
      </c>
      <c r="P744" t="n">
        <v>0</v>
      </c>
      <c r="Q744" t="n">
        <v>0</v>
      </c>
      <c r="R744" s="2" t="inlineStr"/>
    </row>
    <row r="745" ht="15" customHeight="1">
      <c r="A745" t="inlineStr">
        <is>
          <t>A 29824-2023</t>
        </is>
      </c>
      <c r="B745" s="1" t="n">
        <v>45107</v>
      </c>
      <c r="C745" s="1" t="n">
        <v>46091</v>
      </c>
      <c r="D745" t="inlineStr">
        <is>
          <t>UPPSALA LÄN</t>
        </is>
      </c>
      <c r="E745" t="inlineStr">
        <is>
          <t>ÖSTHAMMAR</t>
        </is>
      </c>
      <c r="F745" t="inlineStr">
        <is>
          <t>Naturvårdsverket</t>
        </is>
      </c>
      <c r="G745" t="n">
        <v>1.6</v>
      </c>
      <c r="H745" t="n">
        <v>0</v>
      </c>
      <c r="I745" t="n">
        <v>0</v>
      </c>
      <c r="J745" t="n">
        <v>0</v>
      </c>
      <c r="K745" t="n">
        <v>0</v>
      </c>
      <c r="L745" t="n">
        <v>0</v>
      </c>
      <c r="M745" t="n">
        <v>0</v>
      </c>
      <c r="N745" t="n">
        <v>0</v>
      </c>
      <c r="O745" t="n">
        <v>0</v>
      </c>
      <c r="P745" t="n">
        <v>0</v>
      </c>
      <c r="Q745" t="n">
        <v>0</v>
      </c>
      <c r="R745" s="2" t="inlineStr"/>
    </row>
    <row r="746" ht="15" customHeight="1">
      <c r="A746" t="inlineStr">
        <is>
          <t>A 64586-2021</t>
        </is>
      </c>
      <c r="B746" s="1" t="n">
        <v>44511</v>
      </c>
      <c r="C746" s="1" t="n">
        <v>46091</v>
      </c>
      <c r="D746" t="inlineStr">
        <is>
          <t>UPPSALA LÄN</t>
        </is>
      </c>
      <c r="E746" t="inlineStr">
        <is>
          <t>ÖSTHAMMAR</t>
        </is>
      </c>
      <c r="G746" t="n">
        <v>2</v>
      </c>
      <c r="H746" t="n">
        <v>0</v>
      </c>
      <c r="I746" t="n">
        <v>0</v>
      </c>
      <c r="J746" t="n">
        <v>0</v>
      </c>
      <c r="K746" t="n">
        <v>0</v>
      </c>
      <c r="L746" t="n">
        <v>0</v>
      </c>
      <c r="M746" t="n">
        <v>0</v>
      </c>
      <c r="N746" t="n">
        <v>0</v>
      </c>
      <c r="O746" t="n">
        <v>0</v>
      </c>
      <c r="P746" t="n">
        <v>0</v>
      </c>
      <c r="Q746" t="n">
        <v>0</v>
      </c>
      <c r="R746" s="2" t="inlineStr"/>
    </row>
    <row r="747" ht="15" customHeight="1">
      <c r="A747" t="inlineStr">
        <is>
          <t>A 17009-2021</t>
        </is>
      </c>
      <c r="B747" s="1" t="n">
        <v>44295.63969907408</v>
      </c>
      <c r="C747" s="1" t="n">
        <v>46091</v>
      </c>
      <c r="D747" t="inlineStr">
        <is>
          <t>UPPSALA LÄN</t>
        </is>
      </c>
      <c r="E747" t="inlineStr">
        <is>
          <t>ÖSTHAMMAR</t>
        </is>
      </c>
      <c r="F747" t="inlineStr">
        <is>
          <t>Bergvik skog öst AB</t>
        </is>
      </c>
      <c r="G747" t="n">
        <v>3.2</v>
      </c>
      <c r="H747" t="n">
        <v>0</v>
      </c>
      <c r="I747" t="n">
        <v>0</v>
      </c>
      <c r="J747" t="n">
        <v>0</v>
      </c>
      <c r="K747" t="n">
        <v>0</v>
      </c>
      <c r="L747" t="n">
        <v>0</v>
      </c>
      <c r="M747" t="n">
        <v>0</v>
      </c>
      <c r="N747" t="n">
        <v>0</v>
      </c>
      <c r="O747" t="n">
        <v>0</v>
      </c>
      <c r="P747" t="n">
        <v>0</v>
      </c>
      <c r="Q747" t="n">
        <v>0</v>
      </c>
      <c r="R747" s="2" t="inlineStr"/>
    </row>
    <row r="748" ht="15" customHeight="1">
      <c r="A748" t="inlineStr">
        <is>
          <t>A 13755-2023</t>
        </is>
      </c>
      <c r="B748" s="1" t="n">
        <v>45007</v>
      </c>
      <c r="C748" s="1" t="n">
        <v>46091</v>
      </c>
      <c r="D748" t="inlineStr">
        <is>
          <t>UPPSALA LÄN</t>
        </is>
      </c>
      <c r="E748" t="inlineStr">
        <is>
          <t>ÖSTHAMMAR</t>
        </is>
      </c>
      <c r="G748" t="n">
        <v>2.4</v>
      </c>
      <c r="H748" t="n">
        <v>0</v>
      </c>
      <c r="I748" t="n">
        <v>0</v>
      </c>
      <c r="J748" t="n">
        <v>0</v>
      </c>
      <c r="K748" t="n">
        <v>0</v>
      </c>
      <c r="L748" t="n">
        <v>0</v>
      </c>
      <c r="M748" t="n">
        <v>0</v>
      </c>
      <c r="N748" t="n">
        <v>0</v>
      </c>
      <c r="O748" t="n">
        <v>0</v>
      </c>
      <c r="P748" t="n">
        <v>0</v>
      </c>
      <c r="Q748" t="n">
        <v>0</v>
      </c>
      <c r="R748" s="2" t="inlineStr"/>
    </row>
    <row r="749" ht="15" customHeight="1">
      <c r="A749" t="inlineStr">
        <is>
          <t>A 64774-2023</t>
        </is>
      </c>
      <c r="B749" s="1" t="n">
        <v>45282</v>
      </c>
      <c r="C749" s="1" t="n">
        <v>46091</v>
      </c>
      <c r="D749" t="inlineStr">
        <is>
          <t>UPPSALA LÄN</t>
        </is>
      </c>
      <c r="E749" t="inlineStr">
        <is>
          <t>ÖSTHAMMAR</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65020-2021</t>
        </is>
      </c>
      <c r="B750" s="1" t="n">
        <v>44515</v>
      </c>
      <c r="C750" s="1" t="n">
        <v>46091</v>
      </c>
      <c r="D750" t="inlineStr">
        <is>
          <t>UPPSALA LÄN</t>
        </is>
      </c>
      <c r="E750" t="inlineStr">
        <is>
          <t>ÖSTHAMMAR</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2085-2022</t>
        </is>
      </c>
      <c r="B751" s="1" t="n">
        <v>44576.78626157407</v>
      </c>
      <c r="C751" s="1" t="n">
        <v>46091</v>
      </c>
      <c r="D751" t="inlineStr">
        <is>
          <t>UPPSALA LÄN</t>
        </is>
      </c>
      <c r="E751" t="inlineStr">
        <is>
          <t>ÖSTHAMMAR</t>
        </is>
      </c>
      <c r="F751" t="inlineStr">
        <is>
          <t>Bergvik skog öst AB</t>
        </is>
      </c>
      <c r="G751" t="n">
        <v>1.6</v>
      </c>
      <c r="H751" t="n">
        <v>0</v>
      </c>
      <c r="I751" t="n">
        <v>0</v>
      </c>
      <c r="J751" t="n">
        <v>0</v>
      </c>
      <c r="K751" t="n">
        <v>0</v>
      </c>
      <c r="L751" t="n">
        <v>0</v>
      </c>
      <c r="M751" t="n">
        <v>0</v>
      </c>
      <c r="N751" t="n">
        <v>0</v>
      </c>
      <c r="O751" t="n">
        <v>0</v>
      </c>
      <c r="P751" t="n">
        <v>0</v>
      </c>
      <c r="Q751" t="n">
        <v>0</v>
      </c>
      <c r="R751" s="2" t="inlineStr"/>
    </row>
    <row r="752" ht="15" customHeight="1">
      <c r="A752" t="inlineStr">
        <is>
          <t>A 14671-2022</t>
        </is>
      </c>
      <c r="B752" s="1" t="n">
        <v>44655.80475694445</v>
      </c>
      <c r="C752" s="1" t="n">
        <v>46091</v>
      </c>
      <c r="D752" t="inlineStr">
        <is>
          <t>UPPSALA LÄN</t>
        </is>
      </c>
      <c r="E752" t="inlineStr">
        <is>
          <t>ÖSTHAMMAR</t>
        </is>
      </c>
      <c r="G752" t="n">
        <v>1.9</v>
      </c>
      <c r="H752" t="n">
        <v>0</v>
      </c>
      <c r="I752" t="n">
        <v>0</v>
      </c>
      <c r="J752" t="n">
        <v>0</v>
      </c>
      <c r="K752" t="n">
        <v>0</v>
      </c>
      <c r="L752" t="n">
        <v>0</v>
      </c>
      <c r="M752" t="n">
        <v>0</v>
      </c>
      <c r="N752" t="n">
        <v>0</v>
      </c>
      <c r="O752" t="n">
        <v>0</v>
      </c>
      <c r="P752" t="n">
        <v>0</v>
      </c>
      <c r="Q752" t="n">
        <v>0</v>
      </c>
      <c r="R752" s="2" t="inlineStr"/>
    </row>
    <row r="753" ht="15" customHeight="1">
      <c r="A753" t="inlineStr">
        <is>
          <t>A 12215-2023</t>
        </is>
      </c>
      <c r="B753" s="1" t="n">
        <v>44998</v>
      </c>
      <c r="C753" s="1" t="n">
        <v>46091</v>
      </c>
      <c r="D753" t="inlineStr">
        <is>
          <t>UPPSALA LÄN</t>
        </is>
      </c>
      <c r="E753" t="inlineStr">
        <is>
          <t>ÖSTHAMMAR</t>
        </is>
      </c>
      <c r="G753" t="n">
        <v>5.1</v>
      </c>
      <c r="H753" t="n">
        <v>0</v>
      </c>
      <c r="I753" t="n">
        <v>0</v>
      </c>
      <c r="J753" t="n">
        <v>0</v>
      </c>
      <c r="K753" t="n">
        <v>0</v>
      </c>
      <c r="L753" t="n">
        <v>0</v>
      </c>
      <c r="M753" t="n">
        <v>0</v>
      </c>
      <c r="N753" t="n">
        <v>0</v>
      </c>
      <c r="O753" t="n">
        <v>0</v>
      </c>
      <c r="P753" t="n">
        <v>0</v>
      </c>
      <c r="Q753" t="n">
        <v>0</v>
      </c>
      <c r="R753" s="2" t="inlineStr"/>
    </row>
    <row r="754" ht="15" customHeight="1">
      <c r="A754" t="inlineStr">
        <is>
          <t>A 41996-2024</t>
        </is>
      </c>
      <c r="B754" s="1" t="n">
        <v>45561</v>
      </c>
      <c r="C754" s="1" t="n">
        <v>46091</v>
      </c>
      <c r="D754" t="inlineStr">
        <is>
          <t>UPPSALA LÄN</t>
        </is>
      </c>
      <c r="E754" t="inlineStr">
        <is>
          <t>ÖSTHAMMAR</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15449-2022</t>
        </is>
      </c>
      <c r="B755" s="1" t="n">
        <v>44660.91659722223</v>
      </c>
      <c r="C755" s="1" t="n">
        <v>46091</v>
      </c>
      <c r="D755" t="inlineStr">
        <is>
          <t>UPPSALA LÄN</t>
        </is>
      </c>
      <c r="E755" t="inlineStr">
        <is>
          <t>ÖSTHAMMAR</t>
        </is>
      </c>
      <c r="F755" t="inlineStr">
        <is>
          <t>Bergvik skog öst AB</t>
        </is>
      </c>
      <c r="G755" t="n">
        <v>2</v>
      </c>
      <c r="H755" t="n">
        <v>0</v>
      </c>
      <c r="I755" t="n">
        <v>0</v>
      </c>
      <c r="J755" t="n">
        <v>0</v>
      </c>
      <c r="K755" t="n">
        <v>0</v>
      </c>
      <c r="L755" t="n">
        <v>0</v>
      </c>
      <c r="M755" t="n">
        <v>0</v>
      </c>
      <c r="N755" t="n">
        <v>0</v>
      </c>
      <c r="O755" t="n">
        <v>0</v>
      </c>
      <c r="P755" t="n">
        <v>0</v>
      </c>
      <c r="Q755" t="n">
        <v>0</v>
      </c>
      <c r="R755" s="2" t="inlineStr"/>
    </row>
    <row r="756" ht="15" customHeight="1">
      <c r="A756" t="inlineStr">
        <is>
          <t>A 1439-2025</t>
        </is>
      </c>
      <c r="B756" s="1" t="n">
        <v>45669.69075231482</v>
      </c>
      <c r="C756" s="1" t="n">
        <v>46091</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5884-2023</t>
        </is>
      </c>
      <c r="B757" s="1" t="n">
        <v>44963</v>
      </c>
      <c r="C757" s="1" t="n">
        <v>46091</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5215-2025</t>
        </is>
      </c>
      <c r="B758" s="1" t="n">
        <v>45691</v>
      </c>
      <c r="C758" s="1" t="n">
        <v>46091</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65028-2021</t>
        </is>
      </c>
      <c r="B759" s="1" t="n">
        <v>44515</v>
      </c>
      <c r="C759" s="1" t="n">
        <v>46091</v>
      </c>
      <c r="D759" t="inlineStr">
        <is>
          <t>UPPSALA LÄN</t>
        </is>
      </c>
      <c r="E759" t="inlineStr">
        <is>
          <t>ÖSTHAMMAR</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1525-2025</t>
        </is>
      </c>
      <c r="B760" s="1" t="n">
        <v>45670.47300925926</v>
      </c>
      <c r="C760" s="1" t="n">
        <v>46091</v>
      </c>
      <c r="D760" t="inlineStr">
        <is>
          <t>UPPSALA LÄN</t>
        </is>
      </c>
      <c r="E760" t="inlineStr">
        <is>
          <t>ÖSTHAMMAR</t>
        </is>
      </c>
      <c r="F760" t="inlineStr">
        <is>
          <t>Bergvik skog öst AB</t>
        </is>
      </c>
      <c r="G760" t="n">
        <v>2</v>
      </c>
      <c r="H760" t="n">
        <v>0</v>
      </c>
      <c r="I760" t="n">
        <v>0</v>
      </c>
      <c r="J760" t="n">
        <v>0</v>
      </c>
      <c r="K760" t="n">
        <v>0</v>
      </c>
      <c r="L760" t="n">
        <v>0</v>
      </c>
      <c r="M760" t="n">
        <v>0</v>
      </c>
      <c r="N760" t="n">
        <v>0</v>
      </c>
      <c r="O760" t="n">
        <v>0</v>
      </c>
      <c r="P760" t="n">
        <v>0</v>
      </c>
      <c r="Q760" t="n">
        <v>0</v>
      </c>
      <c r="R760" s="2" t="inlineStr"/>
    </row>
    <row r="761" ht="15" customHeight="1">
      <c r="A761" t="inlineStr">
        <is>
          <t>A 61257-2022</t>
        </is>
      </c>
      <c r="B761" s="1" t="n">
        <v>44915.59418981482</v>
      </c>
      <c r="C761" s="1" t="n">
        <v>46091</v>
      </c>
      <c r="D761" t="inlineStr">
        <is>
          <t>UPPSALA LÄN</t>
        </is>
      </c>
      <c r="E761" t="inlineStr">
        <is>
          <t>ÖSTHAMMAR</t>
        </is>
      </c>
      <c r="G761" t="n">
        <v>1</v>
      </c>
      <c r="H761" t="n">
        <v>0</v>
      </c>
      <c r="I761" t="n">
        <v>0</v>
      </c>
      <c r="J761" t="n">
        <v>0</v>
      </c>
      <c r="K761" t="n">
        <v>0</v>
      </c>
      <c r="L761" t="n">
        <v>0</v>
      </c>
      <c r="M761" t="n">
        <v>0</v>
      </c>
      <c r="N761" t="n">
        <v>0</v>
      </c>
      <c r="O761" t="n">
        <v>0</v>
      </c>
      <c r="P761" t="n">
        <v>0</v>
      </c>
      <c r="Q761" t="n">
        <v>0</v>
      </c>
      <c r="R761" s="2" t="inlineStr"/>
    </row>
    <row r="762" ht="15" customHeight="1">
      <c r="A762" t="inlineStr">
        <is>
          <t>A 36857-2023</t>
        </is>
      </c>
      <c r="B762" s="1" t="n">
        <v>45154.55175925926</v>
      </c>
      <c r="C762" s="1" t="n">
        <v>46091</v>
      </c>
      <c r="D762" t="inlineStr">
        <is>
          <t>UPPSALA LÄN</t>
        </is>
      </c>
      <c r="E762" t="inlineStr">
        <is>
          <t>ÖSTHAMMAR</t>
        </is>
      </c>
      <c r="G762" t="n">
        <v>0.5</v>
      </c>
      <c r="H762" t="n">
        <v>0</v>
      </c>
      <c r="I762" t="n">
        <v>0</v>
      </c>
      <c r="J762" t="n">
        <v>0</v>
      </c>
      <c r="K762" t="n">
        <v>0</v>
      </c>
      <c r="L762" t="n">
        <v>0</v>
      </c>
      <c r="M762" t="n">
        <v>0</v>
      </c>
      <c r="N762" t="n">
        <v>0</v>
      </c>
      <c r="O762" t="n">
        <v>0</v>
      </c>
      <c r="P762" t="n">
        <v>0</v>
      </c>
      <c r="Q762" t="n">
        <v>0</v>
      </c>
      <c r="R762" s="2" t="inlineStr"/>
    </row>
    <row r="763" ht="15" customHeight="1">
      <c r="A763" t="inlineStr">
        <is>
          <t>A 6206-2022</t>
        </is>
      </c>
      <c r="B763" s="1" t="n">
        <v>44600.35755787037</v>
      </c>
      <c r="C763" s="1" t="n">
        <v>46091</v>
      </c>
      <c r="D763" t="inlineStr">
        <is>
          <t>UPPSALA LÄN</t>
        </is>
      </c>
      <c r="E763" t="inlineStr">
        <is>
          <t>ÖSTHAMMAR</t>
        </is>
      </c>
      <c r="G763" t="n">
        <v>7.4</v>
      </c>
      <c r="H763" t="n">
        <v>0</v>
      </c>
      <c r="I763" t="n">
        <v>0</v>
      </c>
      <c r="J763" t="n">
        <v>0</v>
      </c>
      <c r="K763" t="n">
        <v>0</v>
      </c>
      <c r="L763" t="n">
        <v>0</v>
      </c>
      <c r="M763" t="n">
        <v>0</v>
      </c>
      <c r="N763" t="n">
        <v>0</v>
      </c>
      <c r="O763" t="n">
        <v>0</v>
      </c>
      <c r="P763" t="n">
        <v>0</v>
      </c>
      <c r="Q763" t="n">
        <v>0</v>
      </c>
      <c r="R763" s="2" t="inlineStr"/>
    </row>
    <row r="764" ht="15" customHeight="1">
      <c r="A764" t="inlineStr">
        <is>
          <t>A 6143-2022</t>
        </is>
      </c>
      <c r="B764" s="1" t="n">
        <v>44599.72306712963</v>
      </c>
      <c r="C764" s="1" t="n">
        <v>46091</v>
      </c>
      <c r="D764" t="inlineStr">
        <is>
          <t>UPPSALA LÄN</t>
        </is>
      </c>
      <c r="E764" t="inlineStr">
        <is>
          <t>ÖSTHAMMAR</t>
        </is>
      </c>
      <c r="G764" t="n">
        <v>3.4</v>
      </c>
      <c r="H764" t="n">
        <v>0</v>
      </c>
      <c r="I764" t="n">
        <v>0</v>
      </c>
      <c r="J764" t="n">
        <v>0</v>
      </c>
      <c r="K764" t="n">
        <v>0</v>
      </c>
      <c r="L764" t="n">
        <v>0</v>
      </c>
      <c r="M764" t="n">
        <v>0</v>
      </c>
      <c r="N764" t="n">
        <v>0</v>
      </c>
      <c r="O764" t="n">
        <v>0</v>
      </c>
      <c r="P764" t="n">
        <v>0</v>
      </c>
      <c r="Q764" t="n">
        <v>0</v>
      </c>
      <c r="R764" s="2" t="inlineStr"/>
    </row>
    <row r="765" ht="15" customHeight="1">
      <c r="A765" t="inlineStr">
        <is>
          <t>A 3514-2023</t>
        </is>
      </c>
      <c r="B765" s="1" t="n">
        <v>44950</v>
      </c>
      <c r="C765" s="1" t="n">
        <v>46091</v>
      </c>
      <c r="D765" t="inlineStr">
        <is>
          <t>UPPSALA LÄN</t>
        </is>
      </c>
      <c r="E765" t="inlineStr">
        <is>
          <t>ÖSTHAMMAR</t>
        </is>
      </c>
      <c r="F765" t="inlineStr">
        <is>
          <t>Övriga Aktiebolag</t>
        </is>
      </c>
      <c r="G765" t="n">
        <v>1.9</v>
      </c>
      <c r="H765" t="n">
        <v>0</v>
      </c>
      <c r="I765" t="n">
        <v>0</v>
      </c>
      <c r="J765" t="n">
        <v>0</v>
      </c>
      <c r="K765" t="n">
        <v>0</v>
      </c>
      <c r="L765" t="n">
        <v>0</v>
      </c>
      <c r="M765" t="n">
        <v>0</v>
      </c>
      <c r="N765" t="n">
        <v>0</v>
      </c>
      <c r="O765" t="n">
        <v>0</v>
      </c>
      <c r="P765" t="n">
        <v>0</v>
      </c>
      <c r="Q765" t="n">
        <v>0</v>
      </c>
      <c r="R765" s="2" t="inlineStr"/>
    </row>
    <row r="766" ht="15" customHeight="1">
      <c r="A766" t="inlineStr">
        <is>
          <t>A 45561-2023</t>
        </is>
      </c>
      <c r="B766" s="1" t="n">
        <v>45194.59335648148</v>
      </c>
      <c r="C766" s="1" t="n">
        <v>46091</v>
      </c>
      <c r="D766" t="inlineStr">
        <is>
          <t>UPPSALA LÄN</t>
        </is>
      </c>
      <c r="E766" t="inlineStr">
        <is>
          <t>ÖSTHAMMAR</t>
        </is>
      </c>
      <c r="F766" t="inlineStr">
        <is>
          <t>Bergvik skog öst AB</t>
        </is>
      </c>
      <c r="G766" t="n">
        <v>0.7</v>
      </c>
      <c r="H766" t="n">
        <v>0</v>
      </c>
      <c r="I766" t="n">
        <v>0</v>
      </c>
      <c r="J766" t="n">
        <v>0</v>
      </c>
      <c r="K766" t="n">
        <v>0</v>
      </c>
      <c r="L766" t="n">
        <v>0</v>
      </c>
      <c r="M766" t="n">
        <v>0</v>
      </c>
      <c r="N766" t="n">
        <v>0</v>
      </c>
      <c r="O766" t="n">
        <v>0</v>
      </c>
      <c r="P766" t="n">
        <v>0</v>
      </c>
      <c r="Q766" t="n">
        <v>0</v>
      </c>
      <c r="R766" s="2" t="inlineStr"/>
    </row>
    <row r="767" ht="15" customHeight="1">
      <c r="A767" t="inlineStr">
        <is>
          <t>A 43439-2024</t>
        </is>
      </c>
      <c r="B767" s="1" t="n">
        <v>45568</v>
      </c>
      <c r="C767" s="1" t="n">
        <v>46091</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59880-2022</t>
        </is>
      </c>
      <c r="B768" s="1" t="n">
        <v>44908.69575231482</v>
      </c>
      <c r="C768" s="1" t="n">
        <v>46091</v>
      </c>
      <c r="D768" t="inlineStr">
        <is>
          <t>UPPSALA LÄN</t>
        </is>
      </c>
      <c r="E768" t="inlineStr">
        <is>
          <t>ÖSTHAMMAR</t>
        </is>
      </c>
      <c r="G768" t="n">
        <v>1.4</v>
      </c>
      <c r="H768" t="n">
        <v>0</v>
      </c>
      <c r="I768" t="n">
        <v>0</v>
      </c>
      <c r="J768" t="n">
        <v>0</v>
      </c>
      <c r="K768" t="n">
        <v>0</v>
      </c>
      <c r="L768" t="n">
        <v>0</v>
      </c>
      <c r="M768" t="n">
        <v>0</v>
      </c>
      <c r="N768" t="n">
        <v>0</v>
      </c>
      <c r="O768" t="n">
        <v>0</v>
      </c>
      <c r="P768" t="n">
        <v>0</v>
      </c>
      <c r="Q768" t="n">
        <v>0</v>
      </c>
      <c r="R768" s="2" t="inlineStr"/>
    </row>
    <row r="769" ht="15" customHeight="1">
      <c r="A769" t="inlineStr">
        <is>
          <t>A 4562-2022</t>
        </is>
      </c>
      <c r="B769" s="1" t="n">
        <v>44591</v>
      </c>
      <c r="C769" s="1" t="n">
        <v>46091</v>
      </c>
      <c r="D769" t="inlineStr">
        <is>
          <t>UPPSALA LÄN</t>
        </is>
      </c>
      <c r="E769" t="inlineStr">
        <is>
          <t>ÖSTHAMMAR</t>
        </is>
      </c>
      <c r="G769" t="n">
        <v>3.4</v>
      </c>
      <c r="H769" t="n">
        <v>0</v>
      </c>
      <c r="I769" t="n">
        <v>0</v>
      </c>
      <c r="J769" t="n">
        <v>0</v>
      </c>
      <c r="K769" t="n">
        <v>0</v>
      </c>
      <c r="L769" t="n">
        <v>0</v>
      </c>
      <c r="M769" t="n">
        <v>0</v>
      </c>
      <c r="N769" t="n">
        <v>0</v>
      </c>
      <c r="O769" t="n">
        <v>0</v>
      </c>
      <c r="P769" t="n">
        <v>0</v>
      </c>
      <c r="Q769" t="n">
        <v>0</v>
      </c>
      <c r="R769" s="2" t="inlineStr"/>
    </row>
    <row r="770" ht="15" customHeight="1">
      <c r="A770" t="inlineStr">
        <is>
          <t>A 4099-2025</t>
        </is>
      </c>
      <c r="B770" s="1" t="n">
        <v>45684</v>
      </c>
      <c r="C770" s="1" t="n">
        <v>46091</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41538-2021</t>
        </is>
      </c>
      <c r="B771" s="1" t="n">
        <v>44425.35016203704</v>
      </c>
      <c r="C771" s="1" t="n">
        <v>46091</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36301-2023</t>
        </is>
      </c>
      <c r="B772" s="1" t="n">
        <v>45152.37296296296</v>
      </c>
      <c r="C772" s="1" t="n">
        <v>46091</v>
      </c>
      <c r="D772" t="inlineStr">
        <is>
          <t>UPPSALA LÄN</t>
        </is>
      </c>
      <c r="E772" t="inlineStr">
        <is>
          <t>ÖSTHAMMAR</t>
        </is>
      </c>
      <c r="G772" t="n">
        <v>0.9</v>
      </c>
      <c r="H772" t="n">
        <v>0</v>
      </c>
      <c r="I772" t="n">
        <v>0</v>
      </c>
      <c r="J772" t="n">
        <v>0</v>
      </c>
      <c r="K772" t="n">
        <v>0</v>
      </c>
      <c r="L772" t="n">
        <v>0</v>
      </c>
      <c r="M772" t="n">
        <v>0</v>
      </c>
      <c r="N772" t="n">
        <v>0</v>
      </c>
      <c r="O772" t="n">
        <v>0</v>
      </c>
      <c r="P772" t="n">
        <v>0</v>
      </c>
      <c r="Q772" t="n">
        <v>0</v>
      </c>
      <c r="R772" s="2" t="inlineStr"/>
    </row>
    <row r="773" ht="15" customHeight="1">
      <c r="A773" t="inlineStr">
        <is>
          <t>A 28429-2023</t>
        </is>
      </c>
      <c r="B773" s="1" t="n">
        <v>45102.58728009259</v>
      </c>
      <c r="C773" s="1" t="n">
        <v>46091</v>
      </c>
      <c r="D773" t="inlineStr">
        <is>
          <t>UPPSALA LÄN</t>
        </is>
      </c>
      <c r="E773" t="inlineStr">
        <is>
          <t>ÖSTHAMMAR</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35309-2023</t>
        </is>
      </c>
      <c r="B774" s="1" t="n">
        <v>45146</v>
      </c>
      <c r="C774" s="1" t="n">
        <v>46091</v>
      </c>
      <c r="D774" t="inlineStr">
        <is>
          <t>UPPSALA LÄN</t>
        </is>
      </c>
      <c r="E774" t="inlineStr">
        <is>
          <t>ÖSTHAMMAR</t>
        </is>
      </c>
      <c r="G774" t="n">
        <v>1.3</v>
      </c>
      <c r="H774" t="n">
        <v>0</v>
      </c>
      <c r="I774" t="n">
        <v>0</v>
      </c>
      <c r="J774" t="n">
        <v>0</v>
      </c>
      <c r="K774" t="n">
        <v>0</v>
      </c>
      <c r="L774" t="n">
        <v>0</v>
      </c>
      <c r="M774" t="n">
        <v>0</v>
      </c>
      <c r="N774" t="n">
        <v>0</v>
      </c>
      <c r="O774" t="n">
        <v>0</v>
      </c>
      <c r="P774" t="n">
        <v>0</v>
      </c>
      <c r="Q774" t="n">
        <v>0</v>
      </c>
      <c r="R774" s="2" t="inlineStr"/>
    </row>
    <row r="775" ht="15" customHeight="1">
      <c r="A775" t="inlineStr">
        <is>
          <t>A 835-2025</t>
        </is>
      </c>
      <c r="B775" s="1" t="n">
        <v>45665.58465277778</v>
      </c>
      <c r="C775" s="1" t="n">
        <v>46091</v>
      </c>
      <c r="D775" t="inlineStr">
        <is>
          <t>UPPSALA LÄN</t>
        </is>
      </c>
      <c r="E775" t="inlineStr">
        <is>
          <t>ÖSTHAMMAR</t>
        </is>
      </c>
      <c r="F775" t="inlineStr">
        <is>
          <t>Övriga Aktiebolag</t>
        </is>
      </c>
      <c r="G775" t="n">
        <v>4.8</v>
      </c>
      <c r="H775" t="n">
        <v>0</v>
      </c>
      <c r="I775" t="n">
        <v>0</v>
      </c>
      <c r="J775" t="n">
        <v>0</v>
      </c>
      <c r="K775" t="n">
        <v>0</v>
      </c>
      <c r="L775" t="n">
        <v>0</v>
      </c>
      <c r="M775" t="n">
        <v>0</v>
      </c>
      <c r="N775" t="n">
        <v>0</v>
      </c>
      <c r="O775" t="n">
        <v>0</v>
      </c>
      <c r="P775" t="n">
        <v>0</v>
      </c>
      <c r="Q775" t="n">
        <v>0</v>
      </c>
      <c r="R775" s="2" t="inlineStr"/>
    </row>
    <row r="776" ht="15" customHeight="1">
      <c r="A776" t="inlineStr">
        <is>
          <t>A 67199-2021</t>
        </is>
      </c>
      <c r="B776" s="1" t="n">
        <v>44523.46197916667</v>
      </c>
      <c r="C776" s="1" t="n">
        <v>46091</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24259-2022</t>
        </is>
      </c>
      <c r="B777" s="1" t="n">
        <v>44725</v>
      </c>
      <c r="C777" s="1" t="n">
        <v>46091</v>
      </c>
      <c r="D777" t="inlineStr">
        <is>
          <t>UPPSALA LÄN</t>
        </is>
      </c>
      <c r="E777" t="inlineStr">
        <is>
          <t>ÖSTHAMMAR</t>
        </is>
      </c>
      <c r="G777" t="n">
        <v>2.4</v>
      </c>
      <c r="H777" t="n">
        <v>0</v>
      </c>
      <c r="I777" t="n">
        <v>0</v>
      </c>
      <c r="J777" t="n">
        <v>0</v>
      </c>
      <c r="K777" t="n">
        <v>0</v>
      </c>
      <c r="L777" t="n">
        <v>0</v>
      </c>
      <c r="M777" t="n">
        <v>0</v>
      </c>
      <c r="N777" t="n">
        <v>0</v>
      </c>
      <c r="O777" t="n">
        <v>0</v>
      </c>
      <c r="P777" t="n">
        <v>0</v>
      </c>
      <c r="Q777" t="n">
        <v>0</v>
      </c>
      <c r="R777" s="2" t="inlineStr"/>
    </row>
    <row r="778" ht="15" customHeight="1">
      <c r="A778" t="inlineStr">
        <is>
          <t>A 24367-2022</t>
        </is>
      </c>
      <c r="B778" s="1" t="n">
        <v>44726.42716435185</v>
      </c>
      <c r="C778" s="1" t="n">
        <v>46091</v>
      </c>
      <c r="D778" t="inlineStr">
        <is>
          <t>UPPSALA LÄN</t>
        </is>
      </c>
      <c r="E778" t="inlineStr">
        <is>
          <t>ÖSTHAMMAR</t>
        </is>
      </c>
      <c r="G778" t="n">
        <v>2.7</v>
      </c>
      <c r="H778" t="n">
        <v>0</v>
      </c>
      <c r="I778" t="n">
        <v>0</v>
      </c>
      <c r="J778" t="n">
        <v>0</v>
      </c>
      <c r="K778" t="n">
        <v>0</v>
      </c>
      <c r="L778" t="n">
        <v>0</v>
      </c>
      <c r="M778" t="n">
        <v>0</v>
      </c>
      <c r="N778" t="n">
        <v>0</v>
      </c>
      <c r="O778" t="n">
        <v>0</v>
      </c>
      <c r="P778" t="n">
        <v>0</v>
      </c>
      <c r="Q778" t="n">
        <v>0</v>
      </c>
      <c r="R778" s="2" t="inlineStr"/>
    </row>
    <row r="779" ht="15" customHeight="1">
      <c r="A779" t="inlineStr">
        <is>
          <t>A 49897-2023</t>
        </is>
      </c>
      <c r="B779" s="1" t="n">
        <v>45213.84846064815</v>
      </c>
      <c r="C779" s="1" t="n">
        <v>46091</v>
      </c>
      <c r="D779" t="inlineStr">
        <is>
          <t>UPPSALA LÄN</t>
        </is>
      </c>
      <c r="E779" t="inlineStr">
        <is>
          <t>ÖSTHAMMAR</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34922-2023</t>
        </is>
      </c>
      <c r="B780" s="1" t="n">
        <v>45142.48359953704</v>
      </c>
      <c r="C780" s="1" t="n">
        <v>46091</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50998-2023</t>
        </is>
      </c>
      <c r="B781" s="1" t="n">
        <v>45218.5586574074</v>
      </c>
      <c r="C781" s="1" t="n">
        <v>46091</v>
      </c>
      <c r="D781" t="inlineStr">
        <is>
          <t>UPPSALA LÄN</t>
        </is>
      </c>
      <c r="E781" t="inlineStr">
        <is>
          <t>ÖSTHAMMAR</t>
        </is>
      </c>
      <c r="G781" t="n">
        <v>3.6</v>
      </c>
      <c r="H781" t="n">
        <v>0</v>
      </c>
      <c r="I781" t="n">
        <v>0</v>
      </c>
      <c r="J781" t="n">
        <v>0</v>
      </c>
      <c r="K781" t="n">
        <v>0</v>
      </c>
      <c r="L781" t="n">
        <v>0</v>
      </c>
      <c r="M781" t="n">
        <v>0</v>
      </c>
      <c r="N781" t="n">
        <v>0</v>
      </c>
      <c r="O781" t="n">
        <v>0</v>
      </c>
      <c r="P781" t="n">
        <v>0</v>
      </c>
      <c r="Q781" t="n">
        <v>0</v>
      </c>
      <c r="R781" s="2" t="inlineStr"/>
    </row>
    <row r="782" ht="15" customHeight="1">
      <c r="A782" t="inlineStr">
        <is>
          <t>A 31669-2022</t>
        </is>
      </c>
      <c r="B782" s="1" t="n">
        <v>44775</v>
      </c>
      <c r="C782" s="1" t="n">
        <v>46091</v>
      </c>
      <c r="D782" t="inlineStr">
        <is>
          <t>UPPSALA LÄN</t>
        </is>
      </c>
      <c r="E782" t="inlineStr">
        <is>
          <t>ÖSTHAMMAR</t>
        </is>
      </c>
      <c r="G782" t="n">
        <v>6</v>
      </c>
      <c r="H782" t="n">
        <v>0</v>
      </c>
      <c r="I782" t="n">
        <v>0</v>
      </c>
      <c r="J782" t="n">
        <v>0</v>
      </c>
      <c r="K782" t="n">
        <v>0</v>
      </c>
      <c r="L782" t="n">
        <v>0</v>
      </c>
      <c r="M782" t="n">
        <v>0</v>
      </c>
      <c r="N782" t="n">
        <v>0</v>
      </c>
      <c r="O782" t="n">
        <v>0</v>
      </c>
      <c r="P782" t="n">
        <v>0</v>
      </c>
      <c r="Q782" t="n">
        <v>0</v>
      </c>
      <c r="R782" s="2" t="inlineStr"/>
    </row>
    <row r="783" ht="15" customHeight="1">
      <c r="A783" t="inlineStr">
        <is>
          <t>A 48856-2024</t>
        </is>
      </c>
      <c r="B783" s="1" t="n">
        <v>45593</v>
      </c>
      <c r="C783" s="1" t="n">
        <v>46091</v>
      </c>
      <c r="D783" t="inlineStr">
        <is>
          <t>UPPSALA LÄN</t>
        </is>
      </c>
      <c r="E783" t="inlineStr">
        <is>
          <t>ÖSTHAMMAR</t>
        </is>
      </c>
      <c r="G783" t="n">
        <v>1.5</v>
      </c>
      <c r="H783" t="n">
        <v>0</v>
      </c>
      <c r="I783" t="n">
        <v>0</v>
      </c>
      <c r="J783" t="n">
        <v>0</v>
      </c>
      <c r="K783" t="n">
        <v>0</v>
      </c>
      <c r="L783" t="n">
        <v>0</v>
      </c>
      <c r="M783" t="n">
        <v>0</v>
      </c>
      <c r="N783" t="n">
        <v>0</v>
      </c>
      <c r="O783" t="n">
        <v>0</v>
      </c>
      <c r="P783" t="n">
        <v>0</v>
      </c>
      <c r="Q783" t="n">
        <v>0</v>
      </c>
      <c r="R783" s="2" t="inlineStr"/>
    </row>
    <row r="784" ht="15" customHeight="1">
      <c r="A784" t="inlineStr">
        <is>
          <t>A 17947-2022</t>
        </is>
      </c>
      <c r="B784" s="1" t="n">
        <v>44683</v>
      </c>
      <c r="C784" s="1" t="n">
        <v>46091</v>
      </c>
      <c r="D784" t="inlineStr">
        <is>
          <t>UPPSALA LÄN</t>
        </is>
      </c>
      <c r="E784" t="inlineStr">
        <is>
          <t>ÖSTHAMMAR</t>
        </is>
      </c>
      <c r="G784" t="n">
        <v>5.5</v>
      </c>
      <c r="H784" t="n">
        <v>0</v>
      </c>
      <c r="I784" t="n">
        <v>0</v>
      </c>
      <c r="J784" t="n">
        <v>0</v>
      </c>
      <c r="K784" t="n">
        <v>0</v>
      </c>
      <c r="L784" t="n">
        <v>0</v>
      </c>
      <c r="M784" t="n">
        <v>0</v>
      </c>
      <c r="N784" t="n">
        <v>0</v>
      </c>
      <c r="O784" t="n">
        <v>0</v>
      </c>
      <c r="P784" t="n">
        <v>0</v>
      </c>
      <c r="Q784" t="n">
        <v>0</v>
      </c>
      <c r="R784" s="2" t="inlineStr"/>
    </row>
    <row r="785" ht="15" customHeight="1">
      <c r="A785" t="inlineStr">
        <is>
          <t>A 21862-2023</t>
        </is>
      </c>
      <c r="B785" s="1" t="n">
        <v>45068</v>
      </c>
      <c r="C785" s="1" t="n">
        <v>46091</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12654-2025</t>
        </is>
      </c>
      <c r="B786" s="1" t="n">
        <v>45733.41601851852</v>
      </c>
      <c r="C786" s="1" t="n">
        <v>46091</v>
      </c>
      <c r="D786" t="inlineStr">
        <is>
          <t>UPPSALA LÄN</t>
        </is>
      </c>
      <c r="E786" t="inlineStr">
        <is>
          <t>ÖSTHAMMAR</t>
        </is>
      </c>
      <c r="G786" t="n">
        <v>9.9</v>
      </c>
      <c r="H786" t="n">
        <v>0</v>
      </c>
      <c r="I786" t="n">
        <v>0</v>
      </c>
      <c r="J786" t="n">
        <v>0</v>
      </c>
      <c r="K786" t="n">
        <v>0</v>
      </c>
      <c r="L786" t="n">
        <v>0</v>
      </c>
      <c r="M786" t="n">
        <v>0</v>
      </c>
      <c r="N786" t="n">
        <v>0</v>
      </c>
      <c r="O786" t="n">
        <v>0</v>
      </c>
      <c r="P786" t="n">
        <v>0</v>
      </c>
      <c r="Q786" t="n">
        <v>0</v>
      </c>
      <c r="R786" s="2" t="inlineStr"/>
    </row>
    <row r="787" ht="15" customHeight="1">
      <c r="A787" t="inlineStr">
        <is>
          <t>A 27308-2023</t>
        </is>
      </c>
      <c r="B787" s="1" t="n">
        <v>45096.65381944444</v>
      </c>
      <c r="C787" s="1" t="n">
        <v>46091</v>
      </c>
      <c r="D787" t="inlineStr">
        <is>
          <t>UPPSALA LÄN</t>
        </is>
      </c>
      <c r="E787" t="inlineStr">
        <is>
          <t>ÖSTHAMMAR</t>
        </is>
      </c>
      <c r="F787" t="inlineStr">
        <is>
          <t>Bergvik skog öst AB</t>
        </is>
      </c>
      <c r="G787" t="n">
        <v>2.4</v>
      </c>
      <c r="H787" t="n">
        <v>0</v>
      </c>
      <c r="I787" t="n">
        <v>0</v>
      </c>
      <c r="J787" t="n">
        <v>0</v>
      </c>
      <c r="K787" t="n">
        <v>0</v>
      </c>
      <c r="L787" t="n">
        <v>0</v>
      </c>
      <c r="M787" t="n">
        <v>0</v>
      </c>
      <c r="N787" t="n">
        <v>0</v>
      </c>
      <c r="O787" t="n">
        <v>0</v>
      </c>
      <c r="P787" t="n">
        <v>0</v>
      </c>
      <c r="Q787" t="n">
        <v>0</v>
      </c>
      <c r="R787" s="2" t="inlineStr"/>
    </row>
    <row r="788" ht="15" customHeight="1">
      <c r="A788" t="inlineStr">
        <is>
          <t>A 28420-2023</t>
        </is>
      </c>
      <c r="B788" s="1" t="n">
        <v>45102.33054398148</v>
      </c>
      <c r="C788" s="1" t="n">
        <v>46091</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40547-2023</t>
        </is>
      </c>
      <c r="B789" s="1" t="n">
        <v>45170.45050925926</v>
      </c>
      <c r="C789" s="1" t="n">
        <v>46091</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10449-2023</t>
        </is>
      </c>
      <c r="B790" s="1" t="n">
        <v>44987</v>
      </c>
      <c r="C790" s="1" t="n">
        <v>46091</v>
      </c>
      <c r="D790" t="inlineStr">
        <is>
          <t>UPPSALA LÄN</t>
        </is>
      </c>
      <c r="E790" t="inlineStr">
        <is>
          <t>ÖSTHAMMAR</t>
        </is>
      </c>
      <c r="G790" t="n">
        <v>3.1</v>
      </c>
      <c r="H790" t="n">
        <v>0</v>
      </c>
      <c r="I790" t="n">
        <v>0</v>
      </c>
      <c r="J790" t="n">
        <v>0</v>
      </c>
      <c r="K790" t="n">
        <v>0</v>
      </c>
      <c r="L790" t="n">
        <v>0</v>
      </c>
      <c r="M790" t="n">
        <v>0</v>
      </c>
      <c r="N790" t="n">
        <v>0</v>
      </c>
      <c r="O790" t="n">
        <v>0</v>
      </c>
      <c r="P790" t="n">
        <v>0</v>
      </c>
      <c r="Q790" t="n">
        <v>0</v>
      </c>
      <c r="R790" s="2" t="inlineStr"/>
    </row>
    <row r="791" ht="15" customHeight="1">
      <c r="A791" t="inlineStr">
        <is>
          <t>A 31035-2022</t>
        </is>
      </c>
      <c r="B791" s="1" t="n">
        <v>44768.88685185185</v>
      </c>
      <c r="C791" s="1" t="n">
        <v>46091</v>
      </c>
      <c r="D791" t="inlineStr">
        <is>
          <t>UPPSALA LÄN</t>
        </is>
      </c>
      <c r="E791" t="inlineStr">
        <is>
          <t>ÖSTHAMMAR</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22798-2023</t>
        </is>
      </c>
      <c r="B792" s="1" t="n">
        <v>45072</v>
      </c>
      <c r="C792" s="1" t="n">
        <v>46091</v>
      </c>
      <c r="D792" t="inlineStr">
        <is>
          <t>UPPSALA LÄN</t>
        </is>
      </c>
      <c r="E792" t="inlineStr">
        <is>
          <t>ÖSTHAMMAR</t>
        </is>
      </c>
      <c r="G792" t="n">
        <v>1</v>
      </c>
      <c r="H792" t="n">
        <v>0</v>
      </c>
      <c r="I792" t="n">
        <v>0</v>
      </c>
      <c r="J792" t="n">
        <v>0</v>
      </c>
      <c r="K792" t="n">
        <v>0</v>
      </c>
      <c r="L792" t="n">
        <v>0</v>
      </c>
      <c r="M792" t="n">
        <v>0</v>
      </c>
      <c r="N792" t="n">
        <v>0</v>
      </c>
      <c r="O792" t="n">
        <v>0</v>
      </c>
      <c r="P792" t="n">
        <v>0</v>
      </c>
      <c r="Q792" t="n">
        <v>0</v>
      </c>
      <c r="R792" s="2" t="inlineStr"/>
    </row>
    <row r="793" ht="15" customHeight="1">
      <c r="A793" t="inlineStr">
        <is>
          <t>A 10982-2023</t>
        </is>
      </c>
      <c r="B793" s="1" t="n">
        <v>44991.62203703704</v>
      </c>
      <c r="C793" s="1" t="n">
        <v>46091</v>
      </c>
      <c r="D793" t="inlineStr">
        <is>
          <t>UPPSALA LÄN</t>
        </is>
      </c>
      <c r="E793" t="inlineStr">
        <is>
          <t>ÖSTHAMMAR</t>
        </is>
      </c>
      <c r="G793" t="n">
        <v>1.2</v>
      </c>
      <c r="H793" t="n">
        <v>0</v>
      </c>
      <c r="I793" t="n">
        <v>0</v>
      </c>
      <c r="J793" t="n">
        <v>0</v>
      </c>
      <c r="K793" t="n">
        <v>0</v>
      </c>
      <c r="L793" t="n">
        <v>0</v>
      </c>
      <c r="M793" t="n">
        <v>0</v>
      </c>
      <c r="N793" t="n">
        <v>0</v>
      </c>
      <c r="O793" t="n">
        <v>0</v>
      </c>
      <c r="P793" t="n">
        <v>0</v>
      </c>
      <c r="Q793" t="n">
        <v>0</v>
      </c>
      <c r="R793" s="2" t="inlineStr"/>
    </row>
    <row r="794" ht="15" customHeight="1">
      <c r="A794" t="inlineStr">
        <is>
          <t>A 40637-2022</t>
        </is>
      </c>
      <c r="B794" s="1" t="n">
        <v>44824</v>
      </c>
      <c r="C794" s="1" t="n">
        <v>46091</v>
      </c>
      <c r="D794" t="inlineStr">
        <is>
          <t>UPPSALA LÄN</t>
        </is>
      </c>
      <c r="E794" t="inlineStr">
        <is>
          <t>ÖSTHAMMAR</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6046-2025</t>
        </is>
      </c>
      <c r="B795" s="1" t="n">
        <v>45695</v>
      </c>
      <c r="C795" s="1" t="n">
        <v>46091</v>
      </c>
      <c r="D795" t="inlineStr">
        <is>
          <t>UPPSALA LÄN</t>
        </is>
      </c>
      <c r="E795" t="inlineStr">
        <is>
          <t>ÖSTHAMMAR</t>
        </is>
      </c>
      <c r="G795" t="n">
        <v>0.8</v>
      </c>
      <c r="H795" t="n">
        <v>0</v>
      </c>
      <c r="I795" t="n">
        <v>0</v>
      </c>
      <c r="J795" t="n">
        <v>0</v>
      </c>
      <c r="K795" t="n">
        <v>0</v>
      </c>
      <c r="L795" t="n">
        <v>0</v>
      </c>
      <c r="M795" t="n">
        <v>0</v>
      </c>
      <c r="N795" t="n">
        <v>0</v>
      </c>
      <c r="O795" t="n">
        <v>0</v>
      </c>
      <c r="P795" t="n">
        <v>0</v>
      </c>
      <c r="Q795" t="n">
        <v>0</v>
      </c>
      <c r="R795" s="2" t="inlineStr"/>
      <c r="U795">
        <f>HYPERLINK("https://klasma.github.io/Logging_0382/knärot/A 6046-2025 karta knärot.png", "A 6046-2025")</f>
        <v/>
      </c>
      <c r="V795">
        <f>HYPERLINK("https://klasma.github.io/Logging_0382/klagomål/A 6046-2025 FSC-klagomål.docx", "A 6046-2025")</f>
        <v/>
      </c>
      <c r="W795">
        <f>HYPERLINK("https://klasma.github.io/Logging_0382/klagomålsmail/A 6046-2025 FSC-klagomål mail.docx", "A 6046-2025")</f>
        <v/>
      </c>
      <c r="X795">
        <f>HYPERLINK("https://klasma.github.io/Logging_0382/tillsyn/A 6046-2025 tillsynsbegäran.docx", "A 6046-2025")</f>
        <v/>
      </c>
      <c r="Y795">
        <f>HYPERLINK("https://klasma.github.io/Logging_0382/tillsynsmail/A 6046-2025 tillsynsbegäran mail.docx", "A 6046-2025")</f>
        <v/>
      </c>
    </row>
    <row r="796" ht="15" customHeight="1">
      <c r="A796" t="inlineStr">
        <is>
          <t>A 21624-2023</t>
        </is>
      </c>
      <c r="B796" s="1" t="n">
        <v>45063.65543981481</v>
      </c>
      <c r="C796" s="1" t="n">
        <v>46091</v>
      </c>
      <c r="D796" t="inlineStr">
        <is>
          <t>UPPSALA LÄN</t>
        </is>
      </c>
      <c r="E796" t="inlineStr">
        <is>
          <t>ÖSTHAMMAR</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6120-2024</t>
        </is>
      </c>
      <c r="B797" s="1" t="n">
        <v>45337.41784722222</v>
      </c>
      <c r="C797" s="1" t="n">
        <v>46091</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58270-2023</t>
        </is>
      </c>
      <c r="B798" s="1" t="n">
        <v>45250.49961805555</v>
      </c>
      <c r="C798" s="1" t="n">
        <v>46091</v>
      </c>
      <c r="D798" t="inlineStr">
        <is>
          <t>UPPSALA LÄN</t>
        </is>
      </c>
      <c r="E798" t="inlineStr">
        <is>
          <t>ÖSTHAMMAR</t>
        </is>
      </c>
      <c r="G798" t="n">
        <v>1.3</v>
      </c>
      <c r="H798" t="n">
        <v>0</v>
      </c>
      <c r="I798" t="n">
        <v>0</v>
      </c>
      <c r="J798" t="n">
        <v>0</v>
      </c>
      <c r="K798" t="n">
        <v>0</v>
      </c>
      <c r="L798" t="n">
        <v>0</v>
      </c>
      <c r="M798" t="n">
        <v>0</v>
      </c>
      <c r="N798" t="n">
        <v>0</v>
      </c>
      <c r="O798" t="n">
        <v>0</v>
      </c>
      <c r="P798" t="n">
        <v>0</v>
      </c>
      <c r="Q798" t="n">
        <v>0</v>
      </c>
      <c r="R798" s="2" t="inlineStr"/>
    </row>
    <row r="799" ht="15" customHeight="1">
      <c r="A799" t="inlineStr">
        <is>
          <t>A 22804-2022</t>
        </is>
      </c>
      <c r="B799" s="1" t="n">
        <v>44715</v>
      </c>
      <c r="C799" s="1" t="n">
        <v>46091</v>
      </c>
      <c r="D799" t="inlineStr">
        <is>
          <t>UPPSALA LÄN</t>
        </is>
      </c>
      <c r="E799" t="inlineStr">
        <is>
          <t>ÖSTHAMMAR</t>
        </is>
      </c>
      <c r="G799" t="n">
        <v>2.7</v>
      </c>
      <c r="H799" t="n">
        <v>0</v>
      </c>
      <c r="I799" t="n">
        <v>0</v>
      </c>
      <c r="J799" t="n">
        <v>0</v>
      </c>
      <c r="K799" t="n">
        <v>0</v>
      </c>
      <c r="L799" t="n">
        <v>0</v>
      </c>
      <c r="M799" t="n">
        <v>0</v>
      </c>
      <c r="N799" t="n">
        <v>0</v>
      </c>
      <c r="O799" t="n">
        <v>0</v>
      </c>
      <c r="P799" t="n">
        <v>0</v>
      </c>
      <c r="Q799" t="n">
        <v>0</v>
      </c>
      <c r="R799" s="2" t="inlineStr"/>
    </row>
    <row r="800" ht="15" customHeight="1">
      <c r="A800" t="inlineStr">
        <is>
          <t>A 57003-2021</t>
        </is>
      </c>
      <c r="B800" s="1" t="n">
        <v>44482.47577546296</v>
      </c>
      <c r="C800" s="1" t="n">
        <v>46091</v>
      </c>
      <c r="D800" t="inlineStr">
        <is>
          <t>UPPSALA LÄN</t>
        </is>
      </c>
      <c r="E800" t="inlineStr">
        <is>
          <t>ÖSTHAMMAR</t>
        </is>
      </c>
      <c r="G800" t="n">
        <v>1.9</v>
      </c>
      <c r="H800" t="n">
        <v>0</v>
      </c>
      <c r="I800" t="n">
        <v>0</v>
      </c>
      <c r="J800" t="n">
        <v>0</v>
      </c>
      <c r="K800" t="n">
        <v>0</v>
      </c>
      <c r="L800" t="n">
        <v>0</v>
      </c>
      <c r="M800" t="n">
        <v>0</v>
      </c>
      <c r="N800" t="n">
        <v>0</v>
      </c>
      <c r="O800" t="n">
        <v>0</v>
      </c>
      <c r="P800" t="n">
        <v>0</v>
      </c>
      <c r="Q800" t="n">
        <v>0</v>
      </c>
      <c r="R800" s="2" t="inlineStr"/>
    </row>
    <row r="801" ht="15" customHeight="1">
      <c r="A801" t="inlineStr">
        <is>
          <t>A 73483-2021</t>
        </is>
      </c>
      <c r="B801" s="1" t="n">
        <v>44550</v>
      </c>
      <c r="C801" s="1" t="n">
        <v>46091</v>
      </c>
      <c r="D801" t="inlineStr">
        <is>
          <t>UPPSALA LÄN</t>
        </is>
      </c>
      <c r="E801" t="inlineStr">
        <is>
          <t>ÖSTHAMMAR</t>
        </is>
      </c>
      <c r="G801" t="n">
        <v>2.8</v>
      </c>
      <c r="H801" t="n">
        <v>0</v>
      </c>
      <c r="I801" t="n">
        <v>0</v>
      </c>
      <c r="J801" t="n">
        <v>0</v>
      </c>
      <c r="K801" t="n">
        <v>0</v>
      </c>
      <c r="L801" t="n">
        <v>0</v>
      </c>
      <c r="M801" t="n">
        <v>0</v>
      </c>
      <c r="N801" t="n">
        <v>0</v>
      </c>
      <c r="O801" t="n">
        <v>0</v>
      </c>
      <c r="P801" t="n">
        <v>0</v>
      </c>
      <c r="Q801" t="n">
        <v>0</v>
      </c>
      <c r="R801" s="2" t="inlineStr"/>
    </row>
    <row r="802" ht="15" customHeight="1">
      <c r="A802" t="inlineStr">
        <is>
          <t>A 24033-2023</t>
        </is>
      </c>
      <c r="B802" s="1" t="n">
        <v>45078</v>
      </c>
      <c r="C802" s="1" t="n">
        <v>46091</v>
      </c>
      <c r="D802" t="inlineStr">
        <is>
          <t>UPPSALA LÄN</t>
        </is>
      </c>
      <c r="E802" t="inlineStr">
        <is>
          <t>ÖSTHAMMAR</t>
        </is>
      </c>
      <c r="F802" t="inlineStr">
        <is>
          <t>Bergvik skog öst AB</t>
        </is>
      </c>
      <c r="G802" t="n">
        <v>0.7</v>
      </c>
      <c r="H802" t="n">
        <v>0</v>
      </c>
      <c r="I802" t="n">
        <v>0</v>
      </c>
      <c r="J802" t="n">
        <v>0</v>
      </c>
      <c r="K802" t="n">
        <v>0</v>
      </c>
      <c r="L802" t="n">
        <v>0</v>
      </c>
      <c r="M802" t="n">
        <v>0</v>
      </c>
      <c r="N802" t="n">
        <v>0</v>
      </c>
      <c r="O802" t="n">
        <v>0</v>
      </c>
      <c r="P802" t="n">
        <v>0</v>
      </c>
      <c r="Q802" t="n">
        <v>0</v>
      </c>
      <c r="R802" s="2" t="inlineStr"/>
    </row>
    <row r="803" ht="15" customHeight="1">
      <c r="A803" t="inlineStr">
        <is>
          <t>A 12262-2023</t>
        </is>
      </c>
      <c r="B803" s="1" t="n">
        <v>44998.66662037037</v>
      </c>
      <c r="C803" s="1" t="n">
        <v>46091</v>
      </c>
      <c r="D803" t="inlineStr">
        <is>
          <t>UPPSALA LÄN</t>
        </is>
      </c>
      <c r="E803" t="inlineStr">
        <is>
          <t>ÖSTHAMMAR</t>
        </is>
      </c>
      <c r="G803" t="n">
        <v>4.1</v>
      </c>
      <c r="H803" t="n">
        <v>0</v>
      </c>
      <c r="I803" t="n">
        <v>0</v>
      </c>
      <c r="J803" t="n">
        <v>0</v>
      </c>
      <c r="K803" t="n">
        <v>0</v>
      </c>
      <c r="L803" t="n">
        <v>0</v>
      </c>
      <c r="M803" t="n">
        <v>0</v>
      </c>
      <c r="N803" t="n">
        <v>0</v>
      </c>
      <c r="O803" t="n">
        <v>0</v>
      </c>
      <c r="P803" t="n">
        <v>0</v>
      </c>
      <c r="Q803" t="n">
        <v>0</v>
      </c>
      <c r="R803" s="2" t="inlineStr"/>
    </row>
    <row r="804" ht="15" customHeight="1">
      <c r="A804" t="inlineStr">
        <is>
          <t>A 5254-2025</t>
        </is>
      </c>
      <c r="B804" s="1" t="n">
        <v>45692</v>
      </c>
      <c r="C804" s="1" t="n">
        <v>46091</v>
      </c>
      <c r="D804" t="inlineStr">
        <is>
          <t>UPPSALA LÄN</t>
        </is>
      </c>
      <c r="E804" t="inlineStr">
        <is>
          <t>ÖSTHAMMAR</t>
        </is>
      </c>
      <c r="G804" t="n">
        <v>5</v>
      </c>
      <c r="H804" t="n">
        <v>0</v>
      </c>
      <c r="I804" t="n">
        <v>0</v>
      </c>
      <c r="J804" t="n">
        <v>0</v>
      </c>
      <c r="K804" t="n">
        <v>0</v>
      </c>
      <c r="L804" t="n">
        <v>0</v>
      </c>
      <c r="M804" t="n">
        <v>0</v>
      </c>
      <c r="N804" t="n">
        <v>0</v>
      </c>
      <c r="O804" t="n">
        <v>0</v>
      </c>
      <c r="P804" t="n">
        <v>0</v>
      </c>
      <c r="Q804" t="n">
        <v>0</v>
      </c>
      <c r="R804" s="2" t="inlineStr"/>
    </row>
    <row r="805" ht="15" customHeight="1">
      <c r="A805" t="inlineStr">
        <is>
          <t>A 44807-2024</t>
        </is>
      </c>
      <c r="B805" s="1" t="n">
        <v>45574.65427083334</v>
      </c>
      <c r="C805" s="1" t="n">
        <v>46091</v>
      </c>
      <c r="D805" t="inlineStr">
        <is>
          <t>UPPSALA LÄN</t>
        </is>
      </c>
      <c r="E805" t="inlineStr">
        <is>
          <t>ÖSTHAMMAR</t>
        </is>
      </c>
      <c r="G805" t="n">
        <v>2.9</v>
      </c>
      <c r="H805" t="n">
        <v>0</v>
      </c>
      <c r="I805" t="n">
        <v>0</v>
      </c>
      <c r="J805" t="n">
        <v>0</v>
      </c>
      <c r="K805" t="n">
        <v>0</v>
      </c>
      <c r="L805" t="n">
        <v>0</v>
      </c>
      <c r="M805" t="n">
        <v>0</v>
      </c>
      <c r="N805" t="n">
        <v>0</v>
      </c>
      <c r="O805" t="n">
        <v>0</v>
      </c>
      <c r="P805" t="n">
        <v>0</v>
      </c>
      <c r="Q805" t="n">
        <v>0</v>
      </c>
      <c r="R805" s="2" t="inlineStr"/>
    </row>
    <row r="806" ht="15" customHeight="1">
      <c r="A806" t="inlineStr">
        <is>
          <t>A 7195-2023</t>
        </is>
      </c>
      <c r="B806" s="1" t="n">
        <v>44970</v>
      </c>
      <c r="C806" s="1" t="n">
        <v>46091</v>
      </c>
      <c r="D806" t="inlineStr">
        <is>
          <t>UPPSALA LÄN</t>
        </is>
      </c>
      <c r="E806" t="inlineStr">
        <is>
          <t>ÖSTHAMMAR</t>
        </is>
      </c>
      <c r="G806" t="n">
        <v>1.3</v>
      </c>
      <c r="H806" t="n">
        <v>0</v>
      </c>
      <c r="I806" t="n">
        <v>0</v>
      </c>
      <c r="J806" t="n">
        <v>0</v>
      </c>
      <c r="K806" t="n">
        <v>0</v>
      </c>
      <c r="L806" t="n">
        <v>0</v>
      </c>
      <c r="M806" t="n">
        <v>0</v>
      </c>
      <c r="N806" t="n">
        <v>0</v>
      </c>
      <c r="O806" t="n">
        <v>0</v>
      </c>
      <c r="P806" t="n">
        <v>0</v>
      </c>
      <c r="Q806" t="n">
        <v>0</v>
      </c>
      <c r="R806" s="2" t="inlineStr"/>
    </row>
    <row r="807" ht="15" customHeight="1">
      <c r="A807" t="inlineStr">
        <is>
          <t>A 37568-2022</t>
        </is>
      </c>
      <c r="B807" s="1" t="n">
        <v>44809</v>
      </c>
      <c r="C807" s="1" t="n">
        <v>46091</v>
      </c>
      <c r="D807" t="inlineStr">
        <is>
          <t>UPPSALA LÄN</t>
        </is>
      </c>
      <c r="E807" t="inlineStr">
        <is>
          <t>ÖSTHAMMAR</t>
        </is>
      </c>
      <c r="G807" t="n">
        <v>1.1</v>
      </c>
      <c r="H807" t="n">
        <v>0</v>
      </c>
      <c r="I807" t="n">
        <v>0</v>
      </c>
      <c r="J807" t="n">
        <v>0</v>
      </c>
      <c r="K807" t="n">
        <v>0</v>
      </c>
      <c r="L807" t="n">
        <v>0</v>
      </c>
      <c r="M807" t="n">
        <v>0</v>
      </c>
      <c r="N807" t="n">
        <v>0</v>
      </c>
      <c r="O807" t="n">
        <v>0</v>
      </c>
      <c r="P807" t="n">
        <v>0</v>
      </c>
      <c r="Q807" t="n">
        <v>0</v>
      </c>
      <c r="R807" s="2" t="inlineStr"/>
    </row>
    <row r="808" ht="15" customHeight="1">
      <c r="A808" t="inlineStr">
        <is>
          <t>A 9542-2023</t>
        </is>
      </c>
      <c r="B808" s="1" t="n">
        <v>44981</v>
      </c>
      <c r="C808" s="1" t="n">
        <v>46091</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55100-2024</t>
        </is>
      </c>
      <c r="B809" s="1" t="n">
        <v>45621.4405787037</v>
      </c>
      <c r="C809" s="1" t="n">
        <v>46091</v>
      </c>
      <c r="D809" t="inlineStr">
        <is>
          <t>UPPSALA LÄN</t>
        </is>
      </c>
      <c r="E809" t="inlineStr">
        <is>
          <t>ÖSTHAMMAR</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45093.47947916666</v>
      </c>
      <c r="C810" s="1" t="n">
        <v>46091</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67848-2021</t>
        </is>
      </c>
      <c r="B811" s="1" t="n">
        <v>44525</v>
      </c>
      <c r="C811" s="1" t="n">
        <v>46091</v>
      </c>
      <c r="D811" t="inlineStr">
        <is>
          <t>UPPSALA LÄN</t>
        </is>
      </c>
      <c r="E811" t="inlineStr">
        <is>
          <t>ÖSTHAMMAR</t>
        </is>
      </c>
      <c r="G811" t="n">
        <v>1</v>
      </c>
      <c r="H811" t="n">
        <v>0</v>
      </c>
      <c r="I811" t="n">
        <v>0</v>
      </c>
      <c r="J811" t="n">
        <v>0</v>
      </c>
      <c r="K811" t="n">
        <v>0</v>
      </c>
      <c r="L811" t="n">
        <v>0</v>
      </c>
      <c r="M811" t="n">
        <v>0</v>
      </c>
      <c r="N811" t="n">
        <v>0</v>
      </c>
      <c r="O811" t="n">
        <v>0</v>
      </c>
      <c r="P811" t="n">
        <v>0</v>
      </c>
      <c r="Q811" t="n">
        <v>0</v>
      </c>
      <c r="R811" s="2" t="inlineStr"/>
    </row>
    <row r="812" ht="15" customHeight="1">
      <c r="A812" t="inlineStr">
        <is>
          <t>A 55097-2024</t>
        </is>
      </c>
      <c r="B812" s="1" t="n">
        <v>45621.43855324074</v>
      </c>
      <c r="C812" s="1" t="n">
        <v>46091</v>
      </c>
      <c r="D812" t="inlineStr">
        <is>
          <t>UPPSALA LÄN</t>
        </is>
      </c>
      <c r="E812" t="inlineStr">
        <is>
          <t>ÖSTHAMMAR</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18230-2025</t>
        </is>
      </c>
      <c r="B813" s="1" t="n">
        <v>45761.87114583333</v>
      </c>
      <c r="C813" s="1" t="n">
        <v>46091</v>
      </c>
      <c r="D813" t="inlineStr">
        <is>
          <t>UPPSALA LÄN</t>
        </is>
      </c>
      <c r="E813" t="inlineStr">
        <is>
          <t>ÖSTHAMMAR</t>
        </is>
      </c>
      <c r="F813" t="inlineStr">
        <is>
          <t>Bergvik skog öst AB</t>
        </is>
      </c>
      <c r="G813" t="n">
        <v>4.2</v>
      </c>
      <c r="H813" t="n">
        <v>0</v>
      </c>
      <c r="I813" t="n">
        <v>0</v>
      </c>
      <c r="J813" t="n">
        <v>0</v>
      </c>
      <c r="K813" t="n">
        <v>0</v>
      </c>
      <c r="L813" t="n">
        <v>0</v>
      </c>
      <c r="M813" t="n">
        <v>0</v>
      </c>
      <c r="N813" t="n">
        <v>0</v>
      </c>
      <c r="O813" t="n">
        <v>0</v>
      </c>
      <c r="P813" t="n">
        <v>0</v>
      </c>
      <c r="Q813" t="n">
        <v>0</v>
      </c>
      <c r="R813" s="2" t="inlineStr"/>
    </row>
    <row r="814" ht="15" customHeight="1">
      <c r="A814" t="inlineStr">
        <is>
          <t>A 37865-2023</t>
        </is>
      </c>
      <c r="B814" s="1" t="n">
        <v>45160</v>
      </c>
      <c r="C814" s="1" t="n">
        <v>46091</v>
      </c>
      <c r="D814" t="inlineStr">
        <is>
          <t>UPPSALA LÄN</t>
        </is>
      </c>
      <c r="E814" t="inlineStr">
        <is>
          <t>ÖSTHAMMAR</t>
        </is>
      </c>
      <c r="G814" t="n">
        <v>1.4</v>
      </c>
      <c r="H814" t="n">
        <v>0</v>
      </c>
      <c r="I814" t="n">
        <v>0</v>
      </c>
      <c r="J814" t="n">
        <v>0</v>
      </c>
      <c r="K814" t="n">
        <v>0</v>
      </c>
      <c r="L814" t="n">
        <v>0</v>
      </c>
      <c r="M814" t="n">
        <v>0</v>
      </c>
      <c r="N814" t="n">
        <v>0</v>
      </c>
      <c r="O814" t="n">
        <v>0</v>
      </c>
      <c r="P814" t="n">
        <v>0</v>
      </c>
      <c r="Q814" t="n">
        <v>0</v>
      </c>
      <c r="R814" s="2" t="inlineStr"/>
    </row>
    <row r="815" ht="15" customHeight="1">
      <c r="A815" t="inlineStr">
        <is>
          <t>A 7100-2025</t>
        </is>
      </c>
      <c r="B815" s="1" t="n">
        <v>45701.83930555556</v>
      </c>
      <c r="C815" s="1" t="n">
        <v>46091</v>
      </c>
      <c r="D815" t="inlineStr">
        <is>
          <t>UPPSALA LÄN</t>
        </is>
      </c>
      <c r="E815" t="inlineStr">
        <is>
          <t>ÖSTHAMMAR</t>
        </is>
      </c>
      <c r="G815" t="n">
        <v>4.3</v>
      </c>
      <c r="H815" t="n">
        <v>0</v>
      </c>
      <c r="I815" t="n">
        <v>0</v>
      </c>
      <c r="J815" t="n">
        <v>0</v>
      </c>
      <c r="K815" t="n">
        <v>0</v>
      </c>
      <c r="L815" t="n">
        <v>0</v>
      </c>
      <c r="M815" t="n">
        <v>0</v>
      </c>
      <c r="N815" t="n">
        <v>0</v>
      </c>
      <c r="O815" t="n">
        <v>0</v>
      </c>
      <c r="P815" t="n">
        <v>0</v>
      </c>
      <c r="Q815" t="n">
        <v>0</v>
      </c>
      <c r="R815" s="2" t="inlineStr"/>
    </row>
    <row r="816" ht="15" customHeight="1">
      <c r="A816" t="inlineStr">
        <is>
          <t>A 54314-2023</t>
        </is>
      </c>
      <c r="B816" s="1" t="n">
        <v>45225</v>
      </c>
      <c r="C816" s="1" t="n">
        <v>46091</v>
      </c>
      <c r="D816" t="inlineStr">
        <is>
          <t>UPPSALA LÄN</t>
        </is>
      </c>
      <c r="E816" t="inlineStr">
        <is>
          <t>ÖSTHAMMAR</t>
        </is>
      </c>
      <c r="G816" t="n">
        <v>5.1</v>
      </c>
      <c r="H816" t="n">
        <v>0</v>
      </c>
      <c r="I816" t="n">
        <v>0</v>
      </c>
      <c r="J816" t="n">
        <v>0</v>
      </c>
      <c r="K816" t="n">
        <v>0</v>
      </c>
      <c r="L816" t="n">
        <v>0</v>
      </c>
      <c r="M816" t="n">
        <v>0</v>
      </c>
      <c r="N816" t="n">
        <v>0</v>
      </c>
      <c r="O816" t="n">
        <v>0</v>
      </c>
      <c r="P816" t="n">
        <v>0</v>
      </c>
      <c r="Q816" t="n">
        <v>0</v>
      </c>
      <c r="R816" s="2" t="inlineStr"/>
    </row>
    <row r="817" ht="15" customHeight="1">
      <c r="A817" t="inlineStr">
        <is>
          <t>A 49796-2024</t>
        </is>
      </c>
      <c r="B817" s="1" t="n">
        <v>45597</v>
      </c>
      <c r="C817" s="1" t="n">
        <v>46091</v>
      </c>
      <c r="D817" t="inlineStr">
        <is>
          <t>UPPSALA LÄN</t>
        </is>
      </c>
      <c r="E817" t="inlineStr">
        <is>
          <t>ÖSTHAMMAR</t>
        </is>
      </c>
      <c r="G817" t="n">
        <v>1.3</v>
      </c>
      <c r="H817" t="n">
        <v>0</v>
      </c>
      <c r="I817" t="n">
        <v>0</v>
      </c>
      <c r="J817" t="n">
        <v>0</v>
      </c>
      <c r="K817" t="n">
        <v>0</v>
      </c>
      <c r="L817" t="n">
        <v>0</v>
      </c>
      <c r="M817" t="n">
        <v>0</v>
      </c>
      <c r="N817" t="n">
        <v>0</v>
      </c>
      <c r="O817" t="n">
        <v>0</v>
      </c>
      <c r="P817" t="n">
        <v>0</v>
      </c>
      <c r="Q817" t="n">
        <v>0</v>
      </c>
      <c r="R817" s="2" t="inlineStr"/>
    </row>
    <row r="818">
      <c r="A818" t="inlineStr">
        <is>
          <t>A 1791-2023</t>
        </is>
      </c>
      <c r="B818" s="1" t="n">
        <v>44938</v>
      </c>
      <c r="C818" s="1" t="n">
        <v>46091</v>
      </c>
      <c r="D818" t="inlineStr">
        <is>
          <t>UPPSALA LÄN</t>
        </is>
      </c>
      <c r="E818" t="inlineStr">
        <is>
          <t>ÖSTHAMMAR</t>
        </is>
      </c>
      <c r="G818" t="n">
        <v>2</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2026-03-10T11:16:04Z</dcterms:created>
  <dcterms:modified xmlns:dcterms="http://purl.org/dc/terms/" xmlns:xsi="http://www.w3.org/2001/XMLSchema-instance" xsi:type="dcterms:W3CDTF">2026-03-10T11:16:05Z</dcterms:modified>
</cp:coreProperties>
</file>