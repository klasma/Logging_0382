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45361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45361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45361</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45361</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45361</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45361</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45361</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45361</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45361</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45361</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45361</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45361</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45361</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45361</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45361</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45361</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45361</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45361</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45361</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45361</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45361</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45361</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45361</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c r="Z24">
        <f>HYPERLINK("https://klasma.github.io/Logging_0382/fåglar/A 31098-2019 prioriterade fågelarter.docx", "A 31098-2019")</f>
        <v/>
      </c>
    </row>
    <row r="25" ht="15" customHeight="1">
      <c r="A25" t="inlineStr">
        <is>
          <t>A 33096-2020</t>
        </is>
      </c>
      <c r="B25" s="1" t="n">
        <v>44021</v>
      </c>
      <c r="C25" s="1" t="n">
        <v>45361</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45361</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45361</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45361</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45361</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45361</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45361</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45361</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45361</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c r="Z33">
        <f>HYPERLINK("https://klasma.github.io/Logging_0382/fåglar/A 43992-2022 prioriterade fågelarter.docx", "A 43992-2022")</f>
        <v/>
      </c>
    </row>
    <row r="34" ht="15" customHeight="1">
      <c r="A34" t="inlineStr">
        <is>
          <t>A 13604-2023</t>
        </is>
      </c>
      <c r="B34" s="1" t="n">
        <v>45006</v>
      </c>
      <c r="C34" s="1" t="n">
        <v>45361</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45361</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45361</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c r="Z36">
        <f>HYPERLINK("https://klasma.github.io/Logging_0382/fåglar/A 28211-2023 prioriterade fågelarter.docx", "A 28211-2023")</f>
        <v/>
      </c>
    </row>
    <row r="37" ht="15" customHeight="1">
      <c r="A37" t="inlineStr">
        <is>
          <t>A 46964-2023</t>
        </is>
      </c>
      <c r="B37" s="1" t="n">
        <v>45201</v>
      </c>
      <c r="C37" s="1" t="n">
        <v>45361</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45361</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45361</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45361</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45361</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45361</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45361</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45361</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c r="Z44">
        <f>HYPERLINK("https://klasma.github.io/Logging_0382/fåglar/A 52659-2022 prioriterade fågelarter.docx", "A 52659-2022")</f>
        <v/>
      </c>
    </row>
    <row r="45" ht="15" customHeight="1">
      <c r="A45" t="inlineStr">
        <is>
          <t>A 26600-2023</t>
        </is>
      </c>
      <c r="B45" s="1" t="n">
        <v>45092</v>
      </c>
      <c r="C45" s="1" t="n">
        <v>45361</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c r="Z45">
        <f>HYPERLINK("https://klasma.github.io/Logging_0382/fåglar/A 26600-2023 prioriterade fågelarter.docx", "A 26600-2023")</f>
        <v/>
      </c>
    </row>
    <row r="46" ht="15" customHeight="1">
      <c r="A46" t="inlineStr">
        <is>
          <t>A 3285-2019</t>
        </is>
      </c>
      <c r="B46" s="1" t="n">
        <v>43480</v>
      </c>
      <c r="C46" s="1" t="n">
        <v>45361</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45361</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c r="Z47">
        <f>HYPERLINK("https://klasma.github.io/Logging_0382/fåglar/A 8385-2020 prioriterade fågelarter.docx", "A 8385-2020")</f>
        <v/>
      </c>
    </row>
    <row r="48" ht="15" customHeight="1">
      <c r="A48" t="inlineStr">
        <is>
          <t>A 33035-2021</t>
        </is>
      </c>
      <c r="B48" s="1" t="n">
        <v>44376</v>
      </c>
      <c r="C48" s="1" t="n">
        <v>45361</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45361</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45361</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45361</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45361</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45361</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45361</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45361</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45361</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45361</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c r="Z57">
        <f>HYPERLINK("https://klasma.github.io/Logging_0382/fåglar/A 19884-2023 prioriterade fågelarter.docx", "A 19884-2023")</f>
        <v/>
      </c>
    </row>
    <row r="58" ht="15" customHeight="1">
      <c r="A58" t="inlineStr">
        <is>
          <t>A 20115-2023</t>
        </is>
      </c>
      <c r="B58" s="1" t="n">
        <v>45055</v>
      </c>
      <c r="C58" s="1" t="n">
        <v>45361</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45361</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c r="Z59">
        <f>HYPERLINK("https://klasma.github.io/Logging_0382/fåglar/A 46204-2023 prioriterade fågelarter.docx", "A 46204-2023")</f>
        <v/>
      </c>
    </row>
    <row r="60" ht="15" customHeight="1">
      <c r="A60" t="inlineStr">
        <is>
          <t>A 53731-2023</t>
        </is>
      </c>
      <c r="B60" s="1" t="n">
        <v>45230</v>
      </c>
      <c r="C60" s="1" t="n">
        <v>45361</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45361</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45361</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45361</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45361</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45361</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45361</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45361</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45361</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c r="Z68">
        <f>HYPERLINK("https://klasma.github.io/Logging_0382/fåglar/A 59416-2020 prioriterade fågelarter.docx", "A 59416-2020")</f>
        <v/>
      </c>
    </row>
    <row r="69" ht="15" customHeight="1">
      <c r="A69" t="inlineStr">
        <is>
          <t>A 6223-2021</t>
        </is>
      </c>
      <c r="B69" s="1" t="n">
        <v>44235</v>
      </c>
      <c r="C69" s="1" t="n">
        <v>45361</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45361</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45361</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45361</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45361</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45361</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45361</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45361</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45361</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45361</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c r="Z78">
        <f>HYPERLINK("https://klasma.github.io/Logging_0382/fåglar/A 49910-2022 prioriterade fågelarter.docx", "A 49910-2022")</f>
        <v/>
      </c>
    </row>
    <row r="79" ht="15" customHeight="1">
      <c r="A79" t="inlineStr">
        <is>
          <t>A 52654-2022</t>
        </is>
      </c>
      <c r="B79" s="1" t="n">
        <v>44874</v>
      </c>
      <c r="C79" s="1" t="n">
        <v>45361</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45361</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c r="Z80">
        <f>HYPERLINK("https://klasma.github.io/Logging_0382/fåglar/A 52658-2022 prioriterade fågelarter.docx", "A 52658-2022")</f>
        <v/>
      </c>
    </row>
    <row r="81" ht="15" customHeight="1">
      <c r="A81" t="inlineStr">
        <is>
          <t>A 6981-2023</t>
        </is>
      </c>
      <c r="B81" s="1" t="n">
        <v>44967</v>
      </c>
      <c r="C81" s="1" t="n">
        <v>45361</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45361</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45361</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45361</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c r="Z84">
        <f>HYPERLINK("https://klasma.github.io/Logging_0382/fåglar/A 26602-2023 prioriterade fågelarter.docx", "A 26602-2023")</f>
        <v/>
      </c>
    </row>
    <row r="85" ht="15" customHeight="1">
      <c r="A85" t="inlineStr">
        <is>
          <t>A 36876-2023</t>
        </is>
      </c>
      <c r="B85" s="1" t="n">
        <v>45154</v>
      </c>
      <c r="C85" s="1" t="n">
        <v>45361</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45361</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45361</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45361</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45361</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45361</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45361</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45361</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45361</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45361</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45361</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45361</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45361</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45361</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45361</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45361</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45361</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45361</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45361</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45361</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45361</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45361</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45361</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45361</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45361</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45361</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45361</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45361</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45361</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45361</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45361</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45361</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c r="Z116">
        <f>HYPERLINK("https://klasma.github.io/Logging_0382/fåglar/A 24797-2022 prioriterade fågelarter.docx", "A 24797-2022")</f>
        <v/>
      </c>
    </row>
    <row r="117" ht="15" customHeight="1">
      <c r="A117" t="inlineStr">
        <is>
          <t>A 27451-2022</t>
        </is>
      </c>
      <c r="B117" s="1" t="n">
        <v>44742</v>
      </c>
      <c r="C117" s="1" t="n">
        <v>45361</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45361</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45361</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c r="Z119">
        <f>HYPERLINK("https://klasma.github.io/Logging_0382/fåglar/A 52648-2022 prioriterade fågelarter.docx", "A 52648-2022")</f>
        <v/>
      </c>
    </row>
    <row r="120" ht="15" customHeight="1">
      <c r="A120" t="inlineStr">
        <is>
          <t>A 52651-2022</t>
        </is>
      </c>
      <c r="B120" s="1" t="n">
        <v>44874</v>
      </c>
      <c r="C120" s="1" t="n">
        <v>45361</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c r="Z120">
        <f>HYPERLINK("https://klasma.github.io/Logging_0382/fåglar/A 52651-2022 prioriterade fågelarter.docx", "A 52651-2022")</f>
        <v/>
      </c>
    </row>
    <row r="121" ht="15" customHeight="1">
      <c r="A121" t="inlineStr">
        <is>
          <t>A 52818-2022</t>
        </is>
      </c>
      <c r="B121" s="1" t="n">
        <v>44875</v>
      </c>
      <c r="C121" s="1" t="n">
        <v>45361</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45361</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45361</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45361</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45361</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45361</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45361</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45361</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45361</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45361</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45361</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45361</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45361</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45361</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45361</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45361</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45361</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45361</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45361</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45361</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45361</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45361</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45361</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45361</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45361</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45361</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45361</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45361</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45361</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45361</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45361</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45361</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45361</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45361</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45361</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45361</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45361</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45361</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45361</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45361</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45361</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45361</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45361</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45361</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45361</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45361</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45361</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45361</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45361</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45361</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45361</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45361</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45361</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45361</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45361</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45361</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45361</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45361</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45361</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45361</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45361</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45361</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45361</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45361</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45361</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45361</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45361</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45361</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45361</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45361</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45361</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45361</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45361</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45361</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45361</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45361</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45361</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45361</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45361</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45361</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45361</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45361</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45361</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45361</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45361</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45361</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45361</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45361</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45361</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45361</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45361</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45361</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45361</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45361</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45361</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45361</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45361</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45361</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45361</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45361</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45361</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45361</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45361</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45361</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45361</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45361</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45361</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45361</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45361</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45361</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45361</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45361</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45361</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45361</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45361</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45361</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45361</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45361</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45361</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45361</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45361</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45361</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45361</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45361</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45361</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45361</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45361</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45361</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45361</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45361</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45361</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45361</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45361</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45361</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45361</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45361</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45361</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45361</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45361</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45361</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45361</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45361</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45361</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45361</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45361</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45361</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45361</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45361</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45361</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45361</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45361</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45361</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45361</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45361</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45361</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45361</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45361</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45361</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45361</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45361</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45361</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45361</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45361</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45361</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45361</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45361</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45361</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45361</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45361</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45361</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45361</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45361</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45361</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45361</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45361</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45361</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45361</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45361</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45361</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45361</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45361</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45361</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45361</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45361</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45361</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45361</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45361</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45361</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45361</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45361</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45361</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45361</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45361</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45361</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45361</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45361</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45361</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45361</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45361</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45361</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45361</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45361</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45361</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45361</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45361</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45361</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45361</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45361</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45361</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45361</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45361</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45361</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45361</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45361</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45361</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45361</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45361</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45361</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45361</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45361</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45361</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45361</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45361</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45361</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45361</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45361</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45361</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45361</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45361</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45361</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45361</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45361</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45361</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45361</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45361</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45361</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45361</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45361</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45361</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45361</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45361</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45361</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45361</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45361</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45361</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45361</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45361</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45361</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45361</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45361</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45361</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45361</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45361</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45361</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45361</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45361</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45361</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45361</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45361</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45361</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45361</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45361</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45361</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45361</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45361</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45361</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45361</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45361</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45361</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45361</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45361</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45361</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45361</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45361</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45361</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45361</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45361</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45361</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45361</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45361</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45361</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45361</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45361</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45361</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45361</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45361</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45361</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45361</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45361</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45361</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45361</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45361</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45361</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45361</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45361</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45361</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45361</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45361</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45361</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45361</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45361</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45361</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45361</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45361</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45361</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45361</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45361</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45361</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45361</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45361</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45361</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45361</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45361</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45361</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45361</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45361</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45361</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45361</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45361</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45361</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45361</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45361</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45361</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45361</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45361</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45361</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45361</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45361</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45361</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45361</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45361</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45361</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45361</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45361</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45361</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45361</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45361</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45361</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45361</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45361</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45361</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45361</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45361</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45361</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45361</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45361</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45361</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45361</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45361</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45361</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45361</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45361</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45361</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45361</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45361</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45361</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45361</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45361</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45361</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45361</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45361</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45361</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45361</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45361</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45361</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45361</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45361</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45361</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45361</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45361</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45361</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45361</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45361</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45361</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45361</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45361</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45361</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45361</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45361</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45361</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45361</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45361</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45361</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45361</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45361</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45361</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45361</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45361</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45361</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45361</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45361</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45361</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45361</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45361</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45361</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45361</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45361</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45361</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45361</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45361</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45361</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45361</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45361</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45361</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45361</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45361</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45361</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45361</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45361</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45361</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45361</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45361</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45361</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45361</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45361</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45361</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45361</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45361</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45361</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45361</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45361</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45361</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45361</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45361</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45361</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45361</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45361</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45361</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45361</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45361</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45361</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45361</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45361</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45361</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45361</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45361</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45361</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45361</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45361</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45361</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45361</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45361</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45361</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45361</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45361</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45361</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45361</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45361</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45361</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45361</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45361</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45361</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45361</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45361</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45361</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45361</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45361</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45361</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45361</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45361</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45361</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45361</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45361</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45361</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45361</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45361</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45361</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45361</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45361</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45361</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45361</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45361</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45361</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45361</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45361</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45361</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45361</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45361</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45361</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45361</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45361</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45361</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45361</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45361</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45361</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45361</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45361</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45361</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45361</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45361</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45361</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45361</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45361</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45361</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45361</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45361</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45361</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45361</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45361</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45361</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45361</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45361</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45361</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45361</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45361</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45361</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45361</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45361</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45361</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45361</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45361</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45361</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45361</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45361</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45361</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45361</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45361</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45361</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45361</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45361</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45361</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45361</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45361</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45361</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45361</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45361</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45361</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45361</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45361</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45361</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45361</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45361</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45361</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45361</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45361</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45361</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45361</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45361</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45361</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45361</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45361</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45361</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45361</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45361</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45361</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45361</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45361</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45361</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45361</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45361</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45361</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45361</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45361</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45361</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45361</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45361</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45361</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45361</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45361</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45361</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45361</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45361</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45361</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45361</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45361</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45361</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45361</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45361</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45361</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45361</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45361</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45361</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45361</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45361</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45361</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45361</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45361</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45361</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45361</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45361</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45361</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45361</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45361</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45361</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45361</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45361</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45361</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45361</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45361</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45361</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45361</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45361</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45361</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45361</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45361</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45361</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45361</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45361</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45361</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45361</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45361</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45361</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45361</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45361</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45361</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45361</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45361</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45361</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45361</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45361</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45361</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45361</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45361</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45361</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45361</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45361</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45361</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45361</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45361</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45361</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45361</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45361</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45361</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45361</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45361</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45361</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45361</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45361</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45361</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45361</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45361</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45361</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45361</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45361</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45361</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45361</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45361</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45361</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45361</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45361</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45361</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45361</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45361</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45361</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45361</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45361</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45361</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45361</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45361</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45361</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45361</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45361</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45361</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45361</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45361</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45361</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45361</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45361</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45361</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45361</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45361</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45361</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45361</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45361</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45361</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45361</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45361</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45361</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45361</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45361</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45361</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45361</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45361</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45361</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45361</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45361</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45361</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45361</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45361</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45361</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45361</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45361</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45361</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45361</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45361</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45361</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45361</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45361</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45361</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45361</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45361</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45361</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45361</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45361</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45361</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45361</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45361</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45361</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45361</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45361</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45361</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45361</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45361</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45361</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45361</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45361</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45361</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45361</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45361</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45361</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45361</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45361</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45361</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45361</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45361</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45361</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45361</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45361</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45361</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45361</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45361</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45361</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45361</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45361</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45361</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45361</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45361</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45361</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45361</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45361</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45361</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45361</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45361</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45361</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45361</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45361</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45361</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45361</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45361</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45361</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45361</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45361</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45361</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45361</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45361</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45361</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45361</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45361</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45361</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45361</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45361</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45361</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45361</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45361</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45361</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45361</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45361</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45361</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45361</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45361</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45361</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45361</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45361</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45361</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45361</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45361</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45361</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45361</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45361</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45361</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45361</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45361</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45361</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45361</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45361</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45361</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45361</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45361</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45361</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45361</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45361</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45361</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45361</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45361</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45361</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45361</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45361</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45361</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45361</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45361</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45361</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45361</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45361</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45361</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45361</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45361</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45361</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45361</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45361</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45361</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45361</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45361</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45361</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45361</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45361</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45361</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45361</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45361</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45361</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45361</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45361</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45361</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45361</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45361</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45361</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45361</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45361</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45361</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45361</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45361</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45361</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45361</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45361</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45361</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45361</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45361</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45361</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45361</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45361</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45361</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45361</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45361</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45361</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45361</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45361</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45361</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45361</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45361</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45361</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45361</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45361</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45361</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45361</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45361</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45361</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45361</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45361</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45361</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45361</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45361</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45361</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45361</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45361</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45361</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45361</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45361</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45361</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45361</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45361</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45361</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45361</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45361</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45361</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45361</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45361</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45361</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45361</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45361</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45361</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45361</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45361</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45361</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45361</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45361</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45361</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45361</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45361</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45361</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45361</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45361</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45361</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45361</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45361</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45361</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45361</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45361</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45361</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45361</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45361</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45361</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45361</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45361</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45361</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45361</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45361</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45361</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45361</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45361</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45361</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45361</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45361</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45361</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45361</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45361</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45361</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45361</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45361</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45361</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45361</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45361</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45361</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45361</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45361</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45361</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45361</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45361</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45361</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45361</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45361</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45361</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45361</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45361</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45361</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45361</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45361</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45361</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45361</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45361</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45361</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45361</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45361</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45361</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45361</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45361</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45361</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45361</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45361</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45361</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45361</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45361</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45361</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45361</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45361</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45361</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45361</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45361</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5161-2024</t>
        </is>
      </c>
      <c r="B1067" s="1" t="n">
        <v>45330</v>
      </c>
      <c r="C1067" s="1" t="n">
        <v>45361</v>
      </c>
      <c r="D1067" t="inlineStr">
        <is>
          <t>UPPSALA LÄN</t>
        </is>
      </c>
      <c r="E1067" t="inlineStr">
        <is>
          <t>ÖSTHAMMAR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5198-2024</t>
        </is>
      </c>
      <c r="B1068" s="1" t="n">
        <v>45330</v>
      </c>
      <c r="C1068" s="1" t="n">
        <v>45361</v>
      </c>
      <c r="D1068" t="inlineStr">
        <is>
          <t>UPPSALA LÄN</t>
        </is>
      </c>
      <c r="E1068" t="inlineStr">
        <is>
          <t>ÖSTHAMMAR</t>
        </is>
      </c>
      <c r="F1068" t="inlineStr">
        <is>
          <t>Övriga Aktiebolag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5216-2024</t>
        </is>
      </c>
      <c r="B1069" s="1" t="n">
        <v>45330</v>
      </c>
      <c r="C1069" s="1" t="n">
        <v>45361</v>
      </c>
      <c r="D1069" t="inlineStr">
        <is>
          <t>UPPSALA LÄN</t>
        </is>
      </c>
      <c r="E1069" t="inlineStr">
        <is>
          <t>ÖSTHAMMAR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5149-2024</t>
        </is>
      </c>
      <c r="B1070" s="1" t="n">
        <v>45330</v>
      </c>
      <c r="C1070" s="1" t="n">
        <v>45361</v>
      </c>
      <c r="D1070" t="inlineStr">
        <is>
          <t>UPPSALA LÄN</t>
        </is>
      </c>
      <c r="E1070" t="inlineStr">
        <is>
          <t>ÖSTHAMMAR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45361</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5860-2024</t>
        </is>
      </c>
      <c r="B1072" s="1" t="n">
        <v>45335</v>
      </c>
      <c r="C1072" s="1" t="n">
        <v>45361</v>
      </c>
      <c r="D1072" t="inlineStr">
        <is>
          <t>UPPSALA LÄN</t>
        </is>
      </c>
      <c r="E1072" t="inlineStr">
        <is>
          <t>ÖSTHAMMAR</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5851-2024</t>
        </is>
      </c>
      <c r="B1073" s="1" t="n">
        <v>45335</v>
      </c>
      <c r="C1073" s="1" t="n">
        <v>45361</v>
      </c>
      <c r="D1073" t="inlineStr">
        <is>
          <t>UPPSALA LÄN</t>
        </is>
      </c>
      <c r="E1073" t="inlineStr">
        <is>
          <t>ÖSTHAMMAR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6120-2024</t>
        </is>
      </c>
      <c r="B1074" s="1" t="n">
        <v>45337</v>
      </c>
      <c r="C1074" s="1" t="n">
        <v>45361</v>
      </c>
      <c r="D1074" t="inlineStr">
        <is>
          <t>UPPSALA LÄN</t>
        </is>
      </c>
      <c r="E1074" t="inlineStr">
        <is>
          <t>ÖSTHAMMAR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6143-2024</t>
        </is>
      </c>
      <c r="B1075" s="1" t="n">
        <v>45337</v>
      </c>
      <c r="C1075" s="1" t="n">
        <v>45361</v>
      </c>
      <c r="D1075" t="inlineStr">
        <is>
          <t>UPPSALA LÄN</t>
        </is>
      </c>
      <c r="E1075" t="inlineStr">
        <is>
          <t>ÖSTHAMMAR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6102-2024</t>
        </is>
      </c>
      <c r="B1076" s="1" t="n">
        <v>45337</v>
      </c>
      <c r="C1076" s="1" t="n">
        <v>45361</v>
      </c>
      <c r="D1076" t="inlineStr">
        <is>
          <t>UPPSALA LÄN</t>
        </is>
      </c>
      <c r="E1076" t="inlineStr">
        <is>
          <t>ÖSTHAMMAR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6106-2024</t>
        </is>
      </c>
      <c r="B1077" s="1" t="n">
        <v>45337</v>
      </c>
      <c r="C1077" s="1" t="n">
        <v>45361</v>
      </c>
      <c r="D1077" t="inlineStr">
        <is>
          <t>UPPSALA LÄN</t>
        </is>
      </c>
      <c r="E1077" t="inlineStr">
        <is>
          <t>ÖSTHAMMAR</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6121-2024</t>
        </is>
      </c>
      <c r="B1078" s="1" t="n">
        <v>45337</v>
      </c>
      <c r="C1078" s="1" t="n">
        <v>45361</v>
      </c>
      <c r="D1078" t="inlineStr">
        <is>
          <t>UPPSALA LÄN</t>
        </is>
      </c>
      <c r="E1078" t="inlineStr">
        <is>
          <t>ÖSTHAMMAR</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45361</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6661-2024</t>
        </is>
      </c>
      <c r="B1080" s="1" t="n">
        <v>45341</v>
      </c>
      <c r="C1080" s="1" t="n">
        <v>45361</v>
      </c>
      <c r="D1080" t="inlineStr">
        <is>
          <t>UPPSALA LÄN</t>
        </is>
      </c>
      <c r="E1080" t="inlineStr">
        <is>
          <t>ÖSTHAMMAR</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6656-2024</t>
        </is>
      </c>
      <c r="B1081" s="1" t="n">
        <v>45341</v>
      </c>
      <c r="C1081" s="1" t="n">
        <v>45361</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8673-2024</t>
        </is>
      </c>
      <c r="B1082" s="1" t="n">
        <v>45356</v>
      </c>
      <c r="C1082" s="1" t="n">
        <v>45361</v>
      </c>
      <c r="D1082" t="inlineStr">
        <is>
          <t>UPPSALA LÄN</t>
        </is>
      </c>
      <c r="E1082" t="inlineStr">
        <is>
          <t>ÖSTHAMMAR</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9264-2024</t>
        </is>
      </c>
      <c r="B1083" s="1" t="n">
        <v>45358</v>
      </c>
      <c r="C1083" s="1" t="n">
        <v>45361</v>
      </c>
      <c r="D1083" t="inlineStr">
        <is>
          <t>UPPSALA LÄN</t>
        </is>
      </c>
      <c r="E1083" t="inlineStr">
        <is>
          <t>ÖSTHAMMAR</t>
        </is>
      </c>
      <c r="F1083" t="inlineStr">
        <is>
          <t>Bergvik skog öst AB</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9267-2024</t>
        </is>
      </c>
      <c r="B1084" s="1" t="n">
        <v>45358</v>
      </c>
      <c r="C1084" s="1" t="n">
        <v>45361</v>
      </c>
      <c r="D1084" t="inlineStr">
        <is>
          <t>UPPSALA LÄN</t>
        </is>
      </c>
      <c r="E1084" t="inlineStr">
        <is>
          <t>ÖSTHAMMAR</t>
        </is>
      </c>
      <c r="F1084" t="inlineStr">
        <is>
          <t>Bergvik skog öst AB</t>
        </is>
      </c>
      <c r="G1084" t="n">
        <v>1.3</v>
      </c>
      <c r="H1084" t="n">
        <v>0</v>
      </c>
      <c r="I1084" t="n">
        <v>0</v>
      </c>
      <c r="J1084" t="n">
        <v>0</v>
      </c>
      <c r="K1084" t="n">
        <v>0</v>
      </c>
      <c r="L1084" t="n">
        <v>0</v>
      </c>
      <c r="M1084" t="n">
        <v>0</v>
      </c>
      <c r="N1084" t="n">
        <v>0</v>
      </c>
      <c r="O1084" t="n">
        <v>0</v>
      </c>
      <c r="P1084" t="n">
        <v>0</v>
      </c>
      <c r="Q1084" t="n">
        <v>0</v>
      </c>
      <c r="R1084" s="2" t="inlineStr"/>
    </row>
    <row r="1085">
      <c r="A1085" t="inlineStr">
        <is>
          <t>A 9291-2024</t>
        </is>
      </c>
      <c r="B1085" s="1" t="n">
        <v>45358</v>
      </c>
      <c r="C1085" s="1" t="n">
        <v>45361</v>
      </c>
      <c r="D1085" t="inlineStr">
        <is>
          <t>UPPSALA LÄN</t>
        </is>
      </c>
      <c r="E1085" t="inlineStr">
        <is>
          <t>ÖSTHAMMAR</t>
        </is>
      </c>
      <c r="G1085" t="n">
        <v>1.7</v>
      </c>
      <c r="H1085" t="n">
        <v>0</v>
      </c>
      <c r="I1085" t="n">
        <v>0</v>
      </c>
      <c r="J1085" t="n">
        <v>0</v>
      </c>
      <c r="K1085" t="n">
        <v>0</v>
      </c>
      <c r="L1085" t="n">
        <v>0</v>
      </c>
      <c r="M1085" t="n">
        <v>0</v>
      </c>
      <c r="N1085" t="n">
        <v>0</v>
      </c>
      <c r="O1085" t="n">
        <v>0</v>
      </c>
      <c r="P1085" t="n">
        <v>0</v>
      </c>
      <c r="Q1085" t="n">
        <v>0</v>
      </c>
      <c r="R108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2024-03-10T17:27:10Z</dcterms:created>
  <dcterms:modified xmlns:dcterms="http://purl.org/dc/terms/" xmlns:xsi="http://www.w3.org/2001/XMLSchema-instance" xsi:type="dcterms:W3CDTF">2024-03-10T17:27:11Z</dcterms:modified>
</cp:coreProperties>
</file>